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" sheetId="1" r:id="rId4"/>
    <sheet state="visible" name="INSTRUKCJA" sheetId="2" r:id="rId5"/>
    <sheet state="visible" name="T1" sheetId="3" r:id="rId6"/>
    <sheet state="visible" name="T2" sheetId="4" r:id="rId7"/>
    <sheet state="visible" name="T3" sheetId="5" r:id="rId8"/>
    <sheet state="visible" name="T4" sheetId="6" r:id="rId9"/>
    <sheet state="visible" name="T5" sheetId="7" r:id="rId10"/>
    <sheet state="visible" name="T6" sheetId="8" r:id="rId11"/>
    <sheet state="visible" name="ODDECH" sheetId="9" r:id="rId12"/>
    <sheet state="visible" name="BIEG" sheetId="10" r:id="rId13"/>
    <sheet state="visible" name="BAZA" sheetId="11" r:id="rId14"/>
    <sheet state="visible" name="Analiza" sheetId="12" r:id="rId15"/>
    <sheet state="visible" name="TABELE" sheetId="13" r:id="rId16"/>
    <sheet state="visible" name="LISTY" sheetId="14" r:id="rId17"/>
  </sheets>
  <definedNames>
    <definedName name="PRZEL_AKCESORIA">Analiza!$B$4</definedName>
    <definedName name="BAZA_SKOK">BAZA!$E$3:$E$202</definedName>
    <definedName name="BAZA_PROG">BAZA!$F$3:$F$202</definedName>
    <definedName name="LISTA_EX">LISTY!$GV$3:$GV$202</definedName>
    <definedName name="BAZA_COEFF">BAZA!$D$3:$D$202</definedName>
    <definedName name="BAZA_KAT">BAZA!$B$3:$B$202</definedName>
    <definedName name="BAZA_ID">BAZA!$H$3:$H$202</definedName>
    <definedName name="LISTA_KLUCZ">LISTY!$GW$3:$GW$202</definedName>
    <definedName name="PRZEL_CZESC">Analiza!$B$5</definedName>
    <definedName name="BAZA_FILM">BAZA!$G$3:$G$202</definedName>
    <definedName name="BAZA_EX">BAZA!$A$3:$A$202</definedName>
    <definedName name="BAZA_PART">BAZA!$C$3:$C$202</definedName>
    <definedName name="BAZA_UWAGI">BAZA!$I$3:$I$202</definedName>
  </definedNames>
  <calcPr/>
  <extLst>
    <ext uri="GoogleSheetsCustomDataVersion2">
      <go:sheetsCustomData xmlns:go="http://customooxmlschemas.google.com/" r:id="rId18" roundtripDataChecksum="CElc+7ghJyv+QTWMArAa75qyK192+7Ug34fPzaKI39I="/>
    </ext>
  </extLst>
</workbook>
</file>

<file path=xl/sharedStrings.xml><?xml version="1.0" encoding="utf-8"?>
<sst xmlns="http://schemas.openxmlformats.org/spreadsheetml/2006/main" count="2107" uniqueCount="899">
  <si>
    <t xml:space="preserve">  PLAN TRENINGOWY — 6 TYGODNI</t>
  </si>
  <si>
    <t xml:space="preserve">  JAK KORZYSTAĆ Z PLANU</t>
  </si>
  <si>
    <t xml:space="preserve">  TYDZIEŃ 1 z 6</t>
  </si>
  <si>
    <t xml:space="preserve">  TYDZIEŃ 2 z 6</t>
  </si>
  <si>
    <t>Start planu treningowego</t>
  </si>
  <si>
    <t xml:space="preserve">  OD CZEGO ZACZĄĆ</t>
  </si>
  <si>
    <t>•</t>
  </si>
  <si>
    <t>Otwórz zakładkę START. Jest tam lista wszystkich ćwiczeń z planu.</t>
  </si>
  <si>
    <t>Lp.</t>
  </si>
  <si>
    <t xml:space="preserve">  SERIE MAKSYMALNE — jedna seria do odmowy na każde ćwiczenie</t>
  </si>
  <si>
    <t>ĆWICZENIE</t>
  </si>
  <si>
    <t>SERIE</t>
  </si>
  <si>
    <t>POWTÓRZENIA</t>
  </si>
  <si>
    <t>RPE</t>
  </si>
  <si>
    <t>CIĘŻAR</t>
  </si>
  <si>
    <t>✓</t>
  </si>
  <si>
    <t>Do każdego ćwiczenia z żółtymi polami zrób jedną serię do odmowy — z ciężarem, przy którym nie zrobisz już ani jednego powtórzenia więcej. Powinno to wypaść między 1 a 15 powtórzeniem.</t>
  </si>
  <si>
    <t>FILM</t>
  </si>
  <si>
    <t>KATEGORIE – SZKIELET</t>
  </si>
  <si>
    <t>ciężar (kg)</t>
  </si>
  <si>
    <t>powtórzenia</t>
  </si>
  <si>
    <t>Twój 1RM</t>
  </si>
  <si>
    <t>Wpisz użyty ciężar i liczbę wykonanych powtórzeń. Kolumna „Twój 1RM” wyliczy się sama.</t>
  </si>
  <si>
    <t xml:space="preserve">  DZIEŃ I</t>
  </si>
  <si>
    <t>Ćwiczenia wypisane szarą kursywą pomijasz — wykonuje się je na masie ciała, na czas albo na dystans, więc nie potrzebują pomiaru.</t>
  </si>
  <si>
    <t>1RM po nazwie</t>
  </si>
  <si>
    <t>To robisz raz, na początku. Potem już nic nie liczysz.</t>
  </si>
  <si>
    <t>TOP SET</t>
  </si>
  <si>
    <t xml:space="preserve">  JAK CZYTAĆ PLAN</t>
  </si>
  <si>
    <t>Zakładki T1–T6 to kolejne tygodnie. Zaczynasz od T1 i idziesz po kolei.</t>
  </si>
  <si>
    <t>Dni treningowe w tygodniu są opisane jako DZIEŃ I, DZIEŃ II i tak dalej. Wykonuj je w tej kolejności, w której są wypisane.</t>
  </si>
  <si>
    <t>Kolumna SERIE mówi, ile serii masz wykonać. Kolumna POWTÓRZENIA — ile powtórzeń w każdej z nich. Zapis 3 i 10 znaczy trzy serie po dziesięć powtórzeń.</t>
  </si>
  <si>
    <t>Kolumna CIĘŻAR to jedyna liczba, którą ustawiasz na sztandze lub maszynie. Jest już policzona z Twojego wyniku.</t>
  </si>
  <si>
    <t>D1-S01</t>
  </si>
  <si>
    <t>Jeśli w kolumnie CIĘŻAR widzisz „brak 1RM”, to znaczy, że nie uzupełniłeś serii maksymalnej dla tego ćwiczenia na zakładce START.</t>
  </si>
  <si>
    <t>Kolumna FILM prowadzi do nagrania z techniką. Obejrzyj przed pierwszym powtórzeniem nowego ćwiczenia.</t>
  </si>
  <si>
    <t>Odhacz ✓, kiedy skończysz ćwiczenie.</t>
  </si>
  <si>
    <t xml:space="preserve">  TOP SET</t>
  </si>
  <si>
    <t>A1.</t>
  </si>
  <si>
    <t>Jeśli w Twoim planie występuje ciemny pasek z trójkątem ▲ na początku dnia — to jedna ciężka próba na jedno powtórzenie. Nie każdy plan i nie każdy dzień go ma.</t>
  </si>
  <si>
    <t>Wykonujesz ją PRZED seriami roboczymi tego samego ćwiczenia, po rozgrzewce.</t>
  </si>
  <si>
    <t>Nie pomijaj jej i nie przenoś na koniec — reszta dnia jest do niej dopasowana.</t>
  </si>
  <si>
    <t>Jedno powtórzenie, jedna próba. Nie powtarzaj jej kilka razy.</t>
  </si>
  <si>
    <t xml:space="preserve">  SERIE ŁĄCZONE</t>
  </si>
  <si>
    <t>Ćwiczenia oznaczone tą samą literą tworzą parę lub trójkę i mają wspólne tło.</t>
  </si>
  <si>
    <t>Wykonujesz je naprzemiennie: jedna seria pierwszego, od razu jedna seria drugiego, dopiero potem przerwa. I tak do wyczerpania serii.</t>
  </si>
  <si>
    <t>D1-S02</t>
  </si>
  <si>
    <t>Ćwiczenie z inną literą to nowa grupa — kończysz poprzednią w całości, zanim ją zaczniesz.</t>
  </si>
  <si>
    <t>Ćwiczenie stojące samotnie pod swoją literą robisz normalnie, seria po serii.</t>
  </si>
  <si>
    <t xml:space="preserve">  PRZERWY I TEMPO</t>
  </si>
  <si>
    <t>Po serii ciężkiej z początku dnia odpoczywaj tyle, ile potrzebujesz, żeby kolejna wyszła technicznie — zwykle 3–5 minut.</t>
  </si>
  <si>
    <t>D1-S03</t>
  </si>
  <si>
    <t>Między grupami ćwiczeń dodatkowych zwykle wystarcza 1,5–2 minuty.</t>
  </si>
  <si>
    <t>Ruch prowadź kontrolnie w fazie opuszczania. Nie zrzucaj ciężaru.</t>
  </si>
  <si>
    <t xml:space="preserve">  CZEGO NIE ZMIENIAĆ</t>
  </si>
  <si>
    <t>Nie zwiększaj ciężaru na własną rękę, nawet jeśli seria wyszła lekko. Plan zakłada, że tygodnie 1 i 2 mają być łatwiejsze.</t>
  </si>
  <si>
    <t>Nie dokładaj serii ani ćwiczeń.</t>
  </si>
  <si>
    <t>D1-S04</t>
  </si>
  <si>
    <t>Kolumna RPE służy do obliczeń i nie musisz się nią kierować podczas treningu.</t>
  </si>
  <si>
    <t>Jeśli ćwiczenie boli — nie „rozćwiczaj” bólu. Przerwij je i zgłoś to, zanim wrócisz do tego ruchu.</t>
  </si>
  <si>
    <t>Jeżeli opuścisz trening, wykonaj go w innym dniu zamiast łączyć dwa dni w jeden.</t>
  </si>
  <si>
    <t>Plan zawiera też liczby techniczne — RPE, wskaźniki obciążenia, podsumowania serii i powtórzeń. Służą mnie do układania i kontroli planu. Ty patrzysz na ćwiczenie, serie, powtórzenia i ciężar.</t>
  </si>
  <si>
    <t>D1-S05</t>
  </si>
  <si>
    <t>D1-S06</t>
  </si>
  <si>
    <t>B1.</t>
  </si>
  <si>
    <t>Allah</t>
  </si>
  <si>
    <t>D1-S07</t>
  </si>
  <si>
    <t>D1-S08</t>
  </si>
  <si>
    <t>D1-S09</t>
  </si>
  <si>
    <t>D1-S10</t>
  </si>
  <si>
    <t>D1-S11</t>
  </si>
  <si>
    <t>B2.</t>
  </si>
  <si>
    <t>D1-S12</t>
  </si>
  <si>
    <t xml:space="preserve">  DZIEŃ II</t>
  </si>
  <si>
    <t>D2-S01</t>
  </si>
  <si>
    <t>D2-S02</t>
  </si>
  <si>
    <t>D2-S03</t>
  </si>
  <si>
    <t>D2-S04</t>
  </si>
  <si>
    <t>C1.</t>
  </si>
  <si>
    <t>D2-S05</t>
  </si>
  <si>
    <t>D2-S06</t>
  </si>
  <si>
    <t>D2-S07</t>
  </si>
  <si>
    <t>D2-S08</t>
  </si>
  <si>
    <t>D2-S09</t>
  </si>
  <si>
    <t>C2.</t>
  </si>
  <si>
    <t>D2-S10</t>
  </si>
  <si>
    <t>D2-S11</t>
  </si>
  <si>
    <t>D2-S12</t>
  </si>
  <si>
    <t xml:space="preserve">  DZIEŃ III</t>
  </si>
  <si>
    <t>D3-S01</t>
  </si>
  <si>
    <t>D3-S02</t>
  </si>
  <si>
    <t>D3-S03</t>
  </si>
  <si>
    <t>D3-S04</t>
  </si>
  <si>
    <t>D1.</t>
  </si>
  <si>
    <t>D3-S05</t>
  </si>
  <si>
    <t>D3-S06</t>
  </si>
  <si>
    <t>D3-S07</t>
  </si>
  <si>
    <t>D3-S08</t>
  </si>
  <si>
    <t>D3-S09</t>
  </si>
  <si>
    <t>D3-S10</t>
  </si>
  <si>
    <t>D2.</t>
  </si>
  <si>
    <t>D3-S11</t>
  </si>
  <si>
    <t>D3-S12</t>
  </si>
  <si>
    <t xml:space="preserve">  DZIEŃ IV</t>
  </si>
  <si>
    <t>D4-S01</t>
  </si>
  <si>
    <t>D4-S02</t>
  </si>
  <si>
    <t>D4-S03</t>
  </si>
  <si>
    <t>E1.</t>
  </si>
  <si>
    <t>D4-S04</t>
  </si>
  <si>
    <t>D4-S05</t>
  </si>
  <si>
    <t>D4-S06</t>
  </si>
  <si>
    <t xml:space="preserve">  TYDZIEŃ 3 z 6</t>
  </si>
  <si>
    <t>D4-S07</t>
  </si>
  <si>
    <t>E2.</t>
  </si>
  <si>
    <t>D4-S08</t>
  </si>
  <si>
    <t>D4-S09</t>
  </si>
  <si>
    <t>D4-S10</t>
  </si>
  <si>
    <t>D4-S11</t>
  </si>
  <si>
    <t>D4-S12</t>
  </si>
  <si>
    <t xml:space="preserve">  DZIEŃ V</t>
  </si>
  <si>
    <t>D5-S01</t>
  </si>
  <si>
    <t>D5-S02</t>
  </si>
  <si>
    <t>D5-S03</t>
  </si>
  <si>
    <t>D5-S04</t>
  </si>
  <si>
    <t>D5-S05</t>
  </si>
  <si>
    <t>D5-S06</t>
  </si>
  <si>
    <t>D5-S07</t>
  </si>
  <si>
    <t>D5-S08</t>
  </si>
  <si>
    <t>D5-S09</t>
  </si>
  <si>
    <t>D5-S10</t>
  </si>
  <si>
    <t>D5-S11</t>
  </si>
  <si>
    <t>D5-S12</t>
  </si>
  <si>
    <t>Przykład:  Barbell back squat, 100 kg × 5 powtórzeń do odmowy  →  1RM 113,0 kg</t>
  </si>
  <si>
    <t>Trening oddechowy prowadzisz z zakładki ODDECH, biegowy z zakładki BIEG.</t>
  </si>
  <si>
    <t>Dzień I — razem</t>
  </si>
  <si>
    <t xml:space="preserve">  TYDZIEŃ 4 z 6</t>
  </si>
  <si>
    <t>Dzień II — razem</t>
  </si>
  <si>
    <t>Dzień III — razem</t>
  </si>
  <si>
    <t>Dzień IV — razem</t>
  </si>
  <si>
    <t>Dzień V — razem</t>
  </si>
  <si>
    <t xml:space="preserve">  ROZKŁAD STRESU — TYDZIEŃ 1</t>
  </si>
  <si>
    <t>wzorzec</t>
  </si>
  <si>
    <t>obciążenie</t>
  </si>
  <si>
    <t>udział</t>
  </si>
  <si>
    <t>centr.</t>
  </si>
  <si>
    <t>obwod.</t>
  </si>
  <si>
    <t>serie</t>
  </si>
  <si>
    <t>powt.</t>
  </si>
  <si>
    <t>przysiad (s)</t>
  </si>
  <si>
    <t>s</t>
  </si>
  <si>
    <t>martwy ciąg (d)</t>
  </si>
  <si>
    <t>d</t>
  </si>
  <si>
    <t>wyciskanie (b)</t>
  </si>
  <si>
    <t>b</t>
  </si>
  <si>
    <t>wiosłowanie (r)</t>
  </si>
  <si>
    <t>r</t>
  </si>
  <si>
    <t>core (c)</t>
  </si>
  <si>
    <t>c</t>
  </si>
  <si>
    <t>dolne / górne</t>
  </si>
  <si>
    <t>centralny / obwodowy</t>
  </si>
  <si>
    <t>RAZEM (całkowity)</t>
  </si>
  <si>
    <t xml:space="preserve">  TRENING ODDECHOWY — TYDZIEŃ 1</t>
  </si>
  <si>
    <t>poziom</t>
  </si>
  <si>
    <t>ile razy w tygodniu</t>
  </si>
  <si>
    <t>blok A — rozgrzewka</t>
  </si>
  <si>
    <t>blok B — praca</t>
  </si>
  <si>
    <t>blok C — wyciszenie</t>
  </si>
  <si>
    <t>uwaga</t>
  </si>
  <si>
    <t xml:space="preserve">  TRENING BIEGOWY — TYDZIEŃ 1</t>
  </si>
  <si>
    <t>tygodniowo</t>
  </si>
  <si>
    <t xml:space="preserve">  ROZKŁAD STRESU — TYDZIEŃ 2</t>
  </si>
  <si>
    <t xml:space="preserve">  TRENING ODDECHOWY — TYDZIEŃ 2</t>
  </si>
  <si>
    <t xml:space="preserve">  TYDZIEŃ 5 z 6</t>
  </si>
  <si>
    <t xml:space="preserve">  TRENING BIEGOWY — TYDZIEŃ 2</t>
  </si>
  <si>
    <t xml:space="preserve">  ROZKŁAD STRESU — TYDZIEŃ 3</t>
  </si>
  <si>
    <t xml:space="preserve">  TRENING ODDECHOWY — TYDZIEŃ 3</t>
  </si>
  <si>
    <t xml:space="preserve">  TRENING BIEGOWY — TYDZIEŃ 3</t>
  </si>
  <si>
    <t xml:space="preserve">  TYDZIEŃ 6 z 6</t>
  </si>
  <si>
    <t xml:space="preserve">  TRENING ODDECHOWY</t>
  </si>
  <si>
    <t xml:space="preserve">  Protokół oddechowy prowadzony równolegle do planu siłowego. Wpisz wynik testu poniżej — dawka przeliczy się sama.</t>
  </si>
  <si>
    <t xml:space="preserve">  JEŚLI CHCESZ SPRÓBOWAĆ — WPISZ SWÓJ WYNIK</t>
  </si>
  <si>
    <t>Wynik TWOT (sekundy)</t>
  </si>
  <si>
    <t>Któreś z przeciwwskazań?</t>
  </si>
  <si>
    <t>nie</t>
  </si>
  <si>
    <t>Poziom</t>
  </si>
  <si>
    <t>Ile razy w tygodniu</t>
  </si>
  <si>
    <t>Blok A — rozgrzewka</t>
  </si>
  <si>
    <t>Blok B — praca</t>
  </si>
  <si>
    <t>Blok C — wyciszenie</t>
  </si>
  <si>
    <t>PRZECIWWSKAZANIA — ciąża, niekontrolowane nadciśnienie, choroba sercowo-naczyniowa, padaczka, cukrzyca typu 1, anemia sierpowata, zaburzenia lękowe / napady paniki, zabieg operacyjny w ostatnich 3 miesiącach. Nigdy nie ćwicz bezdechów w wodzie ani za kierownicą.</t>
  </si>
  <si>
    <t xml:space="preserve">  JAK ZMIERZYĆ TWOT</t>
  </si>
  <si>
    <t xml:space="preserve">  •  Odpocznij 10 minut. Najlepiej rano, przed kawą i wysiłkiem.</t>
  </si>
  <si>
    <t xml:space="preserve">  •  Usiądź. Zwykły, niepogłębiony wdech i wydech przez nos.</t>
  </si>
  <si>
    <t xml:space="preserve">  •  Po wydechu zatkaj nos i uruchom stoper.</t>
  </si>
  <si>
    <t xml:space="preserve">  •  Zatrzymaj pomiar przy pierwszej wyraźnej potrzebie wdechu. Nie walcz o wynik.</t>
  </si>
  <si>
    <t xml:space="preserve">  •  Puść nos i spokojnie zaczerpnij powietrza nosem. Jeśli musisz nasilić oddychanie, test trwał za długo.</t>
  </si>
  <si>
    <t xml:space="preserve">  CO TWOT MÓWI, A CZEGO NIE</t>
  </si>
  <si>
    <t xml:space="preserve">  •  Opisuje pośrednio wrażliwość na CO₂ i skłonność do zadyszki.</t>
  </si>
  <si>
    <t xml:space="preserve">  •  Nie mierzy saturacji, pojemności płuc ani wydolności tlenowej.</t>
  </si>
  <si>
    <t xml:space="preserve">  •  Powtarzalność wyniku jest umiarkowana — patrz na trend z kilku pomiarów, nie na pojedynczy odczyt.</t>
  </si>
  <si>
    <t xml:space="preserve">  •  Dowody na przełożenie na wyniki sportowe są ograniczone. Traktuj to jako dodatek, nie miernik formy.</t>
  </si>
  <si>
    <t xml:space="preserve">  TECHNIKA</t>
  </si>
  <si>
    <t xml:space="preserve">  •  Breathe Light: siedź prosto, rozluźnij barki i szczękę. Oddychaj cicho nosem i subtelnie zmniejsz objętość oddechu — bez wstrzymywania. Głód powietrza ma być tolerowalny.</t>
  </si>
  <si>
    <t xml:space="preserve">  •  Bezdech w marszu: wydech, zatkaj nos, idź spokojnym krokiem przez zaplanowany czas. Puść nos i wróć do oddechu nosowego. Jeśli po 2–3 oddechach nie wracasz do spokoju, zatrzymanie było za długie.</t>
  </si>
  <si>
    <t xml:space="preserve">  •  Przerwa minimum 60 s między powtórzeniami.</t>
  </si>
  <si>
    <t xml:space="preserve">  •  Kadencja 4–6: wdech na 4, wydech na 6, przez nos, bez napięcia.</t>
  </si>
  <si>
    <t xml:space="preserve">  RETEST</t>
  </si>
  <si>
    <t xml:space="preserve">  •  Mierz TWOT rano w pierwszym dniu tygodnia 1, 3 i 5 oraz na koniec cyklu.</t>
  </si>
  <si>
    <t xml:space="preserve">  •  Wpisz nowy wynik powyżej — dawka przeliczy się sama.</t>
  </si>
  <si>
    <t xml:space="preserve">  •  Dobra odpowiedź to wzrost o 3–5 s na 2 tygodnie.</t>
  </si>
  <si>
    <t xml:space="preserve">  •  Brak zmiany przez 4 tygodnie: wróć do samego oddechu nosowego w ciągu dnia zamiast dokładać bezdechy.</t>
  </si>
  <si>
    <t xml:space="preserve">  KIEDY PRZERWAĆ</t>
  </si>
  <si>
    <t xml:space="preserve">  •  Zawroty głowy, ból w klatce, mrowienie, narastający lęk, oddech tracący płynność.</t>
  </si>
  <si>
    <t xml:space="preserve">  •  Nigdy w wodzie ani w jej pobliżu. Nigdy za kierownicą.</t>
  </si>
  <si>
    <t xml:space="preserve">  ROZKŁAD STRESU — TYDZIEŃ 4</t>
  </si>
  <si>
    <t xml:space="preserve">  TRENING ODDECHOWY — TYDZIEŃ 4</t>
  </si>
  <si>
    <t xml:space="preserve">  TRENING BIEGOWY — TYDZIEŃ 4</t>
  </si>
  <si>
    <t xml:space="preserve">  TRENING BIEGOWY</t>
  </si>
  <si>
    <t xml:space="preserve">  Sześć tygodni biegania obok planu siłowego. Uzupełnij pięć pól — reszta wyliczy się sama. Czas jest zadaniem, tempo celem, dystans szacunkiem.</t>
  </si>
  <si>
    <t xml:space="preserve">  TWOJE DANE</t>
  </si>
  <si>
    <t>Wiek</t>
  </si>
  <si>
    <t>HR max zmierzone (jeśli znasz)</t>
  </si>
  <si>
    <t>Bieg testowy — dystans (km)</t>
  </si>
  <si>
    <t>Bieg testowy — czas (minuty)</t>
  </si>
  <si>
    <t>Ile razy w tygodniu chcesz biegać (1–5)</t>
  </si>
  <si>
    <t>Bieg testowy to maksymalny wysiłek na znanym dystansie — np. 3 albo 5 km przebiegnięte najszybciej jak potrafisz, równym tempem.</t>
  </si>
  <si>
    <t xml:space="preserve">  WYLICZONE</t>
  </si>
  <si>
    <t>HR max</t>
  </si>
  <si>
    <t>Tempo testowe</t>
  </si>
  <si>
    <t>Prędkość testowa</t>
  </si>
  <si>
    <t xml:space="preserve">  STREFY TĘTNA</t>
  </si>
  <si>
    <t>Strefa 1 — regeneracja</t>
  </si>
  <si>
    <t>Strefa 2 — baza tlenowa</t>
  </si>
  <si>
    <t>Strefa 3 — tempo ciągłe</t>
  </si>
  <si>
    <t>Strefa 4 — próg</t>
  </si>
  <si>
    <t>Strefa 5 — VO2max</t>
  </si>
  <si>
    <t xml:space="preserve">  TEMPA TRENINGOWE</t>
  </si>
  <si>
    <t>Bieg spokojny (Z2)</t>
  </si>
  <si>
    <t>Bieg ciągły (Z3)</t>
  </si>
  <si>
    <t>Tempo progowe (Z4)</t>
  </si>
  <si>
    <t>Interwał (Z5)</t>
  </si>
  <si>
    <t xml:space="preserve">  PLAN NA SZEŚĆ TYGODNI</t>
  </si>
  <si>
    <t>tydzień</t>
  </si>
  <si>
    <t>jednostka</t>
  </si>
  <si>
    <t>typ</t>
  </si>
  <si>
    <t>czas</t>
  </si>
  <si>
    <t>dystans</t>
  </si>
  <si>
    <t>tempo</t>
  </si>
  <si>
    <t>tętno</t>
  </si>
  <si>
    <t>Tydzień 1</t>
  </si>
  <si>
    <t>Tydzień 2</t>
  </si>
  <si>
    <t>Tydzień 3</t>
  </si>
  <si>
    <t>Tydzień 4</t>
  </si>
  <si>
    <t>Tydzień 5</t>
  </si>
  <si>
    <t xml:space="preserve">  BAZA ĆWICZEŃ — nowe ćwiczenie = nowy wiersz z kompletem pól</t>
  </si>
  <si>
    <t>Ćwiczenie</t>
  </si>
  <si>
    <t>Kategoria</t>
  </si>
  <si>
    <t>part</t>
  </si>
  <si>
    <t>coeff</t>
  </si>
  <si>
    <t>skok kg</t>
  </si>
  <si>
    <t>Progresja</t>
  </si>
  <si>
    <t>Film</t>
  </si>
  <si>
    <t>ID</t>
  </si>
  <si>
    <t>Uwagi</t>
  </si>
  <si>
    <t>Scalone ID</t>
  </si>
  <si>
    <t>Abduction machine</t>
  </si>
  <si>
    <t>Lower pull</t>
  </si>
  <si>
    <t>kg</t>
  </si>
  <si>
    <t>https://youtu.be/H98IP8rARy4</t>
  </si>
  <si>
    <t>EX-0001</t>
  </si>
  <si>
    <t>EX-0098</t>
  </si>
  <si>
    <t>Adduction machine</t>
  </si>
  <si>
    <t>Lower push</t>
  </si>
  <si>
    <t>https://youtu.be/CjAVezAggkI</t>
  </si>
  <si>
    <t>EX-0002</t>
  </si>
  <si>
    <t>EX-0099</t>
  </si>
  <si>
    <t>Core</t>
  </si>
  <si>
    <t/>
  </si>
  <si>
    <t>EX-0003</t>
  </si>
  <si>
    <t>Arnold press</t>
  </si>
  <si>
    <t>Upper push vertical</t>
  </si>
  <si>
    <t>https://youtu.be/jeJttN2EWCo</t>
  </si>
  <si>
    <t>EX-0004</t>
  </si>
  <si>
    <t>EX-0058</t>
  </si>
  <si>
    <t>Arnold press alternating</t>
  </si>
  <si>
    <t>EX-0005</t>
  </si>
  <si>
    <t>B/l dragonflag eccentric</t>
  </si>
  <si>
    <t>https://youtube.com/shorts/Ut9NKB8jPq4</t>
  </si>
  <si>
    <t>EX-0006</t>
  </si>
  <si>
    <t>EX-0006x</t>
  </si>
  <si>
    <t>Back extension</t>
  </si>
  <si>
    <t>https://youtu.be/ph3pddpKzzw</t>
  </si>
  <si>
    <t>EX-0007</t>
  </si>
  <si>
    <t>Banded pistol squat</t>
  </si>
  <si>
    <t>asysta</t>
  </si>
  <si>
    <t>EX-0008</t>
  </si>
  <si>
    <t>UZUPEŁNIĆ – brak part/coeff w 4.0</t>
  </si>
  <si>
    <t>Banded pull ups</t>
  </si>
  <si>
    <t>Upper pull vertical</t>
  </si>
  <si>
    <t>https://youtu.be/5rR_bzBc1NA</t>
  </si>
  <si>
    <t>EX-0009</t>
  </si>
  <si>
    <t>EX-0159</t>
  </si>
  <si>
    <t>Barbell back squat</t>
  </si>
  <si>
    <t>https://youtu.be/rrJIyZGlK8c</t>
  </si>
  <si>
    <t>EX-0010</t>
  </si>
  <si>
    <t>Barbell bench press</t>
  </si>
  <si>
    <t>Upper push horizontal</t>
  </si>
  <si>
    <t>https://youtu.be/ejI1Nlsul9k</t>
  </si>
  <si>
    <t>EX-0011</t>
  </si>
  <si>
    <t>EX-0021</t>
  </si>
  <si>
    <t>Barbell curl</t>
  </si>
  <si>
    <t>Bicep</t>
  </si>
  <si>
    <t>https://youtu.be/N5x5M1x1Gd0</t>
  </si>
  <si>
    <t>EX-0012</t>
  </si>
  <si>
    <t>EX-0023, EX-0024, EX-0025</t>
  </si>
  <si>
    <t>Barbell low bar squat</t>
  </si>
  <si>
    <t>https://youtube.com/shorts/WYGyt6FdI78</t>
  </si>
  <si>
    <t>EX-0013</t>
  </si>
  <si>
    <t>Barbell OHP</t>
  </si>
  <si>
    <t>https://youtu.be/I7ND5OficOo</t>
  </si>
  <si>
    <t>EX-0014</t>
  </si>
  <si>
    <t>Barbell oscilation</t>
  </si>
  <si>
    <t>EX-0015</t>
  </si>
  <si>
    <t>Barbell row</t>
  </si>
  <si>
    <t>Upper pull horizontal</t>
  </si>
  <si>
    <t>https://youtu.be/bm0_q9bR_HA</t>
  </si>
  <si>
    <t>EX-0016</t>
  </si>
  <si>
    <t>Barbell row dead stop pins</t>
  </si>
  <si>
    <t>https://youtu.be/qelbH7YGpms</t>
  </si>
  <si>
    <t>EX-0017</t>
  </si>
  <si>
    <t>Barbell SLDL</t>
  </si>
  <si>
    <t>https://youtu.be/lI8-igvsnVQ</t>
  </si>
  <si>
    <t>EX-0018</t>
  </si>
  <si>
    <t>Bayesian curl</t>
  </si>
  <si>
    <t>https://youtu.be/7sEMu6sxk9c</t>
  </si>
  <si>
    <t>EX-0019</t>
  </si>
  <si>
    <t>Bear renegade row</t>
  </si>
  <si>
    <t>EX-0020</t>
  </si>
  <si>
    <t>Bench press paused 3sec</t>
  </si>
  <si>
    <t>https://youtu.be/oE3cIMAWiUg</t>
  </si>
  <si>
    <t>EX-0022</t>
  </si>
  <si>
    <t>Bicep hammer curl</t>
  </si>
  <si>
    <t>https://youtu.be/RIEMoYL_h1Y</t>
  </si>
  <si>
    <t>EX-0029</t>
  </si>
  <si>
    <t>EX-0033, EX-0096</t>
  </si>
  <si>
    <t>Bicep squat cable curl</t>
  </si>
  <si>
    <t>https://youtu.be/PT0NBHQaQlk</t>
  </si>
  <si>
    <t>EX-0031</t>
  </si>
  <si>
    <t>EX-0030, EX-0034</t>
  </si>
  <si>
    <t>Bird dog row</t>
  </si>
  <si>
    <t>masa ciała</t>
  </si>
  <si>
    <t>https://youtu.be/IrMVMZoQum4</t>
  </si>
  <si>
    <t>EX-0035</t>
  </si>
  <si>
    <t>Box jump</t>
  </si>
  <si>
    <t>EX-0036</t>
  </si>
  <si>
    <t>Bulgarian clean plyo</t>
  </si>
  <si>
    <t>EX-0037</t>
  </si>
  <si>
    <t>Bulgarian squat assisted</t>
  </si>
  <si>
    <t>EX-0038</t>
  </si>
  <si>
    <t>Cable biceps curl</t>
  </si>
  <si>
    <t>https://youtu.be/RlkONM-NUvo</t>
  </si>
  <si>
    <t>EX-0039</t>
  </si>
  <si>
    <t>Cable fly</t>
  </si>
  <si>
    <t>https://youtu.be/hhruLxo9yZU</t>
  </si>
  <si>
    <t>EX-0040</t>
  </si>
  <si>
    <t>Cable lateral raise s/a</t>
  </si>
  <si>
    <t>https://youtube.com/shorts/lK-Jupl2ciQ</t>
  </si>
  <si>
    <t>EX-0041</t>
  </si>
  <si>
    <t>DO WERYFIKACJI – konflikt category/part/coeff</t>
  </si>
  <si>
    <t>Cable row</t>
  </si>
  <si>
    <t>https://youtu.be/UCXxvVItLoM</t>
  </si>
  <si>
    <t>EX-0042</t>
  </si>
  <si>
    <t>Cable row s/a</t>
  </si>
  <si>
    <t>https://youtube.com/shorts/1Cfjgf2FBqc</t>
  </si>
  <si>
    <t>EX-0043</t>
  </si>
  <si>
    <t>Calf raises</t>
  </si>
  <si>
    <t>EX-0044</t>
  </si>
  <si>
    <t>Tydzień 6</t>
  </si>
  <si>
    <t>Chest fly machine</t>
  </si>
  <si>
    <t>EX-0045</t>
  </si>
  <si>
    <t>Clean</t>
  </si>
  <si>
    <t>EX-0046</t>
  </si>
  <si>
    <t>Clean pins</t>
  </si>
  <si>
    <t>EX-0047</t>
  </si>
  <si>
    <t>Copenhagen plank</t>
  </si>
  <si>
    <t>https://youtu.be/Wv3O-CXt_YI</t>
  </si>
  <si>
    <t>EX-0048</t>
  </si>
  <si>
    <t>Dead bug izo + OH</t>
  </si>
  <si>
    <t/>
  </si>
  <si>
    <t>EX-0049</t>
  </si>
  <si>
    <t>Dead bug straight legs</t>
  </si>
  <si>
    <t>https://youtube.com/shorts/wH1fFxR0v_s</t>
  </si>
  <si>
    <t>EX-0050</t>
  </si>
  <si>
    <t>Dead stop barbell row</t>
  </si>
  <si>
    <t>https://youtu.be/zRu-zlvxgDA</t>
  </si>
  <si>
    <t>EX-0051</t>
  </si>
  <si>
    <t>Deadbug OH</t>
  </si>
  <si>
    <t>EX-0052</t>
  </si>
  <si>
    <t>Deadlift</t>
  </si>
  <si>
    <t>https://youtu.be/AweC3UaM14o</t>
  </si>
  <si>
    <t>EX-0053</t>
  </si>
  <si>
    <t>Deficit push up</t>
  </si>
  <si>
    <t>https://youtu.be/B68Foe2DkfI</t>
  </si>
  <si>
    <t>EX-0054</t>
  </si>
  <si>
    <t>Deficit reverse lunge</t>
  </si>
  <si>
    <t>https://youtube.com/shorts/mTOMsoRLXl0</t>
  </si>
  <si>
    <t>EX-0055</t>
  </si>
  <si>
    <t>Dips</t>
  </si>
  <si>
    <t>https://youtu.be/ebNGIOsFSe0</t>
  </si>
  <si>
    <t>EX-0056</t>
  </si>
  <si>
    <t>Dips weighted</t>
  </si>
  <si>
    <t>dodatkowy ciężar</t>
  </si>
  <si>
    <t>https://youtube.com/shorts/HYqNyAx-32w</t>
  </si>
  <si>
    <t>EX-0057</t>
  </si>
  <si>
    <t>Dumbbell bench press</t>
  </si>
  <si>
    <t/>
  </si>
  <si>
    <t>EX-0059</t>
  </si>
  <si>
    <t>Dumbbell bench press alternating</t>
  </si>
  <si>
    <t/>
  </si>
  <si>
    <t>EX-0060</t>
  </si>
  <si>
    <t>Dumbbell curl</t>
  </si>
  <si>
    <t>https://youtu.be/iixND1P2lik</t>
  </si>
  <si>
    <t>EX-0061</t>
  </si>
  <si>
    <t>EX-0026, EX-0027, EX-0028, EX-0032</t>
  </si>
  <si>
    <t>Dumbbell external rotation</t>
  </si>
  <si>
    <t>https://youtu.be/t5Ft8OMG_D8</t>
  </si>
  <si>
    <t>EX-0062</t>
  </si>
  <si>
    <t>Dumbbell face down curl</t>
  </si>
  <si>
    <t>https://youtu.be/jWKKcsAhZxc</t>
  </si>
  <si>
    <t>EX-0063</t>
  </si>
  <si>
    <t>Dumbbell fly</t>
  </si>
  <si>
    <t>https://youtu.be/JFm8KbhjibM</t>
  </si>
  <si>
    <t>EX-0064</t>
  </si>
  <si>
    <t>EX-0065</t>
  </si>
  <si>
    <t>Dumbbell french press</t>
  </si>
  <si>
    <t>Tricep</t>
  </si>
  <si>
    <t>https://youtu.be/e3hmoAot--s</t>
  </si>
  <si>
    <t>EX-0067</t>
  </si>
  <si>
    <t>Dumbbell lateral raise</t>
  </si>
  <si>
    <t>https://youtu.be/XPPfnSEATJA</t>
  </si>
  <si>
    <t>EX-0069</t>
  </si>
  <si>
    <t>EX-0070</t>
  </si>
  <si>
    <t>Dumbbell lunges</t>
  </si>
  <si>
    <t>https://youtu.be/8fZxWTiIJWo</t>
  </si>
  <si>
    <t>EX-0071</t>
  </si>
  <si>
    <t>Dumbbell OH press</t>
  </si>
  <si>
    <t/>
  </si>
  <si>
    <t>EX-0073</t>
  </si>
  <si>
    <t>Dumbbell over head press</t>
  </si>
  <si>
    <t/>
  </si>
  <si>
    <t>EX-0075</t>
  </si>
  <si>
    <t>EX-0074</t>
  </si>
  <si>
    <t>Dumbbell over head press alternating</t>
  </si>
  <si>
    <t/>
  </si>
  <si>
    <t>EX-0076</t>
  </si>
  <si>
    <t>Dumbbell row</t>
  </si>
  <si>
    <t>https://youtu.be/DMo3HJoawrU</t>
  </si>
  <si>
    <t>EX-0077</t>
  </si>
  <si>
    <t>Dumbbell s/a Arnold press</t>
  </si>
  <si>
    <t/>
  </si>
  <si>
    <t>EX-0079</t>
  </si>
  <si>
    <t>Dumbbell s/a row</t>
  </si>
  <si>
    <t>https://youtu.be/ZRSGpBUVcNw</t>
  </si>
  <si>
    <t>EX-0080</t>
  </si>
  <si>
    <t>EX-0078</t>
  </si>
  <si>
    <t>Dumbbell seal row</t>
  </si>
  <si>
    <t>https://youtube.com/shorts/zc-eFPRdPf0</t>
  </si>
  <si>
    <t>EX-0081</t>
  </si>
  <si>
    <t>Dumbbells jumps</t>
  </si>
  <si>
    <t xml:space="preserve">  ZANIM ZACZNIESZ</t>
  </si>
  <si>
    <t>EX-0082</t>
  </si>
  <si>
    <t>Eccentric pull up</t>
  </si>
  <si>
    <t/>
  </si>
  <si>
    <t>EX-0083</t>
  </si>
  <si>
    <t>PRZECIWWSKAZANIA — ból w klatce piersiowej, duszność albo zawroty głowy przy wysiłku, niekontrolowane nadciśnienie, zdiagnozowana choroba serca, świeża kontuzja kończyny dolnej. W każdym z tych przypadków najpierw lekarz, dopiero potem bieganie.</t>
  </si>
  <si>
    <t>Eccentric push up (5 sek w dół)</t>
  </si>
  <si>
    <t>https://youtu.be/Olkjnp6-2Rs</t>
  </si>
  <si>
    <t>EX-0084</t>
  </si>
  <si>
    <t>Extensive plyo jumps s/l</t>
  </si>
  <si>
    <t>Tydzień 4 jest celowo lżejszy — to odciążenie, nie błąd. Tempa są punktem wyjścia: jeśli bieg spokojny wymusza oddech, przy którym nie da się mówić pełnym zdaniem, zwolnij niezależnie od zegarka. Dystans jest szacunkiem z tempa — biegnij czas, nie kilometry. Powtórz bieg testowy po sześciu tygodniach.</t>
  </si>
  <si>
    <t>EX-0085</t>
  </si>
  <si>
    <t>Ez bar curl</t>
  </si>
  <si>
    <t>https://youtube.com/shorts/mwT2epCcwPo</t>
  </si>
  <si>
    <t>EX-0086</t>
  </si>
  <si>
    <t>Facepull chest supported</t>
  </si>
  <si>
    <t>https://youtu.be/tAp2J8tM6kw</t>
  </si>
  <si>
    <t>EX-0087</t>
  </si>
  <si>
    <t>Front foot elevated split squat</t>
  </si>
  <si>
    <t>https://youtube.com/shorts/6AetFa9S7x4</t>
  </si>
  <si>
    <t>EX-0088</t>
  </si>
  <si>
    <t>Front squat</t>
  </si>
  <si>
    <t>EX-0089</t>
  </si>
  <si>
    <t>GHD flexion</t>
  </si>
  <si>
    <t>EX-0090</t>
  </si>
  <si>
    <t>Glute bridge hamstrings izo + OH</t>
  </si>
  <si>
    <t/>
  </si>
  <si>
    <t>EX-0091</t>
  </si>
  <si>
    <t>Glute crusher</t>
  </si>
  <si>
    <t>https://youtube.com/shorts/nV6qgZjPgPM</t>
  </si>
  <si>
    <t>EX-0092</t>
  </si>
  <si>
    <t>Gorilla row</t>
  </si>
  <si>
    <t>https://youtu.be/ljzLtsz63YM</t>
  </si>
  <si>
    <t>EX-0093</t>
  </si>
  <si>
    <t>Halfkneeling s/a cable pull</t>
  </si>
  <si>
    <t>https://youtu.be/H9pRHdfS5J4</t>
  </si>
  <si>
    <t>EX-0094</t>
  </si>
  <si>
    <t>Halfkneeling wood chopper</t>
  </si>
  <si>
    <t>https://youtube.com/shorts/Pn3UzUltqpA</t>
  </si>
  <si>
    <t>EX-0095</t>
  </si>
  <si>
    <t>Hinged dumbbell row</t>
  </si>
  <si>
    <t>https://youtube.com/shorts/7AYVFgdmBF8</t>
  </si>
  <si>
    <t>EX-0097</t>
  </si>
  <si>
    <t>Hip aeroplane</t>
  </si>
  <si>
    <t>ręczne ustawienie</t>
  </si>
  <si>
    <t>https://youtube.com/shorts/gbFNyOavleg</t>
  </si>
  <si>
    <t>EX-0100</t>
  </si>
  <si>
    <t>Hip flexors cable</t>
  </si>
  <si>
    <t>EX-0101</t>
  </si>
  <si>
    <t>Hip thrust barbell</t>
  </si>
  <si>
    <t>https://youtu.be/5S8SApGU_Lk</t>
  </si>
  <si>
    <t>EX-0102</t>
  </si>
  <si>
    <t>Hollow body + OH</t>
  </si>
  <si>
    <t/>
  </si>
  <si>
    <t>EX-0103</t>
  </si>
  <si>
    <t>Horizontal jump</t>
  </si>
  <si>
    <t>EX-0104</t>
  </si>
  <si>
    <t>Incline bench lateral raise s/a</t>
  </si>
  <si>
    <t>https://youtu.be/ZWhNCqMC41k</t>
  </si>
  <si>
    <t>EX-0105</t>
  </si>
  <si>
    <t>ZMIANA 5.0: było Upper pull vertical/r</t>
  </si>
  <si>
    <t>Incline curl + OHP</t>
  </si>
  <si>
    <t>EX-0106</t>
  </si>
  <si>
    <t>Incline dumbbell curl</t>
  </si>
  <si>
    <t>https://youtu.be/aTYlqC_JacQ</t>
  </si>
  <si>
    <t>EX-0107</t>
  </si>
  <si>
    <t>Incline dumbbell curl (back)</t>
  </si>
  <si>
    <t>https://youtu.be/aG7CXiKxepw</t>
  </si>
  <si>
    <t>EX-0108</t>
  </si>
  <si>
    <t>Incline dumbbell curl (front)</t>
  </si>
  <si>
    <t>https://youtu.be/aDpreKl6uI4</t>
  </si>
  <si>
    <t>EX-0109</t>
  </si>
  <si>
    <t>Incline dumbbell fly</t>
  </si>
  <si>
    <t>https://youtu.be/JSDpq14vCZ8</t>
  </si>
  <si>
    <t>EX-0110</t>
  </si>
  <si>
    <t>EX-0066</t>
  </si>
  <si>
    <t>Incline dumbbell press</t>
  </si>
  <si>
    <t/>
  </si>
  <si>
    <t>EX-0111</t>
  </si>
  <si>
    <t>EX-0068</t>
  </si>
  <si>
    <t>Incline dumbbell press alternating</t>
  </si>
  <si>
    <t/>
  </si>
  <si>
    <t>EX-0112</t>
  </si>
  <si>
    <t>Incline sit-ups</t>
  </si>
  <si>
    <t>https://youtu.be/DAnTf16NcT0</t>
  </si>
  <si>
    <t>EX-0113</t>
  </si>
  <si>
    <t>Jefferson cable</t>
  </si>
  <si>
    <t>https://youtu.be/N8gaQgvEYv0</t>
  </si>
  <si>
    <t>EX-0114</t>
  </si>
  <si>
    <t>EX-0115</t>
  </si>
  <si>
    <t>Kettlebell march</t>
  </si>
  <si>
    <t>https://youtube.com/shorts/a9tTen2zwuM</t>
  </si>
  <si>
    <t>EX-0117</t>
  </si>
  <si>
    <t>Kickbacks</t>
  </si>
  <si>
    <t>https://youtu.be/qJxwJ1e1HxI</t>
  </si>
  <si>
    <t>EX-0118</t>
  </si>
  <si>
    <t>Knee extension machine</t>
  </si>
  <si>
    <t>https://youtube.com/shorts/t8--Y-pjTmg</t>
  </si>
  <si>
    <t>EX-0120</t>
  </si>
  <si>
    <t>EX-0119</t>
  </si>
  <si>
    <t>Knee flexion machine</t>
  </si>
  <si>
    <t>https://youtube.com/shorts/nIj321YZWbo</t>
  </si>
  <si>
    <t>EX-0121</t>
  </si>
  <si>
    <t>ZMIANA 5.0: part s -&gt; d (zgięcie kolana = tylna taśma)</t>
  </si>
  <si>
    <t>Knee raises</t>
  </si>
  <si>
    <t>https://youtube.com/shorts/KBinYfCSs6s</t>
  </si>
  <si>
    <t>EX-0122</t>
  </si>
  <si>
    <t>Landmine core</t>
  </si>
  <si>
    <t>https://youtu.be/e5DP6961WEk</t>
  </si>
  <si>
    <t>EX-0123</t>
  </si>
  <si>
    <t>Landmine press</t>
  </si>
  <si>
    <t/>
  </si>
  <si>
    <t>EX-0124</t>
  </si>
  <si>
    <t>Landmine rotations (powtórzenia x2)</t>
  </si>
  <si>
    <t>EX-0125</t>
  </si>
  <si>
    <t>EX-0126</t>
  </si>
  <si>
    <t>Landmine SLDL</t>
  </si>
  <si>
    <t>https://youtu.be/g_j67rzBERA</t>
  </si>
  <si>
    <t>EX-0127</t>
  </si>
  <si>
    <t>Lat pulldown</t>
  </si>
  <si>
    <t>https://youtu.be/JGeRYIZdojU</t>
  </si>
  <si>
    <t>EX-0128</t>
  </si>
  <si>
    <t>Lat pulldown behind the head</t>
  </si>
  <si>
    <t>EX-0129</t>
  </si>
  <si>
    <t>Lat pulldown s/a</t>
  </si>
  <si>
    <t>https://youtu.be/X8lq6dZrr_s</t>
  </si>
  <si>
    <t>EX-0130</t>
  </si>
  <si>
    <t>Lateral raise s/a</t>
  </si>
  <si>
    <t>https://youtube.com/shorts/p8eMhRdeX4g</t>
  </si>
  <si>
    <t>EX-0131</t>
  </si>
  <si>
    <t>Lateral raises</t>
  </si>
  <si>
    <t>EX-0132</t>
  </si>
  <si>
    <t>Lateral raises 2</t>
  </si>
  <si>
    <t>https://youtu.be/OuG1smZTsQQ</t>
  </si>
  <si>
    <t>EX-0133</t>
  </si>
  <si>
    <t>Lateral raises full ROM</t>
  </si>
  <si>
    <t>https://youtu.be/4cOUa65oNjA</t>
  </si>
  <si>
    <t>EX-0134</t>
  </si>
  <si>
    <t>EX-0135, EX-0136</t>
  </si>
  <si>
    <t>Lateral raises hinged</t>
  </si>
  <si>
    <t>https://youtu.be/3BxRJkTjYkU</t>
  </si>
  <si>
    <t>EX-0137</t>
  </si>
  <si>
    <t>ZMIANA 5.0: part r -&gt; b (ujednolicone z duplikatami)</t>
  </si>
  <si>
    <t>EX-0138, EX-0139</t>
  </si>
  <si>
    <t>Lateral raises incline s/a</t>
  </si>
  <si>
    <t>https://youtube.com/shorts/dyCz4YlrmY8</t>
  </si>
  <si>
    <t>EX-0140</t>
  </si>
  <si>
    <t>EX-0141</t>
  </si>
  <si>
    <t>Leg curl</t>
  </si>
  <si>
    <t>https://youtu.be/SiwJ_T62l9c</t>
  </si>
  <si>
    <t>EX-0142</t>
  </si>
  <si>
    <t>Machine row</t>
  </si>
  <si>
    <t>EX-0143</t>
  </si>
  <si>
    <t>Machine row s/a</t>
  </si>
  <si>
    <t>EX-0144</t>
  </si>
  <si>
    <t>Meadows row</t>
  </si>
  <si>
    <t>https://youtu.be/Pie3TyYQEQE</t>
  </si>
  <si>
    <t>EX-0145</t>
  </si>
  <si>
    <t>EX-0072</t>
  </si>
  <si>
    <t>Med ball slam</t>
  </si>
  <si>
    <t>https://youtu.be/QxYhFwMd1Ks</t>
  </si>
  <si>
    <t>EX-0146</t>
  </si>
  <si>
    <t>OH skullcrushers</t>
  </si>
  <si>
    <t>EX-0147</t>
  </si>
  <si>
    <t>OHP barbell squat 15kg</t>
  </si>
  <si>
    <t>EX-0148</t>
  </si>
  <si>
    <t>DO WERYFIKACJI – kategoria vs part</t>
  </si>
  <si>
    <t>Pistol squat eccentric</t>
  </si>
  <si>
    <t>https://youtu.be/mA2GWjqLn_k</t>
  </si>
  <si>
    <t>EX-0149</t>
  </si>
  <si>
    <t>Plank contralateral</t>
  </si>
  <si>
    <t>https://youtu.be/-slYZChMfKE</t>
  </si>
  <si>
    <t>EX-0150</t>
  </si>
  <si>
    <t>Plank dumbbell rotation</t>
  </si>
  <si>
    <t/>
  </si>
  <si>
    <t>EX-0151</t>
  </si>
  <si>
    <t>EX-0152</t>
  </si>
  <si>
    <t>Plank leg raises</t>
  </si>
  <si>
    <t>https://youtu.be/Akf3IP0H9fA</t>
  </si>
  <si>
    <t>EX-0153</t>
  </si>
  <si>
    <t>Poliquin step up</t>
  </si>
  <si>
    <t>https://youtu.be/hURHPjerxtc</t>
  </si>
  <si>
    <t>EX-0154</t>
  </si>
  <si>
    <t>Poliquin step up paused 3sec</t>
  </si>
  <si>
    <t>EX-0155</t>
  </si>
  <si>
    <t>Pronation/Supination</t>
  </si>
  <si>
    <t>https://youtube.com/shorts/F8UKIhHfVnE</t>
  </si>
  <si>
    <t>EX-0156</t>
  </si>
  <si>
    <t>EX-0157</t>
  </si>
  <si>
    <t>Pull up</t>
  </si>
  <si>
    <t>https://youtu.be/k7zWqAo0ITw</t>
  </si>
  <si>
    <t>EX-0158</t>
  </si>
  <si>
    <t>EX-0163</t>
  </si>
  <si>
    <t>Pull up eccentric weighted</t>
  </si>
  <si>
    <t>https://youtu.be/2FUHizTAu30</t>
  </si>
  <si>
    <t>EX-0160</t>
  </si>
  <si>
    <t>Pull up eccentric weighted (5 sek w dół)</t>
  </si>
  <si>
    <t>EX-0161</t>
  </si>
  <si>
    <t>Pull up weighted</t>
  </si>
  <si>
    <t>https://youtube.com/shorts/qwXUU0JPYnY</t>
  </si>
  <si>
    <t>EX-0162</t>
  </si>
  <si>
    <t>Pull ups (paused)</t>
  </si>
  <si>
    <t/>
  </si>
  <si>
    <t>EX-0164</t>
  </si>
  <si>
    <t>Push press barbell</t>
  </si>
  <si>
    <t>EX-0165</t>
  </si>
  <si>
    <t>Push up</t>
  </si>
  <si>
    <t>https://youtu.be/WDIpL0pjun0</t>
  </si>
  <si>
    <t>EX-0166</t>
  </si>
  <si>
    <t>Raised bird dog</t>
  </si>
  <si>
    <t>https://youtube.com/shorts/eMc71nTlciE</t>
  </si>
  <si>
    <t>EX-0167</t>
  </si>
  <si>
    <t>RDL</t>
  </si>
  <si>
    <t>https://youtu.be/bT5OOBgY4bc</t>
  </si>
  <si>
    <t>EX-0168</t>
  </si>
  <si>
    <t>Reverse Nordic</t>
  </si>
  <si>
    <t>https://youtu.be/GbpDfXXKuk0</t>
  </si>
  <si>
    <t>EX-0169</t>
  </si>
  <si>
    <t>Rope pushdown</t>
  </si>
  <si>
    <t>https://youtu.be/-xa-6cQaZKY</t>
  </si>
  <si>
    <t>EX-0170</t>
  </si>
  <si>
    <t>Rope pushdown OH</t>
  </si>
  <si>
    <t>https://youtu.be/kqidUIf1eJE</t>
  </si>
  <si>
    <t>EX-0171</t>
  </si>
  <si>
    <t>S/a cable pulldown incline bench</t>
  </si>
  <si>
    <t/>
  </si>
  <si>
    <t>EX-0172</t>
  </si>
  <si>
    <t>S/a lat pulldown incline bench</t>
  </si>
  <si>
    <t>https://youtube.com/shorts/Jfod5GrRtsQ</t>
  </si>
  <si>
    <t>EX-0173</t>
  </si>
  <si>
    <t>S/l dragonflag eccentric</t>
  </si>
  <si>
    <t>https://youtube.com/shorts/fL2C8V9-GVE</t>
  </si>
  <si>
    <t>EX-0174</t>
  </si>
  <si>
    <t>S/l hip thrust</t>
  </si>
  <si>
    <t>https://youtube.com/shorts/hKXqCXSXylA</t>
  </si>
  <si>
    <t>EX-0175</t>
  </si>
  <si>
    <t>Seated broad jump</t>
  </si>
  <si>
    <t>https://youtu.be/VfeSIznmgPM</t>
  </si>
  <si>
    <t>EX-0176</t>
  </si>
  <si>
    <t>Seated cable facepull</t>
  </si>
  <si>
    <t>https://youtube.com/shorts/EFNCtZZDA-A</t>
  </si>
  <si>
    <t>EX-0177</t>
  </si>
  <si>
    <t>Seated seesaw press (nogi proste)</t>
  </si>
  <si>
    <t>https://youtube.com/shorts/_tXELZW_GC0</t>
  </si>
  <si>
    <t>EX-0178</t>
  </si>
  <si>
    <t>Seesaw press</t>
  </si>
  <si>
    <t>https://youtu.be/-Zn-qALpVR0</t>
  </si>
  <si>
    <t>EX-0179</t>
  </si>
  <si>
    <t>Side crunches</t>
  </si>
  <si>
    <t/>
  </si>
  <si>
    <t>EX-0180</t>
  </si>
  <si>
    <t>Side plank hip drop</t>
  </si>
  <si>
    <t>https://youtube.com/shorts/kqwm4S7rCMY</t>
  </si>
  <si>
    <t>EX-0181</t>
  </si>
  <si>
    <t>Side plank rotations</t>
  </si>
  <si>
    <t>https://youtu.be/OMc5f_JUDUU</t>
  </si>
  <si>
    <t>EX-0182</t>
  </si>
  <si>
    <t>SLDL balance</t>
  </si>
  <si>
    <t>EX-0183</t>
  </si>
  <si>
    <t>Split squat</t>
  </si>
  <si>
    <t>https://youtu.be/hXpGSa5HYqY</t>
  </si>
  <si>
    <t>EX-0184</t>
  </si>
  <si>
    <t>Split stance SLDL</t>
  </si>
  <si>
    <t>https://youtu.be/G4Gr_3Wl-Ms</t>
  </si>
  <si>
    <t>EX-0185</t>
  </si>
  <si>
    <t>Squat izo (15 sek)</t>
  </si>
  <si>
    <t/>
  </si>
  <si>
    <t>EX-0186</t>
  </si>
  <si>
    <t>Standing landmine press</t>
  </si>
  <si>
    <t>EX-0187</t>
  </si>
  <si>
    <t>Suitcase carry</t>
  </si>
  <si>
    <t>https://youtu.be/51gqdYyaqUQ</t>
  </si>
  <si>
    <t>EX-0188</t>
  </si>
  <si>
    <t>Supine pigeon abs</t>
  </si>
  <si>
    <t/>
  </si>
  <si>
    <t>EX-0189</t>
  </si>
  <si>
    <t>Swiss ball leg curl</t>
  </si>
  <si>
    <t>https://youtube.com/shorts/xB1lGVzRwWk</t>
  </si>
  <si>
    <t>EX-0190</t>
  </si>
  <si>
    <t>Toes to bar</t>
  </si>
  <si>
    <t>https://youtu.be/xX9Hzi7Onnw</t>
  </si>
  <si>
    <t>EX-0191</t>
  </si>
  <si>
    <t>Trap bar deadlift</t>
  </si>
  <si>
    <t>https://youtu.be/v709aJKv-gM</t>
  </si>
  <si>
    <t>EX-0192</t>
  </si>
  <si>
    <t>Tricep cable pushdown</t>
  </si>
  <si>
    <t>https://youtu.be/LXkCrxn3caQ</t>
  </si>
  <si>
    <t>EX-0194</t>
  </si>
  <si>
    <t>EX-0198, EX-0200</t>
  </si>
  <si>
    <t>Tricep JM press</t>
  </si>
  <si>
    <t>https://youtu.be/Tih5iHyELsE</t>
  </si>
  <si>
    <t>EX-0195</t>
  </si>
  <si>
    <t>EX-0116</t>
  </si>
  <si>
    <t>Tricep OH cable</t>
  </si>
  <si>
    <t>https://youtu.be/1u18yJELsh0</t>
  </si>
  <si>
    <t>EX-0196</t>
  </si>
  <si>
    <t>EX-0193</t>
  </si>
  <si>
    <t>Tricep OH ez bar</t>
  </si>
  <si>
    <t>https://youtube.com/shorts/tXPrecaYeJ8</t>
  </si>
  <si>
    <t>EX-0197</t>
  </si>
  <si>
    <t>EX-0199</t>
  </si>
  <si>
    <t>Walking lunges</t>
  </si>
  <si>
    <t>EX-0201</t>
  </si>
  <si>
    <t>Wipers kettle</t>
  </si>
  <si>
    <t>https://youtube.com/shorts/_EwxIRjkYy4</t>
  </si>
  <si>
    <t>EX-0202</t>
  </si>
  <si>
    <t>Zercher jumps</t>
  </si>
  <si>
    <t>EX-0203</t>
  </si>
  <si>
    <t xml:space="preserve">  ANALIZA PLANU</t>
  </si>
  <si>
    <t xml:space="preserve">  Wszystko, co plan mówi o obciążeniu, objętości i realizacji. Liczby odświeżają się same.</t>
  </si>
  <si>
    <t xml:space="preserve">  USTAWIENIA</t>
  </si>
  <si>
    <t>Ciężar akcesoriów w bloku</t>
  </si>
  <si>
    <t>trzymaj z bloku</t>
  </si>
  <si>
    <t>T1 i T4 ustalają ciężar, kolejne tygodnie dziedziczą. Bój główny zawsze liczy z RPE.</t>
  </si>
  <si>
    <t>Część planu</t>
  </si>
  <si>
    <t>część 1 (objętość)</t>
  </si>
  <si>
    <t>Steruje powtórzeniami akcesoriów: coeff 1 → 6–8, 0,75 → 8–10 / 6–8, 0,5 i 0,25 → 10–12 / 8–10.</t>
  </si>
  <si>
    <t xml:space="preserve">  OBCIĄŻENIE TYDZIEŃ PO TYGODNIU</t>
  </si>
  <si>
    <t>stres</t>
  </si>
  <si>
    <t>rozkład</t>
  </si>
  <si>
    <t>zmiana</t>
  </si>
  <si>
    <t>centralny</t>
  </si>
  <si>
    <t>obwodowy</t>
  </si>
  <si>
    <t>norma</t>
  </si>
  <si>
    <t>ocena</t>
  </si>
  <si>
    <t xml:space="preserve">   Tydzień 1</t>
  </si>
  <si>
    <t xml:space="preserve">   Tydzień 2</t>
  </si>
  <si>
    <t xml:space="preserve">   Tydzień 3</t>
  </si>
  <si>
    <t xml:space="preserve">   Tydzień 4</t>
  </si>
  <si>
    <t xml:space="preserve">   Tydzień 5</t>
  </si>
  <si>
    <t xml:space="preserve">   Tydzień 6</t>
  </si>
  <si>
    <t>Średnia w cyklu</t>
  </si>
  <si>
    <t xml:space="preserve">  WZORCE RUCHU  ·  tydzień 1</t>
  </si>
  <si>
    <t xml:space="preserve">   przysiad (s)</t>
  </si>
  <si>
    <t xml:space="preserve">   martwy ciąg (d)</t>
  </si>
  <si>
    <t xml:space="preserve">   wyciskanie (b)</t>
  </si>
  <si>
    <t xml:space="preserve">   wiosłowanie (r)</t>
  </si>
  <si>
    <t xml:space="preserve">   core (c)</t>
  </si>
  <si>
    <t xml:space="preserve">  KATEGORIE ĆWICZEŃ  ·  tydzień 1</t>
  </si>
  <si>
    <t xml:space="preserve">   Lower push</t>
  </si>
  <si>
    <t xml:space="preserve">   Lower pull</t>
  </si>
  <si>
    <t xml:space="preserve">   Upper push horizontal</t>
  </si>
  <si>
    <t xml:space="preserve">   Upper push vertical</t>
  </si>
  <si>
    <t xml:space="preserve">   Upper pull horizontal</t>
  </si>
  <si>
    <t xml:space="preserve">   Upper pull vertical</t>
  </si>
  <si>
    <t xml:space="preserve">   Core</t>
  </si>
  <si>
    <t xml:space="preserve">   Bicep</t>
  </si>
  <si>
    <t xml:space="preserve">   Tricep</t>
  </si>
  <si>
    <t>push / pull</t>
  </si>
  <si>
    <t>góra / dół</t>
  </si>
  <si>
    <t xml:space="preserve">  OBJĘTOŚĆ TYGODNIOWA</t>
  </si>
  <si>
    <t>serie robocze</t>
  </si>
  <si>
    <t>T1</t>
  </si>
  <si>
    <t>T2</t>
  </si>
  <si>
    <t>T3</t>
  </si>
  <si>
    <t>T4</t>
  </si>
  <si>
    <t>T5</t>
  </si>
  <si>
    <t>T6</t>
  </si>
  <si>
    <t>razem</t>
  </si>
  <si>
    <t xml:space="preserve">  REALIZACJA I ODCZUCIA</t>
  </si>
  <si>
    <t xml:space="preserve">   ćwiczenia w planie</t>
  </si>
  <si>
    <t xml:space="preserve">   ocenione</t>
  </si>
  <si>
    <t xml:space="preserve">   za łatwe</t>
  </si>
  <si>
    <t xml:space="preserve">   za trudne</t>
  </si>
  <si>
    <t xml:space="preserve">   korekta ciężaru</t>
  </si>
  <si>
    <t xml:space="preserve">  TABELE PRZELICZENIOWE</t>
  </si>
  <si>
    <t>RPE → %1RM</t>
  </si>
  <si>
    <t>powt \ RPE</t>
  </si>
  <si>
    <t xml:space="preserve">  KONTROLA DANYCH</t>
  </si>
  <si>
    <t xml:space="preserve">   Sloty z ćwiczeniem</t>
  </si>
  <si>
    <t xml:space="preserve">   Serie maksymalne uzupełnione</t>
  </si>
  <si>
    <t xml:space="preserve">   Sloty bez ćwiczenia mimo szkieletu</t>
  </si>
  <si>
    <t xml:space="preserve">   Ćwiczenie niezgodne ze szkieletem</t>
  </si>
  <si>
    <t xml:space="preserve">   Ćwiczenia bez filmu</t>
  </si>
  <si>
    <t xml:space="preserve">   Pozycje BAZY do weryfikacji</t>
  </si>
  <si>
    <t>STRES CAŁKOWITY (t)</t>
  </si>
  <si>
    <t>RPE \ powt</t>
  </si>
  <si>
    <t xml:space="preserve">   Ostrzeżenia „ustaw ręcznie” (T2–T6)</t>
  </si>
  <si>
    <t xml:space="preserve">   Sloty bez 1RM (tydzień 1)</t>
  </si>
  <si>
    <t xml:space="preserve">   Powtórzenia poza tabelą (&gt;15)</t>
  </si>
  <si>
    <t>STRES CENTRALNY (c)</t>
  </si>
  <si>
    <t xml:space="preserve">   Serie maksymalne w konflikcie</t>
  </si>
  <si>
    <t xml:space="preserve">   Dni treningowe w planie</t>
  </si>
  <si>
    <t>STRES OBWODOWY (p)</t>
  </si>
  <si>
    <t>ODDECH — drabina TWOT</t>
  </si>
  <si>
    <t>min</t>
  </si>
  <si>
    <t>max</t>
  </si>
  <si>
    <t>częstotliwość</t>
  </si>
  <si>
    <t>blok A</t>
  </si>
  <si>
    <t>blok B</t>
  </si>
  <si>
    <t>blok C</t>
  </si>
  <si>
    <t>brama</t>
  </si>
  <si>
    <t>% TWOT</t>
  </si>
  <si>
    <t>Bardzo niski</t>
  </si>
  <si>
    <t>3×/tydz · 8 min</t>
  </si>
  <si>
    <t>4 min Breathe Light, głód powietrza 2/10</t>
  </si>
  <si>
    <t>bez bezdechów</t>
  </si>
  <si>
    <t>4 min oddech swobodny nosem, kadencja 4–6</t>
  </si>
  <si>
    <t>Wynik poniżej 10 s. Zacznij od samego oddechu nosowego w spoczynku; bezdechy dopiero po wzroście TWOT.</t>
  </si>
  <si>
    <t>Niski</t>
  </si>
  <si>
    <t>4×/tydz · 12 min</t>
  </si>
  <si>
    <t>5 min Breathe Light, głód powietrza 2–3/10</t>
  </si>
  <si>
    <t>8 × bezdech 40% TWOT w marszu, przerwa 60 s</t>
  </si>
  <si>
    <t>4 min kadencja 4–6 nosem</t>
  </si>
  <si>
    <t>Dozwolone tylko krótkie zatrzymania w marszu, do 40% TWOT. Jeśli po serii łapiesz oddech ustami — skróć zatrzymanie.</t>
  </si>
  <si>
    <t>Średni</t>
  </si>
  <si>
    <t>4×/tydz · 14 min</t>
  </si>
  <si>
    <t>5 min Breathe Light, głód powietrza 3/10</t>
  </si>
  <si>
    <t>10 × bezdech 50% TWOT w marszu, przerwa 60 s</t>
  </si>
  <si>
    <t>5 min kadencja 4–6 nosem</t>
  </si>
  <si>
    <t>Bezdechy tylko marszowe, do 50% TWOT. Maksymalne zatrzymania odblokowują się dopiero od TWOT ≥ 25 s.</t>
  </si>
  <si>
    <t>Dobry</t>
  </si>
  <si>
    <t>5×/tydz · 15 min</t>
  </si>
  <si>
    <t>5 min Breathe Light, głód powietrza 3–4/10</t>
  </si>
  <si>
    <t>10 × bezdech 60% TWOT w marszu + 1 × maksymalna liczba kroków</t>
  </si>
  <si>
    <t>Pełne bezdechy odblokowane. Nigdy w wodzie ani za kierownicą.</t>
  </si>
  <si>
    <t>Wysoki</t>
  </si>
  <si>
    <t>5×/tydz · 18 min</t>
  </si>
  <si>
    <t>8 min ciągłego Breathe Light, głód powietrza 3–4/10</t>
  </si>
  <si>
    <t>10 × bezdech 60–70% TWOT w truchcie + 2 × maks. liczba kroków</t>
  </si>
  <si>
    <t>Pełny zakres. Przerwij przy zawrotach głowy, bólu w klatce, mrowieniu lub narastającym lęku.</t>
  </si>
  <si>
    <t xml:space="preserve">  LISTY ĆWICZEŃ DO WALIDACJI — arkusz techniczny, nie edytuj ręcznie. Każdy wiersz odpowiada temu samemu wierszowi w T1 i zawiera ćwiczenia z BAZY pasujące do kategorii wpisanej w T1!J. Pusta kategoria = wszystkie ćwiczenia. Kolumny FL/FM to klucz kategoria|numer w kategorii.</t>
  </si>
  <si>
    <t>slot</t>
  </si>
  <si>
    <t>kategoria</t>
  </si>
  <si>
    <t xml:space="preserve">  ROZKŁAD STRESU — TYDZIEŃ 5</t>
  </si>
  <si>
    <t xml:space="preserve">  TRENING ODDECHOWY — TYDZIEŃ 5</t>
  </si>
  <si>
    <t xml:space="preserve">  TRENING BIEGOWY — TYDZIEŃ 5</t>
  </si>
  <si>
    <t xml:space="preserve">  ROZKŁAD STRESU — TYDZIEŃ 6</t>
  </si>
  <si>
    <t xml:space="preserve">  TRENING ODDECHOWY — TYDZIEŃ 6</t>
  </si>
  <si>
    <t xml:space="preserve">  TRENING BIEGOWY — TYDZIEŃ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</si>
</sst>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\.mm\.yyyy"/>
    <numFmt numFmtId="165" formatCode="0.0"/>
    <numFmt numFmtId="166" formatCode="0.0&quot; kg&quot;"/>
    <numFmt numFmtId="167" formatCode="0;\-0;;"/>
  </numFmts>
  <fonts count="49">
    <font>
      <sz val="11.0"/>
      <color theme="1"/>
      <name val="Calibri"/>
      <scheme val="minor"/>
    </font>
    <font>
      <b/>
      <sz val="14.0"/>
      <color rgb="FFFFFFFF"/>
      <name val="Arial"/>
    </font>
    <font>
      <b/>
      <sz val="13.0"/>
      <color rgb="FFFFFFFF"/>
      <name val="Arial"/>
    </font>
    <font/>
    <font>
      <sz val="11.0"/>
      <color theme="1"/>
      <name val="Calibri"/>
    </font>
    <font>
      <b/>
      <sz val="9.0"/>
      <color rgb="FF0E3A45"/>
      <name val="Arial"/>
    </font>
    <font>
      <b/>
      <sz val="10.0"/>
      <color rgb="FF10262C"/>
      <name val="Arial"/>
    </font>
    <font>
      <b/>
      <sz val="10.0"/>
      <color rgb="FFFFFFFF"/>
      <name val="Arial"/>
    </font>
    <font>
      <sz val="8.0"/>
      <color rgb="FF6B7480"/>
      <name val="Arial"/>
    </font>
    <font>
      <b/>
      <sz val="9.0"/>
      <color rgb="FF1B6B78"/>
      <name val="Arial"/>
    </font>
    <font>
      <sz val="9.0"/>
      <color rgb="FF10262C"/>
      <name val="Arial"/>
    </font>
    <font>
      <b/>
      <sz val="8.0"/>
      <color rgb="FFFFFFFF"/>
      <name val="Arial"/>
    </font>
    <font>
      <b/>
      <sz val="8.0"/>
      <color rgb="FF9FB8BD"/>
      <name val="Arial"/>
    </font>
    <font>
      <b/>
      <sz val="11.0"/>
      <color rgb="FF0E3A45"/>
      <name val="Arial"/>
    </font>
    <font>
      <b/>
      <sz val="10.0"/>
      <color rgb="FF0E3A45"/>
      <name val="Arial"/>
    </font>
    <font>
      <b/>
      <sz val="11.0"/>
      <color rgb="FFF2B441"/>
      <name val="Arial"/>
    </font>
    <font>
      <b/>
      <sz val="9.0"/>
      <color rgb="FFF2B441"/>
      <name val="Arial"/>
    </font>
    <font>
      <b/>
      <sz val="11.0"/>
      <color rgb="FFFFFFFF"/>
      <name val="Arial"/>
    </font>
    <font>
      <b/>
      <sz val="12.0"/>
      <color rgb="FFFFFFFF"/>
      <name val="Arial"/>
    </font>
    <font>
      <sz val="9.0"/>
      <color rgb="FF9FB8BD"/>
      <name val="Arial"/>
    </font>
    <font>
      <b/>
      <sz val="14.0"/>
      <color rgb="FFF2B441"/>
      <name val="Arial"/>
    </font>
    <font>
      <sz val="9.0"/>
      <color rgb="FF0E3A45"/>
      <name val="Arial"/>
    </font>
    <font>
      <b/>
      <sz val="12.0"/>
      <color rgb="FF10262C"/>
      <name val="Arial"/>
    </font>
    <font>
      <sz val="9.0"/>
      <color rgb="FF6B7480"/>
      <name val="Arial"/>
    </font>
    <font>
      <b/>
      <sz val="13.0"/>
      <color rgb="FF0E3A45"/>
      <name val="Arial"/>
    </font>
    <font>
      <sz val="8.0"/>
      <color rgb="FF1B6B78"/>
      <name val="Arial"/>
    </font>
    <font>
      <u/>
      <sz val="8.0"/>
      <color rgb="FF1B6B78"/>
      <name val="Arial"/>
    </font>
    <font>
      <sz val="8.0"/>
      <color rgb="FF0E3A45"/>
      <name val="Arial"/>
    </font>
    <font>
      <b/>
      <sz val="8.0"/>
      <color rgb="FF0E3A45"/>
      <name val="Arial"/>
    </font>
    <font>
      <b/>
      <sz val="8.0"/>
      <color rgb="FF10262C"/>
      <name val="Arial"/>
    </font>
    <font>
      <sz val="9.0"/>
      <color rgb="FF1B6B78"/>
      <name val="Arial"/>
    </font>
    <font>
      <b/>
      <sz val="9.0"/>
      <color rgb="FF10262C"/>
      <name val="Arial"/>
    </font>
    <font>
      <b/>
      <sz val="9.0"/>
      <color rgb="FFFFFFFF"/>
      <name val="Arial"/>
    </font>
    <font>
      <b/>
      <sz val="9.0"/>
      <color rgb="FF1F4E79"/>
      <name val="Arial"/>
    </font>
    <font>
      <b/>
      <sz val="9.0"/>
      <color rgb="FF10294D"/>
      <name val="Arial"/>
    </font>
    <font>
      <b/>
      <sz val="12.0"/>
      <color rgb="FF10294D"/>
      <name val="Arial"/>
    </font>
    <font>
      <b/>
      <sz val="10.0"/>
      <color rgb="FF10294D"/>
      <name val="Arial"/>
    </font>
    <font>
      <b/>
      <sz val="8.0"/>
      <color rgb="FF6B7480"/>
      <name val="Arial"/>
    </font>
    <font>
      <b/>
      <sz val="8.0"/>
      <color rgb="FF1F4E79"/>
      <name val="Arial"/>
    </font>
    <font>
      <b/>
      <sz val="8.0"/>
      <color rgb="FFB03A2E"/>
      <name val="Arial"/>
    </font>
    <font>
      <b/>
      <sz val="9.0"/>
      <color rgb="FFB4453A"/>
      <name val="Arial"/>
    </font>
    <font>
      <b/>
      <sz val="9.0"/>
      <color rgb="FF5A211C"/>
      <name val="Arial"/>
    </font>
    <font>
      <b/>
      <sz val="10.0"/>
      <color rgb="FF5A211C"/>
      <name val="Arial"/>
    </font>
    <font>
      <b/>
      <sz val="9.0"/>
      <color rgb="FF8A5A00"/>
      <name val="Arial"/>
    </font>
    <font>
      <b/>
      <sz val="9.0"/>
      <color rgb="FFB03A2E"/>
      <name val="Arial"/>
    </font>
    <font>
      <b/>
      <sz val="9.0"/>
      <color rgb="FF6B7480"/>
      <name val="Arial"/>
    </font>
    <font>
      <sz val="9.0"/>
      <color rgb="FF55636E"/>
      <name val="Arial"/>
    </font>
    <font>
      <b/>
      <sz val="9.0"/>
      <color theme="1"/>
      <name val="Arial"/>
    </font>
    <font>
      <b/>
      <sz val="8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E3A45"/>
        <bgColor rgb="FF0E3A45"/>
      </patternFill>
    </fill>
    <fill>
      <patternFill patternType="solid">
        <fgColor rgb="FFFFF6E0"/>
        <bgColor rgb="FFFFF6E0"/>
      </patternFill>
    </fill>
    <fill>
      <patternFill patternType="solid">
        <fgColor rgb="FF1B6B78"/>
        <bgColor rgb="FF1B6B78"/>
      </patternFill>
    </fill>
    <fill>
      <patternFill patternType="solid">
        <fgColor rgb="FFD9E6E8"/>
        <bgColor rgb="FFD9E6E8"/>
      </patternFill>
    </fill>
    <fill>
      <patternFill patternType="solid">
        <fgColor rgb="FF10294D"/>
        <bgColor rgb="FF10294D"/>
      </patternFill>
    </fill>
    <fill>
      <patternFill patternType="solid">
        <fgColor rgb="FFE6EEF7"/>
        <bgColor rgb="FFE6EEF7"/>
      </patternFill>
    </fill>
    <fill>
      <patternFill patternType="solid">
        <fgColor rgb="FF25619B"/>
        <bgColor rgb="FF25619B"/>
      </patternFill>
    </fill>
    <fill>
      <patternFill patternType="solid">
        <fgColor rgb="FF5A211C"/>
        <bgColor rgb="FF5A211C"/>
      </patternFill>
    </fill>
    <fill>
      <patternFill patternType="solid">
        <fgColor rgb="FFF7E6E3"/>
        <bgColor rgb="FFF7E6E3"/>
      </patternFill>
    </fill>
    <fill>
      <patternFill patternType="solid">
        <fgColor rgb="FFB4453A"/>
        <bgColor rgb="FFB4453A"/>
      </patternFill>
    </fill>
    <fill>
      <patternFill patternType="solid">
        <fgColor rgb="FFEDF3F3"/>
        <bgColor rgb="FFEDF3F3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B7C4C7"/>
      </left>
      <right style="thin">
        <color rgb="FFB7C4C7"/>
      </right>
      <top style="thin">
        <color rgb="FFB7C4C7"/>
      </top>
      <bottom style="thin">
        <color rgb="FFB7C4C7"/>
      </bottom>
    </border>
    <border>
      <left/>
      <right/>
      <top/>
      <bottom/>
    </border>
    <border>
      <bottom style="thin">
        <color rgb="FFE1EAEB"/>
      </bottom>
    </border>
    <border>
      <left style="thin">
        <color rgb="FFC7D5D7"/>
      </left>
      <right style="thin">
        <color rgb="FFC7D5D7"/>
      </right>
      <bottom style="thin">
        <color rgb="FFE1EAEB"/>
      </bottom>
    </border>
    <border>
      <left style="thin">
        <color rgb="FFC7D5D7"/>
      </left>
      <right style="thin">
        <color rgb="FFC7D5D7"/>
      </right>
      <top style="thin">
        <color rgb="FFC7D5D7"/>
      </top>
      <bottom style="thin">
        <color rgb="FFC7D5D7"/>
      </bottom>
    </border>
    <border>
      <bottom style="thin">
        <color rgb="FFE0D3D0"/>
      </bottom>
    </border>
    <border>
      <left/>
      <right/>
      <top/>
      <bottom style="thin">
        <color rgb="FFE0D3D0"/>
      </bottom>
    </border>
    <border>
      <bottom style="thin">
        <color rgb="FFE8EFEF"/>
      </bottom>
    </border>
    <border>
      <bottom style="thin">
        <color rgb="FFD5DEDF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1" fillId="2" fontId="2" numFmtId="0" xfId="0" applyAlignment="1" applyBorder="1" applyFont="1">
      <alignment horizontal="left" shrinkToFit="0" vertical="center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4" fillId="3" fontId="6" numFmtId="164" xfId="0" applyAlignment="1" applyBorder="1" applyFill="1" applyFont="1" applyNumberFormat="1">
      <alignment horizontal="center" shrinkToFit="0" vertical="center" wrapText="0"/>
    </xf>
    <xf borderId="1" fillId="4" fontId="7" numFmtId="0" xfId="0" applyAlignment="1" applyBorder="1" applyFill="1" applyFont="1">
      <alignment horizontal="left" shrinkToFit="0" vertical="center" wrapText="0"/>
    </xf>
    <xf borderId="0" fillId="0" fontId="8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center" shrinkToFit="0" vertical="top" wrapText="0"/>
    </xf>
    <xf borderId="0" fillId="0" fontId="10" numFmtId="0" xfId="0" applyAlignment="1" applyFont="1">
      <alignment horizontal="left" shrinkToFit="0" vertical="top" wrapText="1"/>
    </xf>
    <xf borderId="5" fillId="2" fontId="11" numFmtId="0" xfId="0" applyAlignment="1" applyBorder="1" applyFont="1">
      <alignment horizontal="center" shrinkToFit="0" vertical="center" wrapText="0"/>
    </xf>
    <xf borderId="5" fillId="2" fontId="12" numFmtId="0" xfId="0" applyAlignment="1" applyBorder="1" applyFont="1">
      <alignment horizontal="center" shrinkToFit="0" vertical="center" wrapText="0"/>
    </xf>
    <xf borderId="1" fillId="5" fontId="13" numFmtId="0" xfId="0" applyAlignment="1" applyBorder="1" applyFill="1" applyFont="1">
      <alignment horizontal="left" shrinkToFit="0" vertical="center" wrapText="0"/>
    </xf>
    <xf borderId="1" fillId="5" fontId="14" numFmtId="0" xfId="0" applyAlignment="1" applyBorder="1" applyFont="1">
      <alignment horizontal="left" shrinkToFit="0" vertical="center" wrapText="0"/>
    </xf>
    <xf borderId="5" fillId="2" fontId="15" numFmtId="0" xfId="0" applyAlignment="1" applyBorder="1" applyFont="1">
      <alignment horizontal="center" shrinkToFit="0" vertical="center" wrapText="0"/>
    </xf>
    <xf borderId="6" fillId="0" fontId="5" numFmtId="0" xfId="0" applyAlignment="1" applyBorder="1" applyFont="1">
      <alignment horizontal="center" shrinkToFit="0" vertical="center" wrapText="0"/>
    </xf>
    <xf borderId="5" fillId="2" fontId="16" numFmtId="0" xfId="0" applyAlignment="1" applyBorder="1" applyFont="1">
      <alignment horizontal="left" shrinkToFit="0" vertical="center" wrapText="0"/>
    </xf>
    <xf borderId="6" fillId="0" fontId="10" numFmtId="0" xfId="0" applyAlignment="1" applyBorder="1" applyFont="1">
      <alignment horizontal="left" shrinkToFit="0" vertical="center" wrapText="0"/>
    </xf>
    <xf borderId="7" fillId="0" fontId="6" numFmtId="0" xfId="0" applyAlignment="1" applyBorder="1" applyFont="1">
      <alignment horizontal="center" shrinkToFit="0" vertical="center" wrapText="0"/>
    </xf>
    <xf borderId="5" fillId="2" fontId="17" numFmtId="0" xfId="0" applyAlignment="1" applyBorder="1" applyFont="1">
      <alignment horizontal="left" shrinkToFit="0" vertical="center" wrapText="0"/>
    </xf>
    <xf borderId="5" fillId="2" fontId="18" numFmtId="0" xfId="0" applyAlignment="1" applyBorder="1" applyFont="1">
      <alignment horizontal="center" shrinkToFit="0" vertical="center" wrapText="0"/>
    </xf>
    <xf borderId="5" fillId="2" fontId="7" numFmtId="0" xfId="0" applyAlignment="1" applyBorder="1" applyFont="1">
      <alignment horizontal="center" shrinkToFit="0" vertical="center" wrapText="0"/>
    </xf>
    <xf borderId="5" fillId="2" fontId="19" numFmtId="165" xfId="0" applyAlignment="1" applyBorder="1" applyFont="1" applyNumberFormat="1">
      <alignment horizontal="center" shrinkToFit="0" vertical="center" wrapText="0"/>
    </xf>
    <xf borderId="6" fillId="0" fontId="14" numFmtId="166" xfId="0" applyAlignment="1" applyBorder="1" applyFont="1" applyNumberFormat="1">
      <alignment horizontal="center" shrinkToFit="0" vertical="center" wrapText="0"/>
    </xf>
    <xf borderId="5" fillId="2" fontId="20" numFmtId="166" xfId="0" applyAlignment="1" applyBorder="1" applyFont="1" applyNumberFormat="1">
      <alignment horizontal="right" shrinkToFit="0" vertical="center" wrapText="0"/>
    </xf>
    <xf borderId="8" fillId="2" fontId="4" numFmtId="0" xfId="0" applyAlignment="1" applyBorder="1" applyFont="1">
      <alignment shrinkToFit="0" vertical="bottom" wrapText="0"/>
    </xf>
    <xf borderId="5" fillId="2" fontId="4" numFmtId="0" xfId="0" applyAlignment="1" applyBorder="1" applyFont="1">
      <alignment shrinkToFit="0" vertical="bottom" wrapText="0"/>
    </xf>
    <xf borderId="6" fillId="0" fontId="21" numFmtId="0" xfId="0" applyAlignment="1" applyBorder="1" applyFont="1">
      <alignment horizontal="left" shrinkToFit="0" vertical="center" wrapText="0"/>
    </xf>
    <xf borderId="6" fillId="0" fontId="6" numFmtId="0" xfId="0" applyAlignment="1" applyBorder="1" applyFont="1">
      <alignment horizontal="left" shrinkToFit="0" vertical="center" wrapText="0"/>
    </xf>
    <xf borderId="6" fillId="0" fontId="22" numFmtId="0" xfId="0" applyAlignment="1" applyBorder="1" applyFont="1">
      <alignment horizontal="center" shrinkToFit="0" vertical="center" wrapText="0"/>
    </xf>
    <xf borderId="6" fillId="0" fontId="23" numFmtId="165" xfId="0" applyAlignment="1" applyBorder="1" applyFont="1" applyNumberFormat="1">
      <alignment horizontal="center" shrinkToFit="0" vertical="center" wrapText="0"/>
    </xf>
    <xf borderId="6" fillId="0" fontId="24" numFmtId="166" xfId="0" applyAlignment="1" applyBorder="1" applyFont="1" applyNumberFormat="1">
      <alignment horizontal="right" shrinkToFit="0" vertical="center" wrapText="0"/>
    </xf>
    <xf borderId="8" fillId="0" fontId="4" numFmtId="0" xfId="0" applyAlignment="1" applyBorder="1" applyFont="1">
      <alignment shrinkToFit="0" vertical="bottom" wrapText="0"/>
    </xf>
    <xf borderId="6" fillId="0" fontId="25" numFmtId="0" xfId="0" applyAlignment="1" applyBorder="1" applyFont="1">
      <alignment horizontal="center" shrinkToFit="0" vertical="center" wrapText="0"/>
    </xf>
    <xf borderId="6" fillId="0" fontId="8" numFmtId="0" xfId="0" applyAlignment="1" applyBorder="1" applyFont="1">
      <alignment horizontal="left" shrinkToFit="0" vertical="center" wrapText="0"/>
    </xf>
    <xf borderId="0" fillId="0" fontId="4" numFmtId="166" xfId="0" applyAlignment="1" applyFont="1" applyNumberFormat="1">
      <alignment shrinkToFit="0" vertical="bottom" wrapText="0"/>
    </xf>
    <xf borderId="6" fillId="0" fontId="22" numFmtId="167" xfId="0" applyAlignment="1" applyBorder="1" applyFont="1" applyNumberFormat="1">
      <alignment horizontal="center" shrinkToFit="0" vertical="center" wrapText="0"/>
    </xf>
    <xf borderId="6" fillId="0" fontId="26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left" shrinkToFit="0" vertical="center" wrapText="0"/>
    </xf>
    <xf borderId="0" fillId="0" fontId="25" numFmtId="0" xfId="0" applyAlignment="1" applyFont="1">
      <alignment horizontal="left" shrinkToFit="0" vertical="center" wrapText="0"/>
    </xf>
    <xf borderId="5" fillId="5" fontId="4" numFmtId="0" xfId="0" applyAlignment="1" applyBorder="1" applyFont="1">
      <alignment shrinkToFit="0" vertical="bottom" wrapText="0"/>
    </xf>
    <xf borderId="5" fillId="5" fontId="5" numFmtId="0" xfId="0" applyAlignment="1" applyBorder="1" applyFont="1">
      <alignment shrinkToFit="0" vertical="bottom" wrapText="0"/>
    </xf>
    <xf borderId="5" fillId="5" fontId="14" numFmtId="0" xfId="0" applyAlignment="1" applyBorder="1" applyFont="1">
      <alignment horizontal="center" shrinkToFit="0" vertical="center" wrapText="0"/>
    </xf>
    <xf borderId="5" fillId="5" fontId="27" numFmtId="0" xfId="0" applyAlignment="1" applyBorder="1" applyFont="1">
      <alignment horizontal="center" shrinkToFit="0" vertical="center" wrapText="0"/>
    </xf>
    <xf borderId="5" fillId="5" fontId="28" numFmtId="0" xfId="0" applyAlignment="1" applyBorder="1" applyFont="1">
      <alignment horizontal="right" shrinkToFit="0" vertical="center" wrapText="0"/>
    </xf>
    <xf borderId="5" fillId="3" fontId="29" numFmtId="0" xfId="0" applyAlignment="1" applyBorder="1" applyFont="1">
      <alignment horizontal="center" shrinkToFit="0" vertical="center" wrapText="0"/>
    </xf>
    <xf borderId="1" fillId="2" fontId="7" numFmtId="0" xfId="0" applyAlignment="1" applyBorder="1" applyFont="1">
      <alignment horizontal="left" shrinkToFit="0" vertical="center" wrapText="0"/>
    </xf>
    <xf borderId="5" fillId="4" fontId="4" numFmtId="0" xfId="0" applyAlignment="1" applyBorder="1" applyFont="1">
      <alignment shrinkToFit="0" vertical="bottom" wrapText="0"/>
    </xf>
    <xf borderId="5" fillId="4" fontId="11" numFmtId="0" xfId="0" applyAlignment="1" applyBorder="1" applyFont="1">
      <alignment horizontal="center" shrinkToFit="0" vertical="center" wrapText="0"/>
    </xf>
    <xf borderId="6" fillId="0" fontId="4" numFmtId="0" xfId="0" applyAlignment="1" applyBorder="1" applyFont="1">
      <alignment shrinkToFit="0" vertical="bottom" wrapText="0"/>
    </xf>
    <xf borderId="6" fillId="0" fontId="30" numFmtId="0" xfId="0" applyAlignment="1" applyBorder="1" applyFont="1">
      <alignment horizontal="left" shrinkToFit="0" vertical="center" wrapText="0"/>
    </xf>
    <xf borderId="6" fillId="0" fontId="6" numFmtId="165" xfId="0" applyAlignment="1" applyBorder="1" applyFont="1" applyNumberFormat="1">
      <alignment horizontal="center" shrinkToFit="0" vertical="center" wrapText="0"/>
    </xf>
    <xf borderId="6" fillId="0" fontId="23" numFmtId="0" xfId="0" applyAlignment="1" applyBorder="1" applyFont="1">
      <alignment horizontal="center" shrinkToFit="0" vertical="center" wrapText="0"/>
    </xf>
    <xf borderId="6" fillId="0" fontId="6" numFmtId="1" xfId="0" applyAlignment="1" applyBorder="1" applyFont="1" applyNumberFormat="1">
      <alignment horizontal="center" shrinkToFit="0" vertical="center" wrapText="0"/>
    </xf>
    <xf borderId="6" fillId="0" fontId="5" numFmtId="0" xfId="0" applyAlignment="1" applyBorder="1" applyFont="1">
      <alignment shrinkToFit="0" vertical="bottom" wrapText="0"/>
    </xf>
    <xf borderId="6" fillId="0" fontId="31" numFmtId="165" xfId="0" applyAlignment="1" applyBorder="1" applyFont="1" applyNumberFormat="1">
      <alignment horizontal="center" shrinkToFit="0" vertical="center" wrapText="0"/>
    </xf>
    <xf borderId="0" fillId="0" fontId="4" numFmtId="165" xfId="0" applyAlignment="1" applyFont="1" applyNumberFormat="1">
      <alignment shrinkToFit="0" vertical="bottom" wrapText="0"/>
    </xf>
    <xf borderId="5" fillId="2" fontId="32" numFmtId="0" xfId="0" applyAlignment="1" applyBorder="1" applyFont="1">
      <alignment shrinkToFit="0" vertical="bottom" wrapText="0"/>
    </xf>
    <xf borderId="5" fillId="2" fontId="15" numFmtId="165" xfId="0" applyAlignment="1" applyBorder="1" applyFont="1" applyNumberFormat="1">
      <alignment horizontal="center" shrinkToFit="0" vertical="center" wrapText="0"/>
    </xf>
    <xf borderId="5" fillId="2" fontId="15" numFmtId="1" xfId="0" applyAlignment="1" applyBorder="1" applyFont="1" applyNumberFormat="1">
      <alignment horizontal="center" shrinkToFit="0" vertical="center" wrapText="0"/>
    </xf>
    <xf borderId="0" fillId="0" fontId="10" numFmtId="0" xfId="0" applyAlignment="1" applyFont="1">
      <alignment horizontal="left" shrinkToFit="0" vertical="center" wrapText="1"/>
    </xf>
    <xf borderId="1" fillId="6" fontId="2" numFmtId="0" xfId="0" applyAlignment="1" applyBorder="1" applyFill="1" applyFont="1">
      <alignment horizontal="left" shrinkToFit="0" vertical="center" wrapText="0"/>
    </xf>
    <xf borderId="1" fillId="7" fontId="33" numFmtId="0" xfId="0" applyAlignment="1" applyBorder="1" applyFill="1" applyFont="1">
      <alignment horizontal="left" shrinkToFit="0" vertical="top" wrapText="1"/>
    </xf>
    <xf borderId="1" fillId="8" fontId="7" numFmtId="0" xfId="0" applyAlignment="1" applyBorder="1" applyFill="1" applyFont="1">
      <alignment horizontal="left" shrinkToFit="0" vertical="center" wrapText="0"/>
    </xf>
    <xf borderId="0" fillId="0" fontId="34" numFmtId="0" xfId="0" applyAlignment="1" applyFont="1">
      <alignment shrinkToFit="0" vertical="bottom" wrapText="0"/>
    </xf>
    <xf borderId="8" fillId="7" fontId="35" numFmtId="0" xfId="0" applyAlignment="1" applyBorder="1" applyFont="1">
      <alignment horizontal="center" shrinkToFit="0" vertical="center" wrapText="0"/>
    </xf>
    <xf borderId="8" fillId="7" fontId="36" numFmtId="0" xfId="0" applyAlignment="1" applyBorder="1" applyFont="1">
      <alignment horizontal="center" shrinkToFit="0" vertical="center" wrapText="0"/>
    </xf>
    <xf borderId="0" fillId="0" fontId="37" numFmtId="0" xfId="0" applyAlignment="1" applyFont="1">
      <alignment horizontal="left" shrinkToFit="0" vertical="top" wrapText="1"/>
    </xf>
    <xf borderId="0" fillId="0" fontId="34" numFmtId="0" xfId="0" applyAlignment="1" applyFont="1">
      <alignment horizontal="left" shrinkToFit="0" vertical="top" wrapText="1"/>
    </xf>
    <xf borderId="1" fillId="7" fontId="38" numFmtId="0" xfId="0" applyAlignment="1" applyBorder="1" applyFont="1">
      <alignment horizontal="left" shrinkToFit="0" vertical="top" wrapText="1"/>
    </xf>
    <xf borderId="0" fillId="0" fontId="39" numFmtId="0" xfId="0" applyAlignment="1" applyFont="1">
      <alignment horizontal="left" shrinkToFit="0" vertical="top" wrapText="1"/>
    </xf>
    <xf borderId="1" fillId="9" fontId="2" numFmtId="0" xfId="0" applyAlignment="1" applyBorder="1" applyFill="1" applyFont="1">
      <alignment horizontal="left" shrinkToFit="0" vertical="center" wrapText="0"/>
    </xf>
    <xf borderId="1" fillId="10" fontId="40" numFmtId="0" xfId="0" applyAlignment="1" applyBorder="1" applyFill="1" applyFont="1">
      <alignment shrinkToFit="0" vertical="bottom" wrapText="0"/>
    </xf>
    <xf borderId="1" fillId="11" fontId="7" numFmtId="0" xfId="0" applyAlignment="1" applyBorder="1" applyFill="1" applyFont="1">
      <alignment horizontal="left" shrinkToFit="0" vertical="center" wrapText="0"/>
    </xf>
    <xf borderId="9" fillId="0" fontId="41" numFmtId="0" xfId="0" applyAlignment="1" applyBorder="1" applyFont="1">
      <alignment horizontal="left" shrinkToFit="0" vertical="center" wrapText="0"/>
    </xf>
    <xf borderId="10" fillId="10" fontId="42" numFmtId="0" xfId="0" applyAlignment="1" applyBorder="1" applyFont="1">
      <alignment horizontal="center" shrinkToFit="0" vertical="center" wrapText="0"/>
    </xf>
    <xf borderId="9" fillId="0" fontId="31" numFmtId="0" xfId="0" applyAlignment="1" applyBorder="1" applyFont="1">
      <alignment horizontal="left" shrinkToFit="0" vertical="center" wrapText="0"/>
    </xf>
    <xf borderId="9" fillId="0" fontId="3" numFmtId="0" xfId="0" applyBorder="1" applyFont="1"/>
    <xf borderId="5" fillId="9" fontId="32" numFmtId="0" xfId="0" applyAlignment="1" applyBorder="1" applyFont="1">
      <alignment horizontal="left" shrinkToFit="0" vertical="center" wrapText="0"/>
    </xf>
    <xf borderId="5" fillId="9" fontId="32" numFmtId="0" xfId="0" applyAlignment="1" applyBorder="1" applyFont="1">
      <alignment horizontal="center" shrinkToFit="0" vertical="center" wrapText="0"/>
    </xf>
    <xf borderId="9" fillId="0" fontId="23" numFmtId="0" xfId="0" applyAlignment="1" applyBorder="1" applyFont="1">
      <alignment horizontal="left" shrinkToFit="0" vertical="center" wrapText="0"/>
    </xf>
    <xf borderId="9" fillId="0" fontId="10" numFmtId="0" xfId="0" applyAlignment="1" applyBorder="1" applyFont="1">
      <alignment horizontal="left" shrinkToFit="0" vertical="center" wrapText="0"/>
    </xf>
    <xf borderId="9" fillId="0" fontId="31" numFmtId="0" xfId="0" applyAlignment="1" applyBorder="1" applyFont="1">
      <alignment horizontal="center" shrinkToFit="0" vertical="center" wrapText="0"/>
    </xf>
    <xf borderId="9" fillId="0" fontId="4" numFmtId="0" xfId="0" applyAlignment="1" applyBorder="1" applyFont="1">
      <alignment horizontal="left" shrinkToFit="0" vertical="center" wrapText="0"/>
    </xf>
    <xf borderId="5" fillId="4" fontId="32" numFmtId="0" xfId="0" applyAlignment="1" applyBorder="1" applyFont="1">
      <alignment horizontal="center" shrinkToFit="0" vertical="center" wrapText="0"/>
    </xf>
    <xf borderId="11" fillId="0" fontId="10" numFmtId="0" xfId="0" applyAlignment="1" applyBorder="1" applyFont="1">
      <alignment horizontal="left" shrinkToFit="0" vertical="center" wrapText="0"/>
    </xf>
    <xf borderId="11" fillId="0" fontId="10" numFmtId="0" xfId="0" applyAlignment="1" applyBorder="1" applyFont="1">
      <alignment horizontal="center" shrinkToFit="0" vertical="center" wrapText="0"/>
    </xf>
    <xf borderId="11" fillId="0" fontId="43" numFmtId="0" xfId="0" applyAlignment="1" applyBorder="1" applyFont="1">
      <alignment horizontal="left" shrinkToFit="0" vertical="center" wrapText="0"/>
    </xf>
    <xf borderId="11" fillId="0" fontId="44" numFmtId="0" xfId="0" applyAlignment="1" applyBorder="1" applyFont="1">
      <alignment horizontal="left" shrinkToFit="0" vertical="center" wrapText="0"/>
    </xf>
    <xf borderId="1" fillId="10" fontId="39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horizontal="left" shrinkToFit="0" vertical="top" wrapText="1"/>
    </xf>
    <xf borderId="0" fillId="0" fontId="10" numFmtId="0" xfId="0" applyAlignment="1" applyFont="1">
      <alignment shrinkToFit="0" vertical="center" wrapText="0"/>
    </xf>
    <xf borderId="1" fillId="12" fontId="23" numFmtId="0" xfId="0" applyAlignment="1" applyBorder="1" applyFill="1" applyFont="1">
      <alignment shrinkToFit="0" vertical="center" wrapText="0"/>
    </xf>
    <xf borderId="12" fillId="0" fontId="5" numFmtId="0" xfId="0" applyAlignment="1" applyBorder="1" applyFont="1">
      <alignment horizontal="left" shrinkToFit="0" vertical="center" wrapText="0"/>
    </xf>
    <xf borderId="1" fillId="3" fontId="31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shrinkToFit="0" vertical="center" wrapText="0"/>
    </xf>
    <xf borderId="1" fillId="4" fontId="10" numFmtId="0" xfId="0" applyAlignment="1" applyBorder="1" applyFont="1">
      <alignment shrinkToFit="0" vertical="center" wrapText="0"/>
    </xf>
    <xf borderId="5" fillId="2" fontId="32" numFmtId="0" xfId="0" applyAlignment="1" applyBorder="1" applyFont="1">
      <alignment horizontal="left" shrinkToFit="0" vertical="center" wrapText="0"/>
    </xf>
    <xf borderId="5" fillId="2" fontId="32" numFmtId="0" xfId="0" applyAlignment="1" applyBorder="1" applyFont="1">
      <alignment horizontal="center" shrinkToFit="0" vertical="center" wrapText="0"/>
    </xf>
    <xf borderId="12" fillId="0" fontId="6" numFmtId="165" xfId="0" applyAlignment="1" applyBorder="1" applyFont="1" applyNumberFormat="1">
      <alignment horizontal="center" shrinkToFit="0" vertical="center" wrapText="0"/>
    </xf>
    <xf borderId="12" fillId="0" fontId="30" numFmtId="0" xfId="0" applyAlignment="1" applyBorder="1" applyFont="1">
      <alignment horizontal="left" shrinkToFit="0" vertical="center" wrapText="0"/>
    </xf>
    <xf borderId="12" fillId="0" fontId="3" numFmtId="0" xfId="0" applyBorder="1" applyFont="1"/>
    <xf borderId="12" fillId="0" fontId="45" numFmtId="0" xfId="0" applyAlignment="1" applyBorder="1" applyFont="1">
      <alignment horizontal="center" shrinkToFit="0" vertical="center" wrapText="0"/>
    </xf>
    <xf borderId="12" fillId="0" fontId="31" numFmtId="165" xfId="0" applyAlignment="1" applyBorder="1" applyFont="1" applyNumberFormat="1">
      <alignment horizontal="center" shrinkToFit="0" vertical="center" wrapText="0"/>
    </xf>
    <xf borderId="12" fillId="0" fontId="46" numFmtId="0" xfId="0" applyAlignment="1" applyBorder="1" applyFont="1">
      <alignment horizontal="center" shrinkToFit="0" vertical="center" wrapText="0"/>
    </xf>
    <xf borderId="12" fillId="0" fontId="31" numFmtId="0" xfId="0" applyAlignment="1" applyBorder="1" applyFont="1">
      <alignment horizontal="center" shrinkToFit="0" vertical="center" wrapText="0"/>
    </xf>
    <xf borderId="12" fillId="0" fontId="23" numFmtId="0" xfId="0" applyAlignment="1" applyBorder="1" applyFont="1">
      <alignment horizontal="left" shrinkToFit="0" vertical="center" wrapText="0"/>
    </xf>
    <xf borderId="12" fillId="0" fontId="31" numFmtId="1" xfId="0" applyAlignment="1" applyBorder="1" applyFont="1" applyNumberFormat="1">
      <alignment horizontal="center" shrinkToFit="0" vertical="center" wrapText="0"/>
    </xf>
    <xf borderId="12" fillId="0" fontId="45" numFmtId="165" xfId="0" applyAlignment="1" applyBorder="1" applyFont="1" applyNumberFormat="1">
      <alignment horizontal="center" shrinkToFit="0" vertical="center" wrapText="0"/>
    </xf>
    <xf borderId="12" fillId="0" fontId="30" numFmtId="165" xfId="0" applyAlignment="1" applyBorder="1" applyFont="1" applyNumberFormat="1">
      <alignment horizontal="left" shrinkToFit="0" vertical="center" wrapText="0"/>
    </xf>
    <xf borderId="0" fillId="0" fontId="10" numFmtId="165" xfId="0" applyAlignment="1" applyFont="1" applyNumberFormat="1">
      <alignment shrinkToFit="0" vertical="center" wrapText="0"/>
    </xf>
    <xf borderId="12" fillId="0" fontId="10" numFmtId="0" xfId="0" applyAlignment="1" applyBorder="1" applyFont="1">
      <alignment horizontal="left" shrinkToFit="0" vertical="center" wrapText="0"/>
    </xf>
    <xf borderId="12" fillId="0" fontId="6" numFmtId="0" xfId="0" applyAlignment="1" applyBorder="1" applyFont="1">
      <alignment horizontal="center" shrinkToFit="0" vertical="center" wrapText="0"/>
    </xf>
    <xf borderId="5" fillId="2" fontId="32" numFmtId="1" xfId="0" applyAlignment="1" applyBorder="1" applyFont="1" applyNumberFormat="1">
      <alignment horizontal="center" shrinkToFit="0" vertical="center" wrapText="0"/>
    </xf>
    <xf borderId="5" fillId="2" fontId="32" numFmtId="165" xfId="0" applyAlignment="1" applyBorder="1" applyFont="1" applyNumberFormat="1">
      <alignment horizontal="center" shrinkToFit="0" vertical="center" wrapText="0"/>
    </xf>
    <xf borderId="12" fillId="0" fontId="6" numFmtId="1" xfId="0" applyAlignment="1" applyBorder="1" applyFont="1" applyNumberFormat="1">
      <alignment horizontal="center" shrinkToFit="0" vertical="center" wrapText="0"/>
    </xf>
    <xf borderId="0" fillId="0" fontId="10" numFmtId="1" xfId="0" applyAlignment="1" applyFont="1" applyNumberFormat="1">
      <alignment shrinkToFit="0" vertical="center" wrapText="0"/>
    </xf>
    <xf borderId="0" fillId="0" fontId="13" numFmtId="0" xfId="0" applyAlignment="1" applyFont="1">
      <alignment shrinkToFit="0" vertical="bottom" wrapText="0"/>
    </xf>
    <xf borderId="5" fillId="5" fontId="31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5" fillId="5" fontId="31" numFmtId="165" xfId="0" applyAlignment="1" applyBorder="1" applyFont="1" applyNumberFormat="1">
      <alignment horizontal="center" shrinkToFit="0" vertical="center" wrapText="0"/>
    </xf>
    <xf borderId="0" fillId="0" fontId="10" numFmtId="0" xfId="0" applyAlignment="1" applyFont="1">
      <alignment shrinkToFit="0" vertical="bottom" wrapText="0"/>
    </xf>
    <xf borderId="0" fillId="0" fontId="4" numFmtId="9" xfId="0" applyAlignment="1" applyFont="1" applyNumberFormat="1">
      <alignment shrinkToFit="0" vertical="bottom" wrapText="0"/>
    </xf>
    <xf borderId="0" fillId="0" fontId="47" numFmtId="0" xfId="0" applyAlignment="1" applyFont="1">
      <alignment shrinkToFit="0" vertical="bottom" wrapText="0"/>
    </xf>
    <xf borderId="0" fillId="0" fontId="48" numFmtId="0" xfId="0" applyAlignment="1" applyFont="1">
      <alignment shrinkToFit="0" vertical="bottom" wrapText="0"/>
    </xf>
  </cellXfs>
  <cellStyles count="1">
    <cellStyle xfId="0" name="Normal" builtinId="0"/>
  </cellStyles>
  <dxfs count="10">
    <dxf>
      <font/>
      <fill>
        <patternFill patternType="solid">
          <fgColor rgb="FFFFF6E0"/>
          <bgColor rgb="FFFFF6E0"/>
        </patternFill>
      </fill>
      <border/>
    </dxf>
    <dxf>
      <font>
        <i/>
        <sz val="9.0"/>
        <color rgb="FF6B7480"/>
        <name val="Arial"/>
      </font>
      <fill>
        <patternFill patternType="none"/>
      </fill>
      <border/>
    </dxf>
    <dxf>
      <font/>
      <fill>
        <patternFill patternType="none"/>
      </fill>
      <border>
        <top style="thin">
          <color rgb="FF1B6B78"/>
        </top>
      </border>
    </dxf>
    <dxf>
      <font/>
      <fill>
        <patternFill patternType="solid">
          <fgColor rgb="FFEDF3F3"/>
          <bgColor rgb="FFEDF3F3"/>
        </patternFill>
      </fill>
      <border/>
    </dxf>
    <dxf>
      <font>
        <b/>
        <sz val="9.0"/>
        <color rgb="FFB03A2E"/>
        <name val="Arial"/>
      </font>
      <fill>
        <patternFill patternType="solid">
          <fgColor rgb="FFF8D7D3"/>
          <bgColor rgb="FFF8D7D3"/>
        </patternFill>
      </fill>
      <border/>
    </dxf>
    <dxf>
      <font>
        <color rgb="FFB03A2E"/>
      </font>
      <fill>
        <patternFill patternType="solid">
          <fgColor rgb="FFF8D7D3"/>
          <bgColor rgb="FFF8D7D3"/>
        </patternFill>
      </fill>
      <border/>
    </dxf>
    <dxf>
      <font>
        <b/>
        <color rgb="FFB03A2E"/>
      </font>
      <fill>
        <patternFill patternType="solid">
          <fgColor rgb="FFF8D7D3"/>
          <bgColor rgb="FFF8D7D3"/>
        </patternFill>
      </fill>
      <border/>
    </dxf>
    <dxf>
      <font/>
      <fill>
        <patternFill patternType="solid">
          <fgColor rgb="FFDDF0E4"/>
          <bgColor rgb="FFDDF0E4"/>
        </patternFill>
      </fill>
      <border/>
    </dxf>
    <dxf>
      <font/>
      <fill>
        <patternFill patternType="solid">
          <fgColor rgb="FFFDF0D5"/>
          <bgColor rgb="FFFDF0D5"/>
        </patternFill>
      </fill>
      <border/>
    </dxf>
    <dxf>
      <font/>
      <fill>
        <patternFill patternType="solid">
          <fgColor rgb="FFF8D7D3"/>
          <bgColor rgb="FFF8D7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2"/>
  <cols>
    <col customWidth="1" min="1" max="1" width="8.0"/>
    <col customWidth="1" min="2" max="2" width="34.0"/>
    <col customWidth="1" min="3" max="5" width="15.0"/>
    <col customWidth="1" min="6" max="10" width="8.71"/>
    <col customWidth="1" hidden="1" min="11" max="12" width="13.0"/>
    <col customWidth="1" hidden="1" min="13" max="14" width="8.71"/>
  </cols>
  <sheetData>
    <row r="1" ht="31.5" customHeight="1">
      <c r="A1" s="1" t="s">
        <v>0</v>
      </c>
      <c r="B1" s="3"/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6" t="s">
        <v>4</v>
      </c>
      <c r="C2" s="7"/>
      <c r="D2" s="10" t="str">
        <f>IF($C$2="","","→   koniec 6. tygodnia:   "&amp;TEXT($C$2+41,"dd.mm.yyyy"))</f>
        <v/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8" t="s">
        <v>9</v>
      </c>
      <c r="B3" s="3"/>
      <c r="C3" s="3"/>
      <c r="D3" s="3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13" t="s">
        <v>8</v>
      </c>
      <c r="B4" s="13" t="s">
        <v>10</v>
      </c>
      <c r="C4" s="13" t="s">
        <v>19</v>
      </c>
      <c r="D4" s="13" t="s">
        <v>20</v>
      </c>
      <c r="E4" s="13" t="s">
        <v>21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1.75" customHeight="1">
      <c r="A5" s="16" t="s">
        <v>23</v>
      </c>
      <c r="B5" s="3"/>
      <c r="C5" s="3"/>
      <c r="D5" s="3"/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18" t="str">
        <f>IF('T1'!$A7="","",'T1'!$A7)</f>
        <v>A1.</v>
      </c>
      <c r="B6" s="20" t="str">
        <f>IF('T1'!$C7="","",'T1'!$C7)</f>
        <v/>
      </c>
      <c r="C6" s="21"/>
      <c r="D6" s="21"/>
      <c r="E6" s="26" t="str">
        <f t="array" ref="E6">IF(OR($C6="",$D6=""),"",IFERROR(ROUND($C6/(INDEX(TABELE!$B$4:$J$18,MATCH($D6,TABELE!$A$4:$A$18,0),MATCH(10,TABELE!$B$3:$J$3,0))/100),1),"powt. 1–15"))</f>
        <v/>
      </c>
      <c r="F6" s="5"/>
      <c r="G6" s="5"/>
      <c r="H6" s="5"/>
      <c r="I6" s="5"/>
      <c r="J6" s="5"/>
      <c r="K6" s="5" t="s">
        <v>33</v>
      </c>
      <c r="L6" s="5" t="str">
        <f>IF('T1'!$C7="","",'T1'!$Q7)</f>
        <v/>
      </c>
      <c r="M6" s="5">
        <f t="shared" ref="M6:M69" si="1">IF(N($E6)=0,0,$E6)</f>
        <v>0</v>
      </c>
      <c r="N6" s="5">
        <f t="shared" ref="N6:N69" si="2">IF($B6="",0,SUMPRODUCT(MAX(($B$6:$B$69=$B6)*$M$6:$M$69)))</f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18" t="str">
        <f>IF('T1'!$A8="","",'T1'!$A8)</f>
        <v>B1.</v>
      </c>
      <c r="B7" s="20">
        <f>IF('T1'!$C8="","",'T1'!$C8)</f>
      </c>
      <c r="C7" s="21">
        <v>50.0</v>
      </c>
      <c r="D7" s="21">
        <v>8.0</v>
      </c>
      <c r="E7" s="26">
        <f t="array" ref="E7">IF(OR($C7="",$D7=""),"",IFERROR(ROUND($C7/(INDEX(TABELE!$B$4:$J$18,MATCH($D7,TABELE!$A$4:$A$18,0),MATCH(10,TABELE!$B$3:$J$3,0))/100),1),"powt. 1–15"))</f>
        <v>62.1</v>
      </c>
      <c r="F7" s="5"/>
      <c r="G7" s="5"/>
      <c r="H7" s="5"/>
      <c r="I7" s="5"/>
      <c r="J7" s="5"/>
      <c r="K7" s="5" t="s">
        <v>46</v>
      </c>
      <c r="L7" s="5" t="str">
        <f>IF('T1'!$C8="","",'T1'!$Q8)</f>
        <v>kg</v>
      </c>
      <c r="M7" s="38">
        <f t="shared" si="1"/>
        <v>62.1</v>
      </c>
      <c r="N7" s="5">
        <f t="shared" si="2"/>
        <v>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18" t="str">
        <f>IF('T1'!$A9="","",'T1'!$A9)</f>
        <v>B2.</v>
      </c>
      <c r="B8" s="20" t="str">
        <f>IF('T1'!$C9="","",'T1'!$C9)</f>
        <v/>
      </c>
      <c r="C8" s="21"/>
      <c r="D8" s="21"/>
      <c r="E8" s="26" t="str">
        <f t="array" ref="E8">IF(OR($C8="",$D8=""),"",IFERROR(ROUND($C8/(INDEX(TABELE!$B$4:$J$18,MATCH($D8,TABELE!$A$4:$A$18,0),MATCH(10,TABELE!$B$3:$J$3,0))/100),1),"powt. 1–15"))</f>
        <v/>
      </c>
      <c r="F8" s="5"/>
      <c r="G8" s="5"/>
      <c r="H8" s="5"/>
      <c r="I8" s="5"/>
      <c r="J8" s="5"/>
      <c r="K8" s="5" t="s">
        <v>51</v>
      </c>
      <c r="L8" s="5" t="str">
        <f>IF('T1'!$C9="","",'T1'!$Q9)</f>
        <v/>
      </c>
      <c r="M8" s="5">
        <f t="shared" si="1"/>
        <v>0</v>
      </c>
      <c r="N8" s="5">
        <f t="shared" si="2"/>
        <v>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18" t="str">
        <f>IF('T1'!$A10="","",'T1'!$A10)</f>
        <v>C1.</v>
      </c>
      <c r="B9" s="20" t="str">
        <f>IF('T1'!$C10="","",'T1'!$C10)</f>
        <v/>
      </c>
      <c r="C9" s="21"/>
      <c r="D9" s="21"/>
      <c r="E9" s="26" t="str">
        <f t="array" ref="E9">IF(OR($C9="",$D9=""),"",IFERROR(ROUND($C9/(INDEX(TABELE!$B$4:$J$18,MATCH($D9,TABELE!$A$4:$A$18,0),MATCH(10,TABELE!$B$3:$J$3,0))/100),1),"powt. 1–15"))</f>
        <v/>
      </c>
      <c r="F9" s="5"/>
      <c r="G9" s="5"/>
      <c r="H9" s="5"/>
      <c r="I9" s="5"/>
      <c r="J9" s="5"/>
      <c r="K9" s="5" t="s">
        <v>57</v>
      </c>
      <c r="L9" s="5" t="str">
        <f>IF('T1'!$C10="","",'T1'!$Q10)</f>
        <v/>
      </c>
      <c r="M9" s="5">
        <f t="shared" si="1"/>
        <v>0</v>
      </c>
      <c r="N9" s="5">
        <f t="shared" si="2"/>
        <v>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>
      <c r="A10" s="18" t="str">
        <f>IF('T1'!$A11="","",'T1'!$A11)</f>
        <v>C2.</v>
      </c>
      <c r="B10" s="20" t="str">
        <f>IF('T1'!$C11="","",'T1'!$C11)</f>
        <v/>
      </c>
      <c r="C10" s="21"/>
      <c r="D10" s="21"/>
      <c r="E10" s="26" t="str">
        <f t="array" ref="E10">IF(OR($C10="",$D10=""),"",IFERROR(ROUND($C10/(INDEX(TABELE!$B$4:$J$18,MATCH($D10,TABELE!$A$4:$A$18,0),MATCH(10,TABELE!$B$3:$J$3,0))/100),1),"powt. 1–15"))</f>
        <v/>
      </c>
      <c r="F10" s="5"/>
      <c r="G10" s="5"/>
      <c r="H10" s="5"/>
      <c r="I10" s="5"/>
      <c r="J10" s="5"/>
      <c r="K10" s="5" t="s">
        <v>62</v>
      </c>
      <c r="L10" s="5" t="str">
        <f>IF('T1'!$C11="","",'T1'!$Q11)</f>
        <v/>
      </c>
      <c r="M10" s="5">
        <f t="shared" si="1"/>
        <v>0</v>
      </c>
      <c r="N10" s="5">
        <f t="shared" si="2"/>
        <v>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9.5" customHeight="1">
      <c r="A11" s="18" t="str">
        <f>IF('T1'!$A12="","",'T1'!$A12)</f>
        <v>D1.</v>
      </c>
      <c r="B11" s="20" t="str">
        <f>IF('T1'!$C12="","",'T1'!$C12)</f>
        <v/>
      </c>
      <c r="C11" s="21"/>
      <c r="D11" s="21"/>
      <c r="E11" s="26" t="str">
        <f t="array" ref="E11">IF(OR($C11="",$D11=""),"",IFERROR(ROUND($C11/(INDEX(TABELE!$B$4:$J$18,MATCH($D11,TABELE!$A$4:$A$18,0),MATCH(10,TABELE!$B$3:$J$3,0))/100),1),"powt. 1–15"))</f>
        <v/>
      </c>
      <c r="F11" s="5"/>
      <c r="G11" s="5"/>
      <c r="H11" s="5"/>
      <c r="I11" s="5"/>
      <c r="J11" s="5"/>
      <c r="K11" s="5" t="s">
        <v>63</v>
      </c>
      <c r="L11" s="5" t="str">
        <f>IF('T1'!$C12="","",'T1'!$Q12)</f>
        <v/>
      </c>
      <c r="M11" s="5">
        <f t="shared" si="1"/>
        <v>0</v>
      </c>
      <c r="N11" s="5">
        <f t="shared" si="2"/>
        <v>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>
      <c r="A12" s="18" t="str">
        <f>IF('T1'!$A13="","",'T1'!$A13)</f>
        <v>D2.</v>
      </c>
      <c r="B12" s="20" t="str">
        <f>IF('T1'!$C13="","",'T1'!$C13)</f>
        <v/>
      </c>
      <c r="C12" s="21"/>
      <c r="D12" s="21"/>
      <c r="E12" s="26" t="str">
        <f t="array" ref="E12">IF(OR($C12="",$D12=""),"",IFERROR(ROUND($C12/(INDEX(TABELE!$B$4:$J$18,MATCH($D12,TABELE!$A$4:$A$18,0),MATCH(10,TABELE!$B$3:$J$3,0))/100),1),"powt. 1–15"))</f>
        <v/>
      </c>
      <c r="F12" s="5"/>
      <c r="G12" s="5"/>
      <c r="H12" s="5"/>
      <c r="I12" s="5"/>
      <c r="J12" s="5"/>
      <c r="K12" s="5" t="s">
        <v>66</v>
      </c>
      <c r="L12" s="5" t="str">
        <f>IF('T1'!$C13="","",'T1'!$Q13)</f>
        <v/>
      </c>
      <c r="M12" s="5">
        <f t="shared" si="1"/>
        <v>0</v>
      </c>
      <c r="N12" s="5">
        <f t="shared" si="2"/>
        <v>0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9.5" customHeight="1">
      <c r="A13" s="18" t="str">
        <f>IF('T1'!$A14="","",'T1'!$A14)</f>
        <v>E1.</v>
      </c>
      <c r="B13" s="20" t="str">
        <f>IF('T1'!$C14="","",'T1'!$C14)</f>
        <v/>
      </c>
      <c r="C13" s="21"/>
      <c r="D13" s="21"/>
      <c r="E13" s="26" t="str">
        <f t="array" ref="E13">IF(OR($C13="",$D13=""),"",IFERROR(ROUND($C13/(INDEX(TABELE!$B$4:$J$18,MATCH($D13,TABELE!$A$4:$A$18,0),MATCH(10,TABELE!$B$3:$J$3,0))/100),1),"powt. 1–15"))</f>
        <v/>
      </c>
      <c r="F13" s="5"/>
      <c r="G13" s="5"/>
      <c r="H13" s="5"/>
      <c r="I13" s="5"/>
      <c r="J13" s="5"/>
      <c r="K13" s="5" t="s">
        <v>67</v>
      </c>
      <c r="L13" s="5" t="str">
        <f>IF('T1'!$C14="","",'T1'!$Q14)</f>
        <v/>
      </c>
      <c r="M13" s="5">
        <f t="shared" si="1"/>
        <v>0</v>
      </c>
      <c r="N13" s="5">
        <f t="shared" si="2"/>
        <v>0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>
      <c r="A14" s="18" t="str">
        <f>IF('T1'!$A15="","",'T1'!$A15)</f>
        <v>E2.</v>
      </c>
      <c r="B14" s="20" t="str">
        <f>IF('T1'!$C15="","",'T1'!$C15)</f>
        <v/>
      </c>
      <c r="C14" s="21"/>
      <c r="D14" s="21"/>
      <c r="E14" s="26" t="str">
        <f t="array" ref="E14">IF(OR($C14="",$D14=""),"",IFERROR(ROUND($C14/(INDEX(TABELE!$B$4:$J$18,MATCH($D14,TABELE!$A$4:$A$18,0),MATCH(10,TABELE!$B$3:$J$3,0))/100),1),"powt. 1–15"))</f>
        <v/>
      </c>
      <c r="F14" s="5"/>
      <c r="G14" s="5"/>
      <c r="H14" s="5"/>
      <c r="I14" s="5"/>
      <c r="J14" s="5"/>
      <c r="K14" s="5" t="s">
        <v>68</v>
      </c>
      <c r="L14" s="5" t="str">
        <f>IF('T1'!$C15="","",'T1'!$Q15)</f>
        <v/>
      </c>
      <c r="M14" s="5">
        <f t="shared" si="1"/>
        <v>0</v>
      </c>
      <c r="N14" s="5">
        <f t="shared" si="2"/>
        <v>0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18" t="str">
        <f>IF('T1'!$A16="","",'T1'!$A16)</f>
        <v/>
      </c>
      <c r="B15" s="20" t="str">
        <f>IF('T1'!$C16="","",'T1'!$C16)</f>
        <v/>
      </c>
      <c r="C15" s="21"/>
      <c r="D15" s="21"/>
      <c r="E15" s="26" t="str">
        <f t="array" ref="E15">IF(OR($C15="",$D15=""),"",IFERROR(ROUND($C15/(INDEX(TABELE!$B$4:$J$18,MATCH($D15,TABELE!$A$4:$A$18,0),MATCH(10,TABELE!$B$3:$J$3,0))/100),1),"powt. 1–15"))</f>
        <v/>
      </c>
      <c r="F15" s="5"/>
      <c r="G15" s="5"/>
      <c r="H15" s="5"/>
      <c r="I15" s="5"/>
      <c r="J15" s="5"/>
      <c r="K15" s="5" t="s">
        <v>69</v>
      </c>
      <c r="L15" s="5" t="str">
        <f>IF('T1'!$C16="","",'T1'!$Q16)</f>
        <v/>
      </c>
      <c r="M15" s="5">
        <f t="shared" si="1"/>
        <v>0</v>
      </c>
      <c r="N15" s="5">
        <f t="shared" si="2"/>
        <v>0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>
      <c r="A16" s="18" t="str">
        <f>IF('T1'!$A17="","",'T1'!$A17)</f>
        <v/>
      </c>
      <c r="B16" s="20" t="str">
        <f>IF('T1'!$C17="","",'T1'!$C17)</f>
        <v/>
      </c>
      <c r="C16" s="21"/>
      <c r="D16" s="21"/>
      <c r="E16" s="26" t="str">
        <f t="array" ref="E16">IF(OR($C16="",$D16=""),"",IFERROR(ROUND($C16/(INDEX(TABELE!$B$4:$J$18,MATCH($D16,TABELE!$A$4:$A$18,0),MATCH(10,TABELE!$B$3:$J$3,0))/100),1),"powt. 1–15"))</f>
        <v/>
      </c>
      <c r="F16" s="5"/>
      <c r="G16" s="5"/>
      <c r="H16" s="5"/>
      <c r="I16" s="5"/>
      <c r="J16" s="5"/>
      <c r="K16" s="5" t="s">
        <v>70</v>
      </c>
      <c r="L16" s="5" t="str">
        <f>IF('T1'!$C17="","",'T1'!$Q17)</f>
        <v/>
      </c>
      <c r="M16" s="5">
        <f t="shared" si="1"/>
        <v>0</v>
      </c>
      <c r="N16" s="5">
        <f t="shared" si="2"/>
        <v>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>
      <c r="A17" s="18" t="str">
        <f>IF('T1'!$A18="","",'T1'!$A18)</f>
        <v/>
      </c>
      <c r="B17" s="20" t="str">
        <f>IF('T1'!$C18="","",'T1'!$C18)</f>
        <v/>
      </c>
      <c r="C17" s="21"/>
      <c r="D17" s="21"/>
      <c r="E17" s="26" t="str">
        <f t="array" ref="E17">IF(OR($C17="",$D17=""),"",IFERROR(ROUND($C17/(INDEX(TABELE!$B$4:$J$18,MATCH($D17,TABELE!$A$4:$A$18,0),MATCH(10,TABELE!$B$3:$J$3,0))/100),1),"powt. 1–15"))</f>
        <v/>
      </c>
      <c r="F17" s="5"/>
      <c r="G17" s="5"/>
      <c r="H17" s="5"/>
      <c r="I17" s="5"/>
      <c r="J17" s="5"/>
      <c r="K17" s="5" t="s">
        <v>72</v>
      </c>
      <c r="L17" s="5" t="str">
        <f>IF('T1'!$C18="","",'T1'!$Q18)</f>
        <v/>
      </c>
      <c r="M17" s="5">
        <f t="shared" si="1"/>
        <v>0</v>
      </c>
      <c r="N17" s="5">
        <f t="shared" si="2"/>
        <v>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1.75" customHeight="1">
      <c r="A18" s="16" t="s">
        <v>73</v>
      </c>
      <c r="B18" s="3"/>
      <c r="C18" s="3"/>
      <c r="D18" s="3"/>
      <c r="E18" s="4"/>
      <c r="F18" s="5"/>
      <c r="G18" s="5"/>
      <c r="H18" s="5"/>
      <c r="I18" s="5"/>
      <c r="J18" s="5"/>
      <c r="K18" s="5"/>
      <c r="L18" s="5"/>
      <c r="M18" s="5">
        <f t="shared" si="1"/>
        <v>0</v>
      </c>
      <c r="N18" s="5">
        <f t="shared" si="2"/>
        <v>0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9.5" customHeight="1">
      <c r="A19" s="18" t="str">
        <f>IF('T1'!$A23="","",'T1'!$A23)</f>
        <v>A1.</v>
      </c>
      <c r="B19" s="20" t="str">
        <f>IF('T1'!$C23="","",'T1'!$C23)</f>
        <v/>
      </c>
      <c r="C19" s="21"/>
      <c r="D19" s="21"/>
      <c r="E19" s="26" t="str">
        <f t="array" ref="E19">IF(OR($C19="",$D19=""),"",IFERROR(ROUND($C19/(INDEX(TABELE!$B$4:$J$18,MATCH($D19,TABELE!$A$4:$A$18,0),MATCH(10,TABELE!$B$3:$J$3,0))/100),1),"powt. 1–15"))</f>
        <v/>
      </c>
      <c r="F19" s="5"/>
      <c r="G19" s="5"/>
      <c r="H19" s="5"/>
      <c r="I19" s="5"/>
      <c r="J19" s="5"/>
      <c r="K19" s="5" t="s">
        <v>74</v>
      </c>
      <c r="L19" s="5" t="str">
        <f>IF('T1'!$C23="","",'T1'!$Q23)</f>
        <v/>
      </c>
      <c r="M19" s="5">
        <f t="shared" si="1"/>
        <v>0</v>
      </c>
      <c r="N19" s="5">
        <f t="shared" si="2"/>
        <v>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9.5" customHeight="1">
      <c r="A20" s="18" t="str">
        <f>IF('T1'!$A24="","",'T1'!$A24)</f>
        <v>B1.</v>
      </c>
      <c r="B20" s="20" t="str">
        <f>IF('T1'!$C24="","",'T1'!$C24)</f>
        <v/>
      </c>
      <c r="C20" s="21"/>
      <c r="D20" s="21"/>
      <c r="E20" s="26" t="str">
        <f t="array" ref="E20">IF(OR($C20="",$D20=""),"",IFERROR(ROUND($C20/(INDEX(TABELE!$B$4:$J$18,MATCH($D20,TABELE!$A$4:$A$18,0),MATCH(10,TABELE!$B$3:$J$3,0))/100),1),"powt. 1–15"))</f>
        <v/>
      </c>
      <c r="F20" s="5"/>
      <c r="G20" s="5"/>
      <c r="H20" s="5"/>
      <c r="I20" s="5"/>
      <c r="J20" s="5"/>
      <c r="K20" s="5" t="s">
        <v>75</v>
      </c>
      <c r="L20" s="5" t="str">
        <f>IF('T1'!$C24="","",'T1'!$Q24)</f>
        <v/>
      </c>
      <c r="M20" s="5">
        <f t="shared" si="1"/>
        <v>0</v>
      </c>
      <c r="N20" s="5">
        <f t="shared" si="2"/>
        <v>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9.5" customHeight="1">
      <c r="A21" s="18" t="str">
        <f>IF('T1'!$A25="","",'T1'!$A25)</f>
        <v>B2.</v>
      </c>
      <c r="B21" s="20" t="str">
        <f>IF('T1'!$C25="","",'T1'!$C25)</f>
        <v/>
      </c>
      <c r="C21" s="21"/>
      <c r="D21" s="21"/>
      <c r="E21" s="26" t="str">
        <f t="array" ref="E21">IF(OR($C21="",$D21=""),"",IFERROR(ROUND($C21/(INDEX(TABELE!$B$4:$J$18,MATCH($D21,TABELE!$A$4:$A$18,0),MATCH(10,TABELE!$B$3:$J$3,0))/100),1),"powt. 1–15"))</f>
        <v/>
      </c>
      <c r="F21" s="5"/>
      <c r="G21" s="5"/>
      <c r="H21" s="5"/>
      <c r="I21" s="5"/>
      <c r="J21" s="5"/>
      <c r="K21" s="5" t="s">
        <v>76</v>
      </c>
      <c r="L21" s="5" t="str">
        <f>IF('T1'!$C25="","",'T1'!$Q25)</f>
        <v/>
      </c>
      <c r="M21" s="5">
        <f t="shared" si="1"/>
        <v>0</v>
      </c>
      <c r="N21" s="5">
        <f t="shared" si="2"/>
        <v>0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>
      <c r="A22" s="18" t="str">
        <f>IF('T1'!$A26="","",'T1'!$A26)</f>
        <v>C1.</v>
      </c>
      <c r="B22" s="20" t="str">
        <f>IF('T1'!$C26="","",'T1'!$C26)</f>
        <v/>
      </c>
      <c r="C22" s="21"/>
      <c r="D22" s="21"/>
      <c r="E22" s="26" t="str">
        <f t="array" ref="E22">IF(OR($C22="",$D22=""),"",IFERROR(ROUND($C22/(INDEX(TABELE!$B$4:$J$18,MATCH($D22,TABELE!$A$4:$A$18,0),MATCH(10,TABELE!$B$3:$J$3,0))/100),1),"powt. 1–15"))</f>
        <v/>
      </c>
      <c r="F22" s="5"/>
      <c r="G22" s="5"/>
      <c r="H22" s="5"/>
      <c r="I22" s="5"/>
      <c r="J22" s="5"/>
      <c r="K22" s="5" t="s">
        <v>77</v>
      </c>
      <c r="L22" s="5" t="str">
        <f>IF('T1'!$C26="","",'T1'!$Q26)</f>
        <v/>
      </c>
      <c r="M22" s="5">
        <f t="shared" si="1"/>
        <v>0</v>
      </c>
      <c r="N22" s="5">
        <f t="shared" si="2"/>
        <v>0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9.5" customHeight="1">
      <c r="A23" s="18" t="str">
        <f>IF('T1'!$A27="","",'T1'!$A27)</f>
        <v>C2.</v>
      </c>
      <c r="B23" s="20" t="str">
        <f>IF('T1'!$C27="","",'T1'!$C27)</f>
        <v/>
      </c>
      <c r="C23" s="21"/>
      <c r="D23" s="21"/>
      <c r="E23" s="26" t="str">
        <f t="array" ref="E23">IF(OR($C23="",$D23=""),"",IFERROR(ROUND($C23/(INDEX(TABELE!$B$4:$J$18,MATCH($D23,TABELE!$A$4:$A$18,0),MATCH(10,TABELE!$B$3:$J$3,0))/100),1),"powt. 1–15"))</f>
        <v/>
      </c>
      <c r="F23" s="5"/>
      <c r="G23" s="5"/>
      <c r="H23" s="5"/>
      <c r="I23" s="5"/>
      <c r="J23" s="5"/>
      <c r="K23" s="5" t="s">
        <v>79</v>
      </c>
      <c r="L23" s="5" t="str">
        <f>IF('T1'!$C27="","",'T1'!$Q27)</f>
        <v/>
      </c>
      <c r="M23" s="5">
        <f t="shared" si="1"/>
        <v>0</v>
      </c>
      <c r="N23" s="5">
        <f t="shared" si="2"/>
        <v>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>
      <c r="A24" s="18" t="str">
        <f>IF('T1'!$A28="","",'T1'!$A28)</f>
        <v>D1.</v>
      </c>
      <c r="B24" s="20" t="str">
        <f>IF('T1'!$C28="","",'T1'!$C28)</f>
        <v/>
      </c>
      <c r="C24" s="21"/>
      <c r="D24" s="21"/>
      <c r="E24" s="26" t="str">
        <f t="array" ref="E24">IF(OR($C24="",$D24=""),"",IFERROR(ROUND($C24/(INDEX(TABELE!$B$4:$J$18,MATCH($D24,TABELE!$A$4:$A$18,0),MATCH(10,TABELE!$B$3:$J$3,0))/100),1),"powt. 1–15"))</f>
        <v/>
      </c>
      <c r="F24" s="5"/>
      <c r="G24" s="5"/>
      <c r="H24" s="5"/>
      <c r="I24" s="5"/>
      <c r="J24" s="5"/>
      <c r="K24" s="5" t="s">
        <v>80</v>
      </c>
      <c r="L24" s="5" t="str">
        <f>IF('T1'!$C28="","",'T1'!$Q28)</f>
        <v/>
      </c>
      <c r="M24" s="5">
        <f t="shared" si="1"/>
        <v>0</v>
      </c>
      <c r="N24" s="5">
        <f t="shared" si="2"/>
        <v>0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18" t="str">
        <f>IF('T1'!$A29="","",'T1'!$A29)</f>
        <v>D2.</v>
      </c>
      <c r="B25" s="20" t="str">
        <f>IF('T1'!$C29="","",'T1'!$C29)</f>
        <v/>
      </c>
      <c r="C25" s="21"/>
      <c r="D25" s="21"/>
      <c r="E25" s="26" t="str">
        <f t="array" ref="E25">IF(OR($C25="",$D25=""),"",IFERROR(ROUND($C25/(INDEX(TABELE!$B$4:$J$18,MATCH($D25,TABELE!$A$4:$A$18,0),MATCH(10,TABELE!$B$3:$J$3,0))/100),1),"powt. 1–15"))</f>
        <v/>
      </c>
      <c r="F25" s="5"/>
      <c r="G25" s="5"/>
      <c r="H25" s="5"/>
      <c r="I25" s="5"/>
      <c r="J25" s="5"/>
      <c r="K25" s="5" t="s">
        <v>81</v>
      </c>
      <c r="L25" s="5" t="str">
        <f>IF('T1'!$C29="","",'T1'!$Q29)</f>
        <v/>
      </c>
      <c r="M25" s="5">
        <f t="shared" si="1"/>
        <v>0</v>
      </c>
      <c r="N25" s="5">
        <f t="shared" si="2"/>
        <v>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9.5" customHeight="1">
      <c r="A26" s="18" t="str">
        <f>IF('T1'!$A30="","",'T1'!$A30)</f>
        <v>E1.</v>
      </c>
      <c r="B26" s="20" t="str">
        <f>IF('T1'!$C30="","",'T1'!$C30)</f>
        <v/>
      </c>
      <c r="C26" s="21"/>
      <c r="D26" s="21"/>
      <c r="E26" s="26" t="str">
        <f t="array" ref="E26">IF(OR($C26="",$D26=""),"",IFERROR(ROUND($C26/(INDEX(TABELE!$B$4:$J$18,MATCH($D26,TABELE!$A$4:$A$18,0),MATCH(10,TABELE!$B$3:$J$3,0))/100),1),"powt. 1–15"))</f>
        <v/>
      </c>
      <c r="F26" s="5"/>
      <c r="G26" s="5"/>
      <c r="H26" s="5"/>
      <c r="I26" s="5"/>
      <c r="J26" s="5"/>
      <c r="K26" s="5" t="s">
        <v>82</v>
      </c>
      <c r="L26" s="5" t="str">
        <f>IF('T1'!$C30="","",'T1'!$Q30)</f>
        <v/>
      </c>
      <c r="M26" s="5">
        <f t="shared" si="1"/>
        <v>0</v>
      </c>
      <c r="N26" s="5">
        <f t="shared" si="2"/>
        <v>0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9.5" customHeight="1">
      <c r="A27" s="18" t="str">
        <f>IF('T1'!$A31="","",'T1'!$A31)</f>
        <v>E2.</v>
      </c>
      <c r="B27" s="20" t="str">
        <f>IF('T1'!$C31="","",'T1'!$C31)</f>
        <v/>
      </c>
      <c r="C27" s="21"/>
      <c r="D27" s="21"/>
      <c r="E27" s="26" t="str">
        <f t="array" ref="E27">IF(OR($C27="",$D27=""),"",IFERROR(ROUND($C27/(INDEX(TABELE!$B$4:$J$18,MATCH($D27,TABELE!$A$4:$A$18,0),MATCH(10,TABELE!$B$3:$J$3,0))/100),1),"powt. 1–15"))</f>
        <v/>
      </c>
      <c r="F27" s="5"/>
      <c r="G27" s="5"/>
      <c r="H27" s="5"/>
      <c r="I27" s="5"/>
      <c r="J27" s="5"/>
      <c r="K27" s="5" t="s">
        <v>83</v>
      </c>
      <c r="L27" s="5" t="str">
        <f>IF('T1'!$C31="","",'T1'!$Q31)</f>
        <v/>
      </c>
      <c r="M27" s="5">
        <f t="shared" si="1"/>
        <v>0</v>
      </c>
      <c r="N27" s="5">
        <f t="shared" si="2"/>
        <v>0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9.5" customHeight="1">
      <c r="A28" s="18" t="str">
        <f>IF('T1'!$A32="","",'T1'!$A32)</f>
        <v/>
      </c>
      <c r="B28" s="20" t="str">
        <f>IF('T1'!$C32="","",'T1'!$C32)</f>
        <v/>
      </c>
      <c r="C28" s="21"/>
      <c r="D28" s="21"/>
      <c r="E28" s="26" t="str">
        <f t="array" ref="E28">IF(OR($C28="",$D28=""),"",IFERROR(ROUND($C28/(INDEX(TABELE!$B$4:$J$18,MATCH($D28,TABELE!$A$4:$A$18,0),MATCH(10,TABELE!$B$3:$J$3,0))/100),1),"powt. 1–15"))</f>
        <v/>
      </c>
      <c r="F28" s="5"/>
      <c r="G28" s="5"/>
      <c r="H28" s="5"/>
      <c r="I28" s="5"/>
      <c r="J28" s="5"/>
      <c r="K28" s="5" t="s">
        <v>85</v>
      </c>
      <c r="L28" s="5" t="str">
        <f>IF('T1'!$C32="","",'T1'!$Q32)</f>
        <v/>
      </c>
      <c r="M28" s="5">
        <f t="shared" si="1"/>
        <v>0</v>
      </c>
      <c r="N28" s="5">
        <f t="shared" si="2"/>
        <v>0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9.5" customHeight="1">
      <c r="A29" s="18" t="str">
        <f>IF('T1'!$A33="","",'T1'!$A33)</f>
        <v/>
      </c>
      <c r="B29" s="20" t="str">
        <f>IF('T1'!$C33="","",'T1'!$C33)</f>
        <v/>
      </c>
      <c r="C29" s="21"/>
      <c r="D29" s="21"/>
      <c r="E29" s="26" t="str">
        <f t="array" ref="E29">IF(OR($C29="",$D29=""),"",IFERROR(ROUND($C29/(INDEX(TABELE!$B$4:$J$18,MATCH($D29,TABELE!$A$4:$A$18,0),MATCH(10,TABELE!$B$3:$J$3,0))/100),1),"powt. 1–15"))</f>
        <v/>
      </c>
      <c r="F29" s="5"/>
      <c r="G29" s="5"/>
      <c r="H29" s="5"/>
      <c r="I29" s="5"/>
      <c r="J29" s="5"/>
      <c r="K29" s="5" t="s">
        <v>86</v>
      </c>
      <c r="L29" s="5" t="str">
        <f>IF('T1'!$C33="","",'T1'!$Q33)</f>
        <v/>
      </c>
      <c r="M29" s="5">
        <f t="shared" si="1"/>
        <v>0</v>
      </c>
      <c r="N29" s="5">
        <f t="shared" si="2"/>
        <v>0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>
      <c r="A30" s="18" t="str">
        <f>IF('T1'!$A34="","",'T1'!$A34)</f>
        <v/>
      </c>
      <c r="B30" s="20" t="str">
        <f>IF('T1'!$C34="","",'T1'!$C34)</f>
        <v/>
      </c>
      <c r="C30" s="21"/>
      <c r="D30" s="21"/>
      <c r="E30" s="26" t="str">
        <f t="array" ref="E30">IF(OR($C30="",$D30=""),"",IFERROR(ROUND($C30/(INDEX(TABELE!$B$4:$J$18,MATCH($D30,TABELE!$A$4:$A$18,0),MATCH(10,TABELE!$B$3:$J$3,0))/100),1),"powt. 1–15"))</f>
        <v/>
      </c>
      <c r="F30" s="5"/>
      <c r="G30" s="5"/>
      <c r="H30" s="5"/>
      <c r="I30" s="5"/>
      <c r="J30" s="5"/>
      <c r="K30" s="5" t="s">
        <v>87</v>
      </c>
      <c r="L30" s="5" t="str">
        <f>IF('T1'!$C34="","",'T1'!$Q34)</f>
        <v/>
      </c>
      <c r="M30" s="5">
        <f t="shared" si="1"/>
        <v>0</v>
      </c>
      <c r="N30" s="5">
        <f t="shared" si="2"/>
        <v>0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1.75" customHeight="1">
      <c r="A31" s="16" t="s">
        <v>88</v>
      </c>
      <c r="B31" s="3"/>
      <c r="C31" s="3"/>
      <c r="D31" s="3"/>
      <c r="E31" s="4"/>
      <c r="F31" s="5"/>
      <c r="G31" s="5"/>
      <c r="H31" s="5"/>
      <c r="I31" s="5"/>
      <c r="J31" s="5"/>
      <c r="K31" s="5"/>
      <c r="L31" s="5"/>
      <c r="M31" s="5">
        <f t="shared" si="1"/>
        <v>0</v>
      </c>
      <c r="N31" s="5">
        <f t="shared" si="2"/>
        <v>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>
      <c r="A32" s="18" t="str">
        <f>IF('T1'!$A39="","",'T1'!$A39)</f>
        <v>A1.</v>
      </c>
      <c r="B32" s="20" t="str">
        <f>IF('T1'!$C39="","",'T1'!$C39)</f>
        <v/>
      </c>
      <c r="C32" s="21"/>
      <c r="D32" s="21"/>
      <c r="E32" s="26" t="str">
        <f t="array" ref="E32">IF(OR($C32="",$D32=""),"",IFERROR(ROUND($C32/(INDEX(TABELE!$B$4:$J$18,MATCH($D32,TABELE!$A$4:$A$18,0),MATCH(10,TABELE!$B$3:$J$3,0))/100),1),"powt. 1–15"))</f>
        <v/>
      </c>
      <c r="F32" s="5"/>
      <c r="G32" s="5"/>
      <c r="H32" s="5"/>
      <c r="I32" s="5"/>
      <c r="J32" s="5"/>
      <c r="K32" s="5" t="s">
        <v>89</v>
      </c>
      <c r="L32" s="5" t="str">
        <f>IF('T1'!$C39="","",'T1'!$Q39)</f>
        <v/>
      </c>
      <c r="M32" s="5">
        <f t="shared" si="1"/>
        <v>0</v>
      </c>
      <c r="N32" s="5">
        <f t="shared" si="2"/>
        <v>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>
      <c r="A33" s="18" t="str">
        <f>IF('T1'!$A40="","",'T1'!$A40)</f>
        <v>B1.</v>
      </c>
      <c r="B33" s="20" t="str">
        <f>IF('T1'!$C40="","",'T1'!$C40)</f>
        <v/>
      </c>
      <c r="C33" s="21"/>
      <c r="D33" s="21"/>
      <c r="E33" s="26" t="str">
        <f t="array" ref="E33">IF(OR($C33="",$D33=""),"",IFERROR(ROUND($C33/(INDEX(TABELE!$B$4:$J$18,MATCH($D33,TABELE!$A$4:$A$18,0),MATCH(10,TABELE!$B$3:$J$3,0))/100),1),"powt. 1–15"))</f>
        <v/>
      </c>
      <c r="F33" s="5"/>
      <c r="G33" s="5"/>
      <c r="H33" s="5"/>
      <c r="I33" s="5"/>
      <c r="J33" s="5"/>
      <c r="K33" s="5" t="s">
        <v>90</v>
      </c>
      <c r="L33" s="5" t="str">
        <f>IF('T1'!$C40="","",'T1'!$Q40)</f>
        <v/>
      </c>
      <c r="M33" s="5">
        <f t="shared" si="1"/>
        <v>0</v>
      </c>
      <c r="N33" s="5">
        <f t="shared" si="2"/>
        <v>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>
      <c r="A34" s="18" t="str">
        <f>IF('T1'!$A41="","",'T1'!$A41)</f>
        <v>B2.</v>
      </c>
      <c r="B34" s="20" t="str">
        <f>IF('T1'!$C41="","",'T1'!$C41)</f>
        <v/>
      </c>
      <c r="C34" s="21"/>
      <c r="D34" s="21"/>
      <c r="E34" s="26" t="str">
        <f t="array" ref="E34">IF(OR($C34="",$D34=""),"",IFERROR(ROUND($C34/(INDEX(TABELE!$B$4:$J$18,MATCH($D34,TABELE!$A$4:$A$18,0),MATCH(10,TABELE!$B$3:$J$3,0))/100),1),"powt. 1–15"))</f>
        <v/>
      </c>
      <c r="F34" s="5"/>
      <c r="G34" s="5"/>
      <c r="H34" s="5"/>
      <c r="I34" s="5"/>
      <c r="J34" s="5"/>
      <c r="K34" s="5" t="s">
        <v>91</v>
      </c>
      <c r="L34" s="5" t="str">
        <f>IF('T1'!$C41="","",'T1'!$Q41)</f>
        <v/>
      </c>
      <c r="M34" s="5">
        <f t="shared" si="1"/>
        <v>0</v>
      </c>
      <c r="N34" s="5">
        <f t="shared" si="2"/>
        <v>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9.5" customHeight="1">
      <c r="A35" s="18" t="str">
        <f>IF('T1'!$A42="","",'T1'!$A42)</f>
        <v>C1.</v>
      </c>
      <c r="B35" s="20" t="str">
        <f>IF('T1'!$C42="","",'T1'!$C42)</f>
        <v/>
      </c>
      <c r="C35" s="21"/>
      <c r="D35" s="21"/>
      <c r="E35" s="26" t="str">
        <f t="array" ref="E35">IF(OR($C35="",$D35=""),"",IFERROR(ROUND($C35/(INDEX(TABELE!$B$4:$J$18,MATCH($D35,TABELE!$A$4:$A$18,0),MATCH(10,TABELE!$B$3:$J$3,0))/100),1),"powt. 1–15"))</f>
        <v/>
      </c>
      <c r="F35" s="5"/>
      <c r="G35" s="5"/>
      <c r="H35" s="5"/>
      <c r="I35" s="5"/>
      <c r="J35" s="5"/>
      <c r="K35" s="5" t="s">
        <v>92</v>
      </c>
      <c r="L35" s="5" t="str">
        <f>IF('T1'!$C42="","",'T1'!$Q42)</f>
        <v/>
      </c>
      <c r="M35" s="5">
        <f t="shared" si="1"/>
        <v>0</v>
      </c>
      <c r="N35" s="5">
        <f t="shared" si="2"/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9.5" customHeight="1">
      <c r="A36" s="18" t="str">
        <f>IF('T1'!$A43="","",'T1'!$A43)</f>
        <v>C2.</v>
      </c>
      <c r="B36" s="20" t="str">
        <f>IF('T1'!$C43="","",'T1'!$C43)</f>
        <v/>
      </c>
      <c r="C36" s="21"/>
      <c r="D36" s="21"/>
      <c r="E36" s="26" t="str">
        <f t="array" ref="E36">IF(OR($C36="",$D36=""),"",IFERROR(ROUND($C36/(INDEX(TABELE!$B$4:$J$18,MATCH($D36,TABELE!$A$4:$A$18,0),MATCH(10,TABELE!$B$3:$J$3,0))/100),1),"powt. 1–15"))</f>
        <v/>
      </c>
      <c r="F36" s="5"/>
      <c r="G36" s="5"/>
      <c r="H36" s="5"/>
      <c r="I36" s="5"/>
      <c r="J36" s="5"/>
      <c r="K36" s="5" t="s">
        <v>94</v>
      </c>
      <c r="L36" s="5" t="str">
        <f>IF('T1'!$C43="","",'T1'!$Q43)</f>
        <v/>
      </c>
      <c r="M36" s="5">
        <f t="shared" si="1"/>
        <v>0</v>
      </c>
      <c r="N36" s="5">
        <f t="shared" si="2"/>
        <v>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9.5" customHeight="1">
      <c r="A37" s="18" t="str">
        <f>IF('T1'!$A44="","",'T1'!$A44)</f>
        <v>D1.</v>
      </c>
      <c r="B37" s="20" t="str">
        <f>IF('T1'!$C44="","",'T1'!$C44)</f>
        <v/>
      </c>
      <c r="C37" s="21"/>
      <c r="D37" s="21"/>
      <c r="E37" s="26" t="str">
        <f t="array" ref="E37">IF(OR($C37="",$D37=""),"",IFERROR(ROUND($C37/(INDEX(TABELE!$B$4:$J$18,MATCH($D37,TABELE!$A$4:$A$18,0),MATCH(10,TABELE!$B$3:$J$3,0))/100),1),"powt. 1–15"))</f>
        <v/>
      </c>
      <c r="F37" s="5"/>
      <c r="G37" s="5"/>
      <c r="H37" s="5"/>
      <c r="I37" s="5"/>
      <c r="J37" s="5"/>
      <c r="K37" s="5" t="s">
        <v>95</v>
      </c>
      <c r="L37" s="5" t="str">
        <f>IF('T1'!$C44="","",'T1'!$Q44)</f>
        <v/>
      </c>
      <c r="M37" s="5">
        <f t="shared" si="1"/>
        <v>0</v>
      </c>
      <c r="N37" s="5">
        <f t="shared" si="2"/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9.5" customHeight="1">
      <c r="A38" s="18" t="str">
        <f>IF('T1'!$A45="","",'T1'!$A45)</f>
        <v>D2.</v>
      </c>
      <c r="B38" s="20" t="str">
        <f>IF('T1'!$C45="","",'T1'!$C45)</f>
        <v/>
      </c>
      <c r="C38" s="21"/>
      <c r="D38" s="21"/>
      <c r="E38" s="26" t="str">
        <f t="array" ref="E38">IF(OR($C38="",$D38=""),"",IFERROR(ROUND($C38/(INDEX(TABELE!$B$4:$J$18,MATCH($D38,TABELE!$A$4:$A$18,0),MATCH(10,TABELE!$B$3:$J$3,0))/100),1),"powt. 1–15"))</f>
        <v/>
      </c>
      <c r="F38" s="5"/>
      <c r="G38" s="5"/>
      <c r="H38" s="5"/>
      <c r="I38" s="5"/>
      <c r="J38" s="5"/>
      <c r="K38" s="5" t="s">
        <v>96</v>
      </c>
      <c r="L38" s="5" t="str">
        <f>IF('T1'!$C45="","",'T1'!$Q45)</f>
        <v/>
      </c>
      <c r="M38" s="5">
        <f t="shared" si="1"/>
        <v>0</v>
      </c>
      <c r="N38" s="5">
        <f t="shared" si="2"/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>
      <c r="A39" s="18" t="str">
        <f>IF('T1'!$A46="","",'T1'!$A46)</f>
        <v>E1.</v>
      </c>
      <c r="B39" s="20" t="str">
        <f>IF('T1'!$C46="","",'T1'!$C46)</f>
        <v/>
      </c>
      <c r="C39" s="21"/>
      <c r="D39" s="21"/>
      <c r="E39" s="26" t="str">
        <f t="array" ref="E39">IF(OR($C39="",$D39=""),"",IFERROR(ROUND($C39/(INDEX(TABELE!$B$4:$J$18,MATCH($D39,TABELE!$A$4:$A$18,0),MATCH(10,TABELE!$B$3:$J$3,0))/100),1),"powt. 1–15"))</f>
        <v/>
      </c>
      <c r="F39" s="5"/>
      <c r="G39" s="5"/>
      <c r="H39" s="5"/>
      <c r="I39" s="5"/>
      <c r="J39" s="5"/>
      <c r="K39" s="5" t="s">
        <v>97</v>
      </c>
      <c r="L39" s="5" t="str">
        <f>IF('T1'!$C46="","",'T1'!$Q46)</f>
        <v/>
      </c>
      <c r="M39" s="5">
        <f t="shared" si="1"/>
        <v>0</v>
      </c>
      <c r="N39" s="5">
        <f t="shared" si="2"/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9.5" customHeight="1">
      <c r="A40" s="18" t="str">
        <f>IF('T1'!$A47="","",'T1'!$A47)</f>
        <v>E2.</v>
      </c>
      <c r="B40" s="20" t="str">
        <f>IF('T1'!$C47="","",'T1'!$C47)</f>
        <v/>
      </c>
      <c r="C40" s="21"/>
      <c r="D40" s="21"/>
      <c r="E40" s="26" t="str">
        <f t="array" ref="E40">IF(OR($C40="",$D40=""),"",IFERROR(ROUND($C40/(INDEX(TABELE!$B$4:$J$18,MATCH($D40,TABELE!$A$4:$A$18,0),MATCH(10,TABELE!$B$3:$J$3,0))/100),1),"powt. 1–15"))</f>
        <v/>
      </c>
      <c r="F40" s="5"/>
      <c r="G40" s="5"/>
      <c r="H40" s="5"/>
      <c r="I40" s="5"/>
      <c r="J40" s="5"/>
      <c r="K40" s="5" t="s">
        <v>98</v>
      </c>
      <c r="L40" s="5" t="str">
        <f>IF('T1'!$C47="","",'T1'!$Q47)</f>
        <v/>
      </c>
      <c r="M40" s="5">
        <f t="shared" si="1"/>
        <v>0</v>
      </c>
      <c r="N40" s="5">
        <f t="shared" si="2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9.5" customHeight="1">
      <c r="A41" s="18" t="str">
        <f>IF('T1'!$A48="","",'T1'!$A48)</f>
        <v/>
      </c>
      <c r="B41" s="20" t="str">
        <f>IF('T1'!$C48="","",'T1'!$C48)</f>
        <v/>
      </c>
      <c r="C41" s="21"/>
      <c r="D41" s="21"/>
      <c r="E41" s="26" t="str">
        <f t="array" ref="E41">IF(OR($C41="",$D41=""),"",IFERROR(ROUND($C41/(INDEX(TABELE!$B$4:$J$18,MATCH($D41,TABELE!$A$4:$A$18,0),MATCH(10,TABELE!$B$3:$J$3,0))/100),1),"powt. 1–15"))</f>
        <v/>
      </c>
      <c r="F41" s="5"/>
      <c r="G41" s="5"/>
      <c r="H41" s="5"/>
      <c r="I41" s="5"/>
      <c r="J41" s="5"/>
      <c r="K41" s="5" t="s">
        <v>99</v>
      </c>
      <c r="L41" s="5" t="str">
        <f>IF('T1'!$C48="","",'T1'!$Q48)</f>
        <v/>
      </c>
      <c r="M41" s="5">
        <f t="shared" si="1"/>
        <v>0</v>
      </c>
      <c r="N41" s="5">
        <f t="shared" si="2"/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9.5" customHeight="1">
      <c r="A42" s="18" t="str">
        <f>IF('T1'!$A49="","",'T1'!$A49)</f>
        <v/>
      </c>
      <c r="B42" s="20" t="str">
        <f>IF('T1'!$C49="","",'T1'!$C49)</f>
        <v/>
      </c>
      <c r="C42" s="21"/>
      <c r="D42" s="21"/>
      <c r="E42" s="26" t="str">
        <f t="array" ref="E42">IF(OR($C42="",$D42=""),"",IFERROR(ROUND($C42/(INDEX(TABELE!$B$4:$J$18,MATCH($D42,TABELE!$A$4:$A$18,0),MATCH(10,TABELE!$B$3:$J$3,0))/100),1),"powt. 1–15"))</f>
        <v/>
      </c>
      <c r="F42" s="5"/>
      <c r="G42" s="5"/>
      <c r="H42" s="5"/>
      <c r="I42" s="5"/>
      <c r="J42" s="5"/>
      <c r="K42" s="5" t="s">
        <v>101</v>
      </c>
      <c r="L42" s="5" t="str">
        <f>IF('T1'!$C49="","",'T1'!$Q49)</f>
        <v/>
      </c>
      <c r="M42" s="5">
        <f t="shared" si="1"/>
        <v>0</v>
      </c>
      <c r="N42" s="5">
        <f t="shared" si="2"/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>
      <c r="A43" s="18" t="str">
        <f>IF('T1'!$A50="","",'T1'!$A50)</f>
        <v/>
      </c>
      <c r="B43" s="20" t="str">
        <f>IF('T1'!$C50="","",'T1'!$C50)</f>
        <v/>
      </c>
      <c r="C43" s="21"/>
      <c r="D43" s="21"/>
      <c r="E43" s="26" t="str">
        <f t="array" ref="E43">IF(OR($C43="",$D43=""),"",IFERROR(ROUND($C43/(INDEX(TABELE!$B$4:$J$18,MATCH($D43,TABELE!$A$4:$A$18,0),MATCH(10,TABELE!$B$3:$J$3,0))/100),1),"powt. 1–15"))</f>
        <v/>
      </c>
      <c r="F43" s="5"/>
      <c r="G43" s="5"/>
      <c r="H43" s="5"/>
      <c r="I43" s="5"/>
      <c r="J43" s="5"/>
      <c r="K43" s="5" t="s">
        <v>102</v>
      </c>
      <c r="L43" s="5" t="str">
        <f>IF('T1'!$C50="","",'T1'!$Q50)</f>
        <v/>
      </c>
      <c r="M43" s="5">
        <f t="shared" si="1"/>
        <v>0</v>
      </c>
      <c r="N43" s="5">
        <f t="shared" si="2"/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1.75" hidden="1" customHeight="1" outlineLevel="1">
      <c r="A44" s="16" t="s">
        <v>103</v>
      </c>
      <c r="B44" s="3"/>
      <c r="C44" s="3"/>
      <c r="D44" s="3"/>
      <c r="E44" s="4"/>
      <c r="F44" s="5"/>
      <c r="G44" s="5"/>
      <c r="H44" s="5"/>
      <c r="I44" s="5"/>
      <c r="J44" s="5"/>
      <c r="K44" s="5"/>
      <c r="L44" s="5"/>
      <c r="M44" s="5">
        <f t="shared" si="1"/>
        <v>0</v>
      </c>
      <c r="N44" s="5">
        <f t="shared" si="2"/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.5" hidden="1" customHeight="1" outlineLevel="1">
      <c r="A45" s="18" t="str">
        <f>IF('T1'!$A55="","",'T1'!$A55)</f>
        <v>A1.</v>
      </c>
      <c r="B45" s="20" t="str">
        <f>IF('T1'!$C55="","",'T1'!$C55)</f>
        <v/>
      </c>
      <c r="C45" s="21"/>
      <c r="D45" s="21"/>
      <c r="E45" s="26" t="str">
        <f t="array" ref="E45">IF(OR($C45="",$D45=""),"",IFERROR(ROUND($C45/(INDEX(TABELE!$B$4:$J$18,MATCH($D45,TABELE!$A$4:$A$18,0),MATCH(10,TABELE!$B$3:$J$3,0))/100),1),"powt. 1–15"))</f>
        <v/>
      </c>
      <c r="F45" s="5"/>
      <c r="G45" s="5"/>
      <c r="H45" s="5"/>
      <c r="I45" s="5"/>
      <c r="J45" s="5"/>
      <c r="K45" s="5" t="s">
        <v>104</v>
      </c>
      <c r="L45" s="5" t="str">
        <f>IF('T1'!$C55="","",'T1'!$Q55)</f>
        <v/>
      </c>
      <c r="M45" s="5">
        <f t="shared" si="1"/>
        <v>0</v>
      </c>
      <c r="N45" s="5">
        <f t="shared" si="2"/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hidden="1" customHeight="1" outlineLevel="1">
      <c r="A46" s="18" t="str">
        <f>IF('T1'!$A56="","",'T1'!$A56)</f>
        <v>B1.</v>
      </c>
      <c r="B46" s="20" t="str">
        <f>IF('T1'!$C56="","",'T1'!$C56)</f>
        <v/>
      </c>
      <c r="C46" s="21"/>
      <c r="D46" s="21"/>
      <c r="E46" s="26" t="str">
        <f t="array" ref="E46">IF(OR($C46="",$D46=""),"",IFERROR(ROUND($C46/(INDEX(TABELE!$B$4:$J$18,MATCH($D46,TABELE!$A$4:$A$18,0),MATCH(10,TABELE!$B$3:$J$3,0))/100),1),"powt. 1–15"))</f>
        <v/>
      </c>
      <c r="F46" s="5"/>
      <c r="G46" s="5"/>
      <c r="H46" s="5"/>
      <c r="I46" s="5"/>
      <c r="J46" s="5"/>
      <c r="K46" s="5" t="s">
        <v>105</v>
      </c>
      <c r="L46" s="5" t="str">
        <f>IF('T1'!$C56="","",'T1'!$Q56)</f>
        <v/>
      </c>
      <c r="M46" s="5">
        <f t="shared" si="1"/>
        <v>0</v>
      </c>
      <c r="N46" s="5">
        <f t="shared" si="2"/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hidden="1" customHeight="1" outlineLevel="1">
      <c r="A47" s="18" t="str">
        <f>IF('T1'!$A57="","",'T1'!$A57)</f>
        <v>B2.</v>
      </c>
      <c r="B47" s="20" t="str">
        <f>IF('T1'!$C57="","",'T1'!$C57)</f>
        <v/>
      </c>
      <c r="C47" s="21"/>
      <c r="D47" s="21"/>
      <c r="E47" s="26" t="str">
        <f t="array" ref="E47">IF(OR($C47="",$D47=""),"",IFERROR(ROUND($C47/(INDEX(TABELE!$B$4:$J$18,MATCH($D47,TABELE!$A$4:$A$18,0),MATCH(10,TABELE!$B$3:$J$3,0))/100),1),"powt. 1–15"))</f>
        <v/>
      </c>
      <c r="F47" s="5"/>
      <c r="G47" s="5"/>
      <c r="H47" s="5"/>
      <c r="I47" s="5"/>
      <c r="J47" s="5"/>
      <c r="K47" s="5" t="s">
        <v>106</v>
      </c>
      <c r="L47" s="5" t="str">
        <f>IF('T1'!$C57="","",'T1'!$Q57)</f>
        <v/>
      </c>
      <c r="M47" s="5">
        <f t="shared" si="1"/>
        <v>0</v>
      </c>
      <c r="N47" s="5">
        <f t="shared" si="2"/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hidden="1" customHeight="1" outlineLevel="1">
      <c r="A48" s="18" t="str">
        <f>IF('T1'!$A58="","",'T1'!$A58)</f>
        <v>C1.</v>
      </c>
      <c r="B48" s="20" t="str">
        <f>IF('T1'!$C58="","",'T1'!$C58)</f>
        <v/>
      </c>
      <c r="C48" s="21"/>
      <c r="D48" s="21"/>
      <c r="E48" s="26" t="str">
        <f t="array" ref="E48">IF(OR($C48="",$D48=""),"",IFERROR(ROUND($C48/(INDEX(TABELE!$B$4:$J$18,MATCH($D48,TABELE!$A$4:$A$18,0),MATCH(10,TABELE!$B$3:$J$3,0))/100),1),"powt. 1–15"))</f>
        <v/>
      </c>
      <c r="F48" s="5"/>
      <c r="G48" s="5"/>
      <c r="H48" s="5"/>
      <c r="I48" s="5"/>
      <c r="J48" s="5"/>
      <c r="K48" s="5" t="s">
        <v>108</v>
      </c>
      <c r="L48" s="5" t="str">
        <f>IF('T1'!$C58="","",'T1'!$Q58)</f>
        <v/>
      </c>
      <c r="M48" s="5">
        <f t="shared" si="1"/>
        <v>0</v>
      </c>
      <c r="N48" s="5">
        <f t="shared" si="2"/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hidden="1" customHeight="1" outlineLevel="1">
      <c r="A49" s="18" t="str">
        <f>IF('T1'!$A59="","",'T1'!$A59)</f>
        <v>C2.</v>
      </c>
      <c r="B49" s="20" t="str">
        <f>IF('T1'!$C59="","",'T1'!$C59)</f>
        <v/>
      </c>
      <c r="C49" s="21"/>
      <c r="D49" s="21"/>
      <c r="E49" s="26" t="str">
        <f t="array" ref="E49">IF(OR($C49="",$D49=""),"",IFERROR(ROUND($C49/(INDEX(TABELE!$B$4:$J$18,MATCH($D49,TABELE!$A$4:$A$18,0),MATCH(10,TABELE!$B$3:$J$3,0))/100),1),"powt. 1–15"))</f>
        <v/>
      </c>
      <c r="F49" s="5"/>
      <c r="G49" s="5"/>
      <c r="H49" s="5"/>
      <c r="I49" s="5"/>
      <c r="J49" s="5"/>
      <c r="K49" s="5" t="s">
        <v>109</v>
      </c>
      <c r="L49" s="5" t="str">
        <f>IF('T1'!$C59="","",'T1'!$Q59)</f>
        <v/>
      </c>
      <c r="M49" s="5">
        <f t="shared" si="1"/>
        <v>0</v>
      </c>
      <c r="N49" s="5">
        <f t="shared" si="2"/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hidden="1" customHeight="1" outlineLevel="1">
      <c r="A50" s="18" t="str">
        <f>IF('T1'!$A60="","",'T1'!$A60)</f>
        <v>D1.</v>
      </c>
      <c r="B50" s="20" t="str">
        <f>IF('T1'!$C60="","",'T1'!$C60)</f>
        <v/>
      </c>
      <c r="C50" s="21"/>
      <c r="D50" s="21"/>
      <c r="E50" s="26" t="str">
        <f t="array" ref="E50">IF(OR($C50="",$D50=""),"",IFERROR(ROUND($C50/(INDEX(TABELE!$B$4:$J$18,MATCH($D50,TABELE!$A$4:$A$18,0),MATCH(10,TABELE!$B$3:$J$3,0))/100),1),"powt. 1–15"))</f>
        <v/>
      </c>
      <c r="F50" s="5"/>
      <c r="G50" s="5"/>
      <c r="H50" s="5"/>
      <c r="I50" s="5"/>
      <c r="J50" s="5"/>
      <c r="K50" s="5" t="s">
        <v>110</v>
      </c>
      <c r="L50" s="5" t="str">
        <f>IF('T1'!$C60="","",'T1'!$Q60)</f>
        <v/>
      </c>
      <c r="M50" s="5">
        <f t="shared" si="1"/>
        <v>0</v>
      </c>
      <c r="N50" s="5">
        <f t="shared" si="2"/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hidden="1" customHeight="1" outlineLevel="1">
      <c r="A51" s="18" t="str">
        <f>IF('T1'!$A61="","",'T1'!$A61)</f>
        <v>D2.</v>
      </c>
      <c r="B51" s="20" t="str">
        <f>IF('T1'!$C61="","",'T1'!$C61)</f>
        <v/>
      </c>
      <c r="C51" s="21"/>
      <c r="D51" s="21"/>
      <c r="E51" s="26" t="str">
        <f t="array" ref="E51">IF(OR($C51="",$D51=""),"",IFERROR(ROUND($C51/(INDEX(TABELE!$B$4:$J$18,MATCH($D51,TABELE!$A$4:$A$18,0),MATCH(10,TABELE!$B$3:$J$3,0))/100),1),"powt. 1–15"))</f>
        <v/>
      </c>
      <c r="F51" s="5"/>
      <c r="G51" s="5"/>
      <c r="H51" s="5"/>
      <c r="I51" s="5"/>
      <c r="J51" s="5"/>
      <c r="K51" s="5" t="s">
        <v>112</v>
      </c>
      <c r="L51" s="5" t="str">
        <f>IF('T1'!$C61="","",'T1'!$Q61)</f>
        <v/>
      </c>
      <c r="M51" s="5">
        <f t="shared" si="1"/>
        <v>0</v>
      </c>
      <c r="N51" s="5">
        <f t="shared" si="2"/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9.5" hidden="1" customHeight="1" outlineLevel="1">
      <c r="A52" s="18" t="str">
        <f>IF('T1'!$A62="","",'T1'!$A62)</f>
        <v>E1.</v>
      </c>
      <c r="B52" s="20" t="str">
        <f>IF('T1'!$C62="","",'T1'!$C62)</f>
        <v/>
      </c>
      <c r="C52" s="21"/>
      <c r="D52" s="21"/>
      <c r="E52" s="26" t="str">
        <f t="array" ref="E52">IF(OR($C52="",$D52=""),"",IFERROR(ROUND($C52/(INDEX(TABELE!$B$4:$J$18,MATCH($D52,TABELE!$A$4:$A$18,0),MATCH(10,TABELE!$B$3:$J$3,0))/100),1),"powt. 1–15"))</f>
        <v/>
      </c>
      <c r="F52" s="5"/>
      <c r="G52" s="5"/>
      <c r="H52" s="5"/>
      <c r="I52" s="5"/>
      <c r="J52" s="5"/>
      <c r="K52" s="5" t="s">
        <v>114</v>
      </c>
      <c r="L52" s="5" t="str">
        <f>IF('T1'!$C62="","",'T1'!$Q62)</f>
        <v/>
      </c>
      <c r="M52" s="5">
        <f t="shared" si="1"/>
        <v>0</v>
      </c>
      <c r="N52" s="5">
        <f t="shared" si="2"/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9.5" hidden="1" customHeight="1" outlineLevel="1">
      <c r="A53" s="18" t="str">
        <f>IF('T1'!$A63="","",'T1'!$A63)</f>
        <v>E2.</v>
      </c>
      <c r="B53" s="20" t="str">
        <f>IF('T1'!$C63="","",'T1'!$C63)</f>
        <v/>
      </c>
      <c r="C53" s="21"/>
      <c r="D53" s="21"/>
      <c r="E53" s="26" t="str">
        <f t="array" ref="E53">IF(OR($C53="",$D53=""),"",IFERROR(ROUND($C53/(INDEX(TABELE!$B$4:$J$18,MATCH($D53,TABELE!$A$4:$A$18,0),MATCH(10,TABELE!$B$3:$J$3,0))/100),1),"powt. 1–15"))</f>
        <v/>
      </c>
      <c r="F53" s="5"/>
      <c r="G53" s="5"/>
      <c r="H53" s="5"/>
      <c r="I53" s="5"/>
      <c r="J53" s="5"/>
      <c r="K53" s="5" t="s">
        <v>115</v>
      </c>
      <c r="L53" s="5" t="str">
        <f>IF('T1'!$C63="","",'T1'!$Q63)</f>
        <v/>
      </c>
      <c r="M53" s="5">
        <f t="shared" si="1"/>
        <v>0</v>
      </c>
      <c r="N53" s="5">
        <f t="shared" si="2"/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hidden="1" customHeight="1" outlineLevel="1">
      <c r="A54" s="18" t="str">
        <f>IF('T1'!$A64="","",'T1'!$A64)</f>
        <v/>
      </c>
      <c r="B54" s="20" t="str">
        <f>IF('T1'!$C64="","",'T1'!$C64)</f>
        <v/>
      </c>
      <c r="C54" s="21"/>
      <c r="D54" s="21"/>
      <c r="E54" s="26" t="str">
        <f t="array" ref="E54">IF(OR($C54="",$D54=""),"",IFERROR(ROUND($C54/(INDEX(TABELE!$B$4:$J$18,MATCH($D54,TABELE!$A$4:$A$18,0),MATCH(10,TABELE!$B$3:$J$3,0))/100),1),"powt. 1–15"))</f>
        <v/>
      </c>
      <c r="F54" s="5"/>
      <c r="G54" s="5"/>
      <c r="H54" s="5"/>
      <c r="I54" s="5"/>
      <c r="J54" s="5"/>
      <c r="K54" s="5" t="s">
        <v>116</v>
      </c>
      <c r="L54" s="5" t="str">
        <f>IF('T1'!$C64="","",'T1'!$Q64)</f>
        <v/>
      </c>
      <c r="M54" s="5">
        <f t="shared" si="1"/>
        <v>0</v>
      </c>
      <c r="N54" s="5">
        <f t="shared" si="2"/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hidden="1" customHeight="1" outlineLevel="1">
      <c r="A55" s="18" t="str">
        <f>IF('T1'!$A65="","",'T1'!$A65)</f>
        <v/>
      </c>
      <c r="B55" s="20" t="str">
        <f>IF('T1'!$C65="","",'T1'!$C65)</f>
        <v/>
      </c>
      <c r="C55" s="21"/>
      <c r="D55" s="21"/>
      <c r="E55" s="26" t="str">
        <f t="array" ref="E55">IF(OR($C55="",$D55=""),"",IFERROR(ROUND($C55/(INDEX(TABELE!$B$4:$J$18,MATCH($D55,TABELE!$A$4:$A$18,0),MATCH(10,TABELE!$B$3:$J$3,0))/100),1),"powt. 1–15"))</f>
        <v/>
      </c>
      <c r="F55" s="5"/>
      <c r="G55" s="5"/>
      <c r="H55" s="5"/>
      <c r="I55" s="5"/>
      <c r="J55" s="5"/>
      <c r="K55" s="5" t="s">
        <v>117</v>
      </c>
      <c r="L55" s="5" t="str">
        <f>IF('T1'!$C65="","",'T1'!$Q65)</f>
        <v/>
      </c>
      <c r="M55" s="5">
        <f t="shared" si="1"/>
        <v>0</v>
      </c>
      <c r="N55" s="5">
        <f t="shared" si="2"/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hidden="1" customHeight="1" outlineLevel="1">
      <c r="A56" s="18" t="str">
        <f>IF('T1'!$A66="","",'T1'!$A66)</f>
        <v/>
      </c>
      <c r="B56" s="20" t="str">
        <f>IF('T1'!$C66="","",'T1'!$C66)</f>
        <v/>
      </c>
      <c r="C56" s="21"/>
      <c r="D56" s="21"/>
      <c r="E56" s="26" t="str">
        <f t="array" ref="E56">IF(OR($C56="",$D56=""),"",IFERROR(ROUND($C56/(INDEX(TABELE!$B$4:$J$18,MATCH($D56,TABELE!$A$4:$A$18,0),MATCH(10,TABELE!$B$3:$J$3,0))/100),1),"powt. 1–15"))</f>
        <v/>
      </c>
      <c r="F56" s="5"/>
      <c r="G56" s="5"/>
      <c r="H56" s="5"/>
      <c r="I56" s="5"/>
      <c r="J56" s="5"/>
      <c r="K56" s="5" t="s">
        <v>118</v>
      </c>
      <c r="L56" s="5" t="str">
        <f>IF('T1'!$C66="","",'T1'!$Q66)</f>
        <v/>
      </c>
      <c r="M56" s="5">
        <f t="shared" si="1"/>
        <v>0</v>
      </c>
      <c r="N56" s="5">
        <f t="shared" si="2"/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1.75" hidden="1" customHeight="1" outlineLevel="2">
      <c r="A57" s="16" t="s">
        <v>119</v>
      </c>
      <c r="B57" s="3"/>
      <c r="C57" s="3"/>
      <c r="D57" s="3"/>
      <c r="E57" s="4"/>
      <c r="F57" s="5"/>
      <c r="G57" s="5"/>
      <c r="H57" s="5"/>
      <c r="I57" s="5"/>
      <c r="J57" s="5"/>
      <c r="K57" s="5"/>
      <c r="L57" s="5"/>
      <c r="M57" s="5">
        <f t="shared" si="1"/>
        <v>0</v>
      </c>
      <c r="N57" s="5">
        <f t="shared" si="2"/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hidden="1" customHeight="1" outlineLevel="2">
      <c r="A58" s="18" t="str">
        <f>IF('T1'!$A71="","",'T1'!$A71)</f>
        <v>A1.</v>
      </c>
      <c r="B58" s="20" t="str">
        <f>IF('T1'!$C71="","",'T1'!$C71)</f>
        <v/>
      </c>
      <c r="C58" s="21"/>
      <c r="D58" s="21"/>
      <c r="E58" s="26" t="str">
        <f t="array" ref="E58">IF(OR($C58="",$D58=""),"",IFERROR(ROUND($C58/(INDEX(TABELE!$B$4:$J$18,MATCH($D58,TABELE!$A$4:$A$18,0),MATCH(10,TABELE!$B$3:$J$3,0))/100),1),"powt. 1–15"))</f>
        <v/>
      </c>
      <c r="F58" s="5"/>
      <c r="G58" s="5"/>
      <c r="H58" s="5"/>
      <c r="I58" s="5"/>
      <c r="J58" s="5"/>
      <c r="K58" s="5" t="s">
        <v>120</v>
      </c>
      <c r="L58" s="5" t="str">
        <f>IF('T1'!$C71="","",'T1'!$Q71)</f>
        <v/>
      </c>
      <c r="M58" s="5">
        <f t="shared" si="1"/>
        <v>0</v>
      </c>
      <c r="N58" s="5">
        <f t="shared" si="2"/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hidden="1" customHeight="1" outlineLevel="2">
      <c r="A59" s="18" t="str">
        <f>IF('T1'!$A72="","",'T1'!$A72)</f>
        <v>B1.</v>
      </c>
      <c r="B59" s="20" t="str">
        <f>IF('T1'!$C72="","",'T1'!$C72)</f>
        <v/>
      </c>
      <c r="C59" s="21"/>
      <c r="D59" s="21"/>
      <c r="E59" s="26" t="str">
        <f t="array" ref="E59">IF(OR($C59="",$D59=""),"",IFERROR(ROUND($C59/(INDEX(TABELE!$B$4:$J$18,MATCH($D59,TABELE!$A$4:$A$18,0),MATCH(10,TABELE!$B$3:$J$3,0))/100),1),"powt. 1–15"))</f>
        <v/>
      </c>
      <c r="F59" s="5"/>
      <c r="G59" s="5"/>
      <c r="H59" s="5"/>
      <c r="I59" s="5"/>
      <c r="J59" s="5"/>
      <c r="K59" s="5" t="s">
        <v>121</v>
      </c>
      <c r="L59" s="5" t="str">
        <f>IF('T1'!$C72="","",'T1'!$Q72)</f>
        <v/>
      </c>
      <c r="M59" s="5">
        <f t="shared" si="1"/>
        <v>0</v>
      </c>
      <c r="N59" s="5">
        <f t="shared" si="2"/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hidden="1" customHeight="1" outlineLevel="2">
      <c r="A60" s="18" t="str">
        <f>IF('T1'!$A73="","",'T1'!$A73)</f>
        <v>B2.</v>
      </c>
      <c r="B60" s="20" t="str">
        <f>IF('T1'!$C73="","",'T1'!$C73)</f>
        <v/>
      </c>
      <c r="C60" s="21"/>
      <c r="D60" s="21"/>
      <c r="E60" s="26" t="str">
        <f t="array" ref="E60">IF(OR($C60="",$D60=""),"",IFERROR(ROUND($C60/(INDEX(TABELE!$B$4:$J$18,MATCH($D60,TABELE!$A$4:$A$18,0),MATCH(10,TABELE!$B$3:$J$3,0))/100),1),"powt. 1–15"))</f>
        <v/>
      </c>
      <c r="F60" s="5"/>
      <c r="G60" s="5"/>
      <c r="H60" s="5"/>
      <c r="I60" s="5"/>
      <c r="J60" s="5"/>
      <c r="K60" s="5" t="s">
        <v>122</v>
      </c>
      <c r="L60" s="5" t="str">
        <f>IF('T1'!$C73="","",'T1'!$Q73)</f>
        <v/>
      </c>
      <c r="M60" s="5">
        <f t="shared" si="1"/>
        <v>0</v>
      </c>
      <c r="N60" s="5">
        <f t="shared" si="2"/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hidden="1" customHeight="1" outlineLevel="2">
      <c r="A61" s="18" t="str">
        <f>IF('T1'!$A74="","",'T1'!$A74)</f>
        <v>C1.</v>
      </c>
      <c r="B61" s="20" t="str">
        <f>IF('T1'!$C74="","",'T1'!$C74)</f>
        <v/>
      </c>
      <c r="C61" s="21"/>
      <c r="D61" s="21"/>
      <c r="E61" s="26" t="str">
        <f t="array" ref="E61">IF(OR($C61="",$D61=""),"",IFERROR(ROUND($C61/(INDEX(TABELE!$B$4:$J$18,MATCH($D61,TABELE!$A$4:$A$18,0),MATCH(10,TABELE!$B$3:$J$3,0))/100),1),"powt. 1–15"))</f>
        <v/>
      </c>
      <c r="F61" s="5"/>
      <c r="G61" s="5"/>
      <c r="H61" s="5"/>
      <c r="I61" s="5"/>
      <c r="J61" s="5"/>
      <c r="K61" s="5" t="s">
        <v>123</v>
      </c>
      <c r="L61" s="5" t="str">
        <f>IF('T1'!$C74="","",'T1'!$Q74)</f>
        <v/>
      </c>
      <c r="M61" s="5">
        <f t="shared" si="1"/>
        <v>0</v>
      </c>
      <c r="N61" s="5">
        <f t="shared" si="2"/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hidden="1" customHeight="1" outlineLevel="2">
      <c r="A62" s="18" t="str">
        <f>IF('T1'!$A75="","",'T1'!$A75)</f>
        <v>C2.</v>
      </c>
      <c r="B62" s="20" t="str">
        <f>IF('T1'!$C75="","",'T1'!$C75)</f>
        <v/>
      </c>
      <c r="C62" s="21"/>
      <c r="D62" s="21"/>
      <c r="E62" s="26" t="str">
        <f t="array" ref="E62">IF(OR($C62="",$D62=""),"",IFERROR(ROUND($C62/(INDEX(TABELE!$B$4:$J$18,MATCH($D62,TABELE!$A$4:$A$18,0),MATCH(10,TABELE!$B$3:$J$3,0))/100),1),"powt. 1–15"))</f>
        <v/>
      </c>
      <c r="F62" s="5"/>
      <c r="G62" s="5"/>
      <c r="H62" s="5"/>
      <c r="I62" s="5"/>
      <c r="J62" s="5"/>
      <c r="K62" s="5" t="s">
        <v>124</v>
      </c>
      <c r="L62" s="5" t="str">
        <f>IF('T1'!$C75="","",'T1'!$Q75)</f>
        <v/>
      </c>
      <c r="M62" s="5">
        <f t="shared" si="1"/>
        <v>0</v>
      </c>
      <c r="N62" s="5">
        <f t="shared" si="2"/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hidden="1" customHeight="1" outlineLevel="2">
      <c r="A63" s="18" t="str">
        <f>IF('T1'!$A76="","",'T1'!$A76)</f>
        <v>D1.</v>
      </c>
      <c r="B63" s="20" t="str">
        <f>IF('T1'!$C76="","",'T1'!$C76)</f>
        <v/>
      </c>
      <c r="C63" s="21"/>
      <c r="D63" s="21"/>
      <c r="E63" s="26" t="str">
        <f t="array" ref="E63">IF(OR($C63="",$D63=""),"",IFERROR(ROUND($C63/(INDEX(TABELE!$B$4:$J$18,MATCH($D63,TABELE!$A$4:$A$18,0),MATCH(10,TABELE!$B$3:$J$3,0))/100),1),"powt. 1–15"))</f>
        <v/>
      </c>
      <c r="F63" s="5"/>
      <c r="G63" s="5"/>
      <c r="H63" s="5"/>
      <c r="I63" s="5"/>
      <c r="J63" s="5"/>
      <c r="K63" s="5" t="s">
        <v>125</v>
      </c>
      <c r="L63" s="5" t="str">
        <f>IF('T1'!$C76="","",'T1'!$Q76)</f>
        <v/>
      </c>
      <c r="M63" s="5">
        <f t="shared" si="1"/>
        <v>0</v>
      </c>
      <c r="N63" s="5">
        <f t="shared" si="2"/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hidden="1" customHeight="1" outlineLevel="2">
      <c r="A64" s="18" t="str">
        <f>IF('T1'!$A77="","",'T1'!$A77)</f>
        <v>D2.</v>
      </c>
      <c r="B64" s="20" t="str">
        <f>IF('T1'!$C77="","",'T1'!$C77)</f>
        <v/>
      </c>
      <c r="C64" s="21"/>
      <c r="D64" s="21"/>
      <c r="E64" s="26" t="str">
        <f t="array" ref="E64">IF(OR($C64="",$D64=""),"",IFERROR(ROUND($C64/(INDEX(TABELE!$B$4:$J$18,MATCH($D64,TABELE!$A$4:$A$18,0),MATCH(10,TABELE!$B$3:$J$3,0))/100),1),"powt. 1–15"))</f>
        <v/>
      </c>
      <c r="F64" s="5"/>
      <c r="G64" s="5"/>
      <c r="H64" s="5"/>
      <c r="I64" s="5"/>
      <c r="J64" s="5"/>
      <c r="K64" s="5" t="s">
        <v>126</v>
      </c>
      <c r="L64" s="5" t="str">
        <f>IF('T1'!$C77="","",'T1'!$Q77)</f>
        <v/>
      </c>
      <c r="M64" s="5">
        <f t="shared" si="1"/>
        <v>0</v>
      </c>
      <c r="N64" s="5">
        <f t="shared" si="2"/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hidden="1" customHeight="1" outlineLevel="2">
      <c r="A65" s="18" t="str">
        <f>IF('T1'!$A78="","",'T1'!$A78)</f>
        <v>E1.</v>
      </c>
      <c r="B65" s="20" t="str">
        <f>IF('T1'!$C78="","",'T1'!$C78)</f>
        <v/>
      </c>
      <c r="C65" s="21"/>
      <c r="D65" s="21"/>
      <c r="E65" s="26" t="str">
        <f t="array" ref="E65">IF(OR($C65="",$D65=""),"",IFERROR(ROUND($C65/(INDEX(TABELE!$B$4:$J$18,MATCH($D65,TABELE!$A$4:$A$18,0),MATCH(10,TABELE!$B$3:$J$3,0))/100),1),"powt. 1–15"))</f>
        <v/>
      </c>
      <c r="F65" s="5"/>
      <c r="G65" s="5"/>
      <c r="H65" s="5"/>
      <c r="I65" s="5"/>
      <c r="J65" s="5"/>
      <c r="K65" s="5" t="s">
        <v>127</v>
      </c>
      <c r="L65" s="5" t="str">
        <f>IF('T1'!$C78="","",'T1'!$Q78)</f>
        <v/>
      </c>
      <c r="M65" s="5">
        <f t="shared" si="1"/>
        <v>0</v>
      </c>
      <c r="N65" s="5">
        <f t="shared" si="2"/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hidden="1" customHeight="1" outlineLevel="2">
      <c r="A66" s="18" t="str">
        <f>IF('T1'!$A79="","",'T1'!$A79)</f>
        <v>E2.</v>
      </c>
      <c r="B66" s="20" t="str">
        <f>IF('T1'!$C79="","",'T1'!$C79)</f>
        <v/>
      </c>
      <c r="C66" s="21"/>
      <c r="D66" s="21"/>
      <c r="E66" s="26" t="str">
        <f t="array" ref="E66">IF(OR($C66="",$D66=""),"",IFERROR(ROUND($C66/(INDEX(TABELE!$B$4:$J$18,MATCH($D66,TABELE!$A$4:$A$18,0),MATCH(10,TABELE!$B$3:$J$3,0))/100),1),"powt. 1–15"))</f>
        <v/>
      </c>
      <c r="F66" s="5"/>
      <c r="G66" s="5"/>
      <c r="H66" s="5"/>
      <c r="I66" s="5"/>
      <c r="J66" s="5"/>
      <c r="K66" s="5" t="s">
        <v>128</v>
      </c>
      <c r="L66" s="5" t="str">
        <f>IF('T1'!$C79="","",'T1'!$Q79)</f>
        <v/>
      </c>
      <c r="M66" s="5">
        <f t="shared" si="1"/>
        <v>0</v>
      </c>
      <c r="N66" s="5">
        <f t="shared" si="2"/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hidden="1" customHeight="1" outlineLevel="2">
      <c r="A67" s="18" t="str">
        <f>IF('T1'!$A80="","",'T1'!$A80)</f>
        <v/>
      </c>
      <c r="B67" s="20" t="str">
        <f>IF('T1'!$C80="","",'T1'!$C80)</f>
        <v/>
      </c>
      <c r="C67" s="21"/>
      <c r="D67" s="21"/>
      <c r="E67" s="26" t="str">
        <f t="array" ref="E67">IF(OR($C67="",$D67=""),"",IFERROR(ROUND($C67/(INDEX(TABELE!$B$4:$J$18,MATCH($D67,TABELE!$A$4:$A$18,0),MATCH(10,TABELE!$B$3:$J$3,0))/100),1),"powt. 1–15"))</f>
        <v/>
      </c>
      <c r="F67" s="5"/>
      <c r="G67" s="5"/>
      <c r="H67" s="5"/>
      <c r="I67" s="5"/>
      <c r="J67" s="5"/>
      <c r="K67" s="5" t="s">
        <v>129</v>
      </c>
      <c r="L67" s="5" t="str">
        <f>IF('T1'!$C80="","",'T1'!$Q80)</f>
        <v/>
      </c>
      <c r="M67" s="5">
        <f t="shared" si="1"/>
        <v>0</v>
      </c>
      <c r="N67" s="5">
        <f t="shared" si="2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hidden="1" customHeight="1" outlineLevel="2">
      <c r="A68" s="18" t="str">
        <f>IF('T1'!$A81="","",'T1'!$A81)</f>
        <v/>
      </c>
      <c r="B68" s="20" t="str">
        <f>IF('T1'!$C81="","",'T1'!$C81)</f>
        <v/>
      </c>
      <c r="C68" s="21"/>
      <c r="D68" s="21"/>
      <c r="E68" s="26" t="str">
        <f t="array" ref="E68">IF(OR($C68="",$D68=""),"",IFERROR(ROUND($C68/(INDEX(TABELE!$B$4:$J$18,MATCH($D68,TABELE!$A$4:$A$18,0),MATCH(10,TABELE!$B$3:$J$3,0))/100),1),"powt. 1–15"))</f>
        <v/>
      </c>
      <c r="F68" s="5"/>
      <c r="G68" s="5"/>
      <c r="H68" s="5"/>
      <c r="I68" s="5"/>
      <c r="J68" s="5"/>
      <c r="K68" s="5" t="s">
        <v>130</v>
      </c>
      <c r="L68" s="5" t="str">
        <f>IF('T1'!$C81="","",'T1'!$Q81)</f>
        <v/>
      </c>
      <c r="M68" s="5">
        <f t="shared" si="1"/>
        <v>0</v>
      </c>
      <c r="N68" s="5">
        <f t="shared" si="2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hidden="1" customHeight="1" outlineLevel="2">
      <c r="A69" s="18" t="str">
        <f>IF('T1'!$A82="","",'T1'!$A82)</f>
        <v/>
      </c>
      <c r="B69" s="20" t="str">
        <f>IF('T1'!$C82="","",'T1'!$C82)</f>
        <v/>
      </c>
      <c r="C69" s="21"/>
      <c r="D69" s="21"/>
      <c r="E69" s="26" t="str">
        <f t="array" ref="E69">IF(OR($C69="",$D69=""),"",IFERROR(ROUND($C69/(INDEX(TABELE!$B$4:$J$18,MATCH($D69,TABELE!$A$4:$A$18,0),MATCH(10,TABELE!$B$3:$J$3,0))/100),1),"powt. 1–15"))</f>
        <v/>
      </c>
      <c r="F69" s="5"/>
      <c r="G69" s="5"/>
      <c r="H69" s="5"/>
      <c r="I69" s="5"/>
      <c r="J69" s="5"/>
      <c r="K69" s="5" t="s">
        <v>131</v>
      </c>
      <c r="L69" s="5" t="str">
        <f>IF('T1'!$C82="","",'T1'!$Q82)</f>
        <v/>
      </c>
      <c r="M69" s="5">
        <f t="shared" si="1"/>
        <v>0</v>
      </c>
      <c r="N69" s="5">
        <f t="shared" si="2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1" t="s">
        <v>132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2" t="s">
        <v>133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57:E57"/>
    <mergeCell ref="A71:E71"/>
    <mergeCell ref="A73:E73"/>
    <mergeCell ref="A1:E1"/>
    <mergeCell ref="A2:B2"/>
    <mergeCell ref="A3:E3"/>
    <mergeCell ref="A5:E5"/>
    <mergeCell ref="A18:E18"/>
    <mergeCell ref="A31:E31"/>
    <mergeCell ref="A44:E44"/>
  </mergeCells>
  <conditionalFormatting sqref="C5:D43">
    <cfRule type="expression" dxfId="0" priority="1">
      <formula>AND($B5&lt;&gt;"",NOT(OR($L5="masa ciała",$L5="czas",$L5="dystans",$L5="ręczne ustawienie")))</formula>
    </cfRule>
  </conditionalFormatting>
  <conditionalFormatting sqref="B5:E43">
    <cfRule type="expression" dxfId="1" priority="2">
      <formula>OR($L5="masa ciała",$L5="czas",$L5="dystans",$L5="ręczne ustawienie")</formula>
    </cfRule>
  </conditionalFormatting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2"/>
  <cols>
    <col customWidth="1" min="1" max="1" width="4.0"/>
    <col customWidth="1" min="2" max="3" width="46.0"/>
    <col customWidth="1" min="4" max="6" width="8.71"/>
  </cols>
  <sheetData>
    <row r="1" ht="30.0" customHeight="1">
      <c r="A1" s="2" t="s">
        <v>1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8" t="s">
        <v>5</v>
      </c>
      <c r="B3" s="3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0.0" customHeight="1">
      <c r="A4" s="11" t="s">
        <v>6</v>
      </c>
      <c r="B4" s="12" t="s">
        <v>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0.0" customHeight="1">
      <c r="A5" s="11" t="s">
        <v>6</v>
      </c>
      <c r="B5" s="12" t="s">
        <v>16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0.0" customHeight="1">
      <c r="A6" s="11" t="s">
        <v>6</v>
      </c>
      <c r="B6" s="12" t="s">
        <v>22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0.0" customHeight="1">
      <c r="A7" s="11" t="s">
        <v>6</v>
      </c>
      <c r="B7" s="12" t="s">
        <v>24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0.0" customHeight="1">
      <c r="A8" s="11" t="s">
        <v>6</v>
      </c>
      <c r="B8" s="12" t="s">
        <v>26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1.75" customHeight="1">
      <c r="A10" s="8" t="s">
        <v>28</v>
      </c>
      <c r="B10" s="3"/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0.0" customHeight="1">
      <c r="A11" s="11" t="s">
        <v>6</v>
      </c>
      <c r="B11" s="12" t="s">
        <v>29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0.0" customHeight="1">
      <c r="A12" s="11" t="s">
        <v>6</v>
      </c>
      <c r="B12" s="12" t="s">
        <v>30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0.0" customHeight="1">
      <c r="A13" s="11" t="s">
        <v>6</v>
      </c>
      <c r="B13" s="12" t="s">
        <v>31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0.0" customHeight="1">
      <c r="A14" s="11" t="s">
        <v>6</v>
      </c>
      <c r="B14" s="12" t="s">
        <v>32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0.0" customHeight="1">
      <c r="A15" s="11" t="s">
        <v>6</v>
      </c>
      <c r="B15" s="12" t="s">
        <v>34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0.0" customHeight="1">
      <c r="A16" s="11" t="s">
        <v>6</v>
      </c>
      <c r="B16" s="12" t="s">
        <v>35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0.0" customHeight="1">
      <c r="A17" s="11" t="s">
        <v>6</v>
      </c>
      <c r="B17" s="12" t="s">
        <v>36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1.75" customHeight="1">
      <c r="A19" s="8" t="s">
        <v>37</v>
      </c>
      <c r="B19" s="3"/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0.0" customHeight="1">
      <c r="A20" s="11" t="s">
        <v>6</v>
      </c>
      <c r="B20" s="12" t="s">
        <v>39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0.0" customHeight="1">
      <c r="A21" s="11" t="s">
        <v>6</v>
      </c>
      <c r="B21" s="12" t="s">
        <v>40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0.0" customHeight="1">
      <c r="A22" s="11" t="s">
        <v>6</v>
      </c>
      <c r="B22" s="12" t="s">
        <v>41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0.0" customHeight="1">
      <c r="A23" s="11" t="s">
        <v>6</v>
      </c>
      <c r="B23" s="12" t="s">
        <v>42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1.75" customHeight="1">
      <c r="A25" s="8" t="s">
        <v>43</v>
      </c>
      <c r="B25" s="3"/>
      <c r="C25" s="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0.0" customHeight="1">
      <c r="A26" s="11" t="s">
        <v>6</v>
      </c>
      <c r="B26" s="12" t="s">
        <v>44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0.0" customHeight="1">
      <c r="A27" s="11" t="s">
        <v>6</v>
      </c>
      <c r="B27" s="12" t="s">
        <v>45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0.0" customHeight="1">
      <c r="A28" s="11" t="s">
        <v>6</v>
      </c>
      <c r="B28" s="12" t="s">
        <v>47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30.0" customHeight="1">
      <c r="A29" s="11" t="s">
        <v>6</v>
      </c>
      <c r="B29" s="12" t="s">
        <v>48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1.75" customHeight="1">
      <c r="A31" s="8" t="s">
        <v>49</v>
      </c>
      <c r="B31" s="3"/>
      <c r="C31" s="4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30.0" customHeight="1">
      <c r="A32" s="11" t="s">
        <v>6</v>
      </c>
      <c r="B32" s="12" t="s">
        <v>50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30.0" customHeight="1">
      <c r="A33" s="11" t="s">
        <v>6</v>
      </c>
      <c r="B33" s="12" t="s">
        <v>52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30.0" customHeight="1">
      <c r="A34" s="11" t="s">
        <v>6</v>
      </c>
      <c r="B34" s="12" t="s">
        <v>53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1.75" customHeight="1">
      <c r="A36" s="8" t="s">
        <v>54</v>
      </c>
      <c r="B36" s="3"/>
      <c r="C36" s="4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30.0" customHeight="1">
      <c r="A37" s="11" t="s">
        <v>6</v>
      </c>
      <c r="B37" s="12" t="s">
        <v>55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30.0" customHeight="1">
      <c r="A38" s="11" t="s">
        <v>6</v>
      </c>
      <c r="B38" s="12" t="s">
        <v>56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30.0" customHeight="1">
      <c r="A39" s="11" t="s">
        <v>6</v>
      </c>
      <c r="B39" s="12" t="s">
        <v>58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30.0" customHeight="1">
      <c r="A40" s="11" t="s">
        <v>6</v>
      </c>
      <c r="B40" s="12" t="s">
        <v>59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30.0" customHeight="1">
      <c r="A41" s="11" t="s">
        <v>6</v>
      </c>
      <c r="B41" s="12" t="s">
        <v>60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0.0" customHeight="1">
      <c r="A42" s="11" t="s">
        <v>6</v>
      </c>
      <c r="B42" s="12" t="s">
        <v>61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C1"/>
    <mergeCell ref="A3:C3"/>
    <mergeCell ref="B4:C4"/>
    <mergeCell ref="B5:C5"/>
    <mergeCell ref="B6:C6"/>
    <mergeCell ref="B7:C7"/>
    <mergeCell ref="B8:C8"/>
    <mergeCell ref="A10:C10"/>
    <mergeCell ref="B11:C11"/>
    <mergeCell ref="B12:C12"/>
    <mergeCell ref="B13:C13"/>
    <mergeCell ref="B14:C14"/>
    <mergeCell ref="B15:C15"/>
    <mergeCell ref="B16:C16"/>
    <mergeCell ref="B17:C17"/>
    <mergeCell ref="A19:C19"/>
    <mergeCell ref="B20:C20"/>
    <mergeCell ref="B21:C21"/>
    <mergeCell ref="B22:C22"/>
    <mergeCell ref="B23:C23"/>
    <mergeCell ref="A25:C25"/>
    <mergeCell ref="B34:C34"/>
    <mergeCell ref="A36:C36"/>
    <mergeCell ref="B37:C37"/>
    <mergeCell ref="B38:C38"/>
    <mergeCell ref="B39:C39"/>
    <mergeCell ref="B40:C40"/>
    <mergeCell ref="B41:C41"/>
    <mergeCell ref="B42:C42"/>
    <mergeCell ref="B26:C26"/>
    <mergeCell ref="B27:C27"/>
    <mergeCell ref="B28:C28"/>
    <mergeCell ref="B29:C29"/>
    <mergeCell ref="A31:C31"/>
    <mergeCell ref="B32:C32"/>
    <mergeCell ref="B33:C33"/>
  </mergeCells>
  <printOptions/>
  <pageMargins bottom="1.0" footer="0.0" header="0.0" left="0.75" right="0.7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6B78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2"/>
  <cols>
    <col customWidth="1" min="1" max="1" width="7.0"/>
    <col customWidth="1" min="2" max="2" width="16.0"/>
    <col customWidth="1" min="3" max="3" width="32.0"/>
    <col customWidth="1" min="4" max="4" width="7.0"/>
    <col customWidth="1" min="5" max="5" width="13.0"/>
    <col customWidth="1" min="6" max="6" width="6.0"/>
    <col customWidth="1" min="7" max="7" width="12.0"/>
    <col customWidth="1" min="8" max="8" width="5.0"/>
    <col customWidth="1" min="9" max="9" width="7.0"/>
    <col customWidth="1" min="10" max="10" width="28.0"/>
    <col customWidth="1" hidden="1" min="11" max="26" width="11.0"/>
  </cols>
  <sheetData>
    <row r="1" ht="30.0" customHeight="1">
      <c r="A1" s="2" t="s">
        <v>2</v>
      </c>
      <c r="B1" s="3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13" t="s">
        <v>8</v>
      </c>
      <c r="B4" s="13"/>
      <c r="C4" s="13" t="s">
        <v>10</v>
      </c>
      <c r="D4" s="13" t="s">
        <v>11</v>
      </c>
      <c r="E4" s="13" t="s">
        <v>12</v>
      </c>
      <c r="F4" s="13" t="s">
        <v>13</v>
      </c>
      <c r="G4" s="13" t="s">
        <v>14</v>
      </c>
      <c r="H4" s="13" t="s">
        <v>15</v>
      </c>
      <c r="I4" s="13" t="s">
        <v>17</v>
      </c>
      <c r="J4" s="14" t="s">
        <v>18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5.5" customHeight="1" outlineLevel="1">
      <c r="A5" s="15" t="s">
        <v>23</v>
      </c>
      <c r="B5" s="3"/>
      <c r="C5" s="3"/>
      <c r="D5" s="3"/>
      <c r="E5" s="3"/>
      <c r="F5" s="3"/>
      <c r="G5" s="3"/>
      <c r="H5" s="3"/>
      <c r="I5" s="3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3.75" customHeight="1" outlineLevel="2">
      <c r="A6" s="17" t="str">
        <f>IF($B6="TOP SET","▲","")</f>
        <v>▲</v>
      </c>
      <c r="B6" s="19" t="s">
        <v>27</v>
      </c>
      <c r="C6" s="22" t="str">
        <f>IF(OR($B6&lt;&gt;"TOP SET",$F6=""),"",IF(N($K6)=0,"",IF(INDEX($C$7:$C$18,$K6)="","",INDEX($C$7:$C$18,$K6))))</f>
      </c>
      <c r="D6" s="23">
        <f>IF(AND($B6="TOP SET",$F6&lt;&gt;""),1,"")</f>
      </c>
      <c r="E6" s="24" t="str">
        <f>IF(AND($B6="TOP SET",$F6&lt;&gt;""),"1 powtórzenie","")</f>
      </c>
      <c r="F6" s="25">
        <v>7.0</v>
      </c>
      <c r="G6" s="27" t="str">
        <f t="array" ref="G6">IF($B6&lt;&gt;"TOP SET","",IF($C6="","",IF(OR($Q6="masa ciała",$Q6="czas",$Q6="dystans",$Q6="ręczne ustawienie"),"—",IF(OR($R6="",$R6=0),"— brak 1RM",MROUND($R6*IFERROR(INDEX(TABELE!$B$4:$J$18,MATCH(1,TABELE!$A$4:$A$18,0),MATCH($F6,TABELE!$B$3:$J$3,0)),0)/100,MAX($P6,0.5))))))</f>
      </c>
      <c r="H6" s="28"/>
      <c r="I6" s="29"/>
      <c r="J6" s="29"/>
      <c r="K6" s="5">
        <f>IFERROR(MATCH("A*",$A$7:$A$18,0),0)</f>
      </c>
      <c r="L6" s="5"/>
      <c r="M6" s="5"/>
      <c r="N6" s="5"/>
      <c r="O6" s="5"/>
      <c r="P6" s="5">
        <f>IF(N($K6)=0,"",INDEX($P$7:$P$18,$K6))</f>
      </c>
      <c r="Q6" s="5">
        <f>IF(N($K6)=0,"",INDEX($Q$7:$Q$18,$K6))</f>
      </c>
      <c r="R6" s="5">
        <f>IF(N($K6)=0,"",INDEX($R$7:$R$18,$K6))</f>
      </c>
      <c r="S6" s="5"/>
      <c r="T6" s="5"/>
      <c r="U6" s="5"/>
      <c r="V6" s="5"/>
      <c r="W6" s="5"/>
      <c r="X6" s="5"/>
      <c r="Y6" s="5"/>
      <c r="Z6" s="5"/>
    </row>
    <row r="7" ht="25.5" customHeight="1" outlineLevel="1">
      <c r="A7" s="18" t="s">
        <v>38</v>
      </c>
      <c r="B7" s="30"/>
      <c r="C7" s="31"/>
      <c r="D7" s="32">
        <v>6.0</v>
      </c>
      <c r="E7" s="32">
        <v>6.0</v>
      </c>
      <c r="F7" s="33">
        <v>6.5</v>
      </c>
      <c r="G7" s="34" t="str">
        <f>IF($C7="","",IF(OR($Q7="masa ciała",$Q7="czas",$Q7="dystans",$Q7="ręczne ustawienie"),$Q7,IF(OR($R7="",$R7=0),"— brak 1RM",MROUND($R7*$S7/100,MAX($P7,0.5)))))</f>
        <v/>
      </c>
      <c r="H7" s="35"/>
      <c r="I7" s="36" t="str">
        <f t="array" ref="I7">IFERROR(IF(IFERROR(INDEX(BAZA_FILM,MATCH($C7,BAZA_EX,0)),"")="","",HYPERLINK(IFERROR(INDEX(BAZA_FILM,MATCH($C7,BAZA_EX,0)),""),"film")),"")</f>
        <v/>
      </c>
      <c r="J7" s="37"/>
      <c r="K7" s="5" t="s">
        <v>33</v>
      </c>
      <c r="L7" s="5" t="str">
        <f t="array" ref="L7">IFERROR(INDEX(BAZA_ID,MATCH($C7,BAZA_EX,0)),"")</f>
        <v/>
      </c>
      <c r="M7" s="5" t="str">
        <f t="array" ref="M7">IFERROR(INDEX(BAZA_PART,MATCH($C7,BAZA_EX,0)),"")</f>
        <v/>
      </c>
      <c r="N7" s="5" t="str">
        <f t="array" ref="N7">IFERROR(INDEX(BAZA_KAT,MATCH($C7,BAZA_EX,0)),"")</f>
        <v/>
      </c>
      <c r="O7" s="5" t="str">
        <f t="array" ref="O7">IFERROR(INDEX(BAZA_COEFF,MATCH($C7,BAZA_EX,0)),"")</f>
        <v/>
      </c>
      <c r="P7" s="5" t="str">
        <f t="array" ref="P7">IFERROR(INDEX(BAZA_SKOK,MATCH($C7,BAZA_EX,0)),"")</f>
        <v/>
      </c>
      <c r="Q7" s="5" t="str">
        <f t="array" ref="Q7">IFERROR(INDEX(BAZA_PROG,MATCH($C7,BAZA_EX,0)),"")</f>
        <v/>
      </c>
      <c r="R7" s="5" t="str">
        <f>IF($C7="","",IF(SUMPRODUCT((START!$B$6:$B$69=$C7)*(START!$M$6:$M$69&gt;0))=0,"",SUMPRODUCT(MAX((START!$B$6:$B$69=$C7)*START!$M$6:$M$69))))</f>
        <v/>
      </c>
      <c r="S7" s="5">
        <f t="array" ref="S7">IFERROR(INDEX(TABELE!$B$4:$J$18,MATCH($E7,TABELE!$A$4:$A$18,0),MATCH($F7,TABELE!$B$3:$J$3,0)),"")</f>
        <v>69.5</v>
      </c>
      <c r="T7" s="5">
        <f t="array" ref="T7">IFERROR(IF($C7="",0,$O7*$D7*INDEX(TABELE!$B$23:$P$33,MATCH($F7,TABELE!$A$23:$A$33,0),MATCH($E7,TABELE!$B$22:$P$22,0))),0)</f>
        <v>0</v>
      </c>
      <c r="U7" s="5">
        <f t="array" ref="U7">IFERROR(IF($C7="",0,$O7*$D7*INDEX(TABELE!$B$37:$P$47,MATCH($F7,TABELE!$A$37:$A$47,0),MATCH($E7,TABELE!$B$36:$P$36,0))),0)</f>
        <v>0</v>
      </c>
      <c r="V7" s="5">
        <f t="array" ref="V7">IFERROR(IF($C7="",0,$O7*$D7*INDEX(TABELE!$B$51:$P$61,MATCH($F7,TABELE!$A$51:$A$61,0),MATCH($E7,TABELE!$B$50:$P$50,0))),0)</f>
        <v>0</v>
      </c>
      <c r="W7" s="5" t="str">
        <f t="array" ref="W7">IFERROR(INDEX(BAZA_UWAGI,MATCH($C7,BAZA_EX,0)),"")</f>
        <v/>
      </c>
      <c r="X7" s="5">
        <f t="shared" ref="X7:X18" si="1">IF($A7="","",$Z7)</f>
        <v>1</v>
      </c>
      <c r="Y7" s="5" t="str">
        <f>IF($A7="","",LEFT($A7,1))</f>
        <v>A</v>
      </c>
      <c r="Z7" s="5">
        <f>IF($A7="",0,1)</f>
        <v>1</v>
      </c>
      <c r="AB7" s="5" t="str">
        <f t="shared" ref="AB7:AB18" si="2">IF($C7="","",IF($H7&lt;&gt;"",$H7,IF($H$19="✓ ukończony","OK","")))</f>
        <v/>
      </c>
      <c r="AC7" s="5">
        <v>1.0</v>
      </c>
      <c r="AD7" s="5">
        <f t="shared" ref="AD7:AD18" si="3">IF(OR($Q7="masa ciała",$Q7="czas",$Q7="dystans",$Q7="ręczne ustawienie"),MAX(-3,MIN(3,ROUND(($AC7-1)/0.05,0))),0)</f>
        <v>0</v>
      </c>
    </row>
    <row r="8" ht="25.5" customHeight="1" outlineLevel="1">
      <c r="A8" s="18" t="s">
        <v>64</v>
      </c>
      <c r="B8" s="30"/>
      <c r="C8" s="31" t="s">
        <v>65</v>
      </c>
      <c r="D8" s="32">
        <v>3.0</v>
      </c>
      <c r="E8" s="39">
        <f>IF($C8="",0,MIN(15,MAX(1,IF(N($O8)&gt;=1,6,IF(N($O8)&gt;=0.75,IF(PRZEL_CZESC="część 1 (objętość)",8,6),IF(PRZEL_CZESC="część 1 (objętość)",10,8)))+0+$AD8)))</f>
        <v>10</v>
      </c>
      <c r="F8" s="33">
        <v>8.0</v>
      </c>
      <c r="G8" s="34">
        <f>IF($C8="","",IF(OR($Q8="masa ciała",$Q8="czas",$Q8="dystans",$Q8="ręczne ustawienie"),$Q8,IF(OR($R8="",$R8=0),"— brak 1RM",MROUND($R8*$S8/100,MAX($P8,0.5)))))</f>
      </c>
      <c r="H8" s="35"/>
      <c r="I8" s="40" t="str">
        <f t="array" ref="I8">IFERROR(IF(IFERROR(INDEX(BAZA_FILM,MATCH($C8,BAZA_EX,0)),"")="","",HYPERLINK(IFERROR(INDEX(BAZA_FILM,MATCH($C8,BAZA_EX,0)),""),"film")),"")</f>
        <v>film</v>
      </c>
      <c r="J8" s="37"/>
      <c r="K8" s="5" t="s">
        <v>46</v>
      </c>
      <c r="L8" s="5" t="str">
        <f t="array" ref="L8">IFERROR(INDEX(BAZA_ID,MATCH($C8,BAZA_EX,0)),"")</f>
        <v>EX-0003</v>
      </c>
      <c r="M8" s="5" t="str">
        <f t="array" ref="M8">IFERROR(INDEX(BAZA_PART,MATCH($C8,BAZA_EX,0)),"")</f>
        <v>c</v>
      </c>
      <c r="N8" s="5" t="str">
        <f t="array" ref="N8">IFERROR(INDEX(BAZA_KAT,MATCH($C8,BAZA_EX,0)),"")</f>
        <v>Core</v>
      </c>
      <c r="O8" s="5">
        <f t="array" ref="O8">IFERROR(INDEX(BAZA_COEFF,MATCH($C8,BAZA_EX,0)),"")</f>
        <v>0.5</v>
      </c>
      <c r="P8" s="5">
        <f t="array" ref="P8">IFERROR(INDEX(BAZA_SKOK,MATCH($C8,BAZA_EX,0)),"")</f>
        <v>2.5</v>
      </c>
      <c r="Q8" s="5" t="str">
        <f t="array" ref="Q8">IFERROR(INDEX(BAZA_PROG,MATCH($C8,BAZA_EX,0)),"")</f>
        <v>kg</v>
      </c>
      <c r="R8" s="5" t="str">
        <f>IF($C8="","",IF(SUMPRODUCT((START!$B$6:$B$69=$C8)*(START!$M$6:$M$69&gt;0))=0,"",SUMPRODUCT(MAX((START!$B$6:$B$69=$C8)*START!$M$6:$M$69))))</f>
        <v/>
      </c>
      <c r="S8" s="5">
        <f t="array" ref="S8">IFERROR(INDEX(TABELE!$B$4:$J$18,MATCH($E8,TABELE!$A$4:$A$18,0),MATCH($F8,TABELE!$B$3:$J$3,0)),"")</f>
        <v>67.5</v>
      </c>
      <c r="T8" s="5">
        <f t="array" ref="T8">IFERROR(IF($C8="",0,$O8*$D8*INDEX(TABELE!$B$23:$P$33,MATCH($F8,TABELE!$A$23:$A$33,0),MATCH($E8,TABELE!$B$22:$P$22,0))),0)</f>
        <v>1.05</v>
      </c>
      <c r="U8" s="5">
        <f t="array" ref="U8">IFERROR(IF($C8="",0,$O8*$D8*INDEX(TABELE!$B$37:$P$47,MATCH($F8,TABELE!$A$37:$A$47,0),MATCH($E8,TABELE!$B$36:$P$36,0))),0)</f>
        <v>0.6</v>
      </c>
      <c r="V8" s="5">
        <f t="array" ref="V8">IFERROR(IF($C8="",0,$O8*$D8*INDEX(TABELE!$B$51:$P$61,MATCH($F8,TABELE!$A$51:$A$61,0),MATCH($E8,TABELE!$B$50:$P$50,0))),0)</f>
        <v>1.65</v>
      </c>
      <c r="W8" s="5" t="str">
        <f t="array" ref="W8">IFERROR(INDEX(BAZA_UWAGI,MATCH($C8,BAZA_EX,0)),"")</f>
        <v/>
      </c>
      <c r="X8" s="5">
        <f t="shared" si="1"/>
        <v>2</v>
      </c>
      <c r="Y8" s="5" t="str">
        <f t="shared" ref="Y8:Y18" si="4">IF($A8="",$Y7,LEFT($A8,1))</f>
        <v>B</v>
      </c>
      <c r="Z8" s="5">
        <f t="shared" ref="Z8:Z18" si="5">IF($A8="",$Z7,IF(LEFT($A8,1)=$Y7,$Z7,$Z7+1))</f>
        <v>2</v>
      </c>
      <c r="AB8" s="5" t="str">
        <f t="shared" si="2"/>
        <v/>
      </c>
      <c r="AC8" s="5">
        <v>1.0</v>
      </c>
      <c r="AD8" s="5">
        <f t="shared" si="3"/>
        <v>0</v>
      </c>
    </row>
    <row r="9" ht="25.5" customHeight="1" outlineLevel="1">
      <c r="A9" s="18" t="s">
        <v>71</v>
      </c>
      <c r="B9" s="30"/>
      <c r="C9" s="31"/>
      <c r="D9" s="32">
        <v>3.0</v>
      </c>
      <c r="E9" s="39">
        <f>IF($C9="",0,MIN(15,MAX(1,IF(N($O9)&gt;=1,6,IF(N($O9)&gt;=0.75,IF(PRZEL_CZESC="część 1 (objętość)",8,6),IF(PRZEL_CZESC="część 1 (objętość)",10,8)))+0+$AD9)))</f>
        <v>0</v>
      </c>
      <c r="F9" s="33">
        <v>8.0</v>
      </c>
      <c r="G9" s="34" t="str">
        <f t="shared" ref="G9:G18" si="6">IF($C9="","",IF(OR($Q9="masa ciała",$Q9="czas",$Q9="dystans",$Q9="ręczne ustawienie"),$Q9,IF(OR($R9="",$R9=0),"— brak 1RM",MROUND($R9*$S9/100,MAX($P9,0.5)))))</f>
        <v/>
      </c>
      <c r="H9" s="35"/>
      <c r="I9" s="36" t="str">
        <f t="array" ref="I9">IFERROR(IF(IFERROR(INDEX(BAZA_FILM,MATCH($C9,BAZA_EX,0)),"")="","",HYPERLINK(IFERROR(INDEX(BAZA_FILM,MATCH($C9,BAZA_EX,0)),""),"film")),"")</f>
        <v/>
      </c>
      <c r="J9" s="37"/>
      <c r="K9" s="5" t="s">
        <v>51</v>
      </c>
      <c r="L9" s="5" t="str">
        <f t="array" ref="L9">IFERROR(INDEX(BAZA_ID,MATCH($C9,BAZA_EX,0)),"")</f>
        <v/>
      </c>
      <c r="M9" s="5" t="str">
        <f t="array" ref="M9">IFERROR(INDEX(BAZA_PART,MATCH($C9,BAZA_EX,0)),"")</f>
        <v/>
      </c>
      <c r="N9" s="5" t="str">
        <f t="array" ref="N9">IFERROR(INDEX(BAZA_KAT,MATCH($C9,BAZA_EX,0)),"")</f>
        <v/>
      </c>
      <c r="O9" s="5" t="str">
        <f t="array" ref="O9">IFERROR(INDEX(BAZA_COEFF,MATCH($C9,BAZA_EX,0)),"")</f>
        <v/>
      </c>
      <c r="P9" s="5" t="str">
        <f t="array" ref="P9">IFERROR(INDEX(BAZA_SKOK,MATCH($C9,BAZA_EX,0)),"")</f>
        <v/>
      </c>
      <c r="Q9" s="5" t="str">
        <f t="array" ref="Q9">IFERROR(INDEX(BAZA_PROG,MATCH($C9,BAZA_EX,0)),"")</f>
        <v/>
      </c>
      <c r="R9" s="5" t="str">
        <f>IF($C9="","",IF(SUMPRODUCT((START!$B$6:$B$69=$C9)*(START!$M$6:$M$69&gt;0))=0,"",SUMPRODUCT(MAX((START!$B$6:$B$69=$C9)*START!$M$6:$M$69))))</f>
        <v/>
      </c>
      <c r="S9" s="5" t="str">
        <f t="array" ref="S9">IFERROR(INDEX(TABELE!$B$4:$J$18,MATCH($E9,TABELE!$A$4:$A$18,0),MATCH($F9,TABELE!$B$3:$J$3,0)),"")</f>
        <v/>
      </c>
      <c r="T9" s="5">
        <f t="array" ref="T9">IFERROR(IF($C9="",0,$O9*$D9*INDEX(TABELE!$B$23:$P$33,MATCH($F9,TABELE!$A$23:$A$33,0),MATCH($E9,TABELE!$B$22:$P$22,0))),0)</f>
        <v>0</v>
      </c>
      <c r="U9" s="5">
        <f t="array" ref="U9">IFERROR(IF($C9="",0,$O9*$D9*INDEX(TABELE!$B$37:$P$47,MATCH($F9,TABELE!$A$37:$A$47,0),MATCH($E9,TABELE!$B$36:$P$36,0))),0)</f>
        <v>0</v>
      </c>
      <c r="V9" s="5">
        <f t="array" ref="V9">IFERROR(IF($C9="",0,$O9*$D9*INDEX(TABELE!$B$51:$P$61,MATCH($F9,TABELE!$A$51:$A$61,0),MATCH($E9,TABELE!$B$50:$P$50,0))),0)</f>
        <v>0</v>
      </c>
      <c r="W9" s="5" t="str">
        <f t="array" ref="W9">IFERROR(INDEX(BAZA_UWAGI,MATCH($C9,BAZA_EX,0)),"")</f>
        <v/>
      </c>
      <c r="X9" s="5">
        <f t="shared" si="1"/>
        <v>2</v>
      </c>
      <c r="Y9" s="5" t="str">
        <f t="shared" si="4"/>
        <v>B</v>
      </c>
      <c r="Z9" s="5">
        <f t="shared" si="5"/>
        <v>2</v>
      </c>
      <c r="AB9" s="5" t="str">
        <f t="shared" si="2"/>
        <v/>
      </c>
      <c r="AC9" s="5">
        <v>1.0</v>
      </c>
      <c r="AD9" s="5">
        <f t="shared" si="3"/>
        <v>0</v>
      </c>
    </row>
    <row r="10" ht="25.5" customHeight="1" outlineLevel="1">
      <c r="A10" s="18" t="s">
        <v>78</v>
      </c>
      <c r="B10" s="30"/>
      <c r="C10" s="31"/>
      <c r="D10" s="32">
        <v>3.0</v>
      </c>
      <c r="E10" s="39">
        <f>IF($C10="",0,MIN(15,MAX(1,IF(N($O10)&gt;=1,6,IF(N($O10)&gt;=0.75,IF(PRZEL_CZESC="część 1 (objętość)",8,6),IF(PRZEL_CZESC="część 1 (objętość)",10,8)))+0+$AD10)))</f>
        <v>0</v>
      </c>
      <c r="F10" s="33">
        <v>8.0</v>
      </c>
      <c r="G10" s="34" t="str">
        <f t="shared" si="6"/>
        <v/>
      </c>
      <c r="H10" s="35"/>
      <c r="I10" s="36" t="str">
        <f t="array" ref="I10">IFERROR(IF(IFERROR(INDEX(BAZA_FILM,MATCH($C10,BAZA_EX,0)),"")="","",HYPERLINK(IFERROR(INDEX(BAZA_FILM,MATCH($C10,BAZA_EX,0)),""),"film")),"")</f>
        <v/>
      </c>
      <c r="J10" s="37"/>
      <c r="K10" s="5" t="s">
        <v>57</v>
      </c>
      <c r="L10" s="5" t="str">
        <f t="array" ref="L10">IFERROR(INDEX(BAZA_ID,MATCH($C10,BAZA_EX,0)),"")</f>
        <v/>
      </c>
      <c r="M10" s="5" t="str">
        <f t="array" ref="M10">IFERROR(INDEX(BAZA_PART,MATCH($C10,BAZA_EX,0)),"")</f>
        <v/>
      </c>
      <c r="N10" s="5" t="str">
        <f t="array" ref="N10">IFERROR(INDEX(BAZA_KAT,MATCH($C10,BAZA_EX,0)),"")</f>
        <v/>
      </c>
      <c r="O10" s="5" t="str">
        <f t="array" ref="O10">IFERROR(INDEX(BAZA_COEFF,MATCH($C10,BAZA_EX,0)),"")</f>
        <v/>
      </c>
      <c r="P10" s="5" t="str">
        <f t="array" ref="P10">IFERROR(INDEX(BAZA_SKOK,MATCH($C10,BAZA_EX,0)),"")</f>
        <v/>
      </c>
      <c r="Q10" s="5" t="str">
        <f t="array" ref="Q10">IFERROR(INDEX(BAZA_PROG,MATCH($C10,BAZA_EX,0)),"")</f>
        <v/>
      </c>
      <c r="R10" s="5" t="str">
        <f>IF($C10="","",IF(SUMPRODUCT((START!$B$6:$B$69=$C10)*(START!$M$6:$M$69&gt;0))=0,"",SUMPRODUCT(MAX((START!$B$6:$B$69=$C10)*START!$M$6:$M$69))))</f>
        <v/>
      </c>
      <c r="S10" s="5" t="str">
        <f t="array" ref="S10">IFERROR(INDEX(TABELE!$B$4:$J$18,MATCH($E10,TABELE!$A$4:$A$18,0),MATCH($F10,TABELE!$B$3:$J$3,0)),"")</f>
        <v/>
      </c>
      <c r="T10" s="5">
        <f t="array" ref="T10">IFERROR(IF($C10="",0,$O10*$D10*INDEX(TABELE!$B$23:$P$33,MATCH($F10,TABELE!$A$23:$A$33,0),MATCH($E10,TABELE!$B$22:$P$22,0))),0)</f>
        <v>0</v>
      </c>
      <c r="U10" s="5">
        <f t="array" ref="U10">IFERROR(IF($C10="",0,$O10*$D10*INDEX(TABELE!$B$37:$P$47,MATCH($F10,TABELE!$A$37:$A$47,0),MATCH($E10,TABELE!$B$36:$P$36,0))),0)</f>
        <v>0</v>
      </c>
      <c r="V10" s="5">
        <f t="array" ref="V10">IFERROR(IF($C10="",0,$O10*$D10*INDEX(TABELE!$B$51:$P$61,MATCH($F10,TABELE!$A$51:$A$61,0),MATCH($E10,TABELE!$B$50:$P$50,0))),0)</f>
        <v>0</v>
      </c>
      <c r="W10" s="5" t="str">
        <f t="array" ref="W10">IFERROR(INDEX(BAZA_UWAGI,MATCH($C10,BAZA_EX,0)),"")</f>
        <v/>
      </c>
      <c r="X10" s="5">
        <f t="shared" si="1"/>
        <v>3</v>
      </c>
      <c r="Y10" s="5" t="str">
        <f t="shared" si="4"/>
        <v>C</v>
      </c>
      <c r="Z10" s="5">
        <f t="shared" si="5"/>
        <v>3</v>
      </c>
      <c r="AB10" s="5" t="str">
        <f t="shared" si="2"/>
        <v/>
      </c>
      <c r="AC10" s="5">
        <v>1.0</v>
      </c>
      <c r="AD10" s="5">
        <f t="shared" si="3"/>
        <v>0</v>
      </c>
    </row>
    <row r="11" ht="25.5" customHeight="1" outlineLevel="1">
      <c r="A11" s="18" t="s">
        <v>84</v>
      </c>
      <c r="B11" s="30"/>
      <c r="C11" s="31"/>
      <c r="D11" s="32">
        <v>3.0</v>
      </c>
      <c r="E11" s="39">
        <f>IF($C11="",0,MIN(15,MAX(1,IF(N($O11)&gt;=1,6,IF(N($O11)&gt;=0.75,IF(PRZEL_CZESC="część 1 (objętość)",8,6),IF(PRZEL_CZESC="część 1 (objętość)",10,8)))+0+$AD11)))</f>
        <v>0</v>
      </c>
      <c r="F11" s="33">
        <v>9.0</v>
      </c>
      <c r="G11" s="34" t="str">
        <f t="shared" si="6"/>
        <v/>
      </c>
      <c r="H11" s="35"/>
      <c r="I11" s="36" t="str">
        <f t="array" ref="I11">IFERROR(IF(IFERROR(INDEX(BAZA_FILM,MATCH($C11,BAZA_EX,0)),"")="","",HYPERLINK(IFERROR(INDEX(BAZA_FILM,MATCH($C11,BAZA_EX,0)),""),"film")),"")</f>
        <v/>
      </c>
      <c r="J11" s="37"/>
      <c r="K11" s="5" t="s">
        <v>62</v>
      </c>
      <c r="L11" s="5" t="str">
        <f t="array" ref="L11">IFERROR(INDEX(BAZA_ID,MATCH($C11,BAZA_EX,0)),"")</f>
        <v/>
      </c>
      <c r="M11" s="5" t="str">
        <f t="array" ref="M11">IFERROR(INDEX(BAZA_PART,MATCH($C11,BAZA_EX,0)),"")</f>
        <v/>
      </c>
      <c r="N11" s="5" t="str">
        <f t="array" ref="N11">IFERROR(INDEX(BAZA_KAT,MATCH($C11,BAZA_EX,0)),"")</f>
        <v/>
      </c>
      <c r="O11" s="5" t="str">
        <f t="array" ref="O11">IFERROR(INDEX(BAZA_COEFF,MATCH($C11,BAZA_EX,0)),"")</f>
        <v/>
      </c>
      <c r="P11" s="5" t="str">
        <f t="array" ref="P11">IFERROR(INDEX(BAZA_SKOK,MATCH($C11,BAZA_EX,0)),"")</f>
        <v/>
      </c>
      <c r="Q11" s="5" t="str">
        <f t="array" ref="Q11">IFERROR(INDEX(BAZA_PROG,MATCH($C11,BAZA_EX,0)),"")</f>
        <v/>
      </c>
      <c r="R11" s="5" t="str">
        <f>IF($C11="","",IF(SUMPRODUCT((START!$B$6:$B$69=$C11)*(START!$M$6:$M$69&gt;0))=0,"",SUMPRODUCT(MAX((START!$B$6:$B$69=$C11)*START!$M$6:$M$69))))</f>
        <v/>
      </c>
      <c r="S11" s="5" t="str">
        <f t="array" ref="S11">IFERROR(INDEX(TABELE!$B$4:$J$18,MATCH($E11,TABELE!$A$4:$A$18,0),MATCH($F11,TABELE!$B$3:$J$3,0)),"")</f>
        <v/>
      </c>
      <c r="T11" s="5">
        <f t="array" ref="T11">IFERROR(IF($C11="",0,$O11*$D11*INDEX(TABELE!$B$23:$P$33,MATCH($F11,TABELE!$A$23:$A$33,0),MATCH($E11,TABELE!$B$22:$P$22,0))),0)</f>
        <v>0</v>
      </c>
      <c r="U11" s="5">
        <f t="array" ref="U11">IFERROR(IF($C11="",0,$O11*$D11*INDEX(TABELE!$B$37:$P$47,MATCH($F11,TABELE!$A$37:$A$47,0),MATCH($E11,TABELE!$B$36:$P$36,0))),0)</f>
        <v>0</v>
      </c>
      <c r="V11" s="5">
        <f t="array" ref="V11">IFERROR(IF($C11="",0,$O11*$D11*INDEX(TABELE!$B$51:$P$61,MATCH($F11,TABELE!$A$51:$A$61,0),MATCH($E11,TABELE!$B$50:$P$50,0))),0)</f>
        <v>0</v>
      </c>
      <c r="W11" s="5" t="str">
        <f t="array" ref="W11">IFERROR(INDEX(BAZA_UWAGI,MATCH($C11,BAZA_EX,0)),"")</f>
        <v/>
      </c>
      <c r="X11" s="5">
        <f t="shared" si="1"/>
        <v>3</v>
      </c>
      <c r="Y11" s="5" t="str">
        <f t="shared" si="4"/>
        <v>C</v>
      </c>
      <c r="Z11" s="5">
        <f t="shared" si="5"/>
        <v>3</v>
      </c>
      <c r="AB11" s="5" t="str">
        <f t="shared" si="2"/>
        <v/>
      </c>
      <c r="AC11" s="5">
        <v>1.0</v>
      </c>
      <c r="AD11" s="5">
        <f t="shared" si="3"/>
        <v>0</v>
      </c>
    </row>
    <row r="12" ht="25.5" customHeight="1" outlineLevel="1">
      <c r="A12" s="18" t="s">
        <v>93</v>
      </c>
      <c r="B12" s="30"/>
      <c r="C12" s="31"/>
      <c r="D12" s="32">
        <v>3.0</v>
      </c>
      <c r="E12" s="39">
        <f>IF($C12="",0,MIN(15,MAX(1,IF(N($O12)&gt;=1,6,IF(N($O12)&gt;=0.75,IF(PRZEL_CZESC="część 1 (objętość)",8,6),IF(PRZEL_CZESC="część 1 (objętość)",10,8)))+0+$AD12)))</f>
        <v>0</v>
      </c>
      <c r="F12" s="33">
        <v>8.0</v>
      </c>
      <c r="G12" s="34" t="str">
        <f t="shared" si="6"/>
        <v/>
      </c>
      <c r="H12" s="35"/>
      <c r="I12" s="36" t="str">
        <f t="array" ref="I12">IFERROR(IF(IFERROR(INDEX(BAZA_FILM,MATCH($C12,BAZA_EX,0)),"")="","",HYPERLINK(IFERROR(INDEX(BAZA_FILM,MATCH($C12,BAZA_EX,0)),""),"film")),"")</f>
        <v/>
      </c>
      <c r="J12" s="37"/>
      <c r="K12" s="5" t="s">
        <v>63</v>
      </c>
      <c r="L12" s="5" t="str">
        <f t="array" ref="L12">IFERROR(INDEX(BAZA_ID,MATCH($C12,BAZA_EX,0)),"")</f>
        <v/>
      </c>
      <c r="M12" s="5" t="str">
        <f t="array" ref="M12">IFERROR(INDEX(BAZA_PART,MATCH($C12,BAZA_EX,0)),"")</f>
        <v/>
      </c>
      <c r="N12" s="5" t="str">
        <f t="array" ref="N12">IFERROR(INDEX(BAZA_KAT,MATCH($C12,BAZA_EX,0)),"")</f>
        <v/>
      </c>
      <c r="O12" s="5" t="str">
        <f t="array" ref="O12">IFERROR(INDEX(BAZA_COEFF,MATCH($C12,BAZA_EX,0)),"")</f>
        <v/>
      </c>
      <c r="P12" s="5" t="str">
        <f t="array" ref="P12">IFERROR(INDEX(BAZA_SKOK,MATCH($C12,BAZA_EX,0)),"")</f>
        <v/>
      </c>
      <c r="Q12" s="5" t="str">
        <f t="array" ref="Q12">IFERROR(INDEX(BAZA_PROG,MATCH($C12,BAZA_EX,0)),"")</f>
        <v/>
      </c>
      <c r="R12" s="5" t="str">
        <f>IF($C12="","",IF(SUMPRODUCT((START!$B$6:$B$69=$C12)*(START!$M$6:$M$69&gt;0))=0,"",SUMPRODUCT(MAX((START!$B$6:$B$69=$C12)*START!$M$6:$M$69))))</f>
        <v/>
      </c>
      <c r="S12" s="5" t="str">
        <f t="array" ref="S12">IFERROR(INDEX(TABELE!$B$4:$J$18,MATCH($E12,TABELE!$A$4:$A$18,0),MATCH($F12,TABELE!$B$3:$J$3,0)),"")</f>
        <v/>
      </c>
      <c r="T12" s="5">
        <f t="array" ref="T12">IFERROR(IF($C12="",0,$O12*$D12*INDEX(TABELE!$B$23:$P$33,MATCH($F12,TABELE!$A$23:$A$33,0),MATCH($E12,TABELE!$B$22:$P$22,0))),0)</f>
        <v>0</v>
      </c>
      <c r="U12" s="5">
        <f t="array" ref="U12">IFERROR(IF($C12="",0,$O12*$D12*INDEX(TABELE!$B$37:$P$47,MATCH($F12,TABELE!$A$37:$A$47,0),MATCH($E12,TABELE!$B$36:$P$36,0))),0)</f>
        <v>0</v>
      </c>
      <c r="V12" s="5">
        <f t="array" ref="V12">IFERROR(IF($C12="",0,$O12*$D12*INDEX(TABELE!$B$51:$P$61,MATCH($F12,TABELE!$A$51:$A$61,0),MATCH($E12,TABELE!$B$50:$P$50,0))),0)</f>
        <v>0</v>
      </c>
      <c r="W12" s="5" t="str">
        <f t="array" ref="W12">IFERROR(INDEX(BAZA_UWAGI,MATCH($C12,BAZA_EX,0)),"")</f>
        <v/>
      </c>
      <c r="X12" s="5">
        <f t="shared" si="1"/>
        <v>4</v>
      </c>
      <c r="Y12" s="5" t="str">
        <f t="shared" si="4"/>
        <v>D</v>
      </c>
      <c r="Z12" s="5">
        <f t="shared" si="5"/>
        <v>4</v>
      </c>
      <c r="AB12" s="5" t="str">
        <f t="shared" si="2"/>
        <v/>
      </c>
      <c r="AC12" s="5">
        <v>1.0</v>
      </c>
      <c r="AD12" s="5">
        <f t="shared" si="3"/>
        <v>0</v>
      </c>
    </row>
    <row r="13" ht="25.5" customHeight="1" outlineLevel="1">
      <c r="A13" s="18" t="s">
        <v>100</v>
      </c>
      <c r="B13" s="30"/>
      <c r="C13" s="31"/>
      <c r="D13" s="32">
        <v>3.0</v>
      </c>
      <c r="E13" s="39">
        <f>IF($C13="",0,MIN(15,MAX(1,IF(N($O13)&gt;=1,6,IF(N($O13)&gt;=0.75,IF(PRZEL_CZESC="część 1 (objętość)",8,6),IF(PRZEL_CZESC="część 1 (objętość)",10,8)))+0+$AD13)))</f>
        <v>0</v>
      </c>
      <c r="F13" s="33">
        <v>9.0</v>
      </c>
      <c r="G13" s="34" t="str">
        <f t="shared" si="6"/>
        <v/>
      </c>
      <c r="H13" s="35"/>
      <c r="I13" s="36" t="str">
        <f t="array" ref="I13">IFERROR(IF(IFERROR(INDEX(BAZA_FILM,MATCH($C13,BAZA_EX,0)),"")="","",HYPERLINK(IFERROR(INDEX(BAZA_FILM,MATCH($C13,BAZA_EX,0)),""),"film")),"")</f>
        <v/>
      </c>
      <c r="J13" s="37"/>
      <c r="K13" s="5" t="s">
        <v>66</v>
      </c>
      <c r="L13" s="5" t="str">
        <f t="array" ref="L13">IFERROR(INDEX(BAZA_ID,MATCH($C13,BAZA_EX,0)),"")</f>
        <v/>
      </c>
      <c r="M13" s="5" t="str">
        <f t="array" ref="M13">IFERROR(INDEX(BAZA_PART,MATCH($C13,BAZA_EX,0)),"")</f>
        <v/>
      </c>
      <c r="N13" s="5" t="str">
        <f t="array" ref="N13">IFERROR(INDEX(BAZA_KAT,MATCH($C13,BAZA_EX,0)),"")</f>
        <v/>
      </c>
      <c r="O13" s="5" t="str">
        <f t="array" ref="O13">IFERROR(INDEX(BAZA_COEFF,MATCH($C13,BAZA_EX,0)),"")</f>
        <v/>
      </c>
      <c r="P13" s="5" t="str">
        <f t="array" ref="P13">IFERROR(INDEX(BAZA_SKOK,MATCH($C13,BAZA_EX,0)),"")</f>
        <v/>
      </c>
      <c r="Q13" s="5" t="str">
        <f t="array" ref="Q13">IFERROR(INDEX(BAZA_PROG,MATCH($C13,BAZA_EX,0)),"")</f>
        <v/>
      </c>
      <c r="R13" s="5" t="str">
        <f>IF($C13="","",IF(SUMPRODUCT((START!$B$6:$B$69=$C13)*(START!$M$6:$M$69&gt;0))=0,"",SUMPRODUCT(MAX((START!$B$6:$B$69=$C13)*START!$M$6:$M$69))))</f>
        <v/>
      </c>
      <c r="S13" s="5" t="str">
        <f t="array" ref="S13">IFERROR(INDEX(TABELE!$B$4:$J$18,MATCH($E13,TABELE!$A$4:$A$18,0),MATCH($F13,TABELE!$B$3:$J$3,0)),"")</f>
        <v/>
      </c>
      <c r="T13" s="5">
        <f t="array" ref="T13">IFERROR(IF($C13="",0,$O13*$D13*INDEX(TABELE!$B$23:$P$33,MATCH($F13,TABELE!$A$23:$A$33,0),MATCH($E13,TABELE!$B$22:$P$22,0))),0)</f>
        <v>0</v>
      </c>
      <c r="U13" s="5">
        <f t="array" ref="U13">IFERROR(IF($C13="",0,$O13*$D13*INDEX(TABELE!$B$37:$P$47,MATCH($F13,TABELE!$A$37:$A$47,0),MATCH($E13,TABELE!$B$36:$P$36,0))),0)</f>
        <v>0</v>
      </c>
      <c r="V13" s="5">
        <f t="array" ref="V13">IFERROR(IF($C13="",0,$O13*$D13*INDEX(TABELE!$B$51:$P$61,MATCH($F13,TABELE!$A$51:$A$61,0),MATCH($E13,TABELE!$B$50:$P$50,0))),0)</f>
        <v>0</v>
      </c>
      <c r="W13" s="5" t="str">
        <f t="array" ref="W13">IFERROR(INDEX(BAZA_UWAGI,MATCH($C13,BAZA_EX,0)),"")</f>
        <v/>
      </c>
      <c r="X13" s="5">
        <f t="shared" si="1"/>
        <v>4</v>
      </c>
      <c r="Y13" s="5" t="str">
        <f t="shared" si="4"/>
        <v>D</v>
      </c>
      <c r="Z13" s="5">
        <f t="shared" si="5"/>
        <v>4</v>
      </c>
      <c r="AB13" s="5" t="str">
        <f t="shared" si="2"/>
        <v/>
      </c>
      <c r="AC13" s="5">
        <v>1.0</v>
      </c>
      <c r="AD13" s="5">
        <f t="shared" si="3"/>
        <v>0</v>
      </c>
    </row>
    <row r="14" ht="25.5" customHeight="1" outlineLevel="1">
      <c r="A14" s="18" t="s">
        <v>107</v>
      </c>
      <c r="B14" s="30"/>
      <c r="C14" s="31"/>
      <c r="D14" s="32"/>
      <c r="E14" s="39">
        <f>IF($C14="",0,MIN(15,MAX(1,IF(N($O14)&gt;=1,6,IF(N($O14)&gt;=0.75,IF(PRZEL_CZESC="część 1 (objętość)",8,6),IF(PRZEL_CZESC="część 1 (objętość)",10,8)))+0+$AD14)))</f>
        <v>0</v>
      </c>
      <c r="F14" s="33"/>
      <c r="G14" s="34" t="str">
        <f t="shared" si="6"/>
        <v/>
      </c>
      <c r="H14" s="35"/>
      <c r="I14" s="36" t="str">
        <f t="array" ref="I14">IFERROR(IF(IFERROR(INDEX(BAZA_FILM,MATCH($C14,BAZA_EX,0)),"")="","",HYPERLINK(IFERROR(INDEX(BAZA_FILM,MATCH($C14,BAZA_EX,0)),""),"film")),"")</f>
        <v/>
      </c>
      <c r="J14" s="37"/>
      <c r="K14" s="5" t="s">
        <v>67</v>
      </c>
      <c r="L14" s="5" t="str">
        <f t="array" ref="L14">IFERROR(INDEX(BAZA_ID,MATCH($C14,BAZA_EX,0)),"")</f>
        <v/>
      </c>
      <c r="M14" s="5" t="str">
        <f t="array" ref="M14">IFERROR(INDEX(BAZA_PART,MATCH($C14,BAZA_EX,0)),"")</f>
        <v/>
      </c>
      <c r="N14" s="5" t="str">
        <f t="array" ref="N14">IFERROR(INDEX(BAZA_KAT,MATCH($C14,BAZA_EX,0)),"")</f>
        <v/>
      </c>
      <c r="O14" s="5" t="str">
        <f t="array" ref="O14">IFERROR(INDEX(BAZA_COEFF,MATCH($C14,BAZA_EX,0)),"")</f>
        <v/>
      </c>
      <c r="P14" s="5" t="str">
        <f t="array" ref="P14">IFERROR(INDEX(BAZA_SKOK,MATCH($C14,BAZA_EX,0)),"")</f>
        <v/>
      </c>
      <c r="Q14" s="5" t="str">
        <f t="array" ref="Q14">IFERROR(INDEX(BAZA_PROG,MATCH($C14,BAZA_EX,0)),"")</f>
        <v/>
      </c>
      <c r="R14" s="5" t="str">
        <f>IF($C14="","",IF(SUMPRODUCT((START!$B$6:$B$69=$C14)*(START!$M$6:$M$69&gt;0))=0,"",SUMPRODUCT(MAX((START!$B$6:$B$69=$C14)*START!$M$6:$M$69))))</f>
        <v/>
      </c>
      <c r="S14" s="5" t="str">
        <f t="array" ref="S14">IFERROR(INDEX(TABELE!$B$4:$J$18,MATCH($E14,TABELE!$A$4:$A$18,0),MATCH($F14,TABELE!$B$3:$J$3,0)),"")</f>
        <v/>
      </c>
      <c r="T14" s="5">
        <f t="array" ref="T14">IFERROR(IF($C14="",0,$O14*$D14*INDEX(TABELE!$B$23:$P$33,MATCH($F14,TABELE!$A$23:$A$33,0),MATCH($E14,TABELE!$B$22:$P$22,0))),0)</f>
        <v>0</v>
      </c>
      <c r="U14" s="5">
        <f t="array" ref="U14">IFERROR(IF($C14="",0,$O14*$D14*INDEX(TABELE!$B$37:$P$47,MATCH($F14,TABELE!$A$37:$A$47,0),MATCH($E14,TABELE!$B$36:$P$36,0))),0)</f>
        <v>0</v>
      </c>
      <c r="V14" s="5">
        <f t="array" ref="V14">IFERROR(IF($C14="",0,$O14*$D14*INDEX(TABELE!$B$51:$P$61,MATCH($F14,TABELE!$A$51:$A$61,0),MATCH($E14,TABELE!$B$50:$P$50,0))),0)</f>
        <v>0</v>
      </c>
      <c r="W14" s="5" t="str">
        <f t="array" ref="W14">IFERROR(INDEX(BAZA_UWAGI,MATCH($C14,BAZA_EX,0)),"")</f>
        <v/>
      </c>
      <c r="X14" s="5">
        <f t="shared" si="1"/>
        <v>5</v>
      </c>
      <c r="Y14" s="5" t="str">
        <f t="shared" si="4"/>
        <v>E</v>
      </c>
      <c r="Z14" s="5">
        <f t="shared" si="5"/>
        <v>5</v>
      </c>
      <c r="AB14" s="5" t="str">
        <f t="shared" si="2"/>
        <v/>
      </c>
      <c r="AC14" s="5">
        <v>1.0</v>
      </c>
      <c r="AD14" s="5">
        <f t="shared" si="3"/>
        <v>0</v>
      </c>
    </row>
    <row r="15" ht="25.5" customHeight="1" outlineLevel="1">
      <c r="A15" s="18" t="s">
        <v>113</v>
      </c>
      <c r="B15" s="30"/>
      <c r="C15" s="31"/>
      <c r="D15" s="32"/>
      <c r="E15" s="39">
        <f>IF($C15="",0,MIN(15,MAX(1,IF(N($O15)&gt;=1,6,IF(N($O15)&gt;=0.75,IF(PRZEL_CZESC="część 1 (objętość)",8,6),IF(PRZEL_CZESC="część 1 (objętość)",10,8)))+0+$AD15)))</f>
        <v>0</v>
      </c>
      <c r="F15" s="33"/>
      <c r="G15" s="34" t="str">
        <f t="shared" si="6"/>
        <v/>
      </c>
      <c r="H15" s="35"/>
      <c r="I15" s="36" t="str">
        <f t="array" ref="I15">IFERROR(IF(IFERROR(INDEX(BAZA_FILM,MATCH($C15,BAZA_EX,0)),"")="","",HYPERLINK(IFERROR(INDEX(BAZA_FILM,MATCH($C15,BAZA_EX,0)),""),"film")),"")</f>
        <v/>
      </c>
      <c r="J15" s="37"/>
      <c r="K15" s="5" t="s">
        <v>68</v>
      </c>
      <c r="L15" s="5" t="str">
        <f t="array" ref="L15">IFERROR(INDEX(BAZA_ID,MATCH($C15,BAZA_EX,0)),"")</f>
        <v/>
      </c>
      <c r="M15" s="5" t="str">
        <f t="array" ref="M15">IFERROR(INDEX(BAZA_PART,MATCH($C15,BAZA_EX,0)),"")</f>
        <v/>
      </c>
      <c r="N15" s="5" t="str">
        <f t="array" ref="N15">IFERROR(INDEX(BAZA_KAT,MATCH($C15,BAZA_EX,0)),"")</f>
        <v/>
      </c>
      <c r="O15" s="5" t="str">
        <f t="array" ref="O15">IFERROR(INDEX(BAZA_COEFF,MATCH($C15,BAZA_EX,0)),"")</f>
        <v/>
      </c>
      <c r="P15" s="5" t="str">
        <f t="array" ref="P15">IFERROR(INDEX(BAZA_SKOK,MATCH($C15,BAZA_EX,0)),"")</f>
        <v/>
      </c>
      <c r="Q15" s="5" t="str">
        <f t="array" ref="Q15">IFERROR(INDEX(BAZA_PROG,MATCH($C15,BAZA_EX,0)),"")</f>
        <v/>
      </c>
      <c r="R15" s="5" t="str">
        <f>IF($C15="","",IF(SUMPRODUCT((START!$B$6:$B$69=$C15)*(START!$M$6:$M$69&gt;0))=0,"",SUMPRODUCT(MAX((START!$B$6:$B$69=$C15)*START!$M$6:$M$69))))</f>
        <v/>
      </c>
      <c r="S15" s="5" t="str">
        <f t="array" ref="S15">IFERROR(INDEX(TABELE!$B$4:$J$18,MATCH($E15,TABELE!$A$4:$A$18,0),MATCH($F15,TABELE!$B$3:$J$3,0)),"")</f>
        <v/>
      </c>
      <c r="T15" s="5">
        <f t="array" ref="T15">IFERROR(IF($C15="",0,$O15*$D15*INDEX(TABELE!$B$23:$P$33,MATCH($F15,TABELE!$A$23:$A$33,0),MATCH($E15,TABELE!$B$22:$P$22,0))),0)</f>
        <v>0</v>
      </c>
      <c r="U15" s="5">
        <f t="array" ref="U15">IFERROR(IF($C15="",0,$O15*$D15*INDEX(TABELE!$B$37:$P$47,MATCH($F15,TABELE!$A$37:$A$47,0),MATCH($E15,TABELE!$B$36:$P$36,0))),0)</f>
        <v>0</v>
      </c>
      <c r="V15" s="5">
        <f t="array" ref="V15">IFERROR(IF($C15="",0,$O15*$D15*INDEX(TABELE!$B$51:$P$61,MATCH($F15,TABELE!$A$51:$A$61,0),MATCH($E15,TABELE!$B$50:$P$50,0))),0)</f>
        <v>0</v>
      </c>
      <c r="W15" s="5" t="str">
        <f t="array" ref="W15">IFERROR(INDEX(BAZA_UWAGI,MATCH($C15,BAZA_EX,0)),"")</f>
        <v/>
      </c>
      <c r="X15" s="5">
        <f t="shared" si="1"/>
        <v>5</v>
      </c>
      <c r="Y15" s="5" t="str">
        <f t="shared" si="4"/>
        <v>E</v>
      </c>
      <c r="Z15" s="5">
        <f t="shared" si="5"/>
        <v>5</v>
      </c>
      <c r="AB15" s="5" t="str">
        <f t="shared" si="2"/>
        <v/>
      </c>
      <c r="AC15" s="5">
        <v>1.0</v>
      </c>
      <c r="AD15" s="5">
        <f t="shared" si="3"/>
        <v>0</v>
      </c>
    </row>
    <row r="16" ht="25.5" customHeight="1" outlineLevel="1">
      <c r="A16" s="18"/>
      <c r="B16" s="30"/>
      <c r="C16" s="31"/>
      <c r="D16" s="32"/>
      <c r="E16" s="39">
        <f>IF($C16="",0,MIN(15,MAX(1,IF(N($O16)&gt;=1,6,IF(N($O16)&gt;=0.75,IF(PRZEL_CZESC="część 1 (objętość)",8,6),IF(PRZEL_CZESC="część 1 (objętość)",10,8)))+0+$AD16)))</f>
        <v>0</v>
      </c>
      <c r="F16" s="33"/>
      <c r="G16" s="34" t="str">
        <f t="shared" si="6"/>
        <v/>
      </c>
      <c r="H16" s="35"/>
      <c r="I16" s="36" t="str">
        <f t="array" ref="I16">IFERROR(IF(IFERROR(INDEX(BAZA_FILM,MATCH($C16,BAZA_EX,0)),"")="","",HYPERLINK(IFERROR(INDEX(BAZA_FILM,MATCH($C16,BAZA_EX,0)),""),"film")),"")</f>
        <v/>
      </c>
      <c r="J16" s="37"/>
      <c r="K16" s="5" t="s">
        <v>69</v>
      </c>
      <c r="L16" s="5" t="str">
        <f t="array" ref="L16">IFERROR(INDEX(BAZA_ID,MATCH($C16,BAZA_EX,0)),"")</f>
        <v/>
      </c>
      <c r="M16" s="5" t="str">
        <f t="array" ref="M16">IFERROR(INDEX(BAZA_PART,MATCH($C16,BAZA_EX,0)),"")</f>
        <v/>
      </c>
      <c r="N16" s="5" t="str">
        <f t="array" ref="N16">IFERROR(INDEX(BAZA_KAT,MATCH($C16,BAZA_EX,0)),"")</f>
        <v/>
      </c>
      <c r="O16" s="5" t="str">
        <f t="array" ref="O16">IFERROR(INDEX(BAZA_COEFF,MATCH($C16,BAZA_EX,0)),"")</f>
        <v/>
      </c>
      <c r="P16" s="5" t="str">
        <f t="array" ref="P16">IFERROR(INDEX(BAZA_SKOK,MATCH($C16,BAZA_EX,0)),"")</f>
        <v/>
      </c>
      <c r="Q16" s="5" t="str">
        <f t="array" ref="Q16">IFERROR(INDEX(BAZA_PROG,MATCH($C16,BAZA_EX,0)),"")</f>
        <v/>
      </c>
      <c r="R16" s="5" t="str">
        <f>IF($C16="","",IF(SUMPRODUCT((START!$B$6:$B$69=$C16)*(START!$M$6:$M$69&gt;0))=0,"",SUMPRODUCT(MAX((START!$B$6:$B$69=$C16)*START!$M$6:$M$69))))</f>
        <v/>
      </c>
      <c r="S16" s="5" t="str">
        <f t="array" ref="S16">IFERROR(INDEX(TABELE!$B$4:$J$18,MATCH($E16,TABELE!$A$4:$A$18,0),MATCH($F16,TABELE!$B$3:$J$3,0)),"")</f>
        <v/>
      </c>
      <c r="T16" s="5">
        <f t="array" ref="T16">IFERROR(IF($C16="",0,$O16*$D16*INDEX(TABELE!$B$23:$P$33,MATCH($F16,TABELE!$A$23:$A$33,0),MATCH($E16,TABELE!$B$22:$P$22,0))),0)</f>
        <v>0</v>
      </c>
      <c r="U16" s="5">
        <f t="array" ref="U16">IFERROR(IF($C16="",0,$O16*$D16*INDEX(TABELE!$B$37:$P$47,MATCH($F16,TABELE!$A$37:$A$47,0),MATCH($E16,TABELE!$B$36:$P$36,0))),0)</f>
        <v>0</v>
      </c>
      <c r="V16" s="5">
        <f t="array" ref="V16">IFERROR(IF($C16="",0,$O16*$D16*INDEX(TABELE!$B$51:$P$61,MATCH($F16,TABELE!$A$51:$A$61,0),MATCH($E16,TABELE!$B$50:$P$50,0))),0)</f>
        <v>0</v>
      </c>
      <c r="W16" s="5" t="str">
        <f t="array" ref="W16">IFERROR(INDEX(BAZA_UWAGI,MATCH($C16,BAZA_EX,0)),"")</f>
        <v/>
      </c>
      <c r="X16" s="5" t="str">
        <f t="shared" si="1"/>
        <v/>
      </c>
      <c r="Y16" s="5" t="str">
        <f t="shared" si="4"/>
        <v>E</v>
      </c>
      <c r="Z16" s="5">
        <f t="shared" si="5"/>
        <v>5</v>
      </c>
      <c r="AB16" s="5" t="str">
        <f t="shared" si="2"/>
        <v/>
      </c>
      <c r="AC16" s="5">
        <v>1.0</v>
      </c>
      <c r="AD16" s="5">
        <f t="shared" si="3"/>
        <v>0</v>
      </c>
    </row>
    <row r="17" ht="25.5" customHeight="1" outlineLevel="1">
      <c r="A17" s="18"/>
      <c r="B17" s="30"/>
      <c r="C17" s="31"/>
      <c r="D17" s="32"/>
      <c r="E17" s="39">
        <f>IF($C17="",0,MIN(15,MAX(1,IF(N($O17)&gt;=1,6,IF(N($O17)&gt;=0.75,IF(PRZEL_CZESC="część 1 (objętość)",8,6),IF(PRZEL_CZESC="część 1 (objętość)",10,8)))+0+$AD17)))</f>
        <v>0</v>
      </c>
      <c r="F17" s="33"/>
      <c r="G17" s="34" t="str">
        <f t="shared" si="6"/>
        <v/>
      </c>
      <c r="H17" s="35"/>
      <c r="I17" s="36" t="str">
        <f t="array" ref="I17">IFERROR(IF(IFERROR(INDEX(BAZA_FILM,MATCH($C17,BAZA_EX,0)),"")="","",HYPERLINK(IFERROR(INDEX(BAZA_FILM,MATCH($C17,BAZA_EX,0)),""),"film")),"")</f>
        <v/>
      </c>
      <c r="J17" s="37"/>
      <c r="K17" s="5" t="s">
        <v>70</v>
      </c>
      <c r="L17" s="5" t="str">
        <f t="array" ref="L17">IFERROR(INDEX(BAZA_ID,MATCH($C17,BAZA_EX,0)),"")</f>
        <v/>
      </c>
      <c r="M17" s="5" t="str">
        <f t="array" ref="M17">IFERROR(INDEX(BAZA_PART,MATCH($C17,BAZA_EX,0)),"")</f>
        <v/>
      </c>
      <c r="N17" s="5" t="str">
        <f t="array" ref="N17">IFERROR(INDEX(BAZA_KAT,MATCH($C17,BAZA_EX,0)),"")</f>
        <v/>
      </c>
      <c r="O17" s="5" t="str">
        <f t="array" ref="O17">IFERROR(INDEX(BAZA_COEFF,MATCH($C17,BAZA_EX,0)),"")</f>
        <v/>
      </c>
      <c r="P17" s="5" t="str">
        <f t="array" ref="P17">IFERROR(INDEX(BAZA_SKOK,MATCH($C17,BAZA_EX,0)),"")</f>
        <v/>
      </c>
      <c r="Q17" s="5" t="str">
        <f t="array" ref="Q17">IFERROR(INDEX(BAZA_PROG,MATCH($C17,BAZA_EX,0)),"")</f>
        <v/>
      </c>
      <c r="R17" s="5" t="str">
        <f>IF($C17="","",IF(SUMPRODUCT((START!$B$6:$B$69=$C17)*(START!$M$6:$M$69&gt;0))=0,"",SUMPRODUCT(MAX((START!$B$6:$B$69=$C17)*START!$M$6:$M$69))))</f>
        <v/>
      </c>
      <c r="S17" s="5" t="str">
        <f t="array" ref="S17">IFERROR(INDEX(TABELE!$B$4:$J$18,MATCH($E17,TABELE!$A$4:$A$18,0),MATCH($F17,TABELE!$B$3:$J$3,0)),"")</f>
        <v/>
      </c>
      <c r="T17" s="5">
        <f t="array" ref="T17">IFERROR(IF($C17="",0,$O17*$D17*INDEX(TABELE!$B$23:$P$33,MATCH($F17,TABELE!$A$23:$A$33,0),MATCH($E17,TABELE!$B$22:$P$22,0))),0)</f>
        <v>0</v>
      </c>
      <c r="U17" s="5">
        <f t="array" ref="U17">IFERROR(IF($C17="",0,$O17*$D17*INDEX(TABELE!$B$37:$P$47,MATCH($F17,TABELE!$A$37:$A$47,0),MATCH($E17,TABELE!$B$36:$P$36,0))),0)</f>
        <v>0</v>
      </c>
      <c r="V17" s="5">
        <f t="array" ref="V17">IFERROR(IF($C17="",0,$O17*$D17*INDEX(TABELE!$B$51:$P$61,MATCH($F17,TABELE!$A$51:$A$61,0),MATCH($E17,TABELE!$B$50:$P$50,0))),0)</f>
        <v>0</v>
      </c>
      <c r="W17" s="5" t="str">
        <f t="array" ref="W17">IFERROR(INDEX(BAZA_UWAGI,MATCH($C17,BAZA_EX,0)),"")</f>
        <v/>
      </c>
      <c r="X17" s="5" t="str">
        <f t="shared" si="1"/>
        <v/>
      </c>
      <c r="Y17" s="5" t="str">
        <f t="shared" si="4"/>
        <v>E</v>
      </c>
      <c r="Z17" s="5">
        <f t="shared" si="5"/>
        <v>5</v>
      </c>
      <c r="AB17" s="5" t="str">
        <f t="shared" si="2"/>
        <v/>
      </c>
      <c r="AC17" s="5">
        <v>1.0</v>
      </c>
      <c r="AD17" s="5">
        <f t="shared" si="3"/>
        <v>0</v>
      </c>
    </row>
    <row r="18" ht="25.5" customHeight="1" outlineLevel="1">
      <c r="A18" s="18"/>
      <c r="B18" s="30"/>
      <c r="C18" s="31"/>
      <c r="D18" s="32"/>
      <c r="E18" s="39">
        <f>IF($C18="",0,MIN(15,MAX(1,IF(N($O18)&gt;=1,6,IF(N($O18)&gt;=0.75,IF(PRZEL_CZESC="część 1 (objętość)",8,6),IF(PRZEL_CZESC="część 1 (objętość)",10,8)))+0+$AD18)))</f>
        <v>0</v>
      </c>
      <c r="F18" s="33"/>
      <c r="G18" s="34" t="str">
        <f t="shared" si="6"/>
        <v/>
      </c>
      <c r="H18" s="35"/>
      <c r="I18" s="36" t="str">
        <f t="array" ref="I18">IFERROR(IF(IFERROR(INDEX(BAZA_FILM,MATCH($C18,BAZA_EX,0)),"")="","",HYPERLINK(IFERROR(INDEX(BAZA_FILM,MATCH($C18,BAZA_EX,0)),""),"film")),"")</f>
        <v/>
      </c>
      <c r="J18" s="37"/>
      <c r="K18" s="5" t="s">
        <v>72</v>
      </c>
      <c r="L18" s="5" t="str">
        <f t="array" ref="L18">IFERROR(INDEX(BAZA_ID,MATCH($C18,BAZA_EX,0)),"")</f>
        <v/>
      </c>
      <c r="M18" s="5" t="str">
        <f t="array" ref="M18">IFERROR(INDEX(BAZA_PART,MATCH($C18,BAZA_EX,0)),"")</f>
        <v/>
      </c>
      <c r="N18" s="5" t="str">
        <f t="array" ref="N18">IFERROR(INDEX(BAZA_KAT,MATCH($C18,BAZA_EX,0)),"")</f>
        <v/>
      </c>
      <c r="O18" s="5" t="str">
        <f t="array" ref="O18">IFERROR(INDEX(BAZA_COEFF,MATCH($C18,BAZA_EX,0)),"")</f>
        <v/>
      </c>
      <c r="P18" s="5" t="str">
        <f t="array" ref="P18">IFERROR(INDEX(BAZA_SKOK,MATCH($C18,BAZA_EX,0)),"")</f>
        <v/>
      </c>
      <c r="Q18" s="5" t="str">
        <f t="array" ref="Q18">IFERROR(INDEX(BAZA_PROG,MATCH($C18,BAZA_EX,0)),"")</f>
        <v/>
      </c>
      <c r="R18" s="5" t="str">
        <f>IF($C18="","",IF(SUMPRODUCT((START!$B$6:$B$69=$C18)*(START!$M$6:$M$69&gt;0))=0,"",SUMPRODUCT(MAX((START!$B$6:$B$69=$C18)*START!$M$6:$M$69))))</f>
        <v/>
      </c>
      <c r="S18" s="5" t="str">
        <f t="array" ref="S18">IFERROR(INDEX(TABELE!$B$4:$J$18,MATCH($E18,TABELE!$A$4:$A$18,0),MATCH($F18,TABELE!$B$3:$J$3,0)),"")</f>
        <v/>
      </c>
      <c r="T18" s="5">
        <f t="array" ref="T18">IFERROR(IF($C18="",0,$O18*$D18*INDEX(TABELE!$B$23:$P$33,MATCH($F18,TABELE!$A$23:$A$33,0),MATCH($E18,TABELE!$B$22:$P$22,0))),0)</f>
        <v>0</v>
      </c>
      <c r="U18" s="5">
        <f t="array" ref="U18">IFERROR(IF($C18="",0,$O18*$D18*INDEX(TABELE!$B$37:$P$47,MATCH($F18,TABELE!$A$37:$A$47,0),MATCH($E18,TABELE!$B$36:$P$36,0))),0)</f>
        <v>0</v>
      </c>
      <c r="V18" s="5">
        <f t="array" ref="V18">IFERROR(IF($C18="",0,$O18*$D18*INDEX(TABELE!$B$51:$P$61,MATCH($F18,TABELE!$A$51:$A$61,0),MATCH($E18,TABELE!$B$50:$P$50,0))),0)</f>
        <v>0</v>
      </c>
      <c r="W18" s="5" t="str">
        <f t="array" ref="W18">IFERROR(INDEX(BAZA_UWAGI,MATCH($C18,BAZA_EX,0)),"")</f>
        <v/>
      </c>
      <c r="X18" s="5" t="str">
        <f t="shared" si="1"/>
        <v/>
      </c>
      <c r="Y18" s="5" t="str">
        <f t="shared" si="4"/>
        <v>E</v>
      </c>
      <c r="Z18" s="5">
        <f t="shared" si="5"/>
        <v>5</v>
      </c>
      <c r="AB18" s="5" t="str">
        <f t="shared" si="2"/>
        <v/>
      </c>
      <c r="AC18" s="5">
        <v>1.0</v>
      </c>
      <c r="AD18" s="5">
        <f t="shared" si="3"/>
        <v>0</v>
      </c>
    </row>
    <row r="19" ht="19.5" customHeight="1" outlineLevel="1">
      <c r="A19" s="43"/>
      <c r="B19" s="43"/>
      <c r="C19" s="44" t="s">
        <v>134</v>
      </c>
      <c r="D19" s="45">
        <f>SUMPRODUCT((C7:C18&lt;&gt;"")*D7:D18)+IF(AND($B$6="TOP SET",$C$6&lt;&gt;""),1,0)</f>
      </c>
      <c r="E19" s="46" t="str">
        <f>SUMPRODUCT((C7:C18&lt;&gt;"")*D7:D18*E7:E18)&amp;" powt."</f>
        <v>30 powt.</v>
      </c>
      <c r="F19" s="43"/>
      <c r="G19" s="47" t="str">
        <f>"stres t "&amp;TEXT(SUM(T7:T18),"0.0")</f>
        <v>stres t 1,1</v>
      </c>
      <c r="H19" s="48"/>
      <c r="I19" s="43"/>
      <c r="J19" s="4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5.5" customHeight="1" outlineLevel="1">
      <c r="A21" s="15" t="s">
        <v>73</v>
      </c>
      <c r="B21" s="3"/>
      <c r="C21" s="3"/>
      <c r="D21" s="3"/>
      <c r="E21" s="3"/>
      <c r="F21" s="3"/>
      <c r="G21" s="3"/>
      <c r="H21" s="3"/>
      <c r="I21" s="3"/>
      <c r="J21" s="4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3.75" customHeight="1" outlineLevel="2">
      <c r="A22" s="17" t="str">
        <f>IF($B22="TOP SET","▲","")</f>
        <v>▲</v>
      </c>
      <c r="B22" s="19" t="s">
        <v>27</v>
      </c>
      <c r="C22" s="22" t="str">
        <f>IF(OR($B22&lt;&gt;"TOP SET",$F22=""),"",IF(N($K22)=0,"",IF(INDEX($C$23:$C$34,$K22)="","",INDEX($C$23:$C$34,$K22))))</f>
      </c>
      <c r="D22" s="23">
        <f>IF(AND($B22="TOP SET",$F22&lt;&gt;""),1,"")</f>
      </c>
      <c r="E22" s="24" t="str">
        <f>IF(AND($B22="TOP SET",$F22&lt;&gt;""),"1 powtórzenie","")</f>
      </c>
      <c r="F22" s="25">
        <v>7.0</v>
      </c>
      <c r="G22" s="27" t="str">
        <f t="array" ref="G22">IF($B22&lt;&gt;"TOP SET","",IF($C22="","",IF(OR($Q22="masa ciała",$Q22="czas",$Q22="dystans",$Q22="ręczne ustawienie"),"—",IF(OR($R22="",$R22=0),"— brak 1RM",MROUND($R22*IFERROR(INDEX(TABELE!$B$4:$J$18,MATCH(1,TABELE!$A$4:$A$18,0),MATCH($F22,TABELE!$B$3:$J$3,0)),0)/100,MAX($P22,0.5))))))</f>
      </c>
      <c r="H22" s="28"/>
      <c r="I22" s="29"/>
      <c r="J22" s="29"/>
      <c r="K22" s="5">
        <f>IFERROR(MATCH("A*",$A$23:$A$34,0),0)</f>
      </c>
      <c r="L22" s="5"/>
      <c r="M22" s="5"/>
      <c r="N22" s="5"/>
      <c r="O22" s="5"/>
      <c r="P22" s="5">
        <f>IF(N($K22)=0,"",INDEX($P$23:$P$34,$K22))</f>
      </c>
      <c r="Q22" s="5">
        <f>IF(N($K22)=0,"",INDEX($Q$23:$Q$34,$K22))</f>
      </c>
      <c r="R22" s="5">
        <f>IF(N($K22)=0,"",INDEX($R$23:$R$34,$K22))</f>
      </c>
      <c r="S22" s="5"/>
      <c r="T22" s="5"/>
      <c r="U22" s="5"/>
      <c r="V22" s="5"/>
      <c r="W22" s="5"/>
      <c r="X22" s="5"/>
      <c r="Y22" s="5"/>
      <c r="Z22" s="5"/>
    </row>
    <row r="23" ht="25.5" customHeight="1" outlineLevel="1">
      <c r="A23" s="18" t="s">
        <v>38</v>
      </c>
      <c r="B23" s="30"/>
      <c r="C23" s="31"/>
      <c r="D23" s="32">
        <v>6.0</v>
      </c>
      <c r="E23" s="32">
        <v>6.0</v>
      </c>
      <c r="F23" s="33">
        <v>6.5</v>
      </c>
      <c r="G23" s="34" t="str">
        <f t="shared" ref="G23:G34" si="7">IF($C23="","",IF(OR($Q23="masa ciała",$Q23="czas",$Q23="dystans",$Q23="ręczne ustawienie"),$Q23,IF(OR($R23="",$R23=0),"— brak 1RM",MROUND($R23*$S23/100,MAX($P23,0.5)))))</f>
        <v/>
      </c>
      <c r="H23" s="35"/>
      <c r="I23" s="36" t="str">
        <f t="array" ref="I23">IFERROR(IF(IFERROR(INDEX(BAZA_FILM,MATCH($C23,BAZA_EX,0)),"")="","",HYPERLINK(IFERROR(INDEX(BAZA_FILM,MATCH($C23,BAZA_EX,0)),""),"film")),"")</f>
        <v/>
      </c>
      <c r="J23" s="37"/>
      <c r="K23" s="5" t="s">
        <v>74</v>
      </c>
      <c r="L23" s="5" t="str">
        <f t="array" ref="L23">IFERROR(INDEX(BAZA_ID,MATCH($C23,BAZA_EX,0)),"")</f>
        <v/>
      </c>
      <c r="M23" s="5" t="str">
        <f t="array" ref="M23">IFERROR(INDEX(BAZA_PART,MATCH($C23,BAZA_EX,0)),"")</f>
        <v/>
      </c>
      <c r="N23" s="5" t="str">
        <f t="array" ref="N23">IFERROR(INDEX(BAZA_KAT,MATCH($C23,BAZA_EX,0)),"")</f>
        <v/>
      </c>
      <c r="O23" s="5" t="str">
        <f t="array" ref="O23">IFERROR(INDEX(BAZA_COEFF,MATCH($C23,BAZA_EX,0)),"")</f>
        <v/>
      </c>
      <c r="P23" s="5" t="str">
        <f t="array" ref="P23">IFERROR(INDEX(BAZA_SKOK,MATCH($C23,BAZA_EX,0)),"")</f>
        <v/>
      </c>
      <c r="Q23" s="5" t="str">
        <f t="array" ref="Q23">IFERROR(INDEX(BAZA_PROG,MATCH($C23,BAZA_EX,0)),"")</f>
        <v/>
      </c>
      <c r="R23" s="5" t="str">
        <f>IF($C23="","",IF(SUMPRODUCT((START!$B$6:$B$69=$C23)*(START!$M$6:$M$69&gt;0))=0,"",SUMPRODUCT(MAX((START!$B$6:$B$69=$C23)*START!$M$6:$M$69))))</f>
        <v/>
      </c>
      <c r="S23" s="5">
        <f t="array" ref="S23">IFERROR(INDEX(TABELE!$B$4:$J$18,MATCH($E23,TABELE!$A$4:$A$18,0),MATCH($F23,TABELE!$B$3:$J$3,0)),"")</f>
        <v>69.5</v>
      </c>
      <c r="T23" s="5">
        <f t="array" ref="T23">IFERROR(IF($C23="",0,$O23*$D23*INDEX(TABELE!$B$23:$P$33,MATCH($F23,TABELE!$A$23:$A$33,0),MATCH($E23,TABELE!$B$22:$P$22,0))),0)</f>
        <v>0</v>
      </c>
      <c r="U23" s="5">
        <f t="array" ref="U23">IFERROR(IF($C23="",0,$O23*$D23*INDEX(TABELE!$B$37:$P$47,MATCH($F23,TABELE!$A$37:$A$47,0),MATCH($E23,TABELE!$B$36:$P$36,0))),0)</f>
        <v>0</v>
      </c>
      <c r="V23" s="5">
        <f t="array" ref="V23">IFERROR(IF($C23="",0,$O23*$D23*INDEX(TABELE!$B$51:$P$61,MATCH($F23,TABELE!$A$51:$A$61,0),MATCH($E23,TABELE!$B$50:$P$50,0))),0)</f>
        <v>0</v>
      </c>
      <c r="W23" s="5" t="str">
        <f t="array" ref="W23">IFERROR(INDEX(BAZA_UWAGI,MATCH($C23,BAZA_EX,0)),"")</f>
        <v/>
      </c>
      <c r="X23" s="5">
        <f t="shared" ref="X23:X34" si="8">IF($A23="","",$Z23)</f>
        <v>1</v>
      </c>
      <c r="Y23" s="5" t="str">
        <f>IF($A23="","",LEFT($A23,1))</f>
        <v>A</v>
      </c>
      <c r="Z23" s="5">
        <f>IF($A23="",0,1)</f>
        <v>1</v>
      </c>
      <c r="AB23" s="5" t="str">
        <f t="shared" ref="AB23:AB34" si="9">IF($C23="","",IF($H23&lt;&gt;"",$H23,IF($H$35="✓ ukończony","OK","")))</f>
        <v/>
      </c>
      <c r="AC23" s="5">
        <v>1.0</v>
      </c>
      <c r="AD23" s="5">
        <f t="shared" ref="AD23:AD34" si="10">IF(OR($Q23="masa ciała",$Q23="czas",$Q23="dystans",$Q23="ręczne ustawienie"),MAX(-3,MIN(3,ROUND(($AC23-1)/0.05,0))),0)</f>
        <v>0</v>
      </c>
    </row>
    <row r="24" ht="25.5" customHeight="1" outlineLevel="1">
      <c r="A24" s="18" t="s">
        <v>64</v>
      </c>
      <c r="B24" s="30"/>
      <c r="C24" s="31"/>
      <c r="D24" s="32">
        <v>3.0</v>
      </c>
      <c r="E24" s="39">
        <f>IF($C24="",0,MIN(15,MAX(1,IF(N($O24)&gt;=1,6,IF(N($O24)&gt;=0.75,IF(PRZEL_CZESC="część 1 (objętość)",8,6),IF(PRZEL_CZESC="część 1 (objętość)",10,8)))+0+$AD24)))</f>
        <v>0</v>
      </c>
      <c r="F24" s="33">
        <v>8.0</v>
      </c>
      <c r="G24" s="34" t="str">
        <f t="shared" si="7"/>
        <v/>
      </c>
      <c r="H24" s="35"/>
      <c r="I24" s="36" t="str">
        <f t="array" ref="I24">IFERROR(IF(IFERROR(INDEX(BAZA_FILM,MATCH($C24,BAZA_EX,0)),"")="","",HYPERLINK(IFERROR(INDEX(BAZA_FILM,MATCH($C24,BAZA_EX,0)),""),"film")),"")</f>
        <v/>
      </c>
      <c r="J24" s="37"/>
      <c r="K24" s="5" t="s">
        <v>75</v>
      </c>
      <c r="L24" s="5" t="str">
        <f t="array" ref="L24">IFERROR(INDEX(BAZA_ID,MATCH($C24,BAZA_EX,0)),"")</f>
        <v/>
      </c>
      <c r="M24" s="5" t="str">
        <f t="array" ref="M24">IFERROR(INDEX(BAZA_PART,MATCH($C24,BAZA_EX,0)),"")</f>
        <v/>
      </c>
      <c r="N24" s="5" t="str">
        <f t="array" ref="N24">IFERROR(INDEX(BAZA_KAT,MATCH($C24,BAZA_EX,0)),"")</f>
        <v/>
      </c>
      <c r="O24" s="5" t="str">
        <f t="array" ref="O24">IFERROR(INDEX(BAZA_COEFF,MATCH($C24,BAZA_EX,0)),"")</f>
        <v/>
      </c>
      <c r="P24" s="5" t="str">
        <f t="array" ref="P24">IFERROR(INDEX(BAZA_SKOK,MATCH($C24,BAZA_EX,0)),"")</f>
        <v/>
      </c>
      <c r="Q24" s="5" t="str">
        <f t="array" ref="Q24">IFERROR(INDEX(BAZA_PROG,MATCH($C24,BAZA_EX,0)),"")</f>
        <v/>
      </c>
      <c r="R24" s="5" t="str">
        <f>IF($C24="","",IF(SUMPRODUCT((START!$B$6:$B$69=$C24)*(START!$M$6:$M$69&gt;0))=0,"",SUMPRODUCT(MAX((START!$B$6:$B$69=$C24)*START!$M$6:$M$69))))</f>
        <v/>
      </c>
      <c r="S24" s="5" t="str">
        <f t="array" ref="S24">IFERROR(INDEX(TABELE!$B$4:$J$18,MATCH($E24,TABELE!$A$4:$A$18,0),MATCH($F24,TABELE!$B$3:$J$3,0)),"")</f>
        <v/>
      </c>
      <c r="T24" s="5">
        <f t="array" ref="T24">IFERROR(IF($C24="",0,$O24*$D24*INDEX(TABELE!$B$23:$P$33,MATCH($F24,TABELE!$A$23:$A$33,0),MATCH($E24,TABELE!$B$22:$P$22,0))),0)</f>
        <v>0</v>
      </c>
      <c r="U24" s="5">
        <f t="array" ref="U24">IFERROR(IF($C24="",0,$O24*$D24*INDEX(TABELE!$B$37:$P$47,MATCH($F24,TABELE!$A$37:$A$47,0),MATCH($E24,TABELE!$B$36:$P$36,0))),0)</f>
        <v>0</v>
      </c>
      <c r="V24" s="5">
        <f t="array" ref="V24">IFERROR(IF($C24="",0,$O24*$D24*INDEX(TABELE!$B$51:$P$61,MATCH($F24,TABELE!$A$51:$A$61,0),MATCH($E24,TABELE!$B$50:$P$50,0))),0)</f>
        <v>0</v>
      </c>
      <c r="W24" s="5" t="str">
        <f t="array" ref="W24">IFERROR(INDEX(BAZA_UWAGI,MATCH($C24,BAZA_EX,0)),"")</f>
        <v/>
      </c>
      <c r="X24" s="5">
        <f t="shared" si="8"/>
        <v>2</v>
      </c>
      <c r="Y24" s="5" t="str">
        <f t="shared" ref="Y24:Y34" si="11">IF($A24="",$Y23,LEFT($A24,1))</f>
        <v>B</v>
      </c>
      <c r="Z24" s="5">
        <f t="shared" ref="Z24:Z34" si="12">IF($A24="",$Z23,IF(LEFT($A24,1)=$Y23,$Z23,$Z23+1))</f>
        <v>2</v>
      </c>
      <c r="AB24" s="5" t="str">
        <f t="shared" si="9"/>
        <v/>
      </c>
      <c r="AC24" s="5">
        <v>1.0</v>
      </c>
      <c r="AD24" s="5">
        <f t="shared" si="10"/>
        <v>0</v>
      </c>
    </row>
    <row r="25" ht="25.5" customHeight="1" outlineLevel="1">
      <c r="A25" s="18" t="s">
        <v>71</v>
      </c>
      <c r="B25" s="30"/>
      <c r="C25" s="31"/>
      <c r="D25" s="32">
        <v>3.0</v>
      </c>
      <c r="E25" s="39">
        <f>IF($C25="",0,MIN(15,MAX(1,IF(N($O25)&gt;=1,6,IF(N($O25)&gt;=0.75,IF(PRZEL_CZESC="część 1 (objętość)",8,6),IF(PRZEL_CZESC="część 1 (objętość)",10,8)))+0+$AD25)))</f>
        <v>0</v>
      </c>
      <c r="F25" s="33">
        <v>8.0</v>
      </c>
      <c r="G25" s="34" t="str">
        <f t="shared" si="7"/>
        <v/>
      </c>
      <c r="H25" s="35"/>
      <c r="I25" s="36" t="str">
        <f t="array" ref="I25">IFERROR(IF(IFERROR(INDEX(BAZA_FILM,MATCH($C25,BAZA_EX,0)),"")="","",HYPERLINK(IFERROR(INDEX(BAZA_FILM,MATCH($C25,BAZA_EX,0)),""),"film")),"")</f>
        <v/>
      </c>
      <c r="J25" s="37"/>
      <c r="K25" s="5" t="s">
        <v>76</v>
      </c>
      <c r="L25" s="5" t="str">
        <f t="array" ref="L25">IFERROR(INDEX(BAZA_ID,MATCH($C25,BAZA_EX,0)),"")</f>
        <v/>
      </c>
      <c r="M25" s="5" t="str">
        <f t="array" ref="M25">IFERROR(INDEX(BAZA_PART,MATCH($C25,BAZA_EX,0)),"")</f>
        <v/>
      </c>
      <c r="N25" s="5" t="str">
        <f t="array" ref="N25">IFERROR(INDEX(BAZA_KAT,MATCH($C25,BAZA_EX,0)),"")</f>
        <v/>
      </c>
      <c r="O25" s="5" t="str">
        <f t="array" ref="O25">IFERROR(INDEX(BAZA_COEFF,MATCH($C25,BAZA_EX,0)),"")</f>
        <v/>
      </c>
      <c r="P25" s="5" t="str">
        <f t="array" ref="P25">IFERROR(INDEX(BAZA_SKOK,MATCH($C25,BAZA_EX,0)),"")</f>
        <v/>
      </c>
      <c r="Q25" s="5" t="str">
        <f t="array" ref="Q25">IFERROR(INDEX(BAZA_PROG,MATCH($C25,BAZA_EX,0)),"")</f>
        <v/>
      </c>
      <c r="R25" s="5" t="str">
        <f>IF($C25="","",IF(SUMPRODUCT((START!$B$6:$B$69=$C25)*(START!$M$6:$M$69&gt;0))=0,"",SUMPRODUCT(MAX((START!$B$6:$B$69=$C25)*START!$M$6:$M$69))))</f>
        <v/>
      </c>
      <c r="S25" s="5" t="str">
        <f t="array" ref="S25">IFERROR(INDEX(TABELE!$B$4:$J$18,MATCH($E25,TABELE!$A$4:$A$18,0),MATCH($F25,TABELE!$B$3:$J$3,0)),"")</f>
        <v/>
      </c>
      <c r="T25" s="5">
        <f t="array" ref="T25">IFERROR(IF($C25="",0,$O25*$D25*INDEX(TABELE!$B$23:$P$33,MATCH($F25,TABELE!$A$23:$A$33,0),MATCH($E25,TABELE!$B$22:$P$22,0))),0)</f>
        <v>0</v>
      </c>
      <c r="U25" s="5">
        <f t="array" ref="U25">IFERROR(IF($C25="",0,$O25*$D25*INDEX(TABELE!$B$37:$P$47,MATCH($F25,TABELE!$A$37:$A$47,0),MATCH($E25,TABELE!$B$36:$P$36,0))),0)</f>
        <v>0</v>
      </c>
      <c r="V25" s="5">
        <f t="array" ref="V25">IFERROR(IF($C25="",0,$O25*$D25*INDEX(TABELE!$B$51:$P$61,MATCH($F25,TABELE!$A$51:$A$61,0),MATCH($E25,TABELE!$B$50:$P$50,0))),0)</f>
        <v>0</v>
      </c>
      <c r="W25" s="5" t="str">
        <f t="array" ref="W25">IFERROR(INDEX(BAZA_UWAGI,MATCH($C25,BAZA_EX,0)),"")</f>
        <v/>
      </c>
      <c r="X25" s="5">
        <f t="shared" si="8"/>
        <v>2</v>
      </c>
      <c r="Y25" s="5" t="str">
        <f t="shared" si="11"/>
        <v>B</v>
      </c>
      <c r="Z25" s="5">
        <f t="shared" si="12"/>
        <v>2</v>
      </c>
      <c r="AB25" s="5" t="str">
        <f t="shared" si="9"/>
        <v/>
      </c>
      <c r="AC25" s="5">
        <v>1.0</v>
      </c>
      <c r="AD25" s="5">
        <f t="shared" si="10"/>
        <v>0</v>
      </c>
    </row>
    <row r="26" ht="25.5" customHeight="1" outlineLevel="1">
      <c r="A26" s="18" t="s">
        <v>78</v>
      </c>
      <c r="B26" s="30"/>
      <c r="C26" s="31"/>
      <c r="D26" s="32">
        <v>3.0</v>
      </c>
      <c r="E26" s="39">
        <f>IF($C26="",0,MIN(15,MAX(1,IF(N($O26)&gt;=1,6,IF(N($O26)&gt;=0.75,IF(PRZEL_CZESC="część 1 (objętość)",8,6),IF(PRZEL_CZESC="część 1 (objętość)",10,8)))+0+$AD26)))</f>
        <v>0</v>
      </c>
      <c r="F26" s="33">
        <v>8.0</v>
      </c>
      <c r="G26" s="34" t="str">
        <f t="shared" si="7"/>
        <v/>
      </c>
      <c r="H26" s="35"/>
      <c r="I26" s="36" t="str">
        <f t="array" ref="I26">IFERROR(IF(IFERROR(INDEX(BAZA_FILM,MATCH($C26,BAZA_EX,0)),"")="","",HYPERLINK(IFERROR(INDEX(BAZA_FILM,MATCH($C26,BAZA_EX,0)),""),"film")),"")</f>
        <v/>
      </c>
      <c r="J26" s="37"/>
      <c r="K26" s="5" t="s">
        <v>77</v>
      </c>
      <c r="L26" s="5" t="str">
        <f t="array" ref="L26">IFERROR(INDEX(BAZA_ID,MATCH($C26,BAZA_EX,0)),"")</f>
        <v/>
      </c>
      <c r="M26" s="5" t="str">
        <f t="array" ref="M26">IFERROR(INDEX(BAZA_PART,MATCH($C26,BAZA_EX,0)),"")</f>
        <v/>
      </c>
      <c r="N26" s="5" t="str">
        <f t="array" ref="N26">IFERROR(INDEX(BAZA_KAT,MATCH($C26,BAZA_EX,0)),"")</f>
        <v/>
      </c>
      <c r="O26" s="5" t="str">
        <f t="array" ref="O26">IFERROR(INDEX(BAZA_COEFF,MATCH($C26,BAZA_EX,0)),"")</f>
        <v/>
      </c>
      <c r="P26" s="5" t="str">
        <f t="array" ref="P26">IFERROR(INDEX(BAZA_SKOK,MATCH($C26,BAZA_EX,0)),"")</f>
        <v/>
      </c>
      <c r="Q26" s="5" t="str">
        <f t="array" ref="Q26">IFERROR(INDEX(BAZA_PROG,MATCH($C26,BAZA_EX,0)),"")</f>
        <v/>
      </c>
      <c r="R26" s="5" t="str">
        <f>IF($C26="","",IF(SUMPRODUCT((START!$B$6:$B$69=$C26)*(START!$M$6:$M$69&gt;0))=0,"",SUMPRODUCT(MAX((START!$B$6:$B$69=$C26)*START!$M$6:$M$69))))</f>
        <v/>
      </c>
      <c r="S26" s="5" t="str">
        <f t="array" ref="S26">IFERROR(INDEX(TABELE!$B$4:$J$18,MATCH($E26,TABELE!$A$4:$A$18,0),MATCH($F26,TABELE!$B$3:$J$3,0)),"")</f>
        <v/>
      </c>
      <c r="T26" s="5">
        <f t="array" ref="T26">IFERROR(IF($C26="",0,$O26*$D26*INDEX(TABELE!$B$23:$P$33,MATCH($F26,TABELE!$A$23:$A$33,0),MATCH($E26,TABELE!$B$22:$P$22,0))),0)</f>
        <v>0</v>
      </c>
      <c r="U26" s="5">
        <f t="array" ref="U26">IFERROR(IF($C26="",0,$O26*$D26*INDEX(TABELE!$B$37:$P$47,MATCH($F26,TABELE!$A$37:$A$47,0),MATCH($E26,TABELE!$B$36:$P$36,0))),0)</f>
        <v>0</v>
      </c>
      <c r="V26" s="5">
        <f t="array" ref="V26">IFERROR(IF($C26="",0,$O26*$D26*INDEX(TABELE!$B$51:$P$61,MATCH($F26,TABELE!$A$51:$A$61,0),MATCH($E26,TABELE!$B$50:$P$50,0))),0)</f>
        <v>0</v>
      </c>
      <c r="W26" s="5" t="str">
        <f t="array" ref="W26">IFERROR(INDEX(BAZA_UWAGI,MATCH($C26,BAZA_EX,0)),"")</f>
        <v/>
      </c>
      <c r="X26" s="5">
        <f t="shared" si="8"/>
        <v>3</v>
      </c>
      <c r="Y26" s="5" t="str">
        <f t="shared" si="11"/>
        <v>C</v>
      </c>
      <c r="Z26" s="5">
        <f t="shared" si="12"/>
        <v>3</v>
      </c>
      <c r="AB26" s="5" t="str">
        <f t="shared" si="9"/>
        <v/>
      </c>
      <c r="AC26" s="5">
        <v>1.0</v>
      </c>
      <c r="AD26" s="5">
        <f t="shared" si="10"/>
        <v>0</v>
      </c>
    </row>
    <row r="27" ht="25.5" customHeight="1" outlineLevel="1">
      <c r="A27" s="18" t="s">
        <v>84</v>
      </c>
      <c r="B27" s="30"/>
      <c r="C27" s="31"/>
      <c r="D27" s="32">
        <v>3.0</v>
      </c>
      <c r="E27" s="39">
        <f>IF($C27="",0,MIN(15,MAX(1,IF(N($O27)&gt;=1,6,IF(N($O27)&gt;=0.75,IF(PRZEL_CZESC="część 1 (objętość)",8,6),IF(PRZEL_CZESC="część 1 (objętość)",10,8)))+0+$AD27)))</f>
        <v>0</v>
      </c>
      <c r="F27" s="33">
        <v>9.0</v>
      </c>
      <c r="G27" s="34" t="str">
        <f t="shared" si="7"/>
        <v/>
      </c>
      <c r="H27" s="35"/>
      <c r="I27" s="36" t="str">
        <f t="array" ref="I27">IFERROR(IF(IFERROR(INDEX(BAZA_FILM,MATCH($C27,BAZA_EX,0)),"")="","",HYPERLINK(IFERROR(INDEX(BAZA_FILM,MATCH($C27,BAZA_EX,0)),""),"film")),"")</f>
        <v/>
      </c>
      <c r="J27" s="37"/>
      <c r="K27" s="5" t="s">
        <v>79</v>
      </c>
      <c r="L27" s="5" t="str">
        <f t="array" ref="L27">IFERROR(INDEX(BAZA_ID,MATCH($C27,BAZA_EX,0)),"")</f>
        <v/>
      </c>
      <c r="M27" s="5" t="str">
        <f t="array" ref="M27">IFERROR(INDEX(BAZA_PART,MATCH($C27,BAZA_EX,0)),"")</f>
        <v/>
      </c>
      <c r="N27" s="5" t="str">
        <f t="array" ref="N27">IFERROR(INDEX(BAZA_KAT,MATCH($C27,BAZA_EX,0)),"")</f>
        <v/>
      </c>
      <c r="O27" s="5" t="str">
        <f t="array" ref="O27">IFERROR(INDEX(BAZA_COEFF,MATCH($C27,BAZA_EX,0)),"")</f>
        <v/>
      </c>
      <c r="P27" s="5" t="str">
        <f t="array" ref="P27">IFERROR(INDEX(BAZA_SKOK,MATCH($C27,BAZA_EX,0)),"")</f>
        <v/>
      </c>
      <c r="Q27" s="5" t="str">
        <f t="array" ref="Q27">IFERROR(INDEX(BAZA_PROG,MATCH($C27,BAZA_EX,0)),"")</f>
        <v/>
      </c>
      <c r="R27" s="5" t="str">
        <f>IF($C27="","",IF(SUMPRODUCT((START!$B$6:$B$69=$C27)*(START!$M$6:$M$69&gt;0))=0,"",SUMPRODUCT(MAX((START!$B$6:$B$69=$C27)*START!$M$6:$M$69))))</f>
        <v/>
      </c>
      <c r="S27" s="5" t="str">
        <f t="array" ref="S27">IFERROR(INDEX(TABELE!$B$4:$J$18,MATCH($E27,TABELE!$A$4:$A$18,0),MATCH($F27,TABELE!$B$3:$J$3,0)),"")</f>
        <v/>
      </c>
      <c r="T27" s="5">
        <f t="array" ref="T27">IFERROR(IF($C27="",0,$O27*$D27*INDEX(TABELE!$B$23:$P$33,MATCH($F27,TABELE!$A$23:$A$33,0),MATCH($E27,TABELE!$B$22:$P$22,0))),0)</f>
        <v>0</v>
      </c>
      <c r="U27" s="5">
        <f t="array" ref="U27">IFERROR(IF($C27="",0,$O27*$D27*INDEX(TABELE!$B$37:$P$47,MATCH($F27,TABELE!$A$37:$A$47,0),MATCH($E27,TABELE!$B$36:$P$36,0))),0)</f>
        <v>0</v>
      </c>
      <c r="V27" s="5">
        <f t="array" ref="V27">IFERROR(IF($C27="",0,$O27*$D27*INDEX(TABELE!$B$51:$P$61,MATCH($F27,TABELE!$A$51:$A$61,0),MATCH($E27,TABELE!$B$50:$P$50,0))),0)</f>
        <v>0</v>
      </c>
      <c r="W27" s="5" t="str">
        <f t="array" ref="W27">IFERROR(INDEX(BAZA_UWAGI,MATCH($C27,BAZA_EX,0)),"")</f>
        <v/>
      </c>
      <c r="X27" s="5">
        <f t="shared" si="8"/>
        <v>3</v>
      </c>
      <c r="Y27" s="5" t="str">
        <f t="shared" si="11"/>
        <v>C</v>
      </c>
      <c r="Z27" s="5">
        <f t="shared" si="12"/>
        <v>3</v>
      </c>
      <c r="AB27" s="5" t="str">
        <f t="shared" si="9"/>
        <v/>
      </c>
      <c r="AC27" s="5">
        <v>1.0</v>
      </c>
      <c r="AD27" s="5">
        <f t="shared" si="10"/>
        <v>0</v>
      </c>
    </row>
    <row r="28" ht="25.5" customHeight="1" outlineLevel="1">
      <c r="A28" s="18" t="s">
        <v>93</v>
      </c>
      <c r="B28" s="30"/>
      <c r="C28" s="31"/>
      <c r="D28" s="32">
        <v>3.0</v>
      </c>
      <c r="E28" s="39">
        <f>IF($C28="",0,MIN(15,MAX(1,IF(N($O28)&gt;=1,6,IF(N($O28)&gt;=0.75,IF(PRZEL_CZESC="część 1 (objętość)",8,6),IF(PRZEL_CZESC="część 1 (objętość)",10,8)))+0+$AD28)))</f>
        <v>0</v>
      </c>
      <c r="F28" s="33">
        <v>8.0</v>
      </c>
      <c r="G28" s="34" t="str">
        <f t="shared" si="7"/>
        <v/>
      </c>
      <c r="H28" s="35"/>
      <c r="I28" s="36" t="str">
        <f t="array" ref="I28">IFERROR(IF(IFERROR(INDEX(BAZA_FILM,MATCH($C28,BAZA_EX,0)),"")="","",HYPERLINK(IFERROR(INDEX(BAZA_FILM,MATCH($C28,BAZA_EX,0)),""),"film")),"")</f>
        <v/>
      </c>
      <c r="J28" s="37"/>
      <c r="K28" s="5" t="s">
        <v>80</v>
      </c>
      <c r="L28" s="5" t="str">
        <f t="array" ref="L28">IFERROR(INDEX(BAZA_ID,MATCH($C28,BAZA_EX,0)),"")</f>
        <v/>
      </c>
      <c r="M28" s="5" t="str">
        <f t="array" ref="M28">IFERROR(INDEX(BAZA_PART,MATCH($C28,BAZA_EX,0)),"")</f>
        <v/>
      </c>
      <c r="N28" s="5" t="str">
        <f t="array" ref="N28">IFERROR(INDEX(BAZA_KAT,MATCH($C28,BAZA_EX,0)),"")</f>
        <v/>
      </c>
      <c r="O28" s="5" t="str">
        <f t="array" ref="O28">IFERROR(INDEX(BAZA_COEFF,MATCH($C28,BAZA_EX,0)),"")</f>
        <v/>
      </c>
      <c r="P28" s="5" t="str">
        <f t="array" ref="P28">IFERROR(INDEX(BAZA_SKOK,MATCH($C28,BAZA_EX,0)),"")</f>
        <v/>
      </c>
      <c r="Q28" s="5" t="str">
        <f t="array" ref="Q28">IFERROR(INDEX(BAZA_PROG,MATCH($C28,BAZA_EX,0)),"")</f>
        <v/>
      </c>
      <c r="R28" s="5" t="str">
        <f>IF($C28="","",IF(SUMPRODUCT((START!$B$6:$B$69=$C28)*(START!$M$6:$M$69&gt;0))=0,"",SUMPRODUCT(MAX((START!$B$6:$B$69=$C28)*START!$M$6:$M$69))))</f>
        <v/>
      </c>
      <c r="S28" s="5" t="str">
        <f t="array" ref="S28">IFERROR(INDEX(TABELE!$B$4:$J$18,MATCH($E28,TABELE!$A$4:$A$18,0),MATCH($F28,TABELE!$B$3:$J$3,0)),"")</f>
        <v/>
      </c>
      <c r="T28" s="5">
        <f t="array" ref="T28">IFERROR(IF($C28="",0,$O28*$D28*INDEX(TABELE!$B$23:$P$33,MATCH($F28,TABELE!$A$23:$A$33,0),MATCH($E28,TABELE!$B$22:$P$22,0))),0)</f>
        <v>0</v>
      </c>
      <c r="U28" s="5">
        <f t="array" ref="U28">IFERROR(IF($C28="",0,$O28*$D28*INDEX(TABELE!$B$37:$P$47,MATCH($F28,TABELE!$A$37:$A$47,0),MATCH($E28,TABELE!$B$36:$P$36,0))),0)</f>
        <v>0</v>
      </c>
      <c r="V28" s="5">
        <f t="array" ref="V28">IFERROR(IF($C28="",0,$O28*$D28*INDEX(TABELE!$B$51:$P$61,MATCH($F28,TABELE!$A$51:$A$61,0),MATCH($E28,TABELE!$B$50:$P$50,0))),0)</f>
        <v>0</v>
      </c>
      <c r="W28" s="5" t="str">
        <f t="array" ref="W28">IFERROR(INDEX(BAZA_UWAGI,MATCH($C28,BAZA_EX,0)),"")</f>
        <v/>
      </c>
      <c r="X28" s="5">
        <f t="shared" si="8"/>
        <v>4</v>
      </c>
      <c r="Y28" s="5" t="str">
        <f t="shared" si="11"/>
        <v>D</v>
      </c>
      <c r="Z28" s="5">
        <f t="shared" si="12"/>
        <v>4</v>
      </c>
      <c r="AB28" s="5" t="str">
        <f t="shared" si="9"/>
        <v/>
      </c>
      <c r="AC28" s="5">
        <v>1.0</v>
      </c>
      <c r="AD28" s="5">
        <f t="shared" si="10"/>
        <v>0</v>
      </c>
    </row>
    <row r="29" ht="25.5" customHeight="1" outlineLevel="1">
      <c r="A29" s="18" t="s">
        <v>100</v>
      </c>
      <c r="B29" s="30"/>
      <c r="C29" s="31"/>
      <c r="D29" s="32">
        <v>3.0</v>
      </c>
      <c r="E29" s="39">
        <f>IF($C29="",0,MIN(15,MAX(1,IF(N($O29)&gt;=1,6,IF(N($O29)&gt;=0.75,IF(PRZEL_CZESC="część 1 (objętość)",8,6),IF(PRZEL_CZESC="część 1 (objętość)",10,8)))+0+$AD29)))</f>
        <v>0</v>
      </c>
      <c r="F29" s="33">
        <v>9.0</v>
      </c>
      <c r="G29" s="34" t="str">
        <f t="shared" si="7"/>
        <v/>
      </c>
      <c r="H29" s="35"/>
      <c r="I29" s="36" t="str">
        <f t="array" ref="I29">IFERROR(IF(IFERROR(INDEX(BAZA_FILM,MATCH($C29,BAZA_EX,0)),"")="","",HYPERLINK(IFERROR(INDEX(BAZA_FILM,MATCH($C29,BAZA_EX,0)),""),"film")),"")</f>
        <v/>
      </c>
      <c r="J29" s="37"/>
      <c r="K29" s="5" t="s">
        <v>81</v>
      </c>
      <c r="L29" s="5" t="str">
        <f t="array" ref="L29">IFERROR(INDEX(BAZA_ID,MATCH($C29,BAZA_EX,0)),"")</f>
        <v/>
      </c>
      <c r="M29" s="5" t="str">
        <f t="array" ref="M29">IFERROR(INDEX(BAZA_PART,MATCH($C29,BAZA_EX,0)),"")</f>
        <v/>
      </c>
      <c r="N29" s="5" t="str">
        <f t="array" ref="N29">IFERROR(INDEX(BAZA_KAT,MATCH($C29,BAZA_EX,0)),"")</f>
        <v/>
      </c>
      <c r="O29" s="5" t="str">
        <f t="array" ref="O29">IFERROR(INDEX(BAZA_COEFF,MATCH($C29,BAZA_EX,0)),"")</f>
        <v/>
      </c>
      <c r="P29" s="5" t="str">
        <f t="array" ref="P29">IFERROR(INDEX(BAZA_SKOK,MATCH($C29,BAZA_EX,0)),"")</f>
        <v/>
      </c>
      <c r="Q29" s="5" t="str">
        <f t="array" ref="Q29">IFERROR(INDEX(BAZA_PROG,MATCH($C29,BAZA_EX,0)),"")</f>
        <v/>
      </c>
      <c r="R29" s="5" t="str">
        <f>IF($C29="","",IF(SUMPRODUCT((START!$B$6:$B$69=$C29)*(START!$M$6:$M$69&gt;0))=0,"",SUMPRODUCT(MAX((START!$B$6:$B$69=$C29)*START!$M$6:$M$69))))</f>
        <v/>
      </c>
      <c r="S29" s="5" t="str">
        <f t="array" ref="S29">IFERROR(INDEX(TABELE!$B$4:$J$18,MATCH($E29,TABELE!$A$4:$A$18,0),MATCH($F29,TABELE!$B$3:$J$3,0)),"")</f>
        <v/>
      </c>
      <c r="T29" s="5">
        <f t="array" ref="T29">IFERROR(IF($C29="",0,$O29*$D29*INDEX(TABELE!$B$23:$P$33,MATCH($F29,TABELE!$A$23:$A$33,0),MATCH($E29,TABELE!$B$22:$P$22,0))),0)</f>
        <v>0</v>
      </c>
      <c r="U29" s="5">
        <f t="array" ref="U29">IFERROR(IF($C29="",0,$O29*$D29*INDEX(TABELE!$B$37:$P$47,MATCH($F29,TABELE!$A$37:$A$47,0),MATCH($E29,TABELE!$B$36:$P$36,0))),0)</f>
        <v>0</v>
      </c>
      <c r="V29" s="5">
        <f t="array" ref="V29">IFERROR(IF($C29="",0,$O29*$D29*INDEX(TABELE!$B$51:$P$61,MATCH($F29,TABELE!$A$51:$A$61,0),MATCH($E29,TABELE!$B$50:$P$50,0))),0)</f>
        <v>0</v>
      </c>
      <c r="W29" s="5" t="str">
        <f t="array" ref="W29">IFERROR(INDEX(BAZA_UWAGI,MATCH($C29,BAZA_EX,0)),"")</f>
        <v/>
      </c>
      <c r="X29" s="5">
        <f t="shared" si="8"/>
        <v>4</v>
      </c>
      <c r="Y29" s="5" t="str">
        <f t="shared" si="11"/>
        <v>D</v>
      </c>
      <c r="Z29" s="5">
        <f t="shared" si="12"/>
        <v>4</v>
      </c>
      <c r="AB29" s="5" t="str">
        <f t="shared" si="9"/>
        <v/>
      </c>
      <c r="AC29" s="5">
        <v>1.0</v>
      </c>
      <c r="AD29" s="5">
        <f t="shared" si="10"/>
        <v>0</v>
      </c>
    </row>
    <row r="30" ht="25.5" customHeight="1" outlineLevel="1">
      <c r="A30" s="18" t="s">
        <v>107</v>
      </c>
      <c r="B30" s="30"/>
      <c r="C30" s="31"/>
      <c r="D30" s="32"/>
      <c r="E30" s="39">
        <f>IF($C30="",0,MIN(15,MAX(1,IF(N($O30)&gt;=1,6,IF(N($O30)&gt;=0.75,IF(PRZEL_CZESC="część 1 (objętość)",8,6),IF(PRZEL_CZESC="część 1 (objętość)",10,8)))+0+$AD30)))</f>
        <v>0</v>
      </c>
      <c r="F30" s="33"/>
      <c r="G30" s="34" t="str">
        <f t="shared" si="7"/>
        <v/>
      </c>
      <c r="H30" s="35"/>
      <c r="I30" s="36" t="str">
        <f t="array" ref="I30">IFERROR(IF(IFERROR(INDEX(BAZA_FILM,MATCH($C30,BAZA_EX,0)),"")="","",HYPERLINK(IFERROR(INDEX(BAZA_FILM,MATCH($C30,BAZA_EX,0)),""),"film")),"")</f>
        <v/>
      </c>
      <c r="J30" s="37"/>
      <c r="K30" s="5" t="s">
        <v>82</v>
      </c>
      <c r="L30" s="5" t="str">
        <f t="array" ref="L30">IFERROR(INDEX(BAZA_ID,MATCH($C30,BAZA_EX,0)),"")</f>
        <v/>
      </c>
      <c r="M30" s="5" t="str">
        <f t="array" ref="M30">IFERROR(INDEX(BAZA_PART,MATCH($C30,BAZA_EX,0)),"")</f>
        <v/>
      </c>
      <c r="N30" s="5" t="str">
        <f t="array" ref="N30">IFERROR(INDEX(BAZA_KAT,MATCH($C30,BAZA_EX,0)),"")</f>
        <v/>
      </c>
      <c r="O30" s="5" t="str">
        <f t="array" ref="O30">IFERROR(INDEX(BAZA_COEFF,MATCH($C30,BAZA_EX,0)),"")</f>
        <v/>
      </c>
      <c r="P30" s="5" t="str">
        <f t="array" ref="P30">IFERROR(INDEX(BAZA_SKOK,MATCH($C30,BAZA_EX,0)),"")</f>
        <v/>
      </c>
      <c r="Q30" s="5" t="str">
        <f t="array" ref="Q30">IFERROR(INDEX(BAZA_PROG,MATCH($C30,BAZA_EX,0)),"")</f>
        <v/>
      </c>
      <c r="R30" s="5" t="str">
        <f>IF($C30="","",IF(SUMPRODUCT((START!$B$6:$B$69=$C30)*(START!$M$6:$M$69&gt;0))=0,"",SUMPRODUCT(MAX((START!$B$6:$B$69=$C30)*START!$M$6:$M$69))))</f>
        <v/>
      </c>
      <c r="S30" s="5" t="str">
        <f t="array" ref="S30">IFERROR(INDEX(TABELE!$B$4:$J$18,MATCH($E30,TABELE!$A$4:$A$18,0),MATCH($F30,TABELE!$B$3:$J$3,0)),"")</f>
        <v/>
      </c>
      <c r="T30" s="5">
        <f t="array" ref="T30">IFERROR(IF($C30="",0,$O30*$D30*INDEX(TABELE!$B$23:$P$33,MATCH($F30,TABELE!$A$23:$A$33,0),MATCH($E30,TABELE!$B$22:$P$22,0))),0)</f>
        <v>0</v>
      </c>
      <c r="U30" s="5">
        <f t="array" ref="U30">IFERROR(IF($C30="",0,$O30*$D30*INDEX(TABELE!$B$37:$P$47,MATCH($F30,TABELE!$A$37:$A$47,0),MATCH($E30,TABELE!$B$36:$P$36,0))),0)</f>
        <v>0</v>
      </c>
      <c r="V30" s="5">
        <f t="array" ref="V30">IFERROR(IF($C30="",0,$O30*$D30*INDEX(TABELE!$B$51:$P$61,MATCH($F30,TABELE!$A$51:$A$61,0),MATCH($E30,TABELE!$B$50:$P$50,0))),0)</f>
        <v>0</v>
      </c>
      <c r="W30" s="5" t="str">
        <f t="array" ref="W30">IFERROR(INDEX(BAZA_UWAGI,MATCH($C30,BAZA_EX,0)),"")</f>
        <v/>
      </c>
      <c r="X30" s="5">
        <f t="shared" si="8"/>
        <v>5</v>
      </c>
      <c r="Y30" s="5" t="str">
        <f t="shared" si="11"/>
        <v>E</v>
      </c>
      <c r="Z30" s="5">
        <f t="shared" si="12"/>
        <v>5</v>
      </c>
      <c r="AB30" s="5" t="str">
        <f t="shared" si="9"/>
        <v/>
      </c>
      <c r="AC30" s="5">
        <v>1.0</v>
      </c>
      <c r="AD30" s="5">
        <f t="shared" si="10"/>
        <v>0</v>
      </c>
    </row>
    <row r="31" ht="25.5" customHeight="1" outlineLevel="1">
      <c r="A31" s="18" t="s">
        <v>113</v>
      </c>
      <c r="B31" s="30"/>
      <c r="C31" s="31"/>
      <c r="D31" s="32"/>
      <c r="E31" s="39">
        <f>IF($C31="",0,MIN(15,MAX(1,IF(N($O31)&gt;=1,6,IF(N($O31)&gt;=0.75,IF(PRZEL_CZESC="część 1 (objętość)",8,6),IF(PRZEL_CZESC="część 1 (objętość)",10,8)))+0+$AD31)))</f>
        <v>0</v>
      </c>
      <c r="F31" s="33"/>
      <c r="G31" s="34" t="str">
        <f t="shared" si="7"/>
        <v/>
      </c>
      <c r="H31" s="35"/>
      <c r="I31" s="36" t="str">
        <f t="array" ref="I31">IFERROR(IF(IFERROR(INDEX(BAZA_FILM,MATCH($C31,BAZA_EX,0)),"")="","",HYPERLINK(IFERROR(INDEX(BAZA_FILM,MATCH($C31,BAZA_EX,0)),""),"film")),"")</f>
        <v/>
      </c>
      <c r="J31" s="37"/>
      <c r="K31" s="5" t="s">
        <v>83</v>
      </c>
      <c r="L31" s="5" t="str">
        <f t="array" ref="L31">IFERROR(INDEX(BAZA_ID,MATCH($C31,BAZA_EX,0)),"")</f>
        <v/>
      </c>
      <c r="M31" s="5" t="str">
        <f t="array" ref="M31">IFERROR(INDEX(BAZA_PART,MATCH($C31,BAZA_EX,0)),"")</f>
        <v/>
      </c>
      <c r="N31" s="5" t="str">
        <f t="array" ref="N31">IFERROR(INDEX(BAZA_KAT,MATCH($C31,BAZA_EX,0)),"")</f>
        <v/>
      </c>
      <c r="O31" s="5" t="str">
        <f t="array" ref="O31">IFERROR(INDEX(BAZA_COEFF,MATCH($C31,BAZA_EX,0)),"")</f>
        <v/>
      </c>
      <c r="P31" s="5" t="str">
        <f t="array" ref="P31">IFERROR(INDEX(BAZA_SKOK,MATCH($C31,BAZA_EX,0)),"")</f>
        <v/>
      </c>
      <c r="Q31" s="5" t="str">
        <f t="array" ref="Q31">IFERROR(INDEX(BAZA_PROG,MATCH($C31,BAZA_EX,0)),"")</f>
        <v/>
      </c>
      <c r="R31" s="5" t="str">
        <f>IF($C31="","",IF(SUMPRODUCT((START!$B$6:$B$69=$C31)*(START!$M$6:$M$69&gt;0))=0,"",SUMPRODUCT(MAX((START!$B$6:$B$69=$C31)*START!$M$6:$M$69))))</f>
        <v/>
      </c>
      <c r="S31" s="5" t="str">
        <f t="array" ref="S31">IFERROR(INDEX(TABELE!$B$4:$J$18,MATCH($E31,TABELE!$A$4:$A$18,0),MATCH($F31,TABELE!$B$3:$J$3,0)),"")</f>
        <v/>
      </c>
      <c r="T31" s="5">
        <f t="array" ref="T31">IFERROR(IF($C31="",0,$O31*$D31*INDEX(TABELE!$B$23:$P$33,MATCH($F31,TABELE!$A$23:$A$33,0),MATCH($E31,TABELE!$B$22:$P$22,0))),0)</f>
        <v>0</v>
      </c>
      <c r="U31" s="5">
        <f t="array" ref="U31">IFERROR(IF($C31="",0,$O31*$D31*INDEX(TABELE!$B$37:$P$47,MATCH($F31,TABELE!$A$37:$A$47,0),MATCH($E31,TABELE!$B$36:$P$36,0))),0)</f>
        <v>0</v>
      </c>
      <c r="V31" s="5">
        <f t="array" ref="V31">IFERROR(IF($C31="",0,$O31*$D31*INDEX(TABELE!$B$51:$P$61,MATCH($F31,TABELE!$A$51:$A$61,0),MATCH($E31,TABELE!$B$50:$P$50,0))),0)</f>
        <v>0</v>
      </c>
      <c r="W31" s="5" t="str">
        <f t="array" ref="W31">IFERROR(INDEX(BAZA_UWAGI,MATCH($C31,BAZA_EX,0)),"")</f>
        <v/>
      </c>
      <c r="X31" s="5">
        <f t="shared" si="8"/>
        <v>5</v>
      </c>
      <c r="Y31" s="5" t="str">
        <f t="shared" si="11"/>
        <v>E</v>
      </c>
      <c r="Z31" s="5">
        <f t="shared" si="12"/>
        <v>5</v>
      </c>
      <c r="AB31" s="5" t="str">
        <f t="shared" si="9"/>
        <v/>
      </c>
      <c r="AC31" s="5">
        <v>1.0</v>
      </c>
      <c r="AD31" s="5">
        <f t="shared" si="10"/>
        <v>0</v>
      </c>
    </row>
    <row r="32" ht="25.5" customHeight="1" outlineLevel="1">
      <c r="A32" s="18"/>
      <c r="B32" s="30"/>
      <c r="C32" s="31"/>
      <c r="D32" s="32"/>
      <c r="E32" s="39">
        <f>IF($C32="",0,MIN(15,MAX(1,IF(N($O32)&gt;=1,6,IF(N($O32)&gt;=0.75,IF(PRZEL_CZESC="część 1 (objętość)",8,6),IF(PRZEL_CZESC="część 1 (objętość)",10,8)))+0+$AD32)))</f>
        <v>0</v>
      </c>
      <c r="F32" s="33"/>
      <c r="G32" s="34" t="str">
        <f t="shared" si="7"/>
        <v/>
      </c>
      <c r="H32" s="35"/>
      <c r="I32" s="36" t="str">
        <f t="array" ref="I32">IFERROR(IF(IFERROR(INDEX(BAZA_FILM,MATCH($C32,BAZA_EX,0)),"")="","",HYPERLINK(IFERROR(INDEX(BAZA_FILM,MATCH($C32,BAZA_EX,0)),""),"film")),"")</f>
        <v/>
      </c>
      <c r="J32" s="37"/>
      <c r="K32" s="5" t="s">
        <v>85</v>
      </c>
      <c r="L32" s="5" t="str">
        <f t="array" ref="L32">IFERROR(INDEX(BAZA_ID,MATCH($C32,BAZA_EX,0)),"")</f>
        <v/>
      </c>
      <c r="M32" s="5" t="str">
        <f t="array" ref="M32">IFERROR(INDEX(BAZA_PART,MATCH($C32,BAZA_EX,0)),"")</f>
        <v/>
      </c>
      <c r="N32" s="5" t="str">
        <f t="array" ref="N32">IFERROR(INDEX(BAZA_KAT,MATCH($C32,BAZA_EX,0)),"")</f>
        <v/>
      </c>
      <c r="O32" s="5" t="str">
        <f t="array" ref="O32">IFERROR(INDEX(BAZA_COEFF,MATCH($C32,BAZA_EX,0)),"")</f>
        <v/>
      </c>
      <c r="P32" s="5" t="str">
        <f t="array" ref="P32">IFERROR(INDEX(BAZA_SKOK,MATCH($C32,BAZA_EX,0)),"")</f>
        <v/>
      </c>
      <c r="Q32" s="5" t="str">
        <f t="array" ref="Q32">IFERROR(INDEX(BAZA_PROG,MATCH($C32,BAZA_EX,0)),"")</f>
        <v/>
      </c>
      <c r="R32" s="5" t="str">
        <f>IF($C32="","",IF(SUMPRODUCT((START!$B$6:$B$69=$C32)*(START!$M$6:$M$69&gt;0))=0,"",SUMPRODUCT(MAX((START!$B$6:$B$69=$C32)*START!$M$6:$M$69))))</f>
        <v/>
      </c>
      <c r="S32" s="5" t="str">
        <f t="array" ref="S32">IFERROR(INDEX(TABELE!$B$4:$J$18,MATCH($E32,TABELE!$A$4:$A$18,0),MATCH($F32,TABELE!$B$3:$J$3,0)),"")</f>
        <v/>
      </c>
      <c r="T32" s="5">
        <f t="array" ref="T32">IFERROR(IF($C32="",0,$O32*$D32*INDEX(TABELE!$B$23:$P$33,MATCH($F32,TABELE!$A$23:$A$33,0),MATCH($E32,TABELE!$B$22:$P$22,0))),0)</f>
        <v>0</v>
      </c>
      <c r="U32" s="5">
        <f t="array" ref="U32">IFERROR(IF($C32="",0,$O32*$D32*INDEX(TABELE!$B$37:$P$47,MATCH($F32,TABELE!$A$37:$A$47,0),MATCH($E32,TABELE!$B$36:$P$36,0))),0)</f>
        <v>0</v>
      </c>
      <c r="V32" s="5">
        <f t="array" ref="V32">IFERROR(IF($C32="",0,$O32*$D32*INDEX(TABELE!$B$51:$P$61,MATCH($F32,TABELE!$A$51:$A$61,0),MATCH($E32,TABELE!$B$50:$P$50,0))),0)</f>
        <v>0</v>
      </c>
      <c r="W32" s="5" t="str">
        <f t="array" ref="W32">IFERROR(INDEX(BAZA_UWAGI,MATCH($C32,BAZA_EX,0)),"")</f>
        <v/>
      </c>
      <c r="X32" s="5" t="str">
        <f t="shared" si="8"/>
        <v/>
      </c>
      <c r="Y32" s="5" t="str">
        <f t="shared" si="11"/>
        <v>E</v>
      </c>
      <c r="Z32" s="5">
        <f t="shared" si="12"/>
        <v>5</v>
      </c>
      <c r="AB32" s="5" t="str">
        <f t="shared" si="9"/>
        <v/>
      </c>
      <c r="AC32" s="5">
        <v>1.0</v>
      </c>
      <c r="AD32" s="5">
        <f t="shared" si="10"/>
        <v>0</v>
      </c>
    </row>
    <row r="33" ht="25.5" customHeight="1" outlineLevel="1">
      <c r="A33" s="18"/>
      <c r="B33" s="30"/>
      <c r="C33" s="31"/>
      <c r="D33" s="32"/>
      <c r="E33" s="39">
        <f>IF($C33="",0,MIN(15,MAX(1,IF(N($O33)&gt;=1,6,IF(N($O33)&gt;=0.75,IF(PRZEL_CZESC="część 1 (objętość)",8,6),IF(PRZEL_CZESC="część 1 (objętość)",10,8)))+0+$AD33)))</f>
        <v>0</v>
      </c>
      <c r="F33" s="33"/>
      <c r="G33" s="34" t="str">
        <f t="shared" si="7"/>
        <v/>
      </c>
      <c r="H33" s="35"/>
      <c r="I33" s="36" t="str">
        <f t="array" ref="I33">IFERROR(IF(IFERROR(INDEX(BAZA_FILM,MATCH($C33,BAZA_EX,0)),"")="","",HYPERLINK(IFERROR(INDEX(BAZA_FILM,MATCH($C33,BAZA_EX,0)),""),"film")),"")</f>
        <v/>
      </c>
      <c r="J33" s="37"/>
      <c r="K33" s="5" t="s">
        <v>86</v>
      </c>
      <c r="L33" s="5" t="str">
        <f t="array" ref="L33">IFERROR(INDEX(BAZA_ID,MATCH($C33,BAZA_EX,0)),"")</f>
        <v/>
      </c>
      <c r="M33" s="5" t="str">
        <f t="array" ref="M33">IFERROR(INDEX(BAZA_PART,MATCH($C33,BAZA_EX,0)),"")</f>
        <v/>
      </c>
      <c r="N33" s="5" t="str">
        <f t="array" ref="N33">IFERROR(INDEX(BAZA_KAT,MATCH($C33,BAZA_EX,0)),"")</f>
        <v/>
      </c>
      <c r="O33" s="5" t="str">
        <f t="array" ref="O33">IFERROR(INDEX(BAZA_COEFF,MATCH($C33,BAZA_EX,0)),"")</f>
        <v/>
      </c>
      <c r="P33" s="5" t="str">
        <f t="array" ref="P33">IFERROR(INDEX(BAZA_SKOK,MATCH($C33,BAZA_EX,0)),"")</f>
        <v/>
      </c>
      <c r="Q33" s="5" t="str">
        <f t="array" ref="Q33">IFERROR(INDEX(BAZA_PROG,MATCH($C33,BAZA_EX,0)),"")</f>
        <v/>
      </c>
      <c r="R33" s="5" t="str">
        <f>IF($C33="","",IF(SUMPRODUCT((START!$B$6:$B$69=$C33)*(START!$M$6:$M$69&gt;0))=0,"",SUMPRODUCT(MAX((START!$B$6:$B$69=$C33)*START!$M$6:$M$69))))</f>
        <v/>
      </c>
      <c r="S33" s="5" t="str">
        <f t="array" ref="S33">IFERROR(INDEX(TABELE!$B$4:$J$18,MATCH($E33,TABELE!$A$4:$A$18,0),MATCH($F33,TABELE!$B$3:$J$3,0)),"")</f>
        <v/>
      </c>
      <c r="T33" s="5">
        <f t="array" ref="T33">IFERROR(IF($C33="",0,$O33*$D33*INDEX(TABELE!$B$23:$P$33,MATCH($F33,TABELE!$A$23:$A$33,0),MATCH($E33,TABELE!$B$22:$P$22,0))),0)</f>
        <v>0</v>
      </c>
      <c r="U33" s="5">
        <f t="array" ref="U33">IFERROR(IF($C33="",0,$O33*$D33*INDEX(TABELE!$B$37:$P$47,MATCH($F33,TABELE!$A$37:$A$47,0),MATCH($E33,TABELE!$B$36:$P$36,0))),0)</f>
        <v>0</v>
      </c>
      <c r="V33" s="5">
        <f t="array" ref="V33">IFERROR(IF($C33="",0,$O33*$D33*INDEX(TABELE!$B$51:$P$61,MATCH($F33,TABELE!$A$51:$A$61,0),MATCH($E33,TABELE!$B$50:$P$50,0))),0)</f>
        <v>0</v>
      </c>
      <c r="W33" s="5" t="str">
        <f t="array" ref="W33">IFERROR(INDEX(BAZA_UWAGI,MATCH($C33,BAZA_EX,0)),"")</f>
        <v/>
      </c>
      <c r="X33" s="5" t="str">
        <f t="shared" si="8"/>
        <v/>
      </c>
      <c r="Y33" s="5" t="str">
        <f t="shared" si="11"/>
        <v>E</v>
      </c>
      <c r="Z33" s="5">
        <f t="shared" si="12"/>
        <v>5</v>
      </c>
      <c r="AB33" s="5" t="str">
        <f t="shared" si="9"/>
        <v/>
      </c>
      <c r="AC33" s="5">
        <v>1.0</v>
      </c>
      <c r="AD33" s="5">
        <f t="shared" si="10"/>
        <v>0</v>
      </c>
    </row>
    <row r="34" ht="25.5" customHeight="1" outlineLevel="1">
      <c r="A34" s="18"/>
      <c r="B34" s="30"/>
      <c r="C34" s="31"/>
      <c r="D34" s="32"/>
      <c r="E34" s="39">
        <f>IF($C34="",0,MIN(15,MAX(1,IF(N($O34)&gt;=1,6,IF(N($O34)&gt;=0.75,IF(PRZEL_CZESC="część 1 (objętość)",8,6),IF(PRZEL_CZESC="część 1 (objętość)",10,8)))+0+$AD34)))</f>
        <v>0</v>
      </c>
      <c r="F34" s="33"/>
      <c r="G34" s="34" t="str">
        <f t="shared" si="7"/>
        <v/>
      </c>
      <c r="H34" s="35"/>
      <c r="I34" s="36" t="str">
        <f t="array" ref="I34">IFERROR(IF(IFERROR(INDEX(BAZA_FILM,MATCH($C34,BAZA_EX,0)),"")="","",HYPERLINK(IFERROR(INDEX(BAZA_FILM,MATCH($C34,BAZA_EX,0)),""),"film")),"")</f>
        <v/>
      </c>
      <c r="J34" s="37"/>
      <c r="K34" s="5" t="s">
        <v>87</v>
      </c>
      <c r="L34" s="5" t="str">
        <f t="array" ref="L34">IFERROR(INDEX(BAZA_ID,MATCH($C34,BAZA_EX,0)),"")</f>
        <v/>
      </c>
      <c r="M34" s="5" t="str">
        <f t="array" ref="M34">IFERROR(INDEX(BAZA_PART,MATCH($C34,BAZA_EX,0)),"")</f>
        <v/>
      </c>
      <c r="N34" s="5" t="str">
        <f t="array" ref="N34">IFERROR(INDEX(BAZA_KAT,MATCH($C34,BAZA_EX,0)),"")</f>
        <v/>
      </c>
      <c r="O34" s="5" t="str">
        <f t="array" ref="O34">IFERROR(INDEX(BAZA_COEFF,MATCH($C34,BAZA_EX,0)),"")</f>
        <v/>
      </c>
      <c r="P34" s="5" t="str">
        <f t="array" ref="P34">IFERROR(INDEX(BAZA_SKOK,MATCH($C34,BAZA_EX,0)),"")</f>
        <v/>
      </c>
      <c r="Q34" s="5" t="str">
        <f t="array" ref="Q34">IFERROR(INDEX(BAZA_PROG,MATCH($C34,BAZA_EX,0)),"")</f>
        <v/>
      </c>
      <c r="R34" s="5" t="str">
        <f>IF($C34="","",IF(SUMPRODUCT((START!$B$6:$B$69=$C34)*(START!$M$6:$M$69&gt;0))=0,"",SUMPRODUCT(MAX((START!$B$6:$B$69=$C34)*START!$M$6:$M$69))))</f>
        <v/>
      </c>
      <c r="S34" s="5" t="str">
        <f t="array" ref="S34">IFERROR(INDEX(TABELE!$B$4:$J$18,MATCH($E34,TABELE!$A$4:$A$18,0),MATCH($F34,TABELE!$B$3:$J$3,0)),"")</f>
        <v/>
      </c>
      <c r="T34" s="5">
        <f t="array" ref="T34">IFERROR(IF($C34="",0,$O34*$D34*INDEX(TABELE!$B$23:$P$33,MATCH($F34,TABELE!$A$23:$A$33,0),MATCH($E34,TABELE!$B$22:$P$22,0))),0)</f>
        <v>0</v>
      </c>
      <c r="U34" s="5">
        <f t="array" ref="U34">IFERROR(IF($C34="",0,$O34*$D34*INDEX(TABELE!$B$37:$P$47,MATCH($F34,TABELE!$A$37:$A$47,0),MATCH($E34,TABELE!$B$36:$P$36,0))),0)</f>
        <v>0</v>
      </c>
      <c r="V34" s="5">
        <f t="array" ref="V34">IFERROR(IF($C34="",0,$O34*$D34*INDEX(TABELE!$B$51:$P$61,MATCH($F34,TABELE!$A$51:$A$61,0),MATCH($E34,TABELE!$B$50:$P$50,0))),0)</f>
        <v>0</v>
      </c>
      <c r="W34" s="5" t="str">
        <f t="array" ref="W34">IFERROR(INDEX(BAZA_UWAGI,MATCH($C34,BAZA_EX,0)),"")</f>
        <v/>
      </c>
      <c r="X34" s="5" t="str">
        <f t="shared" si="8"/>
        <v/>
      </c>
      <c r="Y34" s="5" t="str">
        <f t="shared" si="11"/>
        <v>E</v>
      </c>
      <c r="Z34" s="5">
        <f t="shared" si="12"/>
        <v>5</v>
      </c>
      <c r="AB34" s="5" t="str">
        <f t="shared" si="9"/>
        <v/>
      </c>
      <c r="AC34" s="5">
        <v>1.0</v>
      </c>
      <c r="AD34" s="5">
        <f t="shared" si="10"/>
        <v>0</v>
      </c>
    </row>
    <row r="35" ht="19.5" customHeight="1" outlineLevel="1">
      <c r="A35" s="43"/>
      <c r="B35" s="43"/>
      <c r="C35" s="44" t="s">
        <v>136</v>
      </c>
      <c r="D35" s="45">
        <f>SUMPRODUCT((C23:C34&lt;&gt;"")*D23:D34)+IF(AND($B$22="TOP SET",$C$22&lt;&gt;""),1,0)</f>
      </c>
      <c r="E35" s="46" t="str">
        <f>SUMPRODUCT((C23:C34&lt;&gt;"")*D23:D34*E23:E34)&amp;" powt."</f>
        <v>0 powt.</v>
      </c>
      <c r="F35" s="43"/>
      <c r="G35" s="47" t="str">
        <f>"stres t "&amp;TEXT(SUM(T23:T34),"0.0")</f>
        <v>stres t 0,0</v>
      </c>
      <c r="H35" s="48"/>
      <c r="I35" s="43"/>
      <c r="J35" s="43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5.5" customHeight="1" outlineLevel="1">
      <c r="A37" s="15" t="s">
        <v>88</v>
      </c>
      <c r="B37" s="3"/>
      <c r="C37" s="3"/>
      <c r="D37" s="3"/>
      <c r="E37" s="3"/>
      <c r="F37" s="3"/>
      <c r="G37" s="3"/>
      <c r="H37" s="3"/>
      <c r="I37" s="3"/>
      <c r="J37" s="4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33.75" customHeight="1" outlineLevel="2">
      <c r="A38" s="17" t="str">
        <f>IF($B38="TOP SET","▲","")</f>
        <v>▲</v>
      </c>
      <c r="B38" s="19" t="s">
        <v>27</v>
      </c>
      <c r="C38" s="22" t="str">
        <f>IF(OR($B38&lt;&gt;"TOP SET",$F38=""),"",IF(N($K38)=0,"",IF(INDEX($C$39:$C$50,$K38)="","",INDEX($C$39:$C$50,$K38))))</f>
      </c>
      <c r="D38" s="23">
        <f>IF(AND($B38="TOP SET",$F38&lt;&gt;""),1,"")</f>
      </c>
      <c r="E38" s="24" t="str">
        <f>IF(AND($B38="TOP SET",$F38&lt;&gt;""),"1 powtórzenie","")</f>
      </c>
      <c r="F38" s="25">
        <v>7.0</v>
      </c>
      <c r="G38" s="27" t="str">
        <f t="array" ref="G38">IF($B38&lt;&gt;"TOP SET","",IF($C38="","",IF(OR($Q38="masa ciała",$Q38="czas",$Q38="dystans",$Q38="ręczne ustawienie"),"—",IF(OR($R38="",$R38=0),"— brak 1RM",MROUND($R38*IFERROR(INDEX(TABELE!$B$4:$J$18,MATCH(1,TABELE!$A$4:$A$18,0),MATCH($F38,TABELE!$B$3:$J$3,0)),0)/100,MAX($P38,0.5))))))</f>
      </c>
      <c r="H38" s="28"/>
      <c r="I38" s="29"/>
      <c r="J38" s="29"/>
      <c r="K38" s="5">
        <f>IFERROR(MATCH("A*",$A$39:$A$50,0),0)</f>
      </c>
      <c r="L38" s="5"/>
      <c r="M38" s="5"/>
      <c r="N38" s="5"/>
      <c r="O38" s="5"/>
      <c r="P38" s="5">
        <f>IF(N($K38)=0,"",INDEX($P$39:$P$50,$K38))</f>
      </c>
      <c r="Q38" s="5">
        <f>IF(N($K38)=0,"",INDEX($Q$39:$Q$50,$K38))</f>
      </c>
      <c r="R38" s="5">
        <f>IF(N($K38)=0,"",INDEX($R$39:$R$50,$K38))</f>
      </c>
      <c r="S38" s="5"/>
      <c r="T38" s="5"/>
      <c r="U38" s="5"/>
      <c r="V38" s="5"/>
      <c r="W38" s="5"/>
      <c r="X38" s="5"/>
      <c r="Y38" s="5"/>
      <c r="Z38" s="5"/>
    </row>
    <row r="39" ht="25.5" customHeight="1" outlineLevel="1">
      <c r="A39" s="18" t="s">
        <v>38</v>
      </c>
      <c r="B39" s="30"/>
      <c r="C39" s="31"/>
      <c r="D39" s="32">
        <v>6.0</v>
      </c>
      <c r="E39" s="32">
        <v>6.0</v>
      </c>
      <c r="F39" s="33">
        <v>6.5</v>
      </c>
      <c r="G39" s="34" t="str">
        <f t="shared" ref="G39:G50" si="13">IF($C39="","",IF(OR($Q39="masa ciała",$Q39="czas",$Q39="dystans",$Q39="ręczne ustawienie"),$Q39,IF(OR($R39="",$R39=0),"— brak 1RM",MROUND($R39*$S39/100,MAX($P39,0.5)))))</f>
        <v/>
      </c>
      <c r="H39" s="35"/>
      <c r="I39" s="36" t="str">
        <f t="array" ref="I39">IFERROR(IF(IFERROR(INDEX(BAZA_FILM,MATCH($C39,BAZA_EX,0)),"")="","",HYPERLINK(IFERROR(INDEX(BAZA_FILM,MATCH($C39,BAZA_EX,0)),""),"film")),"")</f>
        <v/>
      </c>
      <c r="J39" s="37"/>
      <c r="K39" s="5" t="s">
        <v>89</v>
      </c>
      <c r="L39" s="5" t="str">
        <f t="array" ref="L39">IFERROR(INDEX(BAZA_ID,MATCH($C39,BAZA_EX,0)),"")</f>
        <v/>
      </c>
      <c r="M39" s="5" t="str">
        <f t="array" ref="M39">IFERROR(INDEX(BAZA_PART,MATCH($C39,BAZA_EX,0)),"")</f>
        <v/>
      </c>
      <c r="N39" s="5" t="str">
        <f t="array" ref="N39">IFERROR(INDEX(BAZA_KAT,MATCH($C39,BAZA_EX,0)),"")</f>
        <v/>
      </c>
      <c r="O39" s="5" t="str">
        <f t="array" ref="O39">IFERROR(INDEX(BAZA_COEFF,MATCH($C39,BAZA_EX,0)),"")</f>
        <v/>
      </c>
      <c r="P39" s="5" t="str">
        <f t="array" ref="P39">IFERROR(INDEX(BAZA_SKOK,MATCH($C39,BAZA_EX,0)),"")</f>
        <v/>
      </c>
      <c r="Q39" s="5" t="str">
        <f t="array" ref="Q39">IFERROR(INDEX(BAZA_PROG,MATCH($C39,BAZA_EX,0)),"")</f>
        <v/>
      </c>
      <c r="R39" s="5" t="str">
        <f>IF($C39="","",IF(SUMPRODUCT((START!$B$6:$B$69=$C39)*(START!$M$6:$M$69&gt;0))=0,"",SUMPRODUCT(MAX((START!$B$6:$B$69=$C39)*START!$M$6:$M$69))))</f>
        <v/>
      </c>
      <c r="S39" s="5">
        <f t="array" ref="S39">IFERROR(INDEX(TABELE!$B$4:$J$18,MATCH($E39,TABELE!$A$4:$A$18,0),MATCH($F39,TABELE!$B$3:$J$3,0)),"")</f>
        <v>69.5</v>
      </c>
      <c r="T39" s="5">
        <f t="array" ref="T39">IFERROR(IF($C39="",0,$O39*$D39*INDEX(TABELE!$B$23:$P$33,MATCH($F39,TABELE!$A$23:$A$33,0),MATCH($E39,TABELE!$B$22:$P$22,0))),0)</f>
        <v>0</v>
      </c>
      <c r="U39" s="5">
        <f t="array" ref="U39">IFERROR(IF($C39="",0,$O39*$D39*INDEX(TABELE!$B$37:$P$47,MATCH($F39,TABELE!$A$37:$A$47,0),MATCH($E39,TABELE!$B$36:$P$36,0))),0)</f>
        <v>0</v>
      </c>
      <c r="V39" s="5">
        <f t="array" ref="V39">IFERROR(IF($C39="",0,$O39*$D39*INDEX(TABELE!$B$51:$P$61,MATCH($F39,TABELE!$A$51:$A$61,0),MATCH($E39,TABELE!$B$50:$P$50,0))),0)</f>
        <v>0</v>
      </c>
      <c r="W39" s="5" t="str">
        <f t="array" ref="W39">IFERROR(INDEX(BAZA_UWAGI,MATCH($C39,BAZA_EX,0)),"")</f>
        <v/>
      </c>
      <c r="X39" s="5">
        <f t="shared" ref="X39:X50" si="14">IF($A39="","",$Z39)</f>
        <v>1</v>
      </c>
      <c r="Y39" s="5" t="str">
        <f>IF($A39="","",LEFT($A39,1))</f>
        <v>A</v>
      </c>
      <c r="Z39" s="5">
        <f>IF($A39="",0,1)</f>
        <v>1</v>
      </c>
      <c r="AB39" s="5" t="str">
        <f t="shared" ref="AB39:AB50" si="15">IF($C39="","",IF($H39&lt;&gt;"",$H39,IF($H$51="✓ ukończony","OK","")))</f>
        <v/>
      </c>
      <c r="AC39" s="5">
        <v>1.0</v>
      </c>
      <c r="AD39" s="5">
        <f t="shared" ref="AD39:AD50" si="16">IF(OR($Q39="masa ciała",$Q39="czas",$Q39="dystans",$Q39="ręczne ustawienie"),MAX(-3,MIN(3,ROUND(($AC39-1)/0.05,0))),0)</f>
        <v>0</v>
      </c>
    </row>
    <row r="40" ht="25.5" customHeight="1" outlineLevel="1">
      <c r="A40" s="18" t="s">
        <v>64</v>
      </c>
      <c r="B40" s="30"/>
      <c r="C40" s="31"/>
      <c r="D40" s="32">
        <v>3.0</v>
      </c>
      <c r="E40" s="39">
        <f>IF($C40="",0,MIN(15,MAX(1,IF(N($O40)&gt;=1,6,IF(N($O40)&gt;=0.75,IF(PRZEL_CZESC="część 1 (objętość)",8,6),IF(PRZEL_CZESC="część 1 (objętość)",10,8)))+0+$AD40)))</f>
        <v>0</v>
      </c>
      <c r="F40" s="33">
        <v>8.0</v>
      </c>
      <c r="G40" s="34" t="str">
        <f t="shared" si="13"/>
        <v/>
      </c>
      <c r="H40" s="35"/>
      <c r="I40" s="36" t="str">
        <f t="array" ref="I40">IFERROR(IF(IFERROR(INDEX(BAZA_FILM,MATCH($C40,BAZA_EX,0)),"")="","",HYPERLINK(IFERROR(INDEX(BAZA_FILM,MATCH($C40,BAZA_EX,0)),""),"film")),"")</f>
        <v/>
      </c>
      <c r="J40" s="37"/>
      <c r="K40" s="5" t="s">
        <v>90</v>
      </c>
      <c r="L40" s="5" t="str">
        <f t="array" ref="L40">IFERROR(INDEX(BAZA_ID,MATCH($C40,BAZA_EX,0)),"")</f>
        <v/>
      </c>
      <c r="M40" s="5" t="str">
        <f t="array" ref="M40">IFERROR(INDEX(BAZA_PART,MATCH($C40,BAZA_EX,0)),"")</f>
        <v/>
      </c>
      <c r="N40" s="5" t="str">
        <f t="array" ref="N40">IFERROR(INDEX(BAZA_KAT,MATCH($C40,BAZA_EX,0)),"")</f>
        <v/>
      </c>
      <c r="O40" s="5" t="str">
        <f t="array" ref="O40">IFERROR(INDEX(BAZA_COEFF,MATCH($C40,BAZA_EX,0)),"")</f>
        <v/>
      </c>
      <c r="P40" s="5" t="str">
        <f t="array" ref="P40">IFERROR(INDEX(BAZA_SKOK,MATCH($C40,BAZA_EX,0)),"")</f>
        <v/>
      </c>
      <c r="Q40" s="5" t="str">
        <f t="array" ref="Q40">IFERROR(INDEX(BAZA_PROG,MATCH($C40,BAZA_EX,0)),"")</f>
        <v/>
      </c>
      <c r="R40" s="5" t="str">
        <f>IF($C40="","",IF(SUMPRODUCT((START!$B$6:$B$69=$C40)*(START!$M$6:$M$69&gt;0))=0,"",SUMPRODUCT(MAX((START!$B$6:$B$69=$C40)*START!$M$6:$M$69))))</f>
        <v/>
      </c>
      <c r="S40" s="5" t="str">
        <f t="array" ref="S40">IFERROR(INDEX(TABELE!$B$4:$J$18,MATCH($E40,TABELE!$A$4:$A$18,0),MATCH($F40,TABELE!$B$3:$J$3,0)),"")</f>
        <v/>
      </c>
      <c r="T40" s="5">
        <f t="array" ref="T40">IFERROR(IF($C40="",0,$O40*$D40*INDEX(TABELE!$B$23:$P$33,MATCH($F40,TABELE!$A$23:$A$33,0),MATCH($E40,TABELE!$B$22:$P$22,0))),0)</f>
        <v>0</v>
      </c>
      <c r="U40" s="5">
        <f t="array" ref="U40">IFERROR(IF($C40="",0,$O40*$D40*INDEX(TABELE!$B$37:$P$47,MATCH($F40,TABELE!$A$37:$A$47,0),MATCH($E40,TABELE!$B$36:$P$36,0))),0)</f>
        <v>0</v>
      </c>
      <c r="V40" s="5">
        <f t="array" ref="V40">IFERROR(IF($C40="",0,$O40*$D40*INDEX(TABELE!$B$51:$P$61,MATCH($F40,TABELE!$A$51:$A$61,0),MATCH($E40,TABELE!$B$50:$P$50,0))),0)</f>
        <v>0</v>
      </c>
      <c r="W40" s="5" t="str">
        <f t="array" ref="W40">IFERROR(INDEX(BAZA_UWAGI,MATCH($C40,BAZA_EX,0)),"")</f>
        <v/>
      </c>
      <c r="X40" s="5">
        <f t="shared" si="14"/>
        <v>2</v>
      </c>
      <c r="Y40" s="5" t="str">
        <f t="shared" ref="Y40:Y50" si="17">IF($A40="",$Y39,LEFT($A40,1))</f>
        <v>B</v>
      </c>
      <c r="Z40" s="5">
        <f t="shared" ref="Z40:Z50" si="18">IF($A40="",$Z39,IF(LEFT($A40,1)=$Y39,$Z39,$Z39+1))</f>
        <v>2</v>
      </c>
      <c r="AB40" s="5" t="str">
        <f t="shared" si="15"/>
        <v/>
      </c>
      <c r="AC40" s="5">
        <v>1.0</v>
      </c>
      <c r="AD40" s="5">
        <f t="shared" si="16"/>
        <v>0</v>
      </c>
    </row>
    <row r="41" ht="25.5" customHeight="1" outlineLevel="1">
      <c r="A41" s="18" t="s">
        <v>71</v>
      </c>
      <c r="B41" s="30"/>
      <c r="C41" s="31"/>
      <c r="D41" s="32">
        <v>3.0</v>
      </c>
      <c r="E41" s="39">
        <f>IF($C41="",0,MIN(15,MAX(1,IF(N($O41)&gt;=1,6,IF(N($O41)&gt;=0.75,IF(PRZEL_CZESC="część 1 (objętość)",8,6),IF(PRZEL_CZESC="część 1 (objętość)",10,8)))+0+$AD41)))</f>
        <v>0</v>
      </c>
      <c r="F41" s="33">
        <v>8.0</v>
      </c>
      <c r="G41" s="34" t="str">
        <f t="shared" si="13"/>
        <v/>
      </c>
      <c r="H41" s="35"/>
      <c r="I41" s="36" t="str">
        <f t="array" ref="I41">IFERROR(IF(IFERROR(INDEX(BAZA_FILM,MATCH($C41,BAZA_EX,0)),"")="","",HYPERLINK(IFERROR(INDEX(BAZA_FILM,MATCH($C41,BAZA_EX,0)),""),"film")),"")</f>
        <v/>
      </c>
      <c r="J41" s="37"/>
      <c r="K41" s="5" t="s">
        <v>91</v>
      </c>
      <c r="L41" s="5" t="str">
        <f t="array" ref="L41">IFERROR(INDEX(BAZA_ID,MATCH($C41,BAZA_EX,0)),"")</f>
        <v/>
      </c>
      <c r="M41" s="5" t="str">
        <f t="array" ref="M41">IFERROR(INDEX(BAZA_PART,MATCH($C41,BAZA_EX,0)),"")</f>
        <v/>
      </c>
      <c r="N41" s="5" t="str">
        <f t="array" ref="N41">IFERROR(INDEX(BAZA_KAT,MATCH($C41,BAZA_EX,0)),"")</f>
        <v/>
      </c>
      <c r="O41" s="5" t="str">
        <f t="array" ref="O41">IFERROR(INDEX(BAZA_COEFF,MATCH($C41,BAZA_EX,0)),"")</f>
        <v/>
      </c>
      <c r="P41" s="5" t="str">
        <f t="array" ref="P41">IFERROR(INDEX(BAZA_SKOK,MATCH($C41,BAZA_EX,0)),"")</f>
        <v/>
      </c>
      <c r="Q41" s="5" t="str">
        <f t="array" ref="Q41">IFERROR(INDEX(BAZA_PROG,MATCH($C41,BAZA_EX,0)),"")</f>
        <v/>
      </c>
      <c r="R41" s="5" t="str">
        <f>IF($C41="","",IF(SUMPRODUCT((START!$B$6:$B$69=$C41)*(START!$M$6:$M$69&gt;0))=0,"",SUMPRODUCT(MAX((START!$B$6:$B$69=$C41)*START!$M$6:$M$69))))</f>
        <v/>
      </c>
      <c r="S41" s="5" t="str">
        <f t="array" ref="S41">IFERROR(INDEX(TABELE!$B$4:$J$18,MATCH($E41,TABELE!$A$4:$A$18,0),MATCH($F41,TABELE!$B$3:$J$3,0)),"")</f>
        <v/>
      </c>
      <c r="T41" s="5">
        <f t="array" ref="T41">IFERROR(IF($C41="",0,$O41*$D41*INDEX(TABELE!$B$23:$P$33,MATCH($F41,TABELE!$A$23:$A$33,0),MATCH($E41,TABELE!$B$22:$P$22,0))),0)</f>
        <v>0</v>
      </c>
      <c r="U41" s="5">
        <f t="array" ref="U41">IFERROR(IF($C41="",0,$O41*$D41*INDEX(TABELE!$B$37:$P$47,MATCH($F41,TABELE!$A$37:$A$47,0),MATCH($E41,TABELE!$B$36:$P$36,0))),0)</f>
        <v>0</v>
      </c>
      <c r="V41" s="5">
        <f t="array" ref="V41">IFERROR(IF($C41="",0,$O41*$D41*INDEX(TABELE!$B$51:$P$61,MATCH($F41,TABELE!$A$51:$A$61,0),MATCH($E41,TABELE!$B$50:$P$50,0))),0)</f>
        <v>0</v>
      </c>
      <c r="W41" s="5" t="str">
        <f t="array" ref="W41">IFERROR(INDEX(BAZA_UWAGI,MATCH($C41,BAZA_EX,0)),"")</f>
        <v/>
      </c>
      <c r="X41" s="5">
        <f t="shared" si="14"/>
        <v>2</v>
      </c>
      <c r="Y41" s="5" t="str">
        <f t="shared" si="17"/>
        <v>B</v>
      </c>
      <c r="Z41" s="5">
        <f t="shared" si="18"/>
        <v>2</v>
      </c>
      <c r="AB41" s="5" t="str">
        <f t="shared" si="15"/>
        <v/>
      </c>
      <c r="AC41" s="5">
        <v>1.0</v>
      </c>
      <c r="AD41" s="5">
        <f t="shared" si="16"/>
        <v>0</v>
      </c>
    </row>
    <row r="42" ht="25.5" customHeight="1" outlineLevel="1">
      <c r="A42" s="18" t="s">
        <v>78</v>
      </c>
      <c r="B42" s="30"/>
      <c r="C42" s="31"/>
      <c r="D42" s="32">
        <v>3.0</v>
      </c>
      <c r="E42" s="39">
        <f>IF($C42="",0,MIN(15,MAX(1,IF(N($O42)&gt;=1,6,IF(N($O42)&gt;=0.75,IF(PRZEL_CZESC="część 1 (objętość)",8,6),IF(PRZEL_CZESC="część 1 (objętość)",10,8)))+0+$AD42)))</f>
        <v>0</v>
      </c>
      <c r="F42" s="33">
        <v>8.0</v>
      </c>
      <c r="G42" s="34" t="str">
        <f t="shared" si="13"/>
        <v/>
      </c>
      <c r="H42" s="35"/>
      <c r="I42" s="36" t="str">
        <f t="array" ref="I42">IFERROR(IF(IFERROR(INDEX(BAZA_FILM,MATCH($C42,BAZA_EX,0)),"")="","",HYPERLINK(IFERROR(INDEX(BAZA_FILM,MATCH($C42,BAZA_EX,0)),""),"film")),"")</f>
        <v/>
      </c>
      <c r="J42" s="37"/>
      <c r="K42" s="5" t="s">
        <v>92</v>
      </c>
      <c r="L42" s="5" t="str">
        <f t="array" ref="L42">IFERROR(INDEX(BAZA_ID,MATCH($C42,BAZA_EX,0)),"")</f>
        <v/>
      </c>
      <c r="M42" s="5" t="str">
        <f t="array" ref="M42">IFERROR(INDEX(BAZA_PART,MATCH($C42,BAZA_EX,0)),"")</f>
        <v/>
      </c>
      <c r="N42" s="5" t="str">
        <f t="array" ref="N42">IFERROR(INDEX(BAZA_KAT,MATCH($C42,BAZA_EX,0)),"")</f>
        <v/>
      </c>
      <c r="O42" s="5" t="str">
        <f t="array" ref="O42">IFERROR(INDEX(BAZA_COEFF,MATCH($C42,BAZA_EX,0)),"")</f>
        <v/>
      </c>
      <c r="P42" s="5" t="str">
        <f t="array" ref="P42">IFERROR(INDEX(BAZA_SKOK,MATCH($C42,BAZA_EX,0)),"")</f>
        <v/>
      </c>
      <c r="Q42" s="5" t="str">
        <f t="array" ref="Q42">IFERROR(INDEX(BAZA_PROG,MATCH($C42,BAZA_EX,0)),"")</f>
        <v/>
      </c>
      <c r="R42" s="5" t="str">
        <f>IF($C42="","",IF(SUMPRODUCT((START!$B$6:$B$69=$C42)*(START!$M$6:$M$69&gt;0))=0,"",SUMPRODUCT(MAX((START!$B$6:$B$69=$C42)*START!$M$6:$M$69))))</f>
        <v/>
      </c>
      <c r="S42" s="5" t="str">
        <f t="array" ref="S42">IFERROR(INDEX(TABELE!$B$4:$J$18,MATCH($E42,TABELE!$A$4:$A$18,0),MATCH($F42,TABELE!$B$3:$J$3,0)),"")</f>
        <v/>
      </c>
      <c r="T42" s="5">
        <f t="array" ref="T42">IFERROR(IF($C42="",0,$O42*$D42*INDEX(TABELE!$B$23:$P$33,MATCH($F42,TABELE!$A$23:$A$33,0),MATCH($E42,TABELE!$B$22:$P$22,0))),0)</f>
        <v>0</v>
      </c>
      <c r="U42" s="5">
        <f t="array" ref="U42">IFERROR(IF($C42="",0,$O42*$D42*INDEX(TABELE!$B$37:$P$47,MATCH($F42,TABELE!$A$37:$A$47,0),MATCH($E42,TABELE!$B$36:$P$36,0))),0)</f>
        <v>0</v>
      </c>
      <c r="V42" s="5">
        <f t="array" ref="V42">IFERROR(IF($C42="",0,$O42*$D42*INDEX(TABELE!$B$51:$P$61,MATCH($F42,TABELE!$A$51:$A$61,0),MATCH($E42,TABELE!$B$50:$P$50,0))),0)</f>
        <v>0</v>
      </c>
      <c r="W42" s="5" t="str">
        <f t="array" ref="W42">IFERROR(INDEX(BAZA_UWAGI,MATCH($C42,BAZA_EX,0)),"")</f>
        <v/>
      </c>
      <c r="X42" s="5">
        <f t="shared" si="14"/>
        <v>3</v>
      </c>
      <c r="Y42" s="5" t="str">
        <f t="shared" si="17"/>
        <v>C</v>
      </c>
      <c r="Z42" s="5">
        <f t="shared" si="18"/>
        <v>3</v>
      </c>
      <c r="AB42" s="5" t="str">
        <f t="shared" si="15"/>
        <v/>
      </c>
      <c r="AC42" s="5">
        <v>1.0</v>
      </c>
      <c r="AD42" s="5">
        <f t="shared" si="16"/>
        <v>0</v>
      </c>
    </row>
    <row r="43" ht="25.5" customHeight="1" outlineLevel="1">
      <c r="A43" s="18" t="s">
        <v>84</v>
      </c>
      <c r="B43" s="30"/>
      <c r="C43" s="31"/>
      <c r="D43" s="32">
        <v>3.0</v>
      </c>
      <c r="E43" s="39">
        <f>IF($C43="",0,MIN(15,MAX(1,IF(N($O43)&gt;=1,6,IF(N($O43)&gt;=0.75,IF(PRZEL_CZESC="część 1 (objętość)",8,6),IF(PRZEL_CZESC="część 1 (objętość)",10,8)))+0+$AD43)))</f>
        <v>0</v>
      </c>
      <c r="F43" s="33">
        <v>9.0</v>
      </c>
      <c r="G43" s="34" t="str">
        <f t="shared" si="13"/>
        <v/>
      </c>
      <c r="H43" s="35"/>
      <c r="I43" s="36" t="str">
        <f t="array" ref="I43">IFERROR(IF(IFERROR(INDEX(BAZA_FILM,MATCH($C43,BAZA_EX,0)),"")="","",HYPERLINK(IFERROR(INDEX(BAZA_FILM,MATCH($C43,BAZA_EX,0)),""),"film")),"")</f>
        <v/>
      </c>
      <c r="J43" s="37"/>
      <c r="K43" s="5" t="s">
        <v>94</v>
      </c>
      <c r="L43" s="5" t="str">
        <f t="array" ref="L43">IFERROR(INDEX(BAZA_ID,MATCH($C43,BAZA_EX,0)),"")</f>
        <v/>
      </c>
      <c r="M43" s="5" t="str">
        <f t="array" ref="M43">IFERROR(INDEX(BAZA_PART,MATCH($C43,BAZA_EX,0)),"")</f>
        <v/>
      </c>
      <c r="N43" s="5" t="str">
        <f t="array" ref="N43">IFERROR(INDEX(BAZA_KAT,MATCH($C43,BAZA_EX,0)),"")</f>
        <v/>
      </c>
      <c r="O43" s="5" t="str">
        <f t="array" ref="O43">IFERROR(INDEX(BAZA_COEFF,MATCH($C43,BAZA_EX,0)),"")</f>
        <v/>
      </c>
      <c r="P43" s="5" t="str">
        <f t="array" ref="P43">IFERROR(INDEX(BAZA_SKOK,MATCH($C43,BAZA_EX,0)),"")</f>
        <v/>
      </c>
      <c r="Q43" s="5" t="str">
        <f t="array" ref="Q43">IFERROR(INDEX(BAZA_PROG,MATCH($C43,BAZA_EX,0)),"")</f>
        <v/>
      </c>
      <c r="R43" s="5" t="str">
        <f>IF($C43="","",IF(SUMPRODUCT((START!$B$6:$B$69=$C43)*(START!$M$6:$M$69&gt;0))=0,"",SUMPRODUCT(MAX((START!$B$6:$B$69=$C43)*START!$M$6:$M$69))))</f>
        <v/>
      </c>
      <c r="S43" s="5" t="str">
        <f t="array" ref="S43">IFERROR(INDEX(TABELE!$B$4:$J$18,MATCH($E43,TABELE!$A$4:$A$18,0),MATCH($F43,TABELE!$B$3:$J$3,0)),"")</f>
        <v/>
      </c>
      <c r="T43" s="5">
        <f t="array" ref="T43">IFERROR(IF($C43="",0,$O43*$D43*INDEX(TABELE!$B$23:$P$33,MATCH($F43,TABELE!$A$23:$A$33,0),MATCH($E43,TABELE!$B$22:$P$22,0))),0)</f>
        <v>0</v>
      </c>
      <c r="U43" s="5">
        <f t="array" ref="U43">IFERROR(IF($C43="",0,$O43*$D43*INDEX(TABELE!$B$37:$P$47,MATCH($F43,TABELE!$A$37:$A$47,0),MATCH($E43,TABELE!$B$36:$P$36,0))),0)</f>
        <v>0</v>
      </c>
      <c r="V43" s="5">
        <f t="array" ref="V43">IFERROR(IF($C43="",0,$O43*$D43*INDEX(TABELE!$B$51:$P$61,MATCH($F43,TABELE!$A$51:$A$61,0),MATCH($E43,TABELE!$B$50:$P$50,0))),0)</f>
        <v>0</v>
      </c>
      <c r="W43" s="5" t="str">
        <f t="array" ref="W43">IFERROR(INDEX(BAZA_UWAGI,MATCH($C43,BAZA_EX,0)),"")</f>
        <v/>
      </c>
      <c r="X43" s="5">
        <f t="shared" si="14"/>
        <v>3</v>
      </c>
      <c r="Y43" s="5" t="str">
        <f t="shared" si="17"/>
        <v>C</v>
      </c>
      <c r="Z43" s="5">
        <f t="shared" si="18"/>
        <v>3</v>
      </c>
      <c r="AB43" s="5" t="str">
        <f t="shared" si="15"/>
        <v/>
      </c>
      <c r="AC43" s="5">
        <v>1.0</v>
      </c>
      <c r="AD43" s="5">
        <f t="shared" si="16"/>
        <v>0</v>
      </c>
    </row>
    <row r="44" ht="25.5" customHeight="1" outlineLevel="1">
      <c r="A44" s="18" t="s">
        <v>93</v>
      </c>
      <c r="B44" s="30"/>
      <c r="C44" s="31"/>
      <c r="D44" s="32">
        <v>3.0</v>
      </c>
      <c r="E44" s="39">
        <f>IF($C44="",0,MIN(15,MAX(1,IF(N($O44)&gt;=1,6,IF(N($O44)&gt;=0.75,IF(PRZEL_CZESC="część 1 (objętość)",8,6),IF(PRZEL_CZESC="część 1 (objętość)",10,8)))+0+$AD44)))</f>
        <v>0</v>
      </c>
      <c r="F44" s="33">
        <v>8.0</v>
      </c>
      <c r="G44" s="34" t="str">
        <f t="shared" si="13"/>
        <v/>
      </c>
      <c r="H44" s="35"/>
      <c r="I44" s="36" t="str">
        <f t="array" ref="I44">IFERROR(IF(IFERROR(INDEX(BAZA_FILM,MATCH($C44,BAZA_EX,0)),"")="","",HYPERLINK(IFERROR(INDEX(BAZA_FILM,MATCH($C44,BAZA_EX,0)),""),"film")),"")</f>
        <v/>
      </c>
      <c r="J44" s="37"/>
      <c r="K44" s="5" t="s">
        <v>95</v>
      </c>
      <c r="L44" s="5" t="str">
        <f t="array" ref="L44">IFERROR(INDEX(BAZA_ID,MATCH($C44,BAZA_EX,0)),"")</f>
        <v/>
      </c>
      <c r="M44" s="5" t="str">
        <f t="array" ref="M44">IFERROR(INDEX(BAZA_PART,MATCH($C44,BAZA_EX,0)),"")</f>
        <v/>
      </c>
      <c r="N44" s="5" t="str">
        <f t="array" ref="N44">IFERROR(INDEX(BAZA_KAT,MATCH($C44,BAZA_EX,0)),"")</f>
        <v/>
      </c>
      <c r="O44" s="5" t="str">
        <f t="array" ref="O44">IFERROR(INDEX(BAZA_COEFF,MATCH($C44,BAZA_EX,0)),"")</f>
        <v/>
      </c>
      <c r="P44" s="5" t="str">
        <f t="array" ref="P44">IFERROR(INDEX(BAZA_SKOK,MATCH($C44,BAZA_EX,0)),"")</f>
        <v/>
      </c>
      <c r="Q44" s="5" t="str">
        <f t="array" ref="Q44">IFERROR(INDEX(BAZA_PROG,MATCH($C44,BAZA_EX,0)),"")</f>
        <v/>
      </c>
      <c r="R44" s="5" t="str">
        <f>IF($C44="","",IF(SUMPRODUCT((START!$B$6:$B$69=$C44)*(START!$M$6:$M$69&gt;0))=0,"",SUMPRODUCT(MAX((START!$B$6:$B$69=$C44)*START!$M$6:$M$69))))</f>
        <v/>
      </c>
      <c r="S44" s="5" t="str">
        <f t="array" ref="S44">IFERROR(INDEX(TABELE!$B$4:$J$18,MATCH($E44,TABELE!$A$4:$A$18,0),MATCH($F44,TABELE!$B$3:$J$3,0)),"")</f>
        <v/>
      </c>
      <c r="T44" s="5">
        <f t="array" ref="T44">IFERROR(IF($C44="",0,$O44*$D44*INDEX(TABELE!$B$23:$P$33,MATCH($F44,TABELE!$A$23:$A$33,0),MATCH($E44,TABELE!$B$22:$P$22,0))),0)</f>
        <v>0</v>
      </c>
      <c r="U44" s="5">
        <f t="array" ref="U44">IFERROR(IF($C44="",0,$O44*$D44*INDEX(TABELE!$B$37:$P$47,MATCH($F44,TABELE!$A$37:$A$47,0),MATCH($E44,TABELE!$B$36:$P$36,0))),0)</f>
        <v>0</v>
      </c>
      <c r="V44" s="5">
        <f t="array" ref="V44">IFERROR(IF($C44="",0,$O44*$D44*INDEX(TABELE!$B$51:$P$61,MATCH($F44,TABELE!$A$51:$A$61,0),MATCH($E44,TABELE!$B$50:$P$50,0))),0)</f>
        <v>0</v>
      </c>
      <c r="W44" s="5" t="str">
        <f t="array" ref="W44">IFERROR(INDEX(BAZA_UWAGI,MATCH($C44,BAZA_EX,0)),"")</f>
        <v/>
      </c>
      <c r="X44" s="5">
        <f t="shared" si="14"/>
        <v>4</v>
      </c>
      <c r="Y44" s="5" t="str">
        <f t="shared" si="17"/>
        <v>D</v>
      </c>
      <c r="Z44" s="5">
        <f t="shared" si="18"/>
        <v>4</v>
      </c>
      <c r="AB44" s="5" t="str">
        <f t="shared" si="15"/>
        <v/>
      </c>
      <c r="AC44" s="5">
        <v>1.0</v>
      </c>
      <c r="AD44" s="5">
        <f t="shared" si="16"/>
        <v>0</v>
      </c>
    </row>
    <row r="45" ht="25.5" customHeight="1" outlineLevel="1">
      <c r="A45" s="18" t="s">
        <v>100</v>
      </c>
      <c r="B45" s="30"/>
      <c r="C45" s="31"/>
      <c r="D45" s="32">
        <v>3.0</v>
      </c>
      <c r="E45" s="39">
        <f>IF($C45="",0,MIN(15,MAX(1,IF(N($O45)&gt;=1,6,IF(N($O45)&gt;=0.75,IF(PRZEL_CZESC="część 1 (objętość)",8,6),IF(PRZEL_CZESC="część 1 (objętość)",10,8)))+0+$AD45)))</f>
        <v>0</v>
      </c>
      <c r="F45" s="33">
        <v>9.0</v>
      </c>
      <c r="G45" s="34" t="str">
        <f t="shared" si="13"/>
        <v/>
      </c>
      <c r="H45" s="35"/>
      <c r="I45" s="36" t="str">
        <f t="array" ref="I45">IFERROR(IF(IFERROR(INDEX(BAZA_FILM,MATCH($C45,BAZA_EX,0)),"")="","",HYPERLINK(IFERROR(INDEX(BAZA_FILM,MATCH($C45,BAZA_EX,0)),""),"film")),"")</f>
        <v/>
      </c>
      <c r="J45" s="37"/>
      <c r="K45" s="5" t="s">
        <v>96</v>
      </c>
      <c r="L45" s="5" t="str">
        <f t="array" ref="L45">IFERROR(INDEX(BAZA_ID,MATCH($C45,BAZA_EX,0)),"")</f>
        <v/>
      </c>
      <c r="M45" s="5" t="str">
        <f t="array" ref="M45">IFERROR(INDEX(BAZA_PART,MATCH($C45,BAZA_EX,0)),"")</f>
        <v/>
      </c>
      <c r="N45" s="5" t="str">
        <f t="array" ref="N45">IFERROR(INDEX(BAZA_KAT,MATCH($C45,BAZA_EX,0)),"")</f>
        <v/>
      </c>
      <c r="O45" s="5" t="str">
        <f t="array" ref="O45">IFERROR(INDEX(BAZA_COEFF,MATCH($C45,BAZA_EX,0)),"")</f>
        <v/>
      </c>
      <c r="P45" s="5" t="str">
        <f t="array" ref="P45">IFERROR(INDEX(BAZA_SKOK,MATCH($C45,BAZA_EX,0)),"")</f>
        <v/>
      </c>
      <c r="Q45" s="5" t="str">
        <f t="array" ref="Q45">IFERROR(INDEX(BAZA_PROG,MATCH($C45,BAZA_EX,0)),"")</f>
        <v/>
      </c>
      <c r="R45" s="5" t="str">
        <f>IF($C45="","",IF(SUMPRODUCT((START!$B$6:$B$69=$C45)*(START!$M$6:$M$69&gt;0))=0,"",SUMPRODUCT(MAX((START!$B$6:$B$69=$C45)*START!$M$6:$M$69))))</f>
        <v/>
      </c>
      <c r="S45" s="5" t="str">
        <f t="array" ref="S45">IFERROR(INDEX(TABELE!$B$4:$J$18,MATCH($E45,TABELE!$A$4:$A$18,0),MATCH($F45,TABELE!$B$3:$J$3,0)),"")</f>
        <v/>
      </c>
      <c r="T45" s="5">
        <f t="array" ref="T45">IFERROR(IF($C45="",0,$O45*$D45*INDEX(TABELE!$B$23:$P$33,MATCH($F45,TABELE!$A$23:$A$33,0),MATCH($E45,TABELE!$B$22:$P$22,0))),0)</f>
        <v>0</v>
      </c>
      <c r="U45" s="5">
        <f t="array" ref="U45">IFERROR(IF($C45="",0,$O45*$D45*INDEX(TABELE!$B$37:$P$47,MATCH($F45,TABELE!$A$37:$A$47,0),MATCH($E45,TABELE!$B$36:$P$36,0))),0)</f>
        <v>0</v>
      </c>
      <c r="V45" s="5">
        <f t="array" ref="V45">IFERROR(IF($C45="",0,$O45*$D45*INDEX(TABELE!$B$51:$P$61,MATCH($F45,TABELE!$A$51:$A$61,0),MATCH($E45,TABELE!$B$50:$P$50,0))),0)</f>
        <v>0</v>
      </c>
      <c r="W45" s="5" t="str">
        <f t="array" ref="W45">IFERROR(INDEX(BAZA_UWAGI,MATCH($C45,BAZA_EX,0)),"")</f>
        <v/>
      </c>
      <c r="X45" s="5">
        <f t="shared" si="14"/>
        <v>4</v>
      </c>
      <c r="Y45" s="5" t="str">
        <f t="shared" si="17"/>
        <v>D</v>
      </c>
      <c r="Z45" s="5">
        <f t="shared" si="18"/>
        <v>4</v>
      </c>
      <c r="AB45" s="5" t="str">
        <f t="shared" si="15"/>
        <v/>
      </c>
      <c r="AC45" s="5">
        <v>1.0</v>
      </c>
      <c r="AD45" s="5">
        <f t="shared" si="16"/>
        <v>0</v>
      </c>
    </row>
    <row r="46" ht="25.5" customHeight="1" outlineLevel="1">
      <c r="A46" s="18" t="s">
        <v>107</v>
      </c>
      <c r="B46" s="30"/>
      <c r="C46" s="31"/>
      <c r="D46" s="32"/>
      <c r="E46" s="39">
        <f>IF($C46="",0,MIN(15,MAX(1,IF(N($O46)&gt;=1,6,IF(N($O46)&gt;=0.75,IF(PRZEL_CZESC="część 1 (objętość)",8,6),IF(PRZEL_CZESC="część 1 (objętość)",10,8)))+0+$AD46)))</f>
        <v>0</v>
      </c>
      <c r="F46" s="33"/>
      <c r="G46" s="34" t="str">
        <f t="shared" si="13"/>
        <v/>
      </c>
      <c r="H46" s="35"/>
      <c r="I46" s="36" t="str">
        <f t="array" ref="I46">IFERROR(IF(IFERROR(INDEX(BAZA_FILM,MATCH($C46,BAZA_EX,0)),"")="","",HYPERLINK(IFERROR(INDEX(BAZA_FILM,MATCH($C46,BAZA_EX,0)),""),"film")),"")</f>
        <v/>
      </c>
      <c r="J46" s="37"/>
      <c r="K46" s="5" t="s">
        <v>97</v>
      </c>
      <c r="L46" s="5" t="str">
        <f t="array" ref="L46">IFERROR(INDEX(BAZA_ID,MATCH($C46,BAZA_EX,0)),"")</f>
        <v/>
      </c>
      <c r="M46" s="5" t="str">
        <f t="array" ref="M46">IFERROR(INDEX(BAZA_PART,MATCH($C46,BAZA_EX,0)),"")</f>
        <v/>
      </c>
      <c r="N46" s="5" t="str">
        <f t="array" ref="N46">IFERROR(INDEX(BAZA_KAT,MATCH($C46,BAZA_EX,0)),"")</f>
        <v/>
      </c>
      <c r="O46" s="5" t="str">
        <f t="array" ref="O46">IFERROR(INDEX(BAZA_COEFF,MATCH($C46,BAZA_EX,0)),"")</f>
        <v/>
      </c>
      <c r="P46" s="5" t="str">
        <f t="array" ref="P46">IFERROR(INDEX(BAZA_SKOK,MATCH($C46,BAZA_EX,0)),"")</f>
        <v/>
      </c>
      <c r="Q46" s="5" t="str">
        <f t="array" ref="Q46">IFERROR(INDEX(BAZA_PROG,MATCH($C46,BAZA_EX,0)),"")</f>
        <v/>
      </c>
      <c r="R46" s="5" t="str">
        <f>IF($C46="","",IF(SUMPRODUCT((START!$B$6:$B$69=$C46)*(START!$M$6:$M$69&gt;0))=0,"",SUMPRODUCT(MAX((START!$B$6:$B$69=$C46)*START!$M$6:$M$69))))</f>
        <v/>
      </c>
      <c r="S46" s="5" t="str">
        <f t="array" ref="S46">IFERROR(INDEX(TABELE!$B$4:$J$18,MATCH($E46,TABELE!$A$4:$A$18,0),MATCH($F46,TABELE!$B$3:$J$3,0)),"")</f>
        <v/>
      </c>
      <c r="T46" s="5">
        <f t="array" ref="T46">IFERROR(IF($C46="",0,$O46*$D46*INDEX(TABELE!$B$23:$P$33,MATCH($F46,TABELE!$A$23:$A$33,0),MATCH($E46,TABELE!$B$22:$P$22,0))),0)</f>
        <v>0</v>
      </c>
      <c r="U46" s="5">
        <f t="array" ref="U46">IFERROR(IF($C46="",0,$O46*$D46*INDEX(TABELE!$B$37:$P$47,MATCH($F46,TABELE!$A$37:$A$47,0),MATCH($E46,TABELE!$B$36:$P$36,0))),0)</f>
        <v>0</v>
      </c>
      <c r="V46" s="5">
        <f t="array" ref="V46">IFERROR(IF($C46="",0,$O46*$D46*INDEX(TABELE!$B$51:$P$61,MATCH($F46,TABELE!$A$51:$A$61,0),MATCH($E46,TABELE!$B$50:$P$50,0))),0)</f>
        <v>0</v>
      </c>
      <c r="W46" s="5" t="str">
        <f t="array" ref="W46">IFERROR(INDEX(BAZA_UWAGI,MATCH($C46,BAZA_EX,0)),"")</f>
        <v/>
      </c>
      <c r="X46" s="5">
        <f t="shared" si="14"/>
        <v>5</v>
      </c>
      <c r="Y46" s="5" t="str">
        <f t="shared" si="17"/>
        <v>E</v>
      </c>
      <c r="Z46" s="5">
        <f t="shared" si="18"/>
        <v>5</v>
      </c>
      <c r="AB46" s="5" t="str">
        <f t="shared" si="15"/>
        <v/>
      </c>
      <c r="AC46" s="5">
        <v>1.0</v>
      </c>
      <c r="AD46" s="5">
        <f t="shared" si="16"/>
        <v>0</v>
      </c>
    </row>
    <row r="47" ht="25.5" customHeight="1" outlineLevel="1">
      <c r="A47" s="18" t="s">
        <v>113</v>
      </c>
      <c r="B47" s="30"/>
      <c r="C47" s="31"/>
      <c r="D47" s="32"/>
      <c r="E47" s="39">
        <f>IF($C47="",0,MIN(15,MAX(1,IF(N($O47)&gt;=1,6,IF(N($O47)&gt;=0.75,IF(PRZEL_CZESC="część 1 (objętość)",8,6),IF(PRZEL_CZESC="część 1 (objętość)",10,8)))+0+$AD47)))</f>
        <v>0</v>
      </c>
      <c r="F47" s="33"/>
      <c r="G47" s="34" t="str">
        <f t="shared" si="13"/>
        <v/>
      </c>
      <c r="H47" s="35"/>
      <c r="I47" s="36" t="str">
        <f t="array" ref="I47">IFERROR(IF(IFERROR(INDEX(BAZA_FILM,MATCH($C47,BAZA_EX,0)),"")="","",HYPERLINK(IFERROR(INDEX(BAZA_FILM,MATCH($C47,BAZA_EX,0)),""),"film")),"")</f>
        <v/>
      </c>
      <c r="J47" s="37"/>
      <c r="K47" s="5" t="s">
        <v>98</v>
      </c>
      <c r="L47" s="5" t="str">
        <f t="array" ref="L47">IFERROR(INDEX(BAZA_ID,MATCH($C47,BAZA_EX,0)),"")</f>
        <v/>
      </c>
      <c r="M47" s="5" t="str">
        <f t="array" ref="M47">IFERROR(INDEX(BAZA_PART,MATCH($C47,BAZA_EX,0)),"")</f>
        <v/>
      </c>
      <c r="N47" s="5" t="str">
        <f t="array" ref="N47">IFERROR(INDEX(BAZA_KAT,MATCH($C47,BAZA_EX,0)),"")</f>
        <v/>
      </c>
      <c r="O47" s="5" t="str">
        <f t="array" ref="O47">IFERROR(INDEX(BAZA_COEFF,MATCH($C47,BAZA_EX,0)),"")</f>
        <v/>
      </c>
      <c r="P47" s="5" t="str">
        <f t="array" ref="P47">IFERROR(INDEX(BAZA_SKOK,MATCH($C47,BAZA_EX,0)),"")</f>
        <v/>
      </c>
      <c r="Q47" s="5" t="str">
        <f t="array" ref="Q47">IFERROR(INDEX(BAZA_PROG,MATCH($C47,BAZA_EX,0)),"")</f>
        <v/>
      </c>
      <c r="R47" s="5" t="str">
        <f>IF($C47="","",IF(SUMPRODUCT((START!$B$6:$B$69=$C47)*(START!$M$6:$M$69&gt;0))=0,"",SUMPRODUCT(MAX((START!$B$6:$B$69=$C47)*START!$M$6:$M$69))))</f>
        <v/>
      </c>
      <c r="S47" s="5" t="str">
        <f t="array" ref="S47">IFERROR(INDEX(TABELE!$B$4:$J$18,MATCH($E47,TABELE!$A$4:$A$18,0),MATCH($F47,TABELE!$B$3:$J$3,0)),"")</f>
        <v/>
      </c>
      <c r="T47" s="5">
        <f t="array" ref="T47">IFERROR(IF($C47="",0,$O47*$D47*INDEX(TABELE!$B$23:$P$33,MATCH($F47,TABELE!$A$23:$A$33,0),MATCH($E47,TABELE!$B$22:$P$22,0))),0)</f>
        <v>0</v>
      </c>
      <c r="U47" s="5">
        <f t="array" ref="U47">IFERROR(IF($C47="",0,$O47*$D47*INDEX(TABELE!$B$37:$P$47,MATCH($F47,TABELE!$A$37:$A$47,0),MATCH($E47,TABELE!$B$36:$P$36,0))),0)</f>
        <v>0</v>
      </c>
      <c r="V47" s="5">
        <f t="array" ref="V47">IFERROR(IF($C47="",0,$O47*$D47*INDEX(TABELE!$B$51:$P$61,MATCH($F47,TABELE!$A$51:$A$61,0),MATCH($E47,TABELE!$B$50:$P$50,0))),0)</f>
        <v>0</v>
      </c>
      <c r="W47" s="5" t="str">
        <f t="array" ref="W47">IFERROR(INDEX(BAZA_UWAGI,MATCH($C47,BAZA_EX,0)),"")</f>
        <v/>
      </c>
      <c r="X47" s="5">
        <f t="shared" si="14"/>
        <v>5</v>
      </c>
      <c r="Y47" s="5" t="str">
        <f t="shared" si="17"/>
        <v>E</v>
      </c>
      <c r="Z47" s="5">
        <f t="shared" si="18"/>
        <v>5</v>
      </c>
      <c r="AB47" s="5" t="str">
        <f t="shared" si="15"/>
        <v/>
      </c>
      <c r="AC47" s="5">
        <v>1.0</v>
      </c>
      <c r="AD47" s="5">
        <f t="shared" si="16"/>
        <v>0</v>
      </c>
    </row>
    <row r="48" ht="25.5" customHeight="1" outlineLevel="1">
      <c r="A48" s="18"/>
      <c r="B48" s="30"/>
      <c r="C48" s="31"/>
      <c r="D48" s="32"/>
      <c r="E48" s="39">
        <f>IF($C48="",0,MIN(15,MAX(1,IF(N($O48)&gt;=1,6,IF(N($O48)&gt;=0.75,IF(PRZEL_CZESC="część 1 (objętość)",8,6),IF(PRZEL_CZESC="część 1 (objętość)",10,8)))+0+$AD48)))</f>
        <v>0</v>
      </c>
      <c r="F48" s="33"/>
      <c r="G48" s="34" t="str">
        <f t="shared" si="13"/>
        <v/>
      </c>
      <c r="H48" s="35"/>
      <c r="I48" s="36" t="str">
        <f t="array" ref="I48">IFERROR(IF(IFERROR(INDEX(BAZA_FILM,MATCH($C48,BAZA_EX,0)),"")="","",HYPERLINK(IFERROR(INDEX(BAZA_FILM,MATCH($C48,BAZA_EX,0)),""),"film")),"")</f>
        <v/>
      </c>
      <c r="J48" s="37"/>
      <c r="K48" s="5" t="s">
        <v>99</v>
      </c>
      <c r="L48" s="5" t="str">
        <f t="array" ref="L48">IFERROR(INDEX(BAZA_ID,MATCH($C48,BAZA_EX,0)),"")</f>
        <v/>
      </c>
      <c r="M48" s="5" t="str">
        <f t="array" ref="M48">IFERROR(INDEX(BAZA_PART,MATCH($C48,BAZA_EX,0)),"")</f>
        <v/>
      </c>
      <c r="N48" s="5" t="str">
        <f t="array" ref="N48">IFERROR(INDEX(BAZA_KAT,MATCH($C48,BAZA_EX,0)),"")</f>
        <v/>
      </c>
      <c r="O48" s="5" t="str">
        <f t="array" ref="O48">IFERROR(INDEX(BAZA_COEFF,MATCH($C48,BAZA_EX,0)),"")</f>
        <v/>
      </c>
      <c r="P48" s="5" t="str">
        <f t="array" ref="P48">IFERROR(INDEX(BAZA_SKOK,MATCH($C48,BAZA_EX,0)),"")</f>
        <v/>
      </c>
      <c r="Q48" s="5" t="str">
        <f t="array" ref="Q48">IFERROR(INDEX(BAZA_PROG,MATCH($C48,BAZA_EX,0)),"")</f>
        <v/>
      </c>
      <c r="R48" s="5" t="str">
        <f>IF($C48="","",IF(SUMPRODUCT((START!$B$6:$B$69=$C48)*(START!$M$6:$M$69&gt;0))=0,"",SUMPRODUCT(MAX((START!$B$6:$B$69=$C48)*START!$M$6:$M$69))))</f>
        <v/>
      </c>
      <c r="S48" s="5" t="str">
        <f t="array" ref="S48">IFERROR(INDEX(TABELE!$B$4:$J$18,MATCH($E48,TABELE!$A$4:$A$18,0),MATCH($F48,TABELE!$B$3:$J$3,0)),"")</f>
        <v/>
      </c>
      <c r="T48" s="5">
        <f t="array" ref="T48">IFERROR(IF($C48="",0,$O48*$D48*INDEX(TABELE!$B$23:$P$33,MATCH($F48,TABELE!$A$23:$A$33,0),MATCH($E48,TABELE!$B$22:$P$22,0))),0)</f>
        <v>0</v>
      </c>
      <c r="U48" s="5">
        <f t="array" ref="U48">IFERROR(IF($C48="",0,$O48*$D48*INDEX(TABELE!$B$37:$P$47,MATCH($F48,TABELE!$A$37:$A$47,0),MATCH($E48,TABELE!$B$36:$P$36,0))),0)</f>
        <v>0</v>
      </c>
      <c r="V48" s="5">
        <f t="array" ref="V48">IFERROR(IF($C48="",0,$O48*$D48*INDEX(TABELE!$B$51:$P$61,MATCH($F48,TABELE!$A$51:$A$61,0),MATCH($E48,TABELE!$B$50:$P$50,0))),0)</f>
        <v>0</v>
      </c>
      <c r="W48" s="5" t="str">
        <f t="array" ref="W48">IFERROR(INDEX(BAZA_UWAGI,MATCH($C48,BAZA_EX,0)),"")</f>
        <v/>
      </c>
      <c r="X48" s="5" t="str">
        <f t="shared" si="14"/>
        <v/>
      </c>
      <c r="Y48" s="5" t="str">
        <f t="shared" si="17"/>
        <v>E</v>
      </c>
      <c r="Z48" s="5">
        <f t="shared" si="18"/>
        <v>5</v>
      </c>
      <c r="AB48" s="5" t="str">
        <f t="shared" si="15"/>
        <v/>
      </c>
      <c r="AC48" s="5">
        <v>1.0</v>
      </c>
      <c r="AD48" s="5">
        <f t="shared" si="16"/>
        <v>0</v>
      </c>
    </row>
    <row r="49" ht="25.5" customHeight="1" outlineLevel="1">
      <c r="A49" s="18"/>
      <c r="B49" s="30"/>
      <c r="C49" s="31"/>
      <c r="D49" s="32"/>
      <c r="E49" s="39">
        <f>IF($C49="",0,MIN(15,MAX(1,IF(N($O49)&gt;=1,6,IF(N($O49)&gt;=0.75,IF(PRZEL_CZESC="część 1 (objętość)",8,6),IF(PRZEL_CZESC="część 1 (objętość)",10,8)))+0+$AD49)))</f>
        <v>0</v>
      </c>
      <c r="F49" s="33"/>
      <c r="G49" s="34" t="str">
        <f t="shared" si="13"/>
        <v/>
      </c>
      <c r="H49" s="35"/>
      <c r="I49" s="36" t="str">
        <f t="array" ref="I49">IFERROR(IF(IFERROR(INDEX(BAZA_FILM,MATCH($C49,BAZA_EX,0)),"")="","",HYPERLINK(IFERROR(INDEX(BAZA_FILM,MATCH($C49,BAZA_EX,0)),""),"film")),"")</f>
        <v/>
      </c>
      <c r="J49" s="37"/>
      <c r="K49" s="5" t="s">
        <v>101</v>
      </c>
      <c r="L49" s="5" t="str">
        <f t="array" ref="L49">IFERROR(INDEX(BAZA_ID,MATCH($C49,BAZA_EX,0)),"")</f>
        <v/>
      </c>
      <c r="M49" s="5" t="str">
        <f t="array" ref="M49">IFERROR(INDEX(BAZA_PART,MATCH($C49,BAZA_EX,0)),"")</f>
        <v/>
      </c>
      <c r="N49" s="5" t="str">
        <f t="array" ref="N49">IFERROR(INDEX(BAZA_KAT,MATCH($C49,BAZA_EX,0)),"")</f>
        <v/>
      </c>
      <c r="O49" s="5" t="str">
        <f t="array" ref="O49">IFERROR(INDEX(BAZA_COEFF,MATCH($C49,BAZA_EX,0)),"")</f>
        <v/>
      </c>
      <c r="P49" s="5" t="str">
        <f t="array" ref="P49">IFERROR(INDEX(BAZA_SKOK,MATCH($C49,BAZA_EX,0)),"")</f>
        <v/>
      </c>
      <c r="Q49" s="5" t="str">
        <f t="array" ref="Q49">IFERROR(INDEX(BAZA_PROG,MATCH($C49,BAZA_EX,0)),"")</f>
        <v/>
      </c>
      <c r="R49" s="5" t="str">
        <f>IF($C49="","",IF(SUMPRODUCT((START!$B$6:$B$69=$C49)*(START!$M$6:$M$69&gt;0))=0,"",SUMPRODUCT(MAX((START!$B$6:$B$69=$C49)*START!$M$6:$M$69))))</f>
        <v/>
      </c>
      <c r="S49" s="5" t="str">
        <f t="array" ref="S49">IFERROR(INDEX(TABELE!$B$4:$J$18,MATCH($E49,TABELE!$A$4:$A$18,0),MATCH($F49,TABELE!$B$3:$J$3,0)),"")</f>
        <v/>
      </c>
      <c r="T49" s="5">
        <f t="array" ref="T49">IFERROR(IF($C49="",0,$O49*$D49*INDEX(TABELE!$B$23:$P$33,MATCH($F49,TABELE!$A$23:$A$33,0),MATCH($E49,TABELE!$B$22:$P$22,0))),0)</f>
        <v>0</v>
      </c>
      <c r="U49" s="5">
        <f t="array" ref="U49">IFERROR(IF($C49="",0,$O49*$D49*INDEX(TABELE!$B$37:$P$47,MATCH($F49,TABELE!$A$37:$A$47,0),MATCH($E49,TABELE!$B$36:$P$36,0))),0)</f>
        <v>0</v>
      </c>
      <c r="V49" s="5">
        <f t="array" ref="V49">IFERROR(IF($C49="",0,$O49*$D49*INDEX(TABELE!$B$51:$P$61,MATCH($F49,TABELE!$A$51:$A$61,0),MATCH($E49,TABELE!$B$50:$P$50,0))),0)</f>
        <v>0</v>
      </c>
      <c r="W49" s="5" t="str">
        <f t="array" ref="W49">IFERROR(INDEX(BAZA_UWAGI,MATCH($C49,BAZA_EX,0)),"")</f>
        <v/>
      </c>
      <c r="X49" s="5" t="str">
        <f t="shared" si="14"/>
        <v/>
      </c>
      <c r="Y49" s="5" t="str">
        <f t="shared" si="17"/>
        <v>E</v>
      </c>
      <c r="Z49" s="5">
        <f t="shared" si="18"/>
        <v>5</v>
      </c>
      <c r="AB49" s="5" t="str">
        <f t="shared" si="15"/>
        <v/>
      </c>
      <c r="AC49" s="5">
        <v>1.0</v>
      </c>
      <c r="AD49" s="5">
        <f t="shared" si="16"/>
        <v>0</v>
      </c>
    </row>
    <row r="50" ht="25.5" customHeight="1" outlineLevel="1">
      <c r="A50" s="18"/>
      <c r="B50" s="30"/>
      <c r="C50" s="31"/>
      <c r="D50" s="32"/>
      <c r="E50" s="39">
        <f>IF($C50="",0,MIN(15,MAX(1,IF(N($O50)&gt;=1,6,IF(N($O50)&gt;=0.75,IF(PRZEL_CZESC="część 1 (objętość)",8,6),IF(PRZEL_CZESC="część 1 (objętość)",10,8)))+0+$AD50)))</f>
        <v>0</v>
      </c>
      <c r="F50" s="33"/>
      <c r="G50" s="34" t="str">
        <f t="shared" si="13"/>
        <v/>
      </c>
      <c r="H50" s="35"/>
      <c r="I50" s="36" t="str">
        <f t="array" ref="I50">IFERROR(IF(IFERROR(INDEX(BAZA_FILM,MATCH($C50,BAZA_EX,0)),"")="","",HYPERLINK(IFERROR(INDEX(BAZA_FILM,MATCH($C50,BAZA_EX,0)),""),"film")),"")</f>
        <v/>
      </c>
      <c r="J50" s="37"/>
      <c r="K50" s="5" t="s">
        <v>102</v>
      </c>
      <c r="L50" s="5" t="str">
        <f t="array" ref="L50">IFERROR(INDEX(BAZA_ID,MATCH($C50,BAZA_EX,0)),"")</f>
        <v/>
      </c>
      <c r="M50" s="5" t="str">
        <f t="array" ref="M50">IFERROR(INDEX(BAZA_PART,MATCH($C50,BAZA_EX,0)),"")</f>
        <v/>
      </c>
      <c r="N50" s="5" t="str">
        <f t="array" ref="N50">IFERROR(INDEX(BAZA_KAT,MATCH($C50,BAZA_EX,0)),"")</f>
        <v/>
      </c>
      <c r="O50" s="5" t="str">
        <f t="array" ref="O50">IFERROR(INDEX(BAZA_COEFF,MATCH($C50,BAZA_EX,0)),"")</f>
        <v/>
      </c>
      <c r="P50" s="5" t="str">
        <f t="array" ref="P50">IFERROR(INDEX(BAZA_SKOK,MATCH($C50,BAZA_EX,0)),"")</f>
        <v/>
      </c>
      <c r="Q50" s="5" t="str">
        <f t="array" ref="Q50">IFERROR(INDEX(BAZA_PROG,MATCH($C50,BAZA_EX,0)),"")</f>
        <v/>
      </c>
      <c r="R50" s="5" t="str">
        <f>IF($C50="","",IF(SUMPRODUCT((START!$B$6:$B$69=$C50)*(START!$M$6:$M$69&gt;0))=0,"",SUMPRODUCT(MAX((START!$B$6:$B$69=$C50)*START!$M$6:$M$69))))</f>
        <v/>
      </c>
      <c r="S50" s="5" t="str">
        <f t="array" ref="S50">IFERROR(INDEX(TABELE!$B$4:$J$18,MATCH($E50,TABELE!$A$4:$A$18,0),MATCH($F50,TABELE!$B$3:$J$3,0)),"")</f>
        <v/>
      </c>
      <c r="T50" s="5">
        <f t="array" ref="T50">IFERROR(IF($C50="",0,$O50*$D50*INDEX(TABELE!$B$23:$P$33,MATCH($F50,TABELE!$A$23:$A$33,0),MATCH($E50,TABELE!$B$22:$P$22,0))),0)</f>
        <v>0</v>
      </c>
      <c r="U50" s="5">
        <f t="array" ref="U50">IFERROR(IF($C50="",0,$O50*$D50*INDEX(TABELE!$B$37:$P$47,MATCH($F50,TABELE!$A$37:$A$47,0),MATCH($E50,TABELE!$B$36:$P$36,0))),0)</f>
        <v>0</v>
      </c>
      <c r="V50" s="5">
        <f t="array" ref="V50">IFERROR(IF($C50="",0,$O50*$D50*INDEX(TABELE!$B$51:$P$61,MATCH($F50,TABELE!$A$51:$A$61,0),MATCH($E50,TABELE!$B$50:$P$50,0))),0)</f>
        <v>0</v>
      </c>
      <c r="W50" s="5" t="str">
        <f t="array" ref="W50">IFERROR(INDEX(BAZA_UWAGI,MATCH($C50,BAZA_EX,0)),"")</f>
        <v/>
      </c>
      <c r="X50" s="5" t="str">
        <f t="shared" si="14"/>
        <v/>
      </c>
      <c r="Y50" s="5" t="str">
        <f t="shared" si="17"/>
        <v>E</v>
      </c>
      <c r="Z50" s="5">
        <f t="shared" si="18"/>
        <v>5</v>
      </c>
      <c r="AB50" s="5" t="str">
        <f t="shared" si="15"/>
        <v/>
      </c>
      <c r="AC50" s="5">
        <v>1.0</v>
      </c>
      <c r="AD50" s="5">
        <f t="shared" si="16"/>
        <v>0</v>
      </c>
    </row>
    <row r="51" ht="19.5" customHeight="1" outlineLevel="1">
      <c r="A51" s="43"/>
      <c r="B51" s="43"/>
      <c r="C51" s="44" t="s">
        <v>137</v>
      </c>
      <c r="D51" s="45">
        <f>SUMPRODUCT((C39:C50&lt;&gt;"")*D39:D50)+IF(AND($B$38="TOP SET",$C$38&lt;&gt;""),1,0)</f>
      </c>
      <c r="E51" s="46" t="str">
        <f>SUMPRODUCT((C39:C50&lt;&gt;"")*D39:D50*E39:E50)&amp;" powt."</f>
        <v>0 powt.</v>
      </c>
      <c r="F51" s="43"/>
      <c r="G51" s="47" t="str">
        <f>"stres t "&amp;TEXT(SUM(T39:T50),"0.0")</f>
        <v>stres t 0,0</v>
      </c>
      <c r="H51" s="48"/>
      <c r="I51" s="43"/>
      <c r="J51" s="4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5.5" hidden="1" customHeight="1" outlineLevel="1">
      <c r="A53" s="15" t="s">
        <v>103</v>
      </c>
      <c r="B53" s="3"/>
      <c r="C53" s="3"/>
      <c r="D53" s="3"/>
      <c r="E53" s="3"/>
      <c r="F53" s="3"/>
      <c r="G53" s="3"/>
      <c r="H53" s="3"/>
      <c r="I53" s="3"/>
      <c r="J53" s="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33.75" hidden="1" customHeight="1" outlineLevel="2">
      <c r="A54" s="17" t="str">
        <f>IF($B54="TOP SET","▲","")</f>
        <v>▲</v>
      </c>
      <c r="B54" s="19" t="s">
        <v>27</v>
      </c>
      <c r="C54" s="22" t="str">
        <f>IF(OR($B54&lt;&gt;"TOP SET",$F54=""),"",IF(N($K54)=0,"",IF(INDEX($C$55:$C$66,$K54)="","",INDEX($C$55:$C$66,$K54))))</f>
      </c>
      <c r="D54" s="23">
        <f>IF(AND($B54="TOP SET",$F54&lt;&gt;""),1,"")</f>
      </c>
      <c r="E54" s="24" t="str">
        <f>IF(AND($B54="TOP SET",$F54&lt;&gt;""),"1 powtórzenie","")</f>
      </c>
      <c r="F54" s="25">
        <v>7.0</v>
      </c>
      <c r="G54" s="27" t="str">
        <f t="array" ref="G54">IF($B54&lt;&gt;"TOP SET","",IF($C54="","",IF(OR($Q54="masa ciała",$Q54="czas",$Q54="dystans",$Q54="ręczne ustawienie"),"—",IF(OR($R54="",$R54=0),"— brak 1RM",MROUND($R54*IFERROR(INDEX(TABELE!$B$4:$J$18,MATCH(1,TABELE!$A$4:$A$18,0),MATCH($F54,TABELE!$B$3:$J$3,0)),0)/100,MAX($P54,0.5))))))</f>
      </c>
      <c r="H54" s="28"/>
      <c r="I54" s="29"/>
      <c r="J54" s="29"/>
      <c r="K54" s="5">
        <f>IFERROR(MATCH("A*",$A$55:$A$66,0),0)</f>
      </c>
      <c r="L54" s="5"/>
      <c r="M54" s="5"/>
      <c r="N54" s="5"/>
      <c r="O54" s="5"/>
      <c r="P54" s="5">
        <f>IF(N($K54)=0,"",INDEX($P$55:$P$66,$K54))</f>
      </c>
      <c r="Q54" s="5">
        <f>IF(N($K54)=0,"",INDEX($Q$55:$Q$66,$K54))</f>
      </c>
      <c r="R54" s="5">
        <f>IF(N($K54)=0,"",INDEX($R$55:$R$66,$K54))</f>
      </c>
      <c r="S54" s="5"/>
      <c r="T54" s="5"/>
      <c r="U54" s="5"/>
      <c r="V54" s="5"/>
      <c r="W54" s="5"/>
      <c r="X54" s="5"/>
      <c r="Y54" s="5"/>
      <c r="Z54" s="5"/>
    </row>
    <row r="55" ht="25.5" hidden="1" customHeight="1" outlineLevel="1">
      <c r="A55" s="18" t="s">
        <v>38</v>
      </c>
      <c r="B55" s="30"/>
      <c r="C55" s="31"/>
      <c r="D55" s="32">
        <v>6.0</v>
      </c>
      <c r="E55" s="32">
        <v>6.0</v>
      </c>
      <c r="F55" s="33">
        <v>6.5</v>
      </c>
      <c r="G55" s="34" t="str">
        <f t="shared" ref="G55:G66" si="19">IF($C55="","",IF(OR($Q55="masa ciała",$Q55="czas",$Q55="dystans",$Q55="ręczne ustawienie"),$Q55,IF(OR($R55="",$R55=0),"— brak 1RM",MROUND($R55*$S55/100,MAX($P55,0.5)))))</f>
        <v/>
      </c>
      <c r="H55" s="35"/>
      <c r="I55" s="36" t="str">
        <f t="array" ref="I55">IFERROR(IF(IFERROR(INDEX(BAZA_FILM,MATCH($C55,BAZA_EX,0)),"")="","",HYPERLINK(IFERROR(INDEX(BAZA_FILM,MATCH($C55,BAZA_EX,0)),""),"film")),"")</f>
        <v/>
      </c>
      <c r="J55" s="37"/>
      <c r="K55" s="5" t="s">
        <v>104</v>
      </c>
      <c r="L55" s="5" t="str">
        <f t="array" ref="L55">IFERROR(INDEX(BAZA_ID,MATCH($C55,BAZA_EX,0)),"")</f>
        <v/>
      </c>
      <c r="M55" s="5" t="str">
        <f t="array" ref="M55">IFERROR(INDEX(BAZA_PART,MATCH($C55,BAZA_EX,0)),"")</f>
        <v/>
      </c>
      <c r="N55" s="5" t="str">
        <f t="array" ref="N55">IFERROR(INDEX(BAZA_KAT,MATCH($C55,BAZA_EX,0)),"")</f>
        <v/>
      </c>
      <c r="O55" s="5" t="str">
        <f t="array" ref="O55">IFERROR(INDEX(BAZA_COEFF,MATCH($C55,BAZA_EX,0)),"")</f>
        <v/>
      </c>
      <c r="P55" s="5" t="str">
        <f t="array" ref="P55">IFERROR(INDEX(BAZA_SKOK,MATCH($C55,BAZA_EX,0)),"")</f>
        <v/>
      </c>
      <c r="Q55" s="5" t="str">
        <f t="array" ref="Q55">IFERROR(INDEX(BAZA_PROG,MATCH($C55,BAZA_EX,0)),"")</f>
        <v/>
      </c>
      <c r="R55" s="5" t="str">
        <f>IF($C55="","",IF(SUMPRODUCT((START!$B$6:$B$69=$C55)*(START!$M$6:$M$69&gt;0))=0,"",SUMPRODUCT(MAX((START!$B$6:$B$69=$C55)*START!$M$6:$M$69))))</f>
        <v/>
      </c>
      <c r="S55" s="5">
        <f t="array" ref="S55">IFERROR(INDEX(TABELE!$B$4:$J$18,MATCH($E55,TABELE!$A$4:$A$18,0),MATCH($F55,TABELE!$B$3:$J$3,0)),"")</f>
        <v>69.5</v>
      </c>
      <c r="T55" s="5">
        <f t="array" ref="T55">IFERROR(IF($C55="",0,$O55*$D55*INDEX(TABELE!$B$23:$P$33,MATCH($F55,TABELE!$A$23:$A$33,0),MATCH($E55,TABELE!$B$22:$P$22,0))),0)</f>
        <v>0</v>
      </c>
      <c r="U55" s="5">
        <f t="array" ref="U55">IFERROR(IF($C55="",0,$O55*$D55*INDEX(TABELE!$B$37:$P$47,MATCH($F55,TABELE!$A$37:$A$47,0),MATCH($E55,TABELE!$B$36:$P$36,0))),0)</f>
        <v>0</v>
      </c>
      <c r="V55" s="5">
        <f t="array" ref="V55">IFERROR(IF($C55="",0,$O55*$D55*INDEX(TABELE!$B$51:$P$61,MATCH($F55,TABELE!$A$51:$A$61,0),MATCH($E55,TABELE!$B$50:$P$50,0))),0)</f>
        <v>0</v>
      </c>
      <c r="W55" s="5" t="str">
        <f t="array" ref="W55">IFERROR(INDEX(BAZA_UWAGI,MATCH($C55,BAZA_EX,0)),"")</f>
        <v/>
      </c>
      <c r="X55" s="5">
        <f t="shared" ref="X55:X66" si="20">IF($A55="","",$Z55)</f>
        <v>1</v>
      </c>
      <c r="Y55" s="5" t="str">
        <f>IF($A55="","",LEFT($A55,1))</f>
        <v>A</v>
      </c>
      <c r="Z55" s="5">
        <f>IF($A55="",0,1)</f>
        <v>1</v>
      </c>
      <c r="AB55" s="5" t="str">
        <f t="shared" ref="AB55:AB66" si="21">IF($C55="","",IF($H55&lt;&gt;"",$H55,IF($H$67="✓ ukończony","OK","")))</f>
        <v/>
      </c>
      <c r="AC55" s="5">
        <v>1.0</v>
      </c>
      <c r="AD55" s="5">
        <f t="shared" ref="AD55:AD66" si="22">IF(OR($Q55="masa ciała",$Q55="czas",$Q55="dystans",$Q55="ręczne ustawienie"),MAX(-3,MIN(3,ROUND(($AC55-1)/0.05,0))),0)</f>
        <v>0</v>
      </c>
    </row>
    <row r="56" ht="25.5" hidden="1" customHeight="1" outlineLevel="1">
      <c r="A56" s="18" t="s">
        <v>64</v>
      </c>
      <c r="B56" s="30"/>
      <c r="C56" s="31"/>
      <c r="D56" s="32">
        <v>3.0</v>
      </c>
      <c r="E56" s="39">
        <f>IF($C56="",0,MIN(15,MAX(1,IF(N($O56)&gt;=1,6,IF(N($O56)&gt;=0.75,IF(PRZEL_CZESC="część 1 (objętość)",8,6),IF(PRZEL_CZESC="część 1 (objętość)",10,8)))+0+$AD56)))</f>
        <v>0</v>
      </c>
      <c r="F56" s="33">
        <v>8.0</v>
      </c>
      <c r="G56" s="34" t="str">
        <f t="shared" si="19"/>
        <v/>
      </c>
      <c r="H56" s="35"/>
      <c r="I56" s="36" t="str">
        <f t="array" ref="I56">IFERROR(IF(IFERROR(INDEX(BAZA_FILM,MATCH($C56,BAZA_EX,0)),"")="","",HYPERLINK(IFERROR(INDEX(BAZA_FILM,MATCH($C56,BAZA_EX,0)),""),"film")),"")</f>
        <v/>
      </c>
      <c r="J56" s="37"/>
      <c r="K56" s="5" t="s">
        <v>105</v>
      </c>
      <c r="L56" s="5" t="str">
        <f t="array" ref="L56">IFERROR(INDEX(BAZA_ID,MATCH($C56,BAZA_EX,0)),"")</f>
        <v/>
      </c>
      <c r="M56" s="5" t="str">
        <f t="array" ref="M56">IFERROR(INDEX(BAZA_PART,MATCH($C56,BAZA_EX,0)),"")</f>
        <v/>
      </c>
      <c r="N56" s="5" t="str">
        <f t="array" ref="N56">IFERROR(INDEX(BAZA_KAT,MATCH($C56,BAZA_EX,0)),"")</f>
        <v/>
      </c>
      <c r="O56" s="5" t="str">
        <f t="array" ref="O56">IFERROR(INDEX(BAZA_COEFF,MATCH($C56,BAZA_EX,0)),"")</f>
        <v/>
      </c>
      <c r="P56" s="5" t="str">
        <f t="array" ref="P56">IFERROR(INDEX(BAZA_SKOK,MATCH($C56,BAZA_EX,0)),"")</f>
        <v/>
      </c>
      <c r="Q56" s="5" t="str">
        <f t="array" ref="Q56">IFERROR(INDEX(BAZA_PROG,MATCH($C56,BAZA_EX,0)),"")</f>
        <v/>
      </c>
      <c r="R56" s="5" t="str">
        <f>IF($C56="","",IF(SUMPRODUCT((START!$B$6:$B$69=$C56)*(START!$M$6:$M$69&gt;0))=0,"",SUMPRODUCT(MAX((START!$B$6:$B$69=$C56)*START!$M$6:$M$69))))</f>
        <v/>
      </c>
      <c r="S56" s="5" t="str">
        <f t="array" ref="S56">IFERROR(INDEX(TABELE!$B$4:$J$18,MATCH($E56,TABELE!$A$4:$A$18,0),MATCH($F56,TABELE!$B$3:$J$3,0)),"")</f>
        <v/>
      </c>
      <c r="T56" s="5">
        <f t="array" ref="T56">IFERROR(IF($C56="",0,$O56*$D56*INDEX(TABELE!$B$23:$P$33,MATCH($F56,TABELE!$A$23:$A$33,0),MATCH($E56,TABELE!$B$22:$P$22,0))),0)</f>
        <v>0</v>
      </c>
      <c r="U56" s="5">
        <f t="array" ref="U56">IFERROR(IF($C56="",0,$O56*$D56*INDEX(TABELE!$B$37:$P$47,MATCH($F56,TABELE!$A$37:$A$47,0),MATCH($E56,TABELE!$B$36:$P$36,0))),0)</f>
        <v>0</v>
      </c>
      <c r="V56" s="5">
        <f t="array" ref="V56">IFERROR(IF($C56="",0,$O56*$D56*INDEX(TABELE!$B$51:$P$61,MATCH($F56,TABELE!$A$51:$A$61,0),MATCH($E56,TABELE!$B$50:$P$50,0))),0)</f>
        <v>0</v>
      </c>
      <c r="W56" s="5" t="str">
        <f t="array" ref="W56">IFERROR(INDEX(BAZA_UWAGI,MATCH($C56,BAZA_EX,0)),"")</f>
        <v/>
      </c>
      <c r="X56" s="5">
        <f t="shared" si="20"/>
        <v>2</v>
      </c>
      <c r="Y56" s="5" t="str">
        <f t="shared" ref="Y56:Y66" si="23">IF($A56="",$Y55,LEFT($A56,1))</f>
        <v>B</v>
      </c>
      <c r="Z56" s="5">
        <f t="shared" ref="Z56:Z66" si="24">IF($A56="",$Z55,IF(LEFT($A56,1)=$Y55,$Z55,$Z55+1))</f>
        <v>2</v>
      </c>
      <c r="AB56" s="5" t="str">
        <f t="shared" si="21"/>
        <v/>
      </c>
      <c r="AC56" s="5">
        <v>1.0</v>
      </c>
      <c r="AD56" s="5">
        <f t="shared" si="22"/>
        <v>0</v>
      </c>
    </row>
    <row r="57" ht="25.5" hidden="1" customHeight="1" outlineLevel="1">
      <c r="A57" s="18" t="s">
        <v>71</v>
      </c>
      <c r="B57" s="30"/>
      <c r="C57" s="31"/>
      <c r="D57" s="32">
        <v>3.0</v>
      </c>
      <c r="E57" s="39">
        <f>IF($C57="",0,MIN(15,MAX(1,IF(N($O57)&gt;=1,6,IF(N($O57)&gt;=0.75,IF(PRZEL_CZESC="część 1 (objętość)",8,6),IF(PRZEL_CZESC="część 1 (objętość)",10,8)))+0+$AD57)))</f>
        <v>0</v>
      </c>
      <c r="F57" s="33">
        <v>8.0</v>
      </c>
      <c r="G57" s="34" t="str">
        <f t="shared" si="19"/>
        <v/>
      </c>
      <c r="H57" s="35"/>
      <c r="I57" s="36" t="str">
        <f t="array" ref="I57">IFERROR(IF(IFERROR(INDEX(BAZA_FILM,MATCH($C57,BAZA_EX,0)),"")="","",HYPERLINK(IFERROR(INDEX(BAZA_FILM,MATCH($C57,BAZA_EX,0)),""),"film")),"")</f>
        <v/>
      </c>
      <c r="J57" s="37"/>
      <c r="K57" s="5" t="s">
        <v>106</v>
      </c>
      <c r="L57" s="5" t="str">
        <f t="array" ref="L57">IFERROR(INDEX(BAZA_ID,MATCH($C57,BAZA_EX,0)),"")</f>
        <v/>
      </c>
      <c r="M57" s="5" t="str">
        <f t="array" ref="M57">IFERROR(INDEX(BAZA_PART,MATCH($C57,BAZA_EX,0)),"")</f>
        <v/>
      </c>
      <c r="N57" s="5" t="str">
        <f t="array" ref="N57">IFERROR(INDEX(BAZA_KAT,MATCH($C57,BAZA_EX,0)),"")</f>
        <v/>
      </c>
      <c r="O57" s="5" t="str">
        <f t="array" ref="O57">IFERROR(INDEX(BAZA_COEFF,MATCH($C57,BAZA_EX,0)),"")</f>
        <v/>
      </c>
      <c r="P57" s="5" t="str">
        <f t="array" ref="P57">IFERROR(INDEX(BAZA_SKOK,MATCH($C57,BAZA_EX,0)),"")</f>
        <v/>
      </c>
      <c r="Q57" s="5" t="str">
        <f t="array" ref="Q57">IFERROR(INDEX(BAZA_PROG,MATCH($C57,BAZA_EX,0)),"")</f>
        <v/>
      </c>
      <c r="R57" s="5" t="str">
        <f>IF($C57="","",IF(SUMPRODUCT((START!$B$6:$B$69=$C57)*(START!$M$6:$M$69&gt;0))=0,"",SUMPRODUCT(MAX((START!$B$6:$B$69=$C57)*START!$M$6:$M$69))))</f>
        <v/>
      </c>
      <c r="S57" s="5" t="str">
        <f t="array" ref="S57">IFERROR(INDEX(TABELE!$B$4:$J$18,MATCH($E57,TABELE!$A$4:$A$18,0),MATCH($F57,TABELE!$B$3:$J$3,0)),"")</f>
        <v/>
      </c>
      <c r="T57" s="5">
        <f t="array" ref="T57">IFERROR(IF($C57="",0,$O57*$D57*INDEX(TABELE!$B$23:$P$33,MATCH($F57,TABELE!$A$23:$A$33,0),MATCH($E57,TABELE!$B$22:$P$22,0))),0)</f>
        <v>0</v>
      </c>
      <c r="U57" s="5">
        <f t="array" ref="U57">IFERROR(IF($C57="",0,$O57*$D57*INDEX(TABELE!$B$37:$P$47,MATCH($F57,TABELE!$A$37:$A$47,0),MATCH($E57,TABELE!$B$36:$P$36,0))),0)</f>
        <v>0</v>
      </c>
      <c r="V57" s="5">
        <f t="array" ref="V57">IFERROR(IF($C57="",0,$O57*$D57*INDEX(TABELE!$B$51:$P$61,MATCH($F57,TABELE!$A$51:$A$61,0),MATCH($E57,TABELE!$B$50:$P$50,0))),0)</f>
        <v>0</v>
      </c>
      <c r="W57" s="5" t="str">
        <f t="array" ref="W57">IFERROR(INDEX(BAZA_UWAGI,MATCH($C57,BAZA_EX,0)),"")</f>
        <v/>
      </c>
      <c r="X57" s="5">
        <f t="shared" si="20"/>
        <v>2</v>
      </c>
      <c r="Y57" s="5" t="str">
        <f t="shared" si="23"/>
        <v>B</v>
      </c>
      <c r="Z57" s="5">
        <f t="shared" si="24"/>
        <v>2</v>
      </c>
      <c r="AB57" s="5" t="str">
        <f t="shared" si="21"/>
        <v/>
      </c>
      <c r="AC57" s="5">
        <v>1.0</v>
      </c>
      <c r="AD57" s="5">
        <f t="shared" si="22"/>
        <v>0</v>
      </c>
    </row>
    <row r="58" ht="25.5" hidden="1" customHeight="1" outlineLevel="1">
      <c r="A58" s="18" t="s">
        <v>78</v>
      </c>
      <c r="B58" s="30"/>
      <c r="C58" s="31"/>
      <c r="D58" s="32">
        <v>3.0</v>
      </c>
      <c r="E58" s="39">
        <f>IF($C58="",0,MIN(15,MAX(1,IF(N($O58)&gt;=1,6,IF(N($O58)&gt;=0.75,IF(PRZEL_CZESC="część 1 (objętość)",8,6),IF(PRZEL_CZESC="część 1 (objętość)",10,8)))+0+$AD58)))</f>
        <v>0</v>
      </c>
      <c r="F58" s="33">
        <v>8.0</v>
      </c>
      <c r="G58" s="34" t="str">
        <f t="shared" si="19"/>
        <v/>
      </c>
      <c r="H58" s="35"/>
      <c r="I58" s="36" t="str">
        <f t="array" ref="I58">IFERROR(IF(IFERROR(INDEX(BAZA_FILM,MATCH($C58,BAZA_EX,0)),"")="","",HYPERLINK(IFERROR(INDEX(BAZA_FILM,MATCH($C58,BAZA_EX,0)),""),"film")),"")</f>
        <v/>
      </c>
      <c r="J58" s="37"/>
      <c r="K58" s="5" t="s">
        <v>108</v>
      </c>
      <c r="L58" s="5" t="str">
        <f t="array" ref="L58">IFERROR(INDEX(BAZA_ID,MATCH($C58,BAZA_EX,0)),"")</f>
        <v/>
      </c>
      <c r="M58" s="5" t="str">
        <f t="array" ref="M58">IFERROR(INDEX(BAZA_PART,MATCH($C58,BAZA_EX,0)),"")</f>
        <v/>
      </c>
      <c r="N58" s="5" t="str">
        <f t="array" ref="N58">IFERROR(INDEX(BAZA_KAT,MATCH($C58,BAZA_EX,0)),"")</f>
        <v/>
      </c>
      <c r="O58" s="5" t="str">
        <f t="array" ref="O58">IFERROR(INDEX(BAZA_COEFF,MATCH($C58,BAZA_EX,0)),"")</f>
        <v/>
      </c>
      <c r="P58" s="5" t="str">
        <f t="array" ref="P58">IFERROR(INDEX(BAZA_SKOK,MATCH($C58,BAZA_EX,0)),"")</f>
        <v/>
      </c>
      <c r="Q58" s="5" t="str">
        <f t="array" ref="Q58">IFERROR(INDEX(BAZA_PROG,MATCH($C58,BAZA_EX,0)),"")</f>
        <v/>
      </c>
      <c r="R58" s="5" t="str">
        <f>IF($C58="","",IF(SUMPRODUCT((START!$B$6:$B$69=$C58)*(START!$M$6:$M$69&gt;0))=0,"",SUMPRODUCT(MAX((START!$B$6:$B$69=$C58)*START!$M$6:$M$69))))</f>
        <v/>
      </c>
      <c r="S58" s="5" t="str">
        <f t="array" ref="S58">IFERROR(INDEX(TABELE!$B$4:$J$18,MATCH($E58,TABELE!$A$4:$A$18,0),MATCH($F58,TABELE!$B$3:$J$3,0)),"")</f>
        <v/>
      </c>
      <c r="T58" s="5">
        <f t="array" ref="T58">IFERROR(IF($C58="",0,$O58*$D58*INDEX(TABELE!$B$23:$P$33,MATCH($F58,TABELE!$A$23:$A$33,0),MATCH($E58,TABELE!$B$22:$P$22,0))),0)</f>
        <v>0</v>
      </c>
      <c r="U58" s="5">
        <f t="array" ref="U58">IFERROR(IF($C58="",0,$O58*$D58*INDEX(TABELE!$B$37:$P$47,MATCH($F58,TABELE!$A$37:$A$47,0),MATCH($E58,TABELE!$B$36:$P$36,0))),0)</f>
        <v>0</v>
      </c>
      <c r="V58" s="5">
        <f t="array" ref="V58">IFERROR(IF($C58="",0,$O58*$D58*INDEX(TABELE!$B$51:$P$61,MATCH($F58,TABELE!$A$51:$A$61,0),MATCH($E58,TABELE!$B$50:$P$50,0))),0)</f>
        <v>0</v>
      </c>
      <c r="W58" s="5" t="str">
        <f t="array" ref="W58">IFERROR(INDEX(BAZA_UWAGI,MATCH($C58,BAZA_EX,0)),"")</f>
        <v/>
      </c>
      <c r="X58" s="5">
        <f t="shared" si="20"/>
        <v>3</v>
      </c>
      <c r="Y58" s="5" t="str">
        <f t="shared" si="23"/>
        <v>C</v>
      </c>
      <c r="Z58" s="5">
        <f t="shared" si="24"/>
        <v>3</v>
      </c>
      <c r="AB58" s="5" t="str">
        <f t="shared" si="21"/>
        <v/>
      </c>
      <c r="AC58" s="5">
        <v>1.0</v>
      </c>
      <c r="AD58" s="5">
        <f t="shared" si="22"/>
        <v>0</v>
      </c>
    </row>
    <row r="59" ht="25.5" hidden="1" customHeight="1" outlineLevel="1">
      <c r="A59" s="18" t="s">
        <v>84</v>
      </c>
      <c r="B59" s="30"/>
      <c r="C59" s="31"/>
      <c r="D59" s="32">
        <v>3.0</v>
      </c>
      <c r="E59" s="39">
        <f>IF($C59="",0,MIN(15,MAX(1,IF(N($O59)&gt;=1,6,IF(N($O59)&gt;=0.75,IF(PRZEL_CZESC="część 1 (objętość)",8,6),IF(PRZEL_CZESC="część 1 (objętość)",10,8)))+0+$AD59)))</f>
        <v>0</v>
      </c>
      <c r="F59" s="33">
        <v>9.0</v>
      </c>
      <c r="G59" s="34" t="str">
        <f t="shared" si="19"/>
        <v/>
      </c>
      <c r="H59" s="35"/>
      <c r="I59" s="36" t="str">
        <f t="array" ref="I59">IFERROR(IF(IFERROR(INDEX(BAZA_FILM,MATCH($C59,BAZA_EX,0)),"")="","",HYPERLINK(IFERROR(INDEX(BAZA_FILM,MATCH($C59,BAZA_EX,0)),""),"film")),"")</f>
        <v/>
      </c>
      <c r="J59" s="37"/>
      <c r="K59" s="5" t="s">
        <v>109</v>
      </c>
      <c r="L59" s="5" t="str">
        <f t="array" ref="L59">IFERROR(INDEX(BAZA_ID,MATCH($C59,BAZA_EX,0)),"")</f>
        <v/>
      </c>
      <c r="M59" s="5" t="str">
        <f t="array" ref="M59">IFERROR(INDEX(BAZA_PART,MATCH($C59,BAZA_EX,0)),"")</f>
        <v/>
      </c>
      <c r="N59" s="5" t="str">
        <f t="array" ref="N59">IFERROR(INDEX(BAZA_KAT,MATCH($C59,BAZA_EX,0)),"")</f>
        <v/>
      </c>
      <c r="O59" s="5" t="str">
        <f t="array" ref="O59">IFERROR(INDEX(BAZA_COEFF,MATCH($C59,BAZA_EX,0)),"")</f>
        <v/>
      </c>
      <c r="P59" s="5" t="str">
        <f t="array" ref="P59">IFERROR(INDEX(BAZA_SKOK,MATCH($C59,BAZA_EX,0)),"")</f>
        <v/>
      </c>
      <c r="Q59" s="5" t="str">
        <f t="array" ref="Q59">IFERROR(INDEX(BAZA_PROG,MATCH($C59,BAZA_EX,0)),"")</f>
        <v/>
      </c>
      <c r="R59" s="5" t="str">
        <f>IF($C59="","",IF(SUMPRODUCT((START!$B$6:$B$69=$C59)*(START!$M$6:$M$69&gt;0))=0,"",SUMPRODUCT(MAX((START!$B$6:$B$69=$C59)*START!$M$6:$M$69))))</f>
        <v/>
      </c>
      <c r="S59" s="5" t="str">
        <f t="array" ref="S59">IFERROR(INDEX(TABELE!$B$4:$J$18,MATCH($E59,TABELE!$A$4:$A$18,0),MATCH($F59,TABELE!$B$3:$J$3,0)),"")</f>
        <v/>
      </c>
      <c r="T59" s="5">
        <f t="array" ref="T59">IFERROR(IF($C59="",0,$O59*$D59*INDEX(TABELE!$B$23:$P$33,MATCH($F59,TABELE!$A$23:$A$33,0),MATCH($E59,TABELE!$B$22:$P$22,0))),0)</f>
        <v>0</v>
      </c>
      <c r="U59" s="5">
        <f t="array" ref="U59">IFERROR(IF($C59="",0,$O59*$D59*INDEX(TABELE!$B$37:$P$47,MATCH($F59,TABELE!$A$37:$A$47,0),MATCH($E59,TABELE!$B$36:$P$36,0))),0)</f>
        <v>0</v>
      </c>
      <c r="V59" s="5">
        <f t="array" ref="V59">IFERROR(IF($C59="",0,$O59*$D59*INDEX(TABELE!$B$51:$P$61,MATCH($F59,TABELE!$A$51:$A$61,0),MATCH($E59,TABELE!$B$50:$P$50,0))),0)</f>
        <v>0</v>
      </c>
      <c r="W59" s="5" t="str">
        <f t="array" ref="W59">IFERROR(INDEX(BAZA_UWAGI,MATCH($C59,BAZA_EX,0)),"")</f>
        <v/>
      </c>
      <c r="X59" s="5">
        <f t="shared" si="20"/>
        <v>3</v>
      </c>
      <c r="Y59" s="5" t="str">
        <f t="shared" si="23"/>
        <v>C</v>
      </c>
      <c r="Z59" s="5">
        <f t="shared" si="24"/>
        <v>3</v>
      </c>
      <c r="AB59" s="5" t="str">
        <f t="shared" si="21"/>
        <v/>
      </c>
      <c r="AC59" s="5">
        <v>1.0</v>
      </c>
      <c r="AD59" s="5">
        <f t="shared" si="22"/>
        <v>0</v>
      </c>
    </row>
    <row r="60" ht="25.5" hidden="1" customHeight="1" outlineLevel="1">
      <c r="A60" s="18" t="s">
        <v>93</v>
      </c>
      <c r="B60" s="30"/>
      <c r="C60" s="31"/>
      <c r="D60" s="32">
        <v>3.0</v>
      </c>
      <c r="E60" s="39">
        <f>IF($C60="",0,MIN(15,MAX(1,IF(N($O60)&gt;=1,6,IF(N($O60)&gt;=0.75,IF(PRZEL_CZESC="część 1 (objętość)",8,6),IF(PRZEL_CZESC="część 1 (objętość)",10,8)))+0+$AD60)))</f>
        <v>0</v>
      </c>
      <c r="F60" s="33">
        <v>8.0</v>
      </c>
      <c r="G60" s="34" t="str">
        <f t="shared" si="19"/>
        <v/>
      </c>
      <c r="H60" s="35"/>
      <c r="I60" s="36" t="str">
        <f t="array" ref="I60">IFERROR(IF(IFERROR(INDEX(BAZA_FILM,MATCH($C60,BAZA_EX,0)),"")="","",HYPERLINK(IFERROR(INDEX(BAZA_FILM,MATCH($C60,BAZA_EX,0)),""),"film")),"")</f>
        <v/>
      </c>
      <c r="J60" s="37"/>
      <c r="K60" s="5" t="s">
        <v>110</v>
      </c>
      <c r="L60" s="5" t="str">
        <f t="array" ref="L60">IFERROR(INDEX(BAZA_ID,MATCH($C60,BAZA_EX,0)),"")</f>
        <v/>
      </c>
      <c r="M60" s="5" t="str">
        <f t="array" ref="M60">IFERROR(INDEX(BAZA_PART,MATCH($C60,BAZA_EX,0)),"")</f>
        <v/>
      </c>
      <c r="N60" s="5" t="str">
        <f t="array" ref="N60">IFERROR(INDEX(BAZA_KAT,MATCH($C60,BAZA_EX,0)),"")</f>
        <v/>
      </c>
      <c r="O60" s="5" t="str">
        <f t="array" ref="O60">IFERROR(INDEX(BAZA_COEFF,MATCH($C60,BAZA_EX,0)),"")</f>
        <v/>
      </c>
      <c r="P60" s="5" t="str">
        <f t="array" ref="P60">IFERROR(INDEX(BAZA_SKOK,MATCH($C60,BAZA_EX,0)),"")</f>
        <v/>
      </c>
      <c r="Q60" s="5" t="str">
        <f t="array" ref="Q60">IFERROR(INDEX(BAZA_PROG,MATCH($C60,BAZA_EX,0)),"")</f>
        <v/>
      </c>
      <c r="R60" s="5" t="str">
        <f>IF($C60="","",IF(SUMPRODUCT((START!$B$6:$B$69=$C60)*(START!$M$6:$M$69&gt;0))=0,"",SUMPRODUCT(MAX((START!$B$6:$B$69=$C60)*START!$M$6:$M$69))))</f>
        <v/>
      </c>
      <c r="S60" s="5" t="str">
        <f t="array" ref="S60">IFERROR(INDEX(TABELE!$B$4:$J$18,MATCH($E60,TABELE!$A$4:$A$18,0),MATCH($F60,TABELE!$B$3:$J$3,0)),"")</f>
        <v/>
      </c>
      <c r="T60" s="5">
        <f t="array" ref="T60">IFERROR(IF($C60="",0,$O60*$D60*INDEX(TABELE!$B$23:$P$33,MATCH($F60,TABELE!$A$23:$A$33,0),MATCH($E60,TABELE!$B$22:$P$22,0))),0)</f>
        <v>0</v>
      </c>
      <c r="U60" s="5">
        <f t="array" ref="U60">IFERROR(IF($C60="",0,$O60*$D60*INDEX(TABELE!$B$37:$P$47,MATCH($F60,TABELE!$A$37:$A$47,0),MATCH($E60,TABELE!$B$36:$P$36,0))),0)</f>
        <v>0</v>
      </c>
      <c r="V60" s="5">
        <f t="array" ref="V60">IFERROR(IF($C60="",0,$O60*$D60*INDEX(TABELE!$B$51:$P$61,MATCH($F60,TABELE!$A$51:$A$61,0),MATCH($E60,TABELE!$B$50:$P$50,0))),0)</f>
        <v>0</v>
      </c>
      <c r="W60" s="5" t="str">
        <f t="array" ref="W60">IFERROR(INDEX(BAZA_UWAGI,MATCH($C60,BAZA_EX,0)),"")</f>
        <v/>
      </c>
      <c r="X60" s="5">
        <f t="shared" si="20"/>
        <v>4</v>
      </c>
      <c r="Y60" s="5" t="str">
        <f t="shared" si="23"/>
        <v>D</v>
      </c>
      <c r="Z60" s="5">
        <f t="shared" si="24"/>
        <v>4</v>
      </c>
      <c r="AB60" s="5" t="str">
        <f t="shared" si="21"/>
        <v/>
      </c>
      <c r="AC60" s="5">
        <v>1.0</v>
      </c>
      <c r="AD60" s="5">
        <f t="shared" si="22"/>
        <v>0</v>
      </c>
    </row>
    <row r="61" ht="25.5" hidden="1" customHeight="1" outlineLevel="1">
      <c r="A61" s="18" t="s">
        <v>100</v>
      </c>
      <c r="B61" s="30"/>
      <c r="C61" s="31"/>
      <c r="D61" s="32">
        <v>3.0</v>
      </c>
      <c r="E61" s="39">
        <f>IF($C61="",0,MIN(15,MAX(1,IF(N($O61)&gt;=1,6,IF(N($O61)&gt;=0.75,IF(PRZEL_CZESC="część 1 (objętość)",8,6),IF(PRZEL_CZESC="część 1 (objętość)",10,8)))+0+$AD61)))</f>
        <v>0</v>
      </c>
      <c r="F61" s="33">
        <v>9.0</v>
      </c>
      <c r="G61" s="34" t="str">
        <f t="shared" si="19"/>
        <v/>
      </c>
      <c r="H61" s="35"/>
      <c r="I61" s="36" t="str">
        <f t="array" ref="I61">IFERROR(IF(IFERROR(INDEX(BAZA_FILM,MATCH($C61,BAZA_EX,0)),"")="","",HYPERLINK(IFERROR(INDEX(BAZA_FILM,MATCH($C61,BAZA_EX,0)),""),"film")),"")</f>
        <v/>
      </c>
      <c r="J61" s="37"/>
      <c r="K61" s="5" t="s">
        <v>112</v>
      </c>
      <c r="L61" s="5" t="str">
        <f t="array" ref="L61">IFERROR(INDEX(BAZA_ID,MATCH($C61,BAZA_EX,0)),"")</f>
        <v/>
      </c>
      <c r="M61" s="5" t="str">
        <f t="array" ref="M61">IFERROR(INDEX(BAZA_PART,MATCH($C61,BAZA_EX,0)),"")</f>
        <v/>
      </c>
      <c r="N61" s="5" t="str">
        <f t="array" ref="N61">IFERROR(INDEX(BAZA_KAT,MATCH($C61,BAZA_EX,0)),"")</f>
        <v/>
      </c>
      <c r="O61" s="5" t="str">
        <f t="array" ref="O61">IFERROR(INDEX(BAZA_COEFF,MATCH($C61,BAZA_EX,0)),"")</f>
        <v/>
      </c>
      <c r="P61" s="5" t="str">
        <f t="array" ref="P61">IFERROR(INDEX(BAZA_SKOK,MATCH($C61,BAZA_EX,0)),"")</f>
        <v/>
      </c>
      <c r="Q61" s="5" t="str">
        <f t="array" ref="Q61">IFERROR(INDEX(BAZA_PROG,MATCH($C61,BAZA_EX,0)),"")</f>
        <v/>
      </c>
      <c r="R61" s="5" t="str">
        <f>IF($C61="","",IF(SUMPRODUCT((START!$B$6:$B$69=$C61)*(START!$M$6:$M$69&gt;0))=0,"",SUMPRODUCT(MAX((START!$B$6:$B$69=$C61)*START!$M$6:$M$69))))</f>
        <v/>
      </c>
      <c r="S61" s="5" t="str">
        <f t="array" ref="S61">IFERROR(INDEX(TABELE!$B$4:$J$18,MATCH($E61,TABELE!$A$4:$A$18,0),MATCH($F61,TABELE!$B$3:$J$3,0)),"")</f>
        <v/>
      </c>
      <c r="T61" s="5">
        <f t="array" ref="T61">IFERROR(IF($C61="",0,$O61*$D61*INDEX(TABELE!$B$23:$P$33,MATCH($F61,TABELE!$A$23:$A$33,0),MATCH($E61,TABELE!$B$22:$P$22,0))),0)</f>
        <v>0</v>
      </c>
      <c r="U61" s="5">
        <f t="array" ref="U61">IFERROR(IF($C61="",0,$O61*$D61*INDEX(TABELE!$B$37:$P$47,MATCH($F61,TABELE!$A$37:$A$47,0),MATCH($E61,TABELE!$B$36:$P$36,0))),0)</f>
        <v>0</v>
      </c>
      <c r="V61" s="5">
        <f t="array" ref="V61">IFERROR(IF($C61="",0,$O61*$D61*INDEX(TABELE!$B$51:$P$61,MATCH($F61,TABELE!$A$51:$A$61,0),MATCH($E61,TABELE!$B$50:$P$50,0))),0)</f>
        <v>0</v>
      </c>
      <c r="W61" s="5" t="str">
        <f t="array" ref="W61">IFERROR(INDEX(BAZA_UWAGI,MATCH($C61,BAZA_EX,0)),"")</f>
        <v/>
      </c>
      <c r="X61" s="5">
        <f t="shared" si="20"/>
        <v>4</v>
      </c>
      <c r="Y61" s="5" t="str">
        <f t="shared" si="23"/>
        <v>D</v>
      </c>
      <c r="Z61" s="5">
        <f t="shared" si="24"/>
        <v>4</v>
      </c>
      <c r="AB61" s="5" t="str">
        <f t="shared" si="21"/>
        <v/>
      </c>
      <c r="AC61" s="5">
        <v>1.0</v>
      </c>
      <c r="AD61" s="5">
        <f t="shared" si="22"/>
        <v>0</v>
      </c>
    </row>
    <row r="62" ht="25.5" hidden="1" customHeight="1" outlineLevel="1">
      <c r="A62" s="18" t="s">
        <v>107</v>
      </c>
      <c r="B62" s="30"/>
      <c r="C62" s="31"/>
      <c r="D62" s="32"/>
      <c r="E62" s="39">
        <f>IF($C62="",0,MIN(15,MAX(1,IF(N($O62)&gt;=1,6,IF(N($O62)&gt;=0.75,IF(PRZEL_CZESC="część 1 (objętość)",8,6),IF(PRZEL_CZESC="część 1 (objętość)",10,8)))+0+$AD62)))</f>
        <v>0</v>
      </c>
      <c r="F62" s="33"/>
      <c r="G62" s="34" t="str">
        <f t="shared" si="19"/>
        <v/>
      </c>
      <c r="H62" s="35"/>
      <c r="I62" s="36" t="str">
        <f t="array" ref="I62">IFERROR(IF(IFERROR(INDEX(BAZA_FILM,MATCH($C62,BAZA_EX,0)),"")="","",HYPERLINK(IFERROR(INDEX(BAZA_FILM,MATCH($C62,BAZA_EX,0)),""),"film")),"")</f>
        <v/>
      </c>
      <c r="J62" s="37"/>
      <c r="K62" s="5" t="s">
        <v>114</v>
      </c>
      <c r="L62" s="5" t="str">
        <f t="array" ref="L62">IFERROR(INDEX(BAZA_ID,MATCH($C62,BAZA_EX,0)),"")</f>
        <v/>
      </c>
      <c r="M62" s="5" t="str">
        <f t="array" ref="M62">IFERROR(INDEX(BAZA_PART,MATCH($C62,BAZA_EX,0)),"")</f>
        <v/>
      </c>
      <c r="N62" s="5" t="str">
        <f t="array" ref="N62">IFERROR(INDEX(BAZA_KAT,MATCH($C62,BAZA_EX,0)),"")</f>
        <v/>
      </c>
      <c r="O62" s="5" t="str">
        <f t="array" ref="O62">IFERROR(INDEX(BAZA_COEFF,MATCH($C62,BAZA_EX,0)),"")</f>
        <v/>
      </c>
      <c r="P62" s="5" t="str">
        <f t="array" ref="P62">IFERROR(INDEX(BAZA_SKOK,MATCH($C62,BAZA_EX,0)),"")</f>
        <v/>
      </c>
      <c r="Q62" s="5" t="str">
        <f t="array" ref="Q62">IFERROR(INDEX(BAZA_PROG,MATCH($C62,BAZA_EX,0)),"")</f>
        <v/>
      </c>
      <c r="R62" s="5" t="str">
        <f>IF($C62="","",IF(SUMPRODUCT((START!$B$6:$B$69=$C62)*(START!$M$6:$M$69&gt;0))=0,"",SUMPRODUCT(MAX((START!$B$6:$B$69=$C62)*START!$M$6:$M$69))))</f>
        <v/>
      </c>
      <c r="S62" s="5" t="str">
        <f t="array" ref="S62">IFERROR(INDEX(TABELE!$B$4:$J$18,MATCH($E62,TABELE!$A$4:$A$18,0),MATCH($F62,TABELE!$B$3:$J$3,0)),"")</f>
        <v/>
      </c>
      <c r="T62" s="5">
        <f t="array" ref="T62">IFERROR(IF($C62="",0,$O62*$D62*INDEX(TABELE!$B$23:$P$33,MATCH($F62,TABELE!$A$23:$A$33,0),MATCH($E62,TABELE!$B$22:$P$22,0))),0)</f>
        <v>0</v>
      </c>
      <c r="U62" s="5">
        <f t="array" ref="U62">IFERROR(IF($C62="",0,$O62*$D62*INDEX(TABELE!$B$37:$P$47,MATCH($F62,TABELE!$A$37:$A$47,0),MATCH($E62,TABELE!$B$36:$P$36,0))),0)</f>
        <v>0</v>
      </c>
      <c r="V62" s="5">
        <f t="array" ref="V62">IFERROR(IF($C62="",0,$O62*$D62*INDEX(TABELE!$B$51:$P$61,MATCH($F62,TABELE!$A$51:$A$61,0),MATCH($E62,TABELE!$B$50:$P$50,0))),0)</f>
        <v>0</v>
      </c>
      <c r="W62" s="5" t="str">
        <f t="array" ref="W62">IFERROR(INDEX(BAZA_UWAGI,MATCH($C62,BAZA_EX,0)),"")</f>
        <v/>
      </c>
      <c r="X62" s="5">
        <f t="shared" si="20"/>
        <v>5</v>
      </c>
      <c r="Y62" s="5" t="str">
        <f t="shared" si="23"/>
        <v>E</v>
      </c>
      <c r="Z62" s="5">
        <f t="shared" si="24"/>
        <v>5</v>
      </c>
      <c r="AB62" s="5" t="str">
        <f t="shared" si="21"/>
        <v/>
      </c>
      <c r="AC62" s="5">
        <v>1.0</v>
      </c>
      <c r="AD62" s="5">
        <f t="shared" si="22"/>
        <v>0</v>
      </c>
    </row>
    <row r="63" ht="25.5" hidden="1" customHeight="1" outlineLevel="1">
      <c r="A63" s="18" t="s">
        <v>113</v>
      </c>
      <c r="B63" s="30"/>
      <c r="C63" s="31"/>
      <c r="D63" s="32"/>
      <c r="E63" s="39">
        <f>IF($C63="",0,MIN(15,MAX(1,IF(N($O63)&gt;=1,6,IF(N($O63)&gt;=0.75,IF(PRZEL_CZESC="część 1 (objętość)",8,6),IF(PRZEL_CZESC="część 1 (objętość)",10,8)))+0+$AD63)))</f>
        <v>0</v>
      </c>
      <c r="F63" s="33"/>
      <c r="G63" s="34" t="str">
        <f t="shared" si="19"/>
        <v/>
      </c>
      <c r="H63" s="35"/>
      <c r="I63" s="36" t="str">
        <f t="array" ref="I63">IFERROR(IF(IFERROR(INDEX(BAZA_FILM,MATCH($C63,BAZA_EX,0)),"")="","",HYPERLINK(IFERROR(INDEX(BAZA_FILM,MATCH($C63,BAZA_EX,0)),""),"film")),"")</f>
        <v/>
      </c>
      <c r="J63" s="37"/>
      <c r="K63" s="5" t="s">
        <v>115</v>
      </c>
      <c r="L63" s="5" t="str">
        <f t="array" ref="L63">IFERROR(INDEX(BAZA_ID,MATCH($C63,BAZA_EX,0)),"")</f>
        <v/>
      </c>
      <c r="M63" s="5" t="str">
        <f t="array" ref="M63">IFERROR(INDEX(BAZA_PART,MATCH($C63,BAZA_EX,0)),"")</f>
        <v/>
      </c>
      <c r="N63" s="5" t="str">
        <f t="array" ref="N63">IFERROR(INDEX(BAZA_KAT,MATCH($C63,BAZA_EX,0)),"")</f>
        <v/>
      </c>
      <c r="O63" s="5" t="str">
        <f t="array" ref="O63">IFERROR(INDEX(BAZA_COEFF,MATCH($C63,BAZA_EX,0)),"")</f>
        <v/>
      </c>
      <c r="P63" s="5" t="str">
        <f t="array" ref="P63">IFERROR(INDEX(BAZA_SKOK,MATCH($C63,BAZA_EX,0)),"")</f>
        <v/>
      </c>
      <c r="Q63" s="5" t="str">
        <f t="array" ref="Q63">IFERROR(INDEX(BAZA_PROG,MATCH($C63,BAZA_EX,0)),"")</f>
        <v/>
      </c>
      <c r="R63" s="5" t="str">
        <f>IF($C63="","",IF(SUMPRODUCT((START!$B$6:$B$69=$C63)*(START!$M$6:$M$69&gt;0))=0,"",SUMPRODUCT(MAX((START!$B$6:$B$69=$C63)*START!$M$6:$M$69))))</f>
        <v/>
      </c>
      <c r="S63" s="5" t="str">
        <f t="array" ref="S63">IFERROR(INDEX(TABELE!$B$4:$J$18,MATCH($E63,TABELE!$A$4:$A$18,0),MATCH($F63,TABELE!$B$3:$J$3,0)),"")</f>
        <v/>
      </c>
      <c r="T63" s="5">
        <f t="array" ref="T63">IFERROR(IF($C63="",0,$O63*$D63*INDEX(TABELE!$B$23:$P$33,MATCH($F63,TABELE!$A$23:$A$33,0),MATCH($E63,TABELE!$B$22:$P$22,0))),0)</f>
        <v>0</v>
      </c>
      <c r="U63" s="5">
        <f t="array" ref="U63">IFERROR(IF($C63="",0,$O63*$D63*INDEX(TABELE!$B$37:$P$47,MATCH($F63,TABELE!$A$37:$A$47,0),MATCH($E63,TABELE!$B$36:$P$36,0))),0)</f>
        <v>0</v>
      </c>
      <c r="V63" s="5">
        <f t="array" ref="V63">IFERROR(IF($C63="",0,$O63*$D63*INDEX(TABELE!$B$51:$P$61,MATCH($F63,TABELE!$A$51:$A$61,0),MATCH($E63,TABELE!$B$50:$P$50,0))),0)</f>
        <v>0</v>
      </c>
      <c r="W63" s="5" t="str">
        <f t="array" ref="W63">IFERROR(INDEX(BAZA_UWAGI,MATCH($C63,BAZA_EX,0)),"")</f>
        <v/>
      </c>
      <c r="X63" s="5">
        <f t="shared" si="20"/>
        <v>5</v>
      </c>
      <c r="Y63" s="5" t="str">
        <f t="shared" si="23"/>
        <v>E</v>
      </c>
      <c r="Z63" s="5">
        <f t="shared" si="24"/>
        <v>5</v>
      </c>
      <c r="AB63" s="5" t="str">
        <f t="shared" si="21"/>
        <v/>
      </c>
      <c r="AC63" s="5">
        <v>1.0</v>
      </c>
      <c r="AD63" s="5">
        <f t="shared" si="22"/>
        <v>0</v>
      </c>
    </row>
    <row r="64" ht="25.5" hidden="1" customHeight="1" outlineLevel="1">
      <c r="A64" s="18"/>
      <c r="B64" s="30"/>
      <c r="C64" s="31"/>
      <c r="D64" s="32"/>
      <c r="E64" s="39">
        <f>IF($C64="",0,MIN(15,MAX(1,IF(N($O64)&gt;=1,6,IF(N($O64)&gt;=0.75,IF(PRZEL_CZESC="część 1 (objętość)",8,6),IF(PRZEL_CZESC="część 1 (objętość)",10,8)))+0+$AD64)))</f>
        <v>0</v>
      </c>
      <c r="F64" s="33"/>
      <c r="G64" s="34" t="str">
        <f t="shared" si="19"/>
        <v/>
      </c>
      <c r="H64" s="35"/>
      <c r="I64" s="36" t="str">
        <f t="array" ref="I64">IFERROR(IF(IFERROR(INDEX(BAZA_FILM,MATCH($C64,BAZA_EX,0)),"")="","",HYPERLINK(IFERROR(INDEX(BAZA_FILM,MATCH($C64,BAZA_EX,0)),""),"film")),"")</f>
        <v/>
      </c>
      <c r="J64" s="37"/>
      <c r="K64" s="5" t="s">
        <v>116</v>
      </c>
      <c r="L64" s="5" t="str">
        <f t="array" ref="L64">IFERROR(INDEX(BAZA_ID,MATCH($C64,BAZA_EX,0)),"")</f>
        <v/>
      </c>
      <c r="M64" s="5" t="str">
        <f t="array" ref="M64">IFERROR(INDEX(BAZA_PART,MATCH($C64,BAZA_EX,0)),"")</f>
        <v/>
      </c>
      <c r="N64" s="5" t="str">
        <f t="array" ref="N64">IFERROR(INDEX(BAZA_KAT,MATCH($C64,BAZA_EX,0)),"")</f>
        <v/>
      </c>
      <c r="O64" s="5" t="str">
        <f t="array" ref="O64">IFERROR(INDEX(BAZA_COEFF,MATCH($C64,BAZA_EX,0)),"")</f>
        <v/>
      </c>
      <c r="P64" s="5" t="str">
        <f t="array" ref="P64">IFERROR(INDEX(BAZA_SKOK,MATCH($C64,BAZA_EX,0)),"")</f>
        <v/>
      </c>
      <c r="Q64" s="5" t="str">
        <f t="array" ref="Q64">IFERROR(INDEX(BAZA_PROG,MATCH($C64,BAZA_EX,0)),"")</f>
        <v/>
      </c>
      <c r="R64" s="5" t="str">
        <f>IF($C64="","",IF(SUMPRODUCT((START!$B$6:$B$69=$C64)*(START!$M$6:$M$69&gt;0))=0,"",SUMPRODUCT(MAX((START!$B$6:$B$69=$C64)*START!$M$6:$M$69))))</f>
        <v/>
      </c>
      <c r="S64" s="5" t="str">
        <f t="array" ref="S64">IFERROR(INDEX(TABELE!$B$4:$J$18,MATCH($E64,TABELE!$A$4:$A$18,0),MATCH($F64,TABELE!$B$3:$J$3,0)),"")</f>
        <v/>
      </c>
      <c r="T64" s="5">
        <f t="array" ref="T64">IFERROR(IF($C64="",0,$O64*$D64*INDEX(TABELE!$B$23:$P$33,MATCH($F64,TABELE!$A$23:$A$33,0),MATCH($E64,TABELE!$B$22:$P$22,0))),0)</f>
        <v>0</v>
      </c>
      <c r="U64" s="5">
        <f t="array" ref="U64">IFERROR(IF($C64="",0,$O64*$D64*INDEX(TABELE!$B$37:$P$47,MATCH($F64,TABELE!$A$37:$A$47,0),MATCH($E64,TABELE!$B$36:$P$36,0))),0)</f>
        <v>0</v>
      </c>
      <c r="V64" s="5">
        <f t="array" ref="V64">IFERROR(IF($C64="",0,$O64*$D64*INDEX(TABELE!$B$51:$P$61,MATCH($F64,TABELE!$A$51:$A$61,0),MATCH($E64,TABELE!$B$50:$P$50,0))),0)</f>
        <v>0</v>
      </c>
      <c r="W64" s="5" t="str">
        <f t="array" ref="W64">IFERROR(INDEX(BAZA_UWAGI,MATCH($C64,BAZA_EX,0)),"")</f>
        <v/>
      </c>
      <c r="X64" s="5" t="str">
        <f t="shared" si="20"/>
        <v/>
      </c>
      <c r="Y64" s="5" t="str">
        <f t="shared" si="23"/>
        <v>E</v>
      </c>
      <c r="Z64" s="5">
        <f t="shared" si="24"/>
        <v>5</v>
      </c>
      <c r="AB64" s="5" t="str">
        <f t="shared" si="21"/>
        <v/>
      </c>
      <c r="AC64" s="5">
        <v>1.0</v>
      </c>
      <c r="AD64" s="5">
        <f t="shared" si="22"/>
        <v>0</v>
      </c>
    </row>
    <row r="65" ht="25.5" hidden="1" customHeight="1" outlineLevel="1">
      <c r="A65" s="18"/>
      <c r="B65" s="30"/>
      <c r="C65" s="31"/>
      <c r="D65" s="32"/>
      <c r="E65" s="39">
        <f>IF($C65="",0,MIN(15,MAX(1,IF(N($O65)&gt;=1,6,IF(N($O65)&gt;=0.75,IF(PRZEL_CZESC="część 1 (objętość)",8,6),IF(PRZEL_CZESC="część 1 (objętość)",10,8)))+0+$AD65)))</f>
        <v>0</v>
      </c>
      <c r="F65" s="33"/>
      <c r="G65" s="34" t="str">
        <f t="shared" si="19"/>
        <v/>
      </c>
      <c r="H65" s="35"/>
      <c r="I65" s="36" t="str">
        <f t="array" ref="I65">IFERROR(IF(IFERROR(INDEX(BAZA_FILM,MATCH($C65,BAZA_EX,0)),"")="","",HYPERLINK(IFERROR(INDEX(BAZA_FILM,MATCH($C65,BAZA_EX,0)),""),"film")),"")</f>
        <v/>
      </c>
      <c r="J65" s="37"/>
      <c r="K65" s="5" t="s">
        <v>117</v>
      </c>
      <c r="L65" s="5" t="str">
        <f t="array" ref="L65">IFERROR(INDEX(BAZA_ID,MATCH($C65,BAZA_EX,0)),"")</f>
        <v/>
      </c>
      <c r="M65" s="5" t="str">
        <f t="array" ref="M65">IFERROR(INDEX(BAZA_PART,MATCH($C65,BAZA_EX,0)),"")</f>
        <v/>
      </c>
      <c r="N65" s="5" t="str">
        <f t="array" ref="N65">IFERROR(INDEX(BAZA_KAT,MATCH($C65,BAZA_EX,0)),"")</f>
        <v/>
      </c>
      <c r="O65" s="5" t="str">
        <f t="array" ref="O65">IFERROR(INDEX(BAZA_COEFF,MATCH($C65,BAZA_EX,0)),"")</f>
        <v/>
      </c>
      <c r="P65" s="5" t="str">
        <f t="array" ref="P65">IFERROR(INDEX(BAZA_SKOK,MATCH($C65,BAZA_EX,0)),"")</f>
        <v/>
      </c>
      <c r="Q65" s="5" t="str">
        <f t="array" ref="Q65">IFERROR(INDEX(BAZA_PROG,MATCH($C65,BAZA_EX,0)),"")</f>
        <v/>
      </c>
      <c r="R65" s="5" t="str">
        <f>IF($C65="","",IF(SUMPRODUCT((START!$B$6:$B$69=$C65)*(START!$M$6:$M$69&gt;0))=0,"",SUMPRODUCT(MAX((START!$B$6:$B$69=$C65)*START!$M$6:$M$69))))</f>
        <v/>
      </c>
      <c r="S65" s="5" t="str">
        <f t="array" ref="S65">IFERROR(INDEX(TABELE!$B$4:$J$18,MATCH($E65,TABELE!$A$4:$A$18,0),MATCH($F65,TABELE!$B$3:$J$3,0)),"")</f>
        <v/>
      </c>
      <c r="T65" s="5">
        <f t="array" ref="T65">IFERROR(IF($C65="",0,$O65*$D65*INDEX(TABELE!$B$23:$P$33,MATCH($F65,TABELE!$A$23:$A$33,0),MATCH($E65,TABELE!$B$22:$P$22,0))),0)</f>
        <v>0</v>
      </c>
      <c r="U65" s="5">
        <f t="array" ref="U65">IFERROR(IF($C65="",0,$O65*$D65*INDEX(TABELE!$B$37:$P$47,MATCH($F65,TABELE!$A$37:$A$47,0),MATCH($E65,TABELE!$B$36:$P$36,0))),0)</f>
        <v>0</v>
      </c>
      <c r="V65" s="5">
        <f t="array" ref="V65">IFERROR(IF($C65="",0,$O65*$D65*INDEX(TABELE!$B$51:$P$61,MATCH($F65,TABELE!$A$51:$A$61,0),MATCH($E65,TABELE!$B$50:$P$50,0))),0)</f>
        <v>0</v>
      </c>
      <c r="W65" s="5" t="str">
        <f t="array" ref="W65">IFERROR(INDEX(BAZA_UWAGI,MATCH($C65,BAZA_EX,0)),"")</f>
        <v/>
      </c>
      <c r="X65" s="5" t="str">
        <f t="shared" si="20"/>
        <v/>
      </c>
      <c r="Y65" s="5" t="str">
        <f t="shared" si="23"/>
        <v>E</v>
      </c>
      <c r="Z65" s="5">
        <f t="shared" si="24"/>
        <v>5</v>
      </c>
      <c r="AB65" s="5" t="str">
        <f t="shared" si="21"/>
        <v/>
      </c>
      <c r="AC65" s="5">
        <v>1.0</v>
      </c>
      <c r="AD65" s="5">
        <f t="shared" si="22"/>
        <v>0</v>
      </c>
    </row>
    <row r="66" ht="25.5" hidden="1" customHeight="1" outlineLevel="1">
      <c r="A66" s="18"/>
      <c r="B66" s="30"/>
      <c r="C66" s="31"/>
      <c r="D66" s="32"/>
      <c r="E66" s="39">
        <f>IF($C66="",0,MIN(15,MAX(1,IF(N($O66)&gt;=1,6,IF(N($O66)&gt;=0.75,IF(PRZEL_CZESC="część 1 (objętość)",8,6),IF(PRZEL_CZESC="część 1 (objętość)",10,8)))+0+$AD66)))</f>
        <v>0</v>
      </c>
      <c r="F66" s="33"/>
      <c r="G66" s="34" t="str">
        <f t="shared" si="19"/>
        <v/>
      </c>
      <c r="H66" s="35"/>
      <c r="I66" s="36" t="str">
        <f t="array" ref="I66">IFERROR(IF(IFERROR(INDEX(BAZA_FILM,MATCH($C66,BAZA_EX,0)),"")="","",HYPERLINK(IFERROR(INDEX(BAZA_FILM,MATCH($C66,BAZA_EX,0)),""),"film")),"")</f>
        <v/>
      </c>
      <c r="J66" s="37"/>
      <c r="K66" s="5" t="s">
        <v>118</v>
      </c>
      <c r="L66" s="5" t="str">
        <f t="array" ref="L66">IFERROR(INDEX(BAZA_ID,MATCH($C66,BAZA_EX,0)),"")</f>
        <v/>
      </c>
      <c r="M66" s="5" t="str">
        <f t="array" ref="M66">IFERROR(INDEX(BAZA_PART,MATCH($C66,BAZA_EX,0)),"")</f>
        <v/>
      </c>
      <c r="N66" s="5" t="str">
        <f t="array" ref="N66">IFERROR(INDEX(BAZA_KAT,MATCH($C66,BAZA_EX,0)),"")</f>
        <v/>
      </c>
      <c r="O66" s="5" t="str">
        <f t="array" ref="O66">IFERROR(INDEX(BAZA_COEFF,MATCH($C66,BAZA_EX,0)),"")</f>
        <v/>
      </c>
      <c r="P66" s="5" t="str">
        <f t="array" ref="P66">IFERROR(INDEX(BAZA_SKOK,MATCH($C66,BAZA_EX,0)),"")</f>
        <v/>
      </c>
      <c r="Q66" s="5" t="str">
        <f t="array" ref="Q66">IFERROR(INDEX(BAZA_PROG,MATCH($C66,BAZA_EX,0)),"")</f>
        <v/>
      </c>
      <c r="R66" s="5" t="str">
        <f>IF($C66="","",IF(SUMPRODUCT((START!$B$6:$B$69=$C66)*(START!$M$6:$M$69&gt;0))=0,"",SUMPRODUCT(MAX((START!$B$6:$B$69=$C66)*START!$M$6:$M$69))))</f>
        <v/>
      </c>
      <c r="S66" s="5" t="str">
        <f t="array" ref="S66">IFERROR(INDEX(TABELE!$B$4:$J$18,MATCH($E66,TABELE!$A$4:$A$18,0),MATCH($F66,TABELE!$B$3:$J$3,0)),"")</f>
        <v/>
      </c>
      <c r="T66" s="5">
        <f t="array" ref="T66">IFERROR(IF($C66="",0,$O66*$D66*INDEX(TABELE!$B$23:$P$33,MATCH($F66,TABELE!$A$23:$A$33,0),MATCH($E66,TABELE!$B$22:$P$22,0))),0)</f>
        <v>0</v>
      </c>
      <c r="U66" s="5">
        <f t="array" ref="U66">IFERROR(IF($C66="",0,$O66*$D66*INDEX(TABELE!$B$37:$P$47,MATCH($F66,TABELE!$A$37:$A$47,0),MATCH($E66,TABELE!$B$36:$P$36,0))),0)</f>
        <v>0</v>
      </c>
      <c r="V66" s="5">
        <f t="array" ref="V66">IFERROR(IF($C66="",0,$O66*$D66*INDEX(TABELE!$B$51:$P$61,MATCH($F66,TABELE!$A$51:$A$61,0),MATCH($E66,TABELE!$B$50:$P$50,0))),0)</f>
        <v>0</v>
      </c>
      <c r="W66" s="5" t="str">
        <f t="array" ref="W66">IFERROR(INDEX(BAZA_UWAGI,MATCH($C66,BAZA_EX,0)),"")</f>
        <v/>
      </c>
      <c r="X66" s="5" t="str">
        <f t="shared" si="20"/>
        <v/>
      </c>
      <c r="Y66" s="5" t="str">
        <f t="shared" si="23"/>
        <v>E</v>
      </c>
      <c r="Z66" s="5">
        <f t="shared" si="24"/>
        <v>5</v>
      </c>
      <c r="AB66" s="5" t="str">
        <f t="shared" si="21"/>
        <v/>
      </c>
      <c r="AC66" s="5">
        <v>1.0</v>
      </c>
      <c r="AD66" s="5">
        <f t="shared" si="22"/>
        <v>0</v>
      </c>
    </row>
    <row r="67" ht="19.5" hidden="1" customHeight="1" outlineLevel="1">
      <c r="A67" s="43"/>
      <c r="B67" s="43"/>
      <c r="C67" s="44" t="s">
        <v>138</v>
      </c>
      <c r="D67" s="45">
        <f>SUMPRODUCT((C55:C66&lt;&gt;"")*D55:D66)+IF(AND($B$54="TOP SET",$C$54&lt;&gt;""),1,0)</f>
      </c>
      <c r="E67" s="46" t="str">
        <f>SUMPRODUCT((C55:C66&lt;&gt;"")*D55:D66*E55:E66)&amp;" powt."</f>
        <v>0 powt.</v>
      </c>
      <c r="F67" s="43"/>
      <c r="G67" s="47" t="str">
        <f>"stres t "&amp;TEXT(SUM(T55:T66),"0.0")</f>
        <v>stres t 0,0</v>
      </c>
      <c r="H67" s="48"/>
      <c r="I67" s="43"/>
      <c r="J67" s="4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5.5" hidden="1" customHeight="1" outlineLevel="1">
      <c r="A69" s="15" t="s">
        <v>119</v>
      </c>
      <c r="B69" s="3"/>
      <c r="C69" s="3"/>
      <c r="D69" s="3"/>
      <c r="E69" s="3"/>
      <c r="F69" s="3"/>
      <c r="G69" s="3"/>
      <c r="H69" s="3"/>
      <c r="I69" s="3"/>
      <c r="J69" s="4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33.75" hidden="1" customHeight="1" outlineLevel="2">
      <c r="A70" s="17" t="str">
        <f>IF($B70="TOP SET","▲","")</f>
        <v>▲</v>
      </c>
      <c r="B70" s="19" t="s">
        <v>27</v>
      </c>
      <c r="C70" s="22" t="str">
        <f>IF(OR($B70&lt;&gt;"TOP SET",$F70=""),"",IF(N($K70)=0,"",IF(INDEX($C$71:$C$82,$K70)="","",INDEX($C$71:$C$82,$K70))))</f>
      </c>
      <c r="D70" s="23">
        <f>IF(AND($B70="TOP SET",$F70&lt;&gt;""),1,"")</f>
      </c>
      <c r="E70" s="24" t="str">
        <f>IF(AND($B70="TOP SET",$F70&lt;&gt;""),"1 powtórzenie","")</f>
      </c>
      <c r="F70" s="25">
        <v>7.0</v>
      </c>
      <c r="G70" s="27" t="str">
        <f t="array" ref="G70">IF($B70&lt;&gt;"TOP SET","",IF($C70="","",IF(OR($Q70="masa ciała",$Q70="czas",$Q70="dystans",$Q70="ręczne ustawienie"),"—",IF(OR($R70="",$R70=0),"— brak 1RM",MROUND($R70*IFERROR(INDEX(TABELE!$B$4:$J$18,MATCH(1,TABELE!$A$4:$A$18,0),MATCH($F70,TABELE!$B$3:$J$3,0)),0)/100,MAX($P70,0.5))))))</f>
      </c>
      <c r="H70" s="28"/>
      <c r="I70" s="29"/>
      <c r="J70" s="29"/>
      <c r="K70" s="5">
        <f>IFERROR(MATCH("A*",$A$71:$A$82,0),0)</f>
      </c>
      <c r="L70" s="5"/>
      <c r="M70" s="5"/>
      <c r="N70" s="5"/>
      <c r="O70" s="5"/>
      <c r="P70" s="5">
        <f>IF(N($K70)=0,"",INDEX($P$71:$P$82,$K70))</f>
      </c>
      <c r="Q70" s="5">
        <f>IF(N($K70)=0,"",INDEX($Q$71:$Q$82,$K70))</f>
      </c>
      <c r="R70" s="5">
        <f>IF(N($K70)=0,"",INDEX($R$71:$R$82,$K70))</f>
      </c>
      <c r="S70" s="5"/>
      <c r="T70" s="5"/>
      <c r="U70" s="5"/>
      <c r="V70" s="5"/>
      <c r="W70" s="5"/>
      <c r="X70" s="5"/>
      <c r="Y70" s="5"/>
      <c r="Z70" s="5"/>
    </row>
    <row r="71" ht="25.5" hidden="1" customHeight="1" outlineLevel="1">
      <c r="A71" s="18" t="s">
        <v>38</v>
      </c>
      <c r="B71" s="30"/>
      <c r="C71" s="31"/>
      <c r="D71" s="32">
        <v>6.0</v>
      </c>
      <c r="E71" s="32">
        <v>6.0</v>
      </c>
      <c r="F71" s="33">
        <v>6.5</v>
      </c>
      <c r="G71" s="34" t="str">
        <f t="shared" ref="G71:G82" si="25">IF($C71="","",IF(OR($Q71="masa ciała",$Q71="czas",$Q71="dystans",$Q71="ręczne ustawienie"),$Q71,IF(OR($R71="",$R71=0),"— brak 1RM",MROUND($R71*$S71/100,MAX($P71,0.5)))))</f>
        <v/>
      </c>
      <c r="H71" s="35"/>
      <c r="I71" s="36" t="str">
        <f t="array" ref="I71">IFERROR(IF(IFERROR(INDEX(BAZA_FILM,MATCH($C71,BAZA_EX,0)),"")="","",HYPERLINK(IFERROR(INDEX(BAZA_FILM,MATCH($C71,BAZA_EX,0)),""),"film")),"")</f>
        <v/>
      </c>
      <c r="J71" s="37"/>
      <c r="K71" s="5" t="s">
        <v>120</v>
      </c>
      <c r="L71" s="5" t="str">
        <f t="array" ref="L71">IFERROR(INDEX(BAZA_ID,MATCH($C71,BAZA_EX,0)),"")</f>
        <v/>
      </c>
      <c r="M71" s="5" t="str">
        <f t="array" ref="M71">IFERROR(INDEX(BAZA_PART,MATCH($C71,BAZA_EX,0)),"")</f>
        <v/>
      </c>
      <c r="N71" s="5" t="str">
        <f t="array" ref="N71">IFERROR(INDEX(BAZA_KAT,MATCH($C71,BAZA_EX,0)),"")</f>
        <v/>
      </c>
      <c r="O71" s="5" t="str">
        <f t="array" ref="O71">IFERROR(INDEX(BAZA_COEFF,MATCH($C71,BAZA_EX,0)),"")</f>
        <v/>
      </c>
      <c r="P71" s="5" t="str">
        <f t="array" ref="P71">IFERROR(INDEX(BAZA_SKOK,MATCH($C71,BAZA_EX,0)),"")</f>
        <v/>
      </c>
      <c r="Q71" s="5" t="str">
        <f t="array" ref="Q71">IFERROR(INDEX(BAZA_PROG,MATCH($C71,BAZA_EX,0)),"")</f>
        <v/>
      </c>
      <c r="R71" s="5" t="str">
        <f>IF($C71="","",IF(SUMPRODUCT((START!$B$6:$B$69=$C71)*(START!$M$6:$M$69&gt;0))=0,"",SUMPRODUCT(MAX((START!$B$6:$B$69=$C71)*START!$M$6:$M$69))))</f>
        <v/>
      </c>
      <c r="S71" s="5">
        <f t="array" ref="S71">IFERROR(INDEX(TABELE!$B$4:$J$18,MATCH($E71,TABELE!$A$4:$A$18,0),MATCH($F71,TABELE!$B$3:$J$3,0)),"")</f>
        <v>69.5</v>
      </c>
      <c r="T71" s="5">
        <f t="array" ref="T71">IFERROR(IF($C71="",0,$O71*$D71*INDEX(TABELE!$B$23:$P$33,MATCH($F71,TABELE!$A$23:$A$33,0),MATCH($E71,TABELE!$B$22:$P$22,0))),0)</f>
        <v>0</v>
      </c>
      <c r="U71" s="5">
        <f t="array" ref="U71">IFERROR(IF($C71="",0,$O71*$D71*INDEX(TABELE!$B$37:$P$47,MATCH($F71,TABELE!$A$37:$A$47,0),MATCH($E71,TABELE!$B$36:$P$36,0))),0)</f>
        <v>0</v>
      </c>
      <c r="V71" s="5">
        <f t="array" ref="V71">IFERROR(IF($C71="",0,$O71*$D71*INDEX(TABELE!$B$51:$P$61,MATCH($F71,TABELE!$A$51:$A$61,0),MATCH($E71,TABELE!$B$50:$P$50,0))),0)</f>
        <v>0</v>
      </c>
      <c r="W71" s="5" t="str">
        <f t="array" ref="W71">IFERROR(INDEX(BAZA_UWAGI,MATCH($C71,BAZA_EX,0)),"")</f>
        <v/>
      </c>
      <c r="X71" s="5">
        <f t="shared" ref="X71:X82" si="26">IF($A71="","",$Z71)</f>
        <v>1</v>
      </c>
      <c r="Y71" s="5" t="str">
        <f>IF($A71="","",LEFT($A71,1))</f>
        <v>A</v>
      </c>
      <c r="Z71" s="5">
        <f>IF($A71="",0,1)</f>
        <v>1</v>
      </c>
      <c r="AB71" s="5" t="str">
        <f t="shared" ref="AB71:AB82" si="27">IF($C71="","",IF($H71&lt;&gt;"",$H71,IF($H$83="✓ ukończony","OK","")))</f>
        <v/>
      </c>
      <c r="AC71" s="5">
        <v>1.0</v>
      </c>
      <c r="AD71" s="5">
        <f t="shared" ref="AD71:AD82" si="28">IF(OR($Q71="masa ciała",$Q71="czas",$Q71="dystans",$Q71="ręczne ustawienie"),MAX(-3,MIN(3,ROUND(($AC71-1)/0.05,0))),0)</f>
        <v>0</v>
      </c>
    </row>
    <row r="72" ht="25.5" hidden="1" customHeight="1" outlineLevel="1">
      <c r="A72" s="18" t="s">
        <v>64</v>
      </c>
      <c r="B72" s="30"/>
      <c r="C72" s="31"/>
      <c r="D72" s="32">
        <v>3.0</v>
      </c>
      <c r="E72" s="39">
        <f>IF($C72="",0,MIN(15,MAX(1,IF(N($O72)&gt;=1,6,IF(N($O72)&gt;=0.75,IF(PRZEL_CZESC="część 1 (objętość)",8,6),IF(PRZEL_CZESC="część 1 (objętość)",10,8)))+0+$AD72)))</f>
        <v>0</v>
      </c>
      <c r="F72" s="33">
        <v>8.0</v>
      </c>
      <c r="G72" s="34" t="str">
        <f t="shared" si="25"/>
        <v/>
      </c>
      <c r="H72" s="35"/>
      <c r="I72" s="36" t="str">
        <f t="array" ref="I72">IFERROR(IF(IFERROR(INDEX(BAZA_FILM,MATCH($C72,BAZA_EX,0)),"")="","",HYPERLINK(IFERROR(INDEX(BAZA_FILM,MATCH($C72,BAZA_EX,0)),""),"film")),"")</f>
        <v/>
      </c>
      <c r="J72" s="37"/>
      <c r="K72" s="5" t="s">
        <v>121</v>
      </c>
      <c r="L72" s="5" t="str">
        <f t="array" ref="L72">IFERROR(INDEX(BAZA_ID,MATCH($C72,BAZA_EX,0)),"")</f>
        <v/>
      </c>
      <c r="M72" s="5" t="str">
        <f t="array" ref="M72">IFERROR(INDEX(BAZA_PART,MATCH($C72,BAZA_EX,0)),"")</f>
        <v/>
      </c>
      <c r="N72" s="5" t="str">
        <f t="array" ref="N72">IFERROR(INDEX(BAZA_KAT,MATCH($C72,BAZA_EX,0)),"")</f>
        <v/>
      </c>
      <c r="O72" s="5" t="str">
        <f t="array" ref="O72">IFERROR(INDEX(BAZA_COEFF,MATCH($C72,BAZA_EX,0)),"")</f>
        <v/>
      </c>
      <c r="P72" s="5" t="str">
        <f t="array" ref="P72">IFERROR(INDEX(BAZA_SKOK,MATCH($C72,BAZA_EX,0)),"")</f>
        <v/>
      </c>
      <c r="Q72" s="5" t="str">
        <f t="array" ref="Q72">IFERROR(INDEX(BAZA_PROG,MATCH($C72,BAZA_EX,0)),"")</f>
        <v/>
      </c>
      <c r="R72" s="5" t="str">
        <f>IF($C72="","",IF(SUMPRODUCT((START!$B$6:$B$69=$C72)*(START!$M$6:$M$69&gt;0))=0,"",SUMPRODUCT(MAX((START!$B$6:$B$69=$C72)*START!$M$6:$M$69))))</f>
        <v/>
      </c>
      <c r="S72" s="5" t="str">
        <f t="array" ref="S72">IFERROR(INDEX(TABELE!$B$4:$J$18,MATCH($E72,TABELE!$A$4:$A$18,0),MATCH($F72,TABELE!$B$3:$J$3,0)),"")</f>
        <v/>
      </c>
      <c r="T72" s="5">
        <f t="array" ref="T72">IFERROR(IF($C72="",0,$O72*$D72*INDEX(TABELE!$B$23:$P$33,MATCH($F72,TABELE!$A$23:$A$33,0),MATCH($E72,TABELE!$B$22:$P$22,0))),0)</f>
        <v>0</v>
      </c>
      <c r="U72" s="5">
        <f t="array" ref="U72">IFERROR(IF($C72="",0,$O72*$D72*INDEX(TABELE!$B$37:$P$47,MATCH($F72,TABELE!$A$37:$A$47,0),MATCH($E72,TABELE!$B$36:$P$36,0))),0)</f>
        <v>0</v>
      </c>
      <c r="V72" s="5">
        <f t="array" ref="V72">IFERROR(IF($C72="",0,$O72*$D72*INDEX(TABELE!$B$51:$P$61,MATCH($F72,TABELE!$A$51:$A$61,0),MATCH($E72,TABELE!$B$50:$P$50,0))),0)</f>
        <v>0</v>
      </c>
      <c r="W72" s="5" t="str">
        <f t="array" ref="W72">IFERROR(INDEX(BAZA_UWAGI,MATCH($C72,BAZA_EX,0)),"")</f>
        <v/>
      </c>
      <c r="X72" s="5">
        <f t="shared" si="26"/>
        <v>2</v>
      </c>
      <c r="Y72" s="5" t="str">
        <f t="shared" ref="Y72:Y82" si="29">IF($A72="",$Y71,LEFT($A72,1))</f>
        <v>B</v>
      </c>
      <c r="Z72" s="5">
        <f t="shared" ref="Z72:Z82" si="30">IF($A72="",$Z71,IF(LEFT($A72,1)=$Y71,$Z71,$Z71+1))</f>
        <v>2</v>
      </c>
      <c r="AB72" s="5" t="str">
        <f t="shared" si="27"/>
        <v/>
      </c>
      <c r="AC72" s="5">
        <v>1.0</v>
      </c>
      <c r="AD72" s="5">
        <f t="shared" si="28"/>
        <v>0</v>
      </c>
    </row>
    <row r="73" ht="25.5" hidden="1" customHeight="1" outlineLevel="1">
      <c r="A73" s="18" t="s">
        <v>71</v>
      </c>
      <c r="B73" s="30"/>
      <c r="C73" s="31"/>
      <c r="D73" s="32">
        <v>3.0</v>
      </c>
      <c r="E73" s="39">
        <f>IF($C73="",0,MIN(15,MAX(1,IF(N($O73)&gt;=1,6,IF(N($O73)&gt;=0.75,IF(PRZEL_CZESC="część 1 (objętość)",8,6),IF(PRZEL_CZESC="część 1 (objętość)",10,8)))+0+$AD73)))</f>
        <v>0</v>
      </c>
      <c r="F73" s="33">
        <v>8.0</v>
      </c>
      <c r="G73" s="34" t="str">
        <f t="shared" si="25"/>
        <v/>
      </c>
      <c r="H73" s="35"/>
      <c r="I73" s="36" t="str">
        <f t="array" ref="I73">IFERROR(IF(IFERROR(INDEX(BAZA_FILM,MATCH($C73,BAZA_EX,0)),"")="","",HYPERLINK(IFERROR(INDEX(BAZA_FILM,MATCH($C73,BAZA_EX,0)),""),"film")),"")</f>
        <v/>
      </c>
      <c r="J73" s="37"/>
      <c r="K73" s="5" t="s">
        <v>122</v>
      </c>
      <c r="L73" s="5" t="str">
        <f t="array" ref="L73">IFERROR(INDEX(BAZA_ID,MATCH($C73,BAZA_EX,0)),"")</f>
        <v/>
      </c>
      <c r="M73" s="5" t="str">
        <f t="array" ref="M73">IFERROR(INDEX(BAZA_PART,MATCH($C73,BAZA_EX,0)),"")</f>
        <v/>
      </c>
      <c r="N73" s="5" t="str">
        <f t="array" ref="N73">IFERROR(INDEX(BAZA_KAT,MATCH($C73,BAZA_EX,0)),"")</f>
        <v/>
      </c>
      <c r="O73" s="5" t="str">
        <f t="array" ref="O73">IFERROR(INDEX(BAZA_COEFF,MATCH($C73,BAZA_EX,0)),"")</f>
        <v/>
      </c>
      <c r="P73" s="5" t="str">
        <f t="array" ref="P73">IFERROR(INDEX(BAZA_SKOK,MATCH($C73,BAZA_EX,0)),"")</f>
        <v/>
      </c>
      <c r="Q73" s="5" t="str">
        <f t="array" ref="Q73">IFERROR(INDEX(BAZA_PROG,MATCH($C73,BAZA_EX,0)),"")</f>
        <v/>
      </c>
      <c r="R73" s="5" t="str">
        <f>IF($C73="","",IF(SUMPRODUCT((START!$B$6:$B$69=$C73)*(START!$M$6:$M$69&gt;0))=0,"",SUMPRODUCT(MAX((START!$B$6:$B$69=$C73)*START!$M$6:$M$69))))</f>
        <v/>
      </c>
      <c r="S73" s="5" t="str">
        <f t="array" ref="S73">IFERROR(INDEX(TABELE!$B$4:$J$18,MATCH($E73,TABELE!$A$4:$A$18,0),MATCH($F73,TABELE!$B$3:$J$3,0)),"")</f>
        <v/>
      </c>
      <c r="T73" s="5">
        <f t="array" ref="T73">IFERROR(IF($C73="",0,$O73*$D73*INDEX(TABELE!$B$23:$P$33,MATCH($F73,TABELE!$A$23:$A$33,0),MATCH($E73,TABELE!$B$22:$P$22,0))),0)</f>
        <v>0</v>
      </c>
      <c r="U73" s="5">
        <f t="array" ref="U73">IFERROR(IF($C73="",0,$O73*$D73*INDEX(TABELE!$B$37:$P$47,MATCH($F73,TABELE!$A$37:$A$47,0),MATCH($E73,TABELE!$B$36:$P$36,0))),0)</f>
        <v>0</v>
      </c>
      <c r="V73" s="5">
        <f t="array" ref="V73">IFERROR(IF($C73="",0,$O73*$D73*INDEX(TABELE!$B$51:$P$61,MATCH($F73,TABELE!$A$51:$A$61,0),MATCH($E73,TABELE!$B$50:$P$50,0))),0)</f>
        <v>0</v>
      </c>
      <c r="W73" s="5" t="str">
        <f t="array" ref="W73">IFERROR(INDEX(BAZA_UWAGI,MATCH($C73,BAZA_EX,0)),"")</f>
        <v/>
      </c>
      <c r="X73" s="5">
        <f t="shared" si="26"/>
        <v>2</v>
      </c>
      <c r="Y73" s="5" t="str">
        <f t="shared" si="29"/>
        <v>B</v>
      </c>
      <c r="Z73" s="5">
        <f t="shared" si="30"/>
        <v>2</v>
      </c>
      <c r="AB73" s="5" t="str">
        <f t="shared" si="27"/>
        <v/>
      </c>
      <c r="AC73" s="5">
        <v>1.0</v>
      </c>
      <c r="AD73" s="5">
        <f t="shared" si="28"/>
        <v>0</v>
      </c>
    </row>
    <row r="74" ht="25.5" hidden="1" customHeight="1" outlineLevel="1">
      <c r="A74" s="18" t="s">
        <v>78</v>
      </c>
      <c r="B74" s="30"/>
      <c r="C74" s="31"/>
      <c r="D74" s="32">
        <v>3.0</v>
      </c>
      <c r="E74" s="39">
        <f>IF($C74="",0,MIN(15,MAX(1,IF(N($O74)&gt;=1,6,IF(N($O74)&gt;=0.75,IF(PRZEL_CZESC="część 1 (objętość)",8,6),IF(PRZEL_CZESC="część 1 (objętość)",10,8)))+0+$AD74)))</f>
        <v>0</v>
      </c>
      <c r="F74" s="33">
        <v>8.0</v>
      </c>
      <c r="G74" s="34" t="str">
        <f t="shared" si="25"/>
        <v/>
      </c>
      <c r="H74" s="35"/>
      <c r="I74" s="36" t="str">
        <f t="array" ref="I74">IFERROR(IF(IFERROR(INDEX(BAZA_FILM,MATCH($C74,BAZA_EX,0)),"")="","",HYPERLINK(IFERROR(INDEX(BAZA_FILM,MATCH($C74,BAZA_EX,0)),""),"film")),"")</f>
        <v/>
      </c>
      <c r="J74" s="37"/>
      <c r="K74" s="5" t="s">
        <v>123</v>
      </c>
      <c r="L74" s="5" t="str">
        <f t="array" ref="L74">IFERROR(INDEX(BAZA_ID,MATCH($C74,BAZA_EX,0)),"")</f>
        <v/>
      </c>
      <c r="M74" s="5" t="str">
        <f t="array" ref="M74">IFERROR(INDEX(BAZA_PART,MATCH($C74,BAZA_EX,0)),"")</f>
        <v/>
      </c>
      <c r="N74" s="5" t="str">
        <f t="array" ref="N74">IFERROR(INDEX(BAZA_KAT,MATCH($C74,BAZA_EX,0)),"")</f>
        <v/>
      </c>
      <c r="O74" s="5" t="str">
        <f t="array" ref="O74">IFERROR(INDEX(BAZA_COEFF,MATCH($C74,BAZA_EX,0)),"")</f>
        <v/>
      </c>
      <c r="P74" s="5" t="str">
        <f t="array" ref="P74">IFERROR(INDEX(BAZA_SKOK,MATCH($C74,BAZA_EX,0)),"")</f>
        <v/>
      </c>
      <c r="Q74" s="5" t="str">
        <f t="array" ref="Q74">IFERROR(INDEX(BAZA_PROG,MATCH($C74,BAZA_EX,0)),"")</f>
        <v/>
      </c>
      <c r="R74" s="5" t="str">
        <f>IF($C74="","",IF(SUMPRODUCT((START!$B$6:$B$69=$C74)*(START!$M$6:$M$69&gt;0))=0,"",SUMPRODUCT(MAX((START!$B$6:$B$69=$C74)*START!$M$6:$M$69))))</f>
        <v/>
      </c>
      <c r="S74" s="5" t="str">
        <f t="array" ref="S74">IFERROR(INDEX(TABELE!$B$4:$J$18,MATCH($E74,TABELE!$A$4:$A$18,0),MATCH($F74,TABELE!$B$3:$J$3,0)),"")</f>
        <v/>
      </c>
      <c r="T74" s="5">
        <f t="array" ref="T74">IFERROR(IF($C74="",0,$O74*$D74*INDEX(TABELE!$B$23:$P$33,MATCH($F74,TABELE!$A$23:$A$33,0),MATCH($E74,TABELE!$B$22:$P$22,0))),0)</f>
        <v>0</v>
      </c>
      <c r="U74" s="5">
        <f t="array" ref="U74">IFERROR(IF($C74="",0,$O74*$D74*INDEX(TABELE!$B$37:$P$47,MATCH($F74,TABELE!$A$37:$A$47,0),MATCH($E74,TABELE!$B$36:$P$36,0))),0)</f>
        <v>0</v>
      </c>
      <c r="V74" s="5">
        <f t="array" ref="V74">IFERROR(IF($C74="",0,$O74*$D74*INDEX(TABELE!$B$51:$P$61,MATCH($F74,TABELE!$A$51:$A$61,0),MATCH($E74,TABELE!$B$50:$P$50,0))),0)</f>
        <v>0</v>
      </c>
      <c r="W74" s="5" t="str">
        <f t="array" ref="W74">IFERROR(INDEX(BAZA_UWAGI,MATCH($C74,BAZA_EX,0)),"")</f>
        <v/>
      </c>
      <c r="X74" s="5">
        <f t="shared" si="26"/>
        <v>3</v>
      </c>
      <c r="Y74" s="5" t="str">
        <f t="shared" si="29"/>
        <v>C</v>
      </c>
      <c r="Z74" s="5">
        <f t="shared" si="30"/>
        <v>3</v>
      </c>
      <c r="AB74" s="5" t="str">
        <f t="shared" si="27"/>
        <v/>
      </c>
      <c r="AC74" s="5">
        <v>1.0</v>
      </c>
      <c r="AD74" s="5">
        <f t="shared" si="28"/>
        <v>0</v>
      </c>
    </row>
    <row r="75" ht="25.5" hidden="1" customHeight="1" outlineLevel="1">
      <c r="A75" s="18" t="s">
        <v>84</v>
      </c>
      <c r="B75" s="30"/>
      <c r="C75" s="31"/>
      <c r="D75" s="32">
        <v>3.0</v>
      </c>
      <c r="E75" s="39">
        <f>IF($C75="",0,MIN(15,MAX(1,IF(N($O75)&gt;=1,6,IF(N($O75)&gt;=0.75,IF(PRZEL_CZESC="część 1 (objętość)",8,6),IF(PRZEL_CZESC="część 1 (objętość)",10,8)))+0+$AD75)))</f>
        <v>0</v>
      </c>
      <c r="F75" s="33">
        <v>9.0</v>
      </c>
      <c r="G75" s="34" t="str">
        <f t="shared" si="25"/>
        <v/>
      </c>
      <c r="H75" s="35"/>
      <c r="I75" s="36" t="str">
        <f t="array" ref="I75">IFERROR(IF(IFERROR(INDEX(BAZA_FILM,MATCH($C75,BAZA_EX,0)),"")="","",HYPERLINK(IFERROR(INDEX(BAZA_FILM,MATCH($C75,BAZA_EX,0)),""),"film")),"")</f>
        <v/>
      </c>
      <c r="J75" s="37"/>
      <c r="K75" s="5" t="s">
        <v>124</v>
      </c>
      <c r="L75" s="5" t="str">
        <f t="array" ref="L75">IFERROR(INDEX(BAZA_ID,MATCH($C75,BAZA_EX,0)),"")</f>
        <v/>
      </c>
      <c r="M75" s="5" t="str">
        <f t="array" ref="M75">IFERROR(INDEX(BAZA_PART,MATCH($C75,BAZA_EX,0)),"")</f>
        <v/>
      </c>
      <c r="N75" s="5" t="str">
        <f t="array" ref="N75">IFERROR(INDEX(BAZA_KAT,MATCH($C75,BAZA_EX,0)),"")</f>
        <v/>
      </c>
      <c r="O75" s="5" t="str">
        <f t="array" ref="O75">IFERROR(INDEX(BAZA_COEFF,MATCH($C75,BAZA_EX,0)),"")</f>
        <v/>
      </c>
      <c r="P75" s="5" t="str">
        <f t="array" ref="P75">IFERROR(INDEX(BAZA_SKOK,MATCH($C75,BAZA_EX,0)),"")</f>
        <v/>
      </c>
      <c r="Q75" s="5" t="str">
        <f t="array" ref="Q75">IFERROR(INDEX(BAZA_PROG,MATCH($C75,BAZA_EX,0)),"")</f>
        <v/>
      </c>
      <c r="R75" s="5" t="str">
        <f>IF($C75="","",IF(SUMPRODUCT((START!$B$6:$B$69=$C75)*(START!$M$6:$M$69&gt;0))=0,"",SUMPRODUCT(MAX((START!$B$6:$B$69=$C75)*START!$M$6:$M$69))))</f>
        <v/>
      </c>
      <c r="S75" s="5" t="str">
        <f t="array" ref="S75">IFERROR(INDEX(TABELE!$B$4:$J$18,MATCH($E75,TABELE!$A$4:$A$18,0),MATCH($F75,TABELE!$B$3:$J$3,0)),"")</f>
        <v/>
      </c>
      <c r="T75" s="5">
        <f t="array" ref="T75">IFERROR(IF($C75="",0,$O75*$D75*INDEX(TABELE!$B$23:$P$33,MATCH($F75,TABELE!$A$23:$A$33,0),MATCH($E75,TABELE!$B$22:$P$22,0))),0)</f>
        <v>0</v>
      </c>
      <c r="U75" s="5">
        <f t="array" ref="U75">IFERROR(IF($C75="",0,$O75*$D75*INDEX(TABELE!$B$37:$P$47,MATCH($F75,TABELE!$A$37:$A$47,0),MATCH($E75,TABELE!$B$36:$P$36,0))),0)</f>
        <v>0</v>
      </c>
      <c r="V75" s="5">
        <f t="array" ref="V75">IFERROR(IF($C75="",0,$O75*$D75*INDEX(TABELE!$B$51:$P$61,MATCH($F75,TABELE!$A$51:$A$61,0),MATCH($E75,TABELE!$B$50:$P$50,0))),0)</f>
        <v>0</v>
      </c>
      <c r="W75" s="5" t="str">
        <f t="array" ref="W75">IFERROR(INDEX(BAZA_UWAGI,MATCH($C75,BAZA_EX,0)),"")</f>
        <v/>
      </c>
      <c r="X75" s="5">
        <f t="shared" si="26"/>
        <v>3</v>
      </c>
      <c r="Y75" s="5" t="str">
        <f t="shared" si="29"/>
        <v>C</v>
      </c>
      <c r="Z75" s="5">
        <f t="shared" si="30"/>
        <v>3</v>
      </c>
      <c r="AB75" s="5" t="str">
        <f t="shared" si="27"/>
        <v/>
      </c>
      <c r="AC75" s="5">
        <v>1.0</v>
      </c>
      <c r="AD75" s="5">
        <f t="shared" si="28"/>
        <v>0</v>
      </c>
    </row>
    <row r="76" ht="25.5" hidden="1" customHeight="1" outlineLevel="1">
      <c r="A76" s="18" t="s">
        <v>93</v>
      </c>
      <c r="B76" s="30"/>
      <c r="C76" s="31"/>
      <c r="D76" s="32">
        <v>3.0</v>
      </c>
      <c r="E76" s="39">
        <f>IF($C76="",0,MIN(15,MAX(1,IF(N($O76)&gt;=1,6,IF(N($O76)&gt;=0.75,IF(PRZEL_CZESC="część 1 (objętość)",8,6),IF(PRZEL_CZESC="część 1 (objętość)",10,8)))+0+$AD76)))</f>
        <v>0</v>
      </c>
      <c r="F76" s="33">
        <v>8.0</v>
      </c>
      <c r="G76" s="34" t="str">
        <f t="shared" si="25"/>
        <v/>
      </c>
      <c r="H76" s="35"/>
      <c r="I76" s="36" t="str">
        <f t="array" ref="I76">IFERROR(IF(IFERROR(INDEX(BAZA_FILM,MATCH($C76,BAZA_EX,0)),"")="","",HYPERLINK(IFERROR(INDEX(BAZA_FILM,MATCH($C76,BAZA_EX,0)),""),"film")),"")</f>
        <v/>
      </c>
      <c r="J76" s="37"/>
      <c r="K76" s="5" t="s">
        <v>125</v>
      </c>
      <c r="L76" s="5" t="str">
        <f t="array" ref="L76">IFERROR(INDEX(BAZA_ID,MATCH($C76,BAZA_EX,0)),"")</f>
        <v/>
      </c>
      <c r="M76" s="5" t="str">
        <f t="array" ref="M76">IFERROR(INDEX(BAZA_PART,MATCH($C76,BAZA_EX,0)),"")</f>
        <v/>
      </c>
      <c r="N76" s="5" t="str">
        <f t="array" ref="N76">IFERROR(INDEX(BAZA_KAT,MATCH($C76,BAZA_EX,0)),"")</f>
        <v/>
      </c>
      <c r="O76" s="5" t="str">
        <f t="array" ref="O76">IFERROR(INDEX(BAZA_COEFF,MATCH($C76,BAZA_EX,0)),"")</f>
        <v/>
      </c>
      <c r="P76" s="5" t="str">
        <f t="array" ref="P76">IFERROR(INDEX(BAZA_SKOK,MATCH($C76,BAZA_EX,0)),"")</f>
        <v/>
      </c>
      <c r="Q76" s="5" t="str">
        <f t="array" ref="Q76">IFERROR(INDEX(BAZA_PROG,MATCH($C76,BAZA_EX,0)),"")</f>
        <v/>
      </c>
      <c r="R76" s="5" t="str">
        <f>IF($C76="","",IF(SUMPRODUCT((START!$B$6:$B$69=$C76)*(START!$M$6:$M$69&gt;0))=0,"",SUMPRODUCT(MAX((START!$B$6:$B$69=$C76)*START!$M$6:$M$69))))</f>
        <v/>
      </c>
      <c r="S76" s="5" t="str">
        <f t="array" ref="S76">IFERROR(INDEX(TABELE!$B$4:$J$18,MATCH($E76,TABELE!$A$4:$A$18,0),MATCH($F76,TABELE!$B$3:$J$3,0)),"")</f>
        <v/>
      </c>
      <c r="T76" s="5">
        <f t="array" ref="T76">IFERROR(IF($C76="",0,$O76*$D76*INDEX(TABELE!$B$23:$P$33,MATCH($F76,TABELE!$A$23:$A$33,0),MATCH($E76,TABELE!$B$22:$P$22,0))),0)</f>
        <v>0</v>
      </c>
      <c r="U76" s="5">
        <f t="array" ref="U76">IFERROR(IF($C76="",0,$O76*$D76*INDEX(TABELE!$B$37:$P$47,MATCH($F76,TABELE!$A$37:$A$47,0),MATCH($E76,TABELE!$B$36:$P$36,0))),0)</f>
        <v>0</v>
      </c>
      <c r="V76" s="5">
        <f t="array" ref="V76">IFERROR(IF($C76="",0,$O76*$D76*INDEX(TABELE!$B$51:$P$61,MATCH($F76,TABELE!$A$51:$A$61,0),MATCH($E76,TABELE!$B$50:$P$50,0))),0)</f>
        <v>0</v>
      </c>
      <c r="W76" s="5" t="str">
        <f t="array" ref="W76">IFERROR(INDEX(BAZA_UWAGI,MATCH($C76,BAZA_EX,0)),"")</f>
        <v/>
      </c>
      <c r="X76" s="5">
        <f t="shared" si="26"/>
        <v>4</v>
      </c>
      <c r="Y76" s="5" t="str">
        <f t="shared" si="29"/>
        <v>D</v>
      </c>
      <c r="Z76" s="5">
        <f t="shared" si="30"/>
        <v>4</v>
      </c>
      <c r="AB76" s="5" t="str">
        <f t="shared" si="27"/>
        <v/>
      </c>
      <c r="AC76" s="5">
        <v>1.0</v>
      </c>
      <c r="AD76" s="5">
        <f t="shared" si="28"/>
        <v>0</v>
      </c>
    </row>
    <row r="77" ht="25.5" hidden="1" customHeight="1" outlineLevel="1">
      <c r="A77" s="18" t="s">
        <v>100</v>
      </c>
      <c r="B77" s="30"/>
      <c r="C77" s="31"/>
      <c r="D77" s="32">
        <v>3.0</v>
      </c>
      <c r="E77" s="39">
        <f>IF($C77="",0,MIN(15,MAX(1,IF(N($O77)&gt;=1,6,IF(N($O77)&gt;=0.75,IF(PRZEL_CZESC="część 1 (objętość)",8,6),IF(PRZEL_CZESC="część 1 (objętość)",10,8)))+0+$AD77)))</f>
        <v>0</v>
      </c>
      <c r="F77" s="33">
        <v>9.0</v>
      </c>
      <c r="G77" s="34" t="str">
        <f t="shared" si="25"/>
        <v/>
      </c>
      <c r="H77" s="35"/>
      <c r="I77" s="36" t="str">
        <f t="array" ref="I77">IFERROR(IF(IFERROR(INDEX(BAZA_FILM,MATCH($C77,BAZA_EX,0)),"")="","",HYPERLINK(IFERROR(INDEX(BAZA_FILM,MATCH($C77,BAZA_EX,0)),""),"film")),"")</f>
        <v/>
      </c>
      <c r="J77" s="37"/>
      <c r="K77" s="5" t="s">
        <v>126</v>
      </c>
      <c r="L77" s="5" t="str">
        <f t="array" ref="L77">IFERROR(INDEX(BAZA_ID,MATCH($C77,BAZA_EX,0)),"")</f>
        <v/>
      </c>
      <c r="M77" s="5" t="str">
        <f t="array" ref="M77">IFERROR(INDEX(BAZA_PART,MATCH($C77,BAZA_EX,0)),"")</f>
        <v/>
      </c>
      <c r="N77" s="5" t="str">
        <f t="array" ref="N77">IFERROR(INDEX(BAZA_KAT,MATCH($C77,BAZA_EX,0)),"")</f>
        <v/>
      </c>
      <c r="O77" s="5" t="str">
        <f t="array" ref="O77">IFERROR(INDEX(BAZA_COEFF,MATCH($C77,BAZA_EX,0)),"")</f>
        <v/>
      </c>
      <c r="P77" s="5" t="str">
        <f t="array" ref="P77">IFERROR(INDEX(BAZA_SKOK,MATCH($C77,BAZA_EX,0)),"")</f>
        <v/>
      </c>
      <c r="Q77" s="5" t="str">
        <f t="array" ref="Q77">IFERROR(INDEX(BAZA_PROG,MATCH($C77,BAZA_EX,0)),"")</f>
        <v/>
      </c>
      <c r="R77" s="5" t="str">
        <f>IF($C77="","",IF(SUMPRODUCT((START!$B$6:$B$69=$C77)*(START!$M$6:$M$69&gt;0))=0,"",SUMPRODUCT(MAX((START!$B$6:$B$69=$C77)*START!$M$6:$M$69))))</f>
        <v/>
      </c>
      <c r="S77" s="5" t="str">
        <f t="array" ref="S77">IFERROR(INDEX(TABELE!$B$4:$J$18,MATCH($E77,TABELE!$A$4:$A$18,0),MATCH($F77,TABELE!$B$3:$J$3,0)),"")</f>
        <v/>
      </c>
      <c r="T77" s="5">
        <f t="array" ref="T77">IFERROR(IF($C77="",0,$O77*$D77*INDEX(TABELE!$B$23:$P$33,MATCH($F77,TABELE!$A$23:$A$33,0),MATCH($E77,TABELE!$B$22:$P$22,0))),0)</f>
        <v>0</v>
      </c>
      <c r="U77" s="5">
        <f t="array" ref="U77">IFERROR(IF($C77="",0,$O77*$D77*INDEX(TABELE!$B$37:$P$47,MATCH($F77,TABELE!$A$37:$A$47,0),MATCH($E77,TABELE!$B$36:$P$36,0))),0)</f>
        <v>0</v>
      </c>
      <c r="V77" s="5">
        <f t="array" ref="V77">IFERROR(IF($C77="",0,$O77*$D77*INDEX(TABELE!$B$51:$P$61,MATCH($F77,TABELE!$A$51:$A$61,0),MATCH($E77,TABELE!$B$50:$P$50,0))),0)</f>
        <v>0</v>
      </c>
      <c r="W77" s="5" t="str">
        <f t="array" ref="W77">IFERROR(INDEX(BAZA_UWAGI,MATCH($C77,BAZA_EX,0)),"")</f>
        <v/>
      </c>
      <c r="X77" s="5">
        <f t="shared" si="26"/>
        <v>4</v>
      </c>
      <c r="Y77" s="5" t="str">
        <f t="shared" si="29"/>
        <v>D</v>
      </c>
      <c r="Z77" s="5">
        <f t="shared" si="30"/>
        <v>4</v>
      </c>
      <c r="AB77" s="5" t="str">
        <f t="shared" si="27"/>
        <v/>
      </c>
      <c r="AC77" s="5">
        <v>1.0</v>
      </c>
      <c r="AD77" s="5">
        <f t="shared" si="28"/>
        <v>0</v>
      </c>
    </row>
    <row r="78" ht="25.5" hidden="1" customHeight="1" outlineLevel="1">
      <c r="A78" s="18" t="s">
        <v>107</v>
      </c>
      <c r="B78" s="30"/>
      <c r="C78" s="31"/>
      <c r="D78" s="32"/>
      <c r="E78" s="39">
        <f>IF($C78="",0,MIN(15,MAX(1,IF(N($O78)&gt;=1,6,IF(N($O78)&gt;=0.75,IF(PRZEL_CZESC="część 1 (objętość)",8,6),IF(PRZEL_CZESC="część 1 (objętość)",10,8)))+0+$AD78)))</f>
        <v>0</v>
      </c>
      <c r="F78" s="33"/>
      <c r="G78" s="34" t="str">
        <f t="shared" si="25"/>
        <v/>
      </c>
      <c r="H78" s="35"/>
      <c r="I78" s="36" t="str">
        <f t="array" ref="I78">IFERROR(IF(IFERROR(INDEX(BAZA_FILM,MATCH($C78,BAZA_EX,0)),"")="","",HYPERLINK(IFERROR(INDEX(BAZA_FILM,MATCH($C78,BAZA_EX,0)),""),"film")),"")</f>
        <v/>
      </c>
      <c r="J78" s="37"/>
      <c r="K78" s="5" t="s">
        <v>127</v>
      </c>
      <c r="L78" s="5" t="str">
        <f t="array" ref="L78">IFERROR(INDEX(BAZA_ID,MATCH($C78,BAZA_EX,0)),"")</f>
        <v/>
      </c>
      <c r="M78" s="5" t="str">
        <f t="array" ref="M78">IFERROR(INDEX(BAZA_PART,MATCH($C78,BAZA_EX,0)),"")</f>
        <v/>
      </c>
      <c r="N78" s="5" t="str">
        <f t="array" ref="N78">IFERROR(INDEX(BAZA_KAT,MATCH($C78,BAZA_EX,0)),"")</f>
        <v/>
      </c>
      <c r="O78" s="5" t="str">
        <f t="array" ref="O78">IFERROR(INDEX(BAZA_COEFF,MATCH($C78,BAZA_EX,0)),"")</f>
        <v/>
      </c>
      <c r="P78" s="5" t="str">
        <f t="array" ref="P78">IFERROR(INDEX(BAZA_SKOK,MATCH($C78,BAZA_EX,0)),"")</f>
        <v/>
      </c>
      <c r="Q78" s="5" t="str">
        <f t="array" ref="Q78">IFERROR(INDEX(BAZA_PROG,MATCH($C78,BAZA_EX,0)),"")</f>
        <v/>
      </c>
      <c r="R78" s="5" t="str">
        <f>IF($C78="","",IF(SUMPRODUCT((START!$B$6:$B$69=$C78)*(START!$M$6:$M$69&gt;0))=0,"",SUMPRODUCT(MAX((START!$B$6:$B$69=$C78)*START!$M$6:$M$69))))</f>
        <v/>
      </c>
      <c r="S78" s="5" t="str">
        <f t="array" ref="S78">IFERROR(INDEX(TABELE!$B$4:$J$18,MATCH($E78,TABELE!$A$4:$A$18,0),MATCH($F78,TABELE!$B$3:$J$3,0)),"")</f>
        <v/>
      </c>
      <c r="T78" s="5">
        <f t="array" ref="T78">IFERROR(IF($C78="",0,$O78*$D78*INDEX(TABELE!$B$23:$P$33,MATCH($F78,TABELE!$A$23:$A$33,0),MATCH($E78,TABELE!$B$22:$P$22,0))),0)</f>
        <v>0</v>
      </c>
      <c r="U78" s="5">
        <f t="array" ref="U78">IFERROR(IF($C78="",0,$O78*$D78*INDEX(TABELE!$B$37:$P$47,MATCH($F78,TABELE!$A$37:$A$47,0),MATCH($E78,TABELE!$B$36:$P$36,0))),0)</f>
        <v>0</v>
      </c>
      <c r="V78" s="5">
        <f t="array" ref="V78">IFERROR(IF($C78="",0,$O78*$D78*INDEX(TABELE!$B$51:$P$61,MATCH($F78,TABELE!$A$51:$A$61,0),MATCH($E78,TABELE!$B$50:$P$50,0))),0)</f>
        <v>0</v>
      </c>
      <c r="W78" s="5" t="str">
        <f t="array" ref="W78">IFERROR(INDEX(BAZA_UWAGI,MATCH($C78,BAZA_EX,0)),"")</f>
        <v/>
      </c>
      <c r="X78" s="5">
        <f t="shared" si="26"/>
        <v>5</v>
      </c>
      <c r="Y78" s="5" t="str">
        <f t="shared" si="29"/>
        <v>E</v>
      </c>
      <c r="Z78" s="5">
        <f t="shared" si="30"/>
        <v>5</v>
      </c>
      <c r="AB78" s="5" t="str">
        <f t="shared" si="27"/>
        <v/>
      </c>
      <c r="AC78" s="5">
        <v>1.0</v>
      </c>
      <c r="AD78" s="5">
        <f t="shared" si="28"/>
        <v>0</v>
      </c>
    </row>
    <row r="79" ht="25.5" hidden="1" customHeight="1" outlineLevel="1">
      <c r="A79" s="18" t="s">
        <v>113</v>
      </c>
      <c r="B79" s="30"/>
      <c r="C79" s="31"/>
      <c r="D79" s="32"/>
      <c r="E79" s="39">
        <f>IF($C79="",0,MIN(15,MAX(1,IF(N($O79)&gt;=1,6,IF(N($O79)&gt;=0.75,IF(PRZEL_CZESC="część 1 (objętość)",8,6),IF(PRZEL_CZESC="część 1 (objętość)",10,8)))+0+$AD79)))</f>
        <v>0</v>
      </c>
      <c r="F79" s="33"/>
      <c r="G79" s="34" t="str">
        <f t="shared" si="25"/>
        <v/>
      </c>
      <c r="H79" s="35"/>
      <c r="I79" s="36" t="str">
        <f t="array" ref="I79">IFERROR(IF(IFERROR(INDEX(BAZA_FILM,MATCH($C79,BAZA_EX,0)),"")="","",HYPERLINK(IFERROR(INDEX(BAZA_FILM,MATCH($C79,BAZA_EX,0)),""),"film")),"")</f>
        <v/>
      </c>
      <c r="J79" s="37"/>
      <c r="K79" s="5" t="s">
        <v>128</v>
      </c>
      <c r="L79" s="5" t="str">
        <f t="array" ref="L79">IFERROR(INDEX(BAZA_ID,MATCH($C79,BAZA_EX,0)),"")</f>
        <v/>
      </c>
      <c r="M79" s="5" t="str">
        <f t="array" ref="M79">IFERROR(INDEX(BAZA_PART,MATCH($C79,BAZA_EX,0)),"")</f>
        <v/>
      </c>
      <c r="N79" s="5" t="str">
        <f t="array" ref="N79">IFERROR(INDEX(BAZA_KAT,MATCH($C79,BAZA_EX,0)),"")</f>
        <v/>
      </c>
      <c r="O79" s="5" t="str">
        <f t="array" ref="O79">IFERROR(INDEX(BAZA_COEFF,MATCH($C79,BAZA_EX,0)),"")</f>
        <v/>
      </c>
      <c r="P79" s="5" t="str">
        <f t="array" ref="P79">IFERROR(INDEX(BAZA_SKOK,MATCH($C79,BAZA_EX,0)),"")</f>
        <v/>
      </c>
      <c r="Q79" s="5" t="str">
        <f t="array" ref="Q79">IFERROR(INDEX(BAZA_PROG,MATCH($C79,BAZA_EX,0)),"")</f>
        <v/>
      </c>
      <c r="R79" s="5" t="str">
        <f>IF($C79="","",IF(SUMPRODUCT((START!$B$6:$B$69=$C79)*(START!$M$6:$M$69&gt;0))=0,"",SUMPRODUCT(MAX((START!$B$6:$B$69=$C79)*START!$M$6:$M$69))))</f>
        <v/>
      </c>
      <c r="S79" s="5" t="str">
        <f t="array" ref="S79">IFERROR(INDEX(TABELE!$B$4:$J$18,MATCH($E79,TABELE!$A$4:$A$18,0),MATCH($F79,TABELE!$B$3:$J$3,0)),"")</f>
        <v/>
      </c>
      <c r="T79" s="5">
        <f t="array" ref="T79">IFERROR(IF($C79="",0,$O79*$D79*INDEX(TABELE!$B$23:$P$33,MATCH($F79,TABELE!$A$23:$A$33,0),MATCH($E79,TABELE!$B$22:$P$22,0))),0)</f>
        <v>0</v>
      </c>
      <c r="U79" s="5">
        <f t="array" ref="U79">IFERROR(IF($C79="",0,$O79*$D79*INDEX(TABELE!$B$37:$P$47,MATCH($F79,TABELE!$A$37:$A$47,0),MATCH($E79,TABELE!$B$36:$P$36,0))),0)</f>
        <v>0</v>
      </c>
      <c r="V79" s="5">
        <f t="array" ref="V79">IFERROR(IF($C79="",0,$O79*$D79*INDEX(TABELE!$B$51:$P$61,MATCH($F79,TABELE!$A$51:$A$61,0),MATCH($E79,TABELE!$B$50:$P$50,0))),0)</f>
        <v>0</v>
      </c>
      <c r="W79" s="5" t="str">
        <f t="array" ref="W79">IFERROR(INDEX(BAZA_UWAGI,MATCH($C79,BAZA_EX,0)),"")</f>
        <v/>
      </c>
      <c r="X79" s="5">
        <f t="shared" si="26"/>
        <v>5</v>
      </c>
      <c r="Y79" s="5" t="str">
        <f t="shared" si="29"/>
        <v>E</v>
      </c>
      <c r="Z79" s="5">
        <f t="shared" si="30"/>
        <v>5</v>
      </c>
      <c r="AB79" s="5" t="str">
        <f t="shared" si="27"/>
        <v/>
      </c>
      <c r="AC79" s="5">
        <v>1.0</v>
      </c>
      <c r="AD79" s="5">
        <f t="shared" si="28"/>
        <v>0</v>
      </c>
    </row>
    <row r="80" ht="25.5" hidden="1" customHeight="1" outlineLevel="1">
      <c r="A80" s="18"/>
      <c r="B80" s="30"/>
      <c r="C80" s="31"/>
      <c r="D80" s="32"/>
      <c r="E80" s="39">
        <f>IF($C80="",0,MIN(15,MAX(1,IF(N($O80)&gt;=1,6,IF(N($O80)&gt;=0.75,IF(PRZEL_CZESC="część 1 (objętość)",8,6),IF(PRZEL_CZESC="część 1 (objętość)",10,8)))+0+$AD80)))</f>
        <v>0</v>
      </c>
      <c r="F80" s="33"/>
      <c r="G80" s="34" t="str">
        <f t="shared" si="25"/>
        <v/>
      </c>
      <c r="H80" s="35"/>
      <c r="I80" s="36" t="str">
        <f t="array" ref="I80">IFERROR(IF(IFERROR(INDEX(BAZA_FILM,MATCH($C80,BAZA_EX,0)),"")="","",HYPERLINK(IFERROR(INDEX(BAZA_FILM,MATCH($C80,BAZA_EX,0)),""),"film")),"")</f>
        <v/>
      </c>
      <c r="J80" s="37"/>
      <c r="K80" s="5" t="s">
        <v>129</v>
      </c>
      <c r="L80" s="5" t="str">
        <f t="array" ref="L80">IFERROR(INDEX(BAZA_ID,MATCH($C80,BAZA_EX,0)),"")</f>
        <v/>
      </c>
      <c r="M80" s="5" t="str">
        <f t="array" ref="M80">IFERROR(INDEX(BAZA_PART,MATCH($C80,BAZA_EX,0)),"")</f>
        <v/>
      </c>
      <c r="N80" s="5" t="str">
        <f t="array" ref="N80">IFERROR(INDEX(BAZA_KAT,MATCH($C80,BAZA_EX,0)),"")</f>
        <v/>
      </c>
      <c r="O80" s="5" t="str">
        <f t="array" ref="O80">IFERROR(INDEX(BAZA_COEFF,MATCH($C80,BAZA_EX,0)),"")</f>
        <v/>
      </c>
      <c r="P80" s="5" t="str">
        <f t="array" ref="P80">IFERROR(INDEX(BAZA_SKOK,MATCH($C80,BAZA_EX,0)),"")</f>
        <v/>
      </c>
      <c r="Q80" s="5" t="str">
        <f t="array" ref="Q80">IFERROR(INDEX(BAZA_PROG,MATCH($C80,BAZA_EX,0)),"")</f>
        <v/>
      </c>
      <c r="R80" s="5" t="str">
        <f>IF($C80="","",IF(SUMPRODUCT((START!$B$6:$B$69=$C80)*(START!$M$6:$M$69&gt;0))=0,"",SUMPRODUCT(MAX((START!$B$6:$B$69=$C80)*START!$M$6:$M$69))))</f>
        <v/>
      </c>
      <c r="S80" s="5" t="str">
        <f t="array" ref="S80">IFERROR(INDEX(TABELE!$B$4:$J$18,MATCH($E80,TABELE!$A$4:$A$18,0),MATCH($F80,TABELE!$B$3:$J$3,0)),"")</f>
        <v/>
      </c>
      <c r="T80" s="5">
        <f t="array" ref="T80">IFERROR(IF($C80="",0,$O80*$D80*INDEX(TABELE!$B$23:$P$33,MATCH($F80,TABELE!$A$23:$A$33,0),MATCH($E80,TABELE!$B$22:$P$22,0))),0)</f>
        <v>0</v>
      </c>
      <c r="U80" s="5">
        <f t="array" ref="U80">IFERROR(IF($C80="",0,$O80*$D80*INDEX(TABELE!$B$37:$P$47,MATCH($F80,TABELE!$A$37:$A$47,0),MATCH($E80,TABELE!$B$36:$P$36,0))),0)</f>
        <v>0</v>
      </c>
      <c r="V80" s="5">
        <f t="array" ref="V80">IFERROR(IF($C80="",0,$O80*$D80*INDEX(TABELE!$B$51:$P$61,MATCH($F80,TABELE!$A$51:$A$61,0),MATCH($E80,TABELE!$B$50:$P$50,0))),0)</f>
        <v>0</v>
      </c>
      <c r="W80" s="5" t="str">
        <f t="array" ref="W80">IFERROR(INDEX(BAZA_UWAGI,MATCH($C80,BAZA_EX,0)),"")</f>
        <v/>
      </c>
      <c r="X80" s="5" t="str">
        <f t="shared" si="26"/>
        <v/>
      </c>
      <c r="Y80" s="5" t="str">
        <f t="shared" si="29"/>
        <v>E</v>
      </c>
      <c r="Z80" s="5">
        <f t="shared" si="30"/>
        <v>5</v>
      </c>
      <c r="AB80" s="5" t="str">
        <f t="shared" si="27"/>
        <v/>
      </c>
      <c r="AC80" s="5">
        <v>1.0</v>
      </c>
      <c r="AD80" s="5">
        <f t="shared" si="28"/>
        <v>0</v>
      </c>
    </row>
    <row r="81" ht="25.5" hidden="1" customHeight="1" outlineLevel="1">
      <c r="A81" s="18"/>
      <c r="B81" s="30"/>
      <c r="C81" s="31"/>
      <c r="D81" s="32"/>
      <c r="E81" s="39">
        <f>IF($C81="",0,MIN(15,MAX(1,IF(N($O81)&gt;=1,6,IF(N($O81)&gt;=0.75,IF(PRZEL_CZESC="część 1 (objętość)",8,6),IF(PRZEL_CZESC="część 1 (objętość)",10,8)))+0+$AD81)))</f>
        <v>0</v>
      </c>
      <c r="F81" s="33"/>
      <c r="G81" s="34" t="str">
        <f t="shared" si="25"/>
        <v/>
      </c>
      <c r="H81" s="35"/>
      <c r="I81" s="36" t="str">
        <f t="array" ref="I81">IFERROR(IF(IFERROR(INDEX(BAZA_FILM,MATCH($C81,BAZA_EX,0)),"")="","",HYPERLINK(IFERROR(INDEX(BAZA_FILM,MATCH($C81,BAZA_EX,0)),""),"film")),"")</f>
        <v/>
      </c>
      <c r="J81" s="37"/>
      <c r="K81" s="5" t="s">
        <v>130</v>
      </c>
      <c r="L81" s="5" t="str">
        <f t="array" ref="L81">IFERROR(INDEX(BAZA_ID,MATCH($C81,BAZA_EX,0)),"")</f>
        <v/>
      </c>
      <c r="M81" s="5" t="str">
        <f t="array" ref="M81">IFERROR(INDEX(BAZA_PART,MATCH($C81,BAZA_EX,0)),"")</f>
        <v/>
      </c>
      <c r="N81" s="5" t="str">
        <f t="array" ref="N81">IFERROR(INDEX(BAZA_KAT,MATCH($C81,BAZA_EX,0)),"")</f>
        <v/>
      </c>
      <c r="O81" s="5" t="str">
        <f t="array" ref="O81">IFERROR(INDEX(BAZA_COEFF,MATCH($C81,BAZA_EX,0)),"")</f>
        <v/>
      </c>
      <c r="P81" s="5" t="str">
        <f t="array" ref="P81">IFERROR(INDEX(BAZA_SKOK,MATCH($C81,BAZA_EX,0)),"")</f>
        <v/>
      </c>
      <c r="Q81" s="5" t="str">
        <f t="array" ref="Q81">IFERROR(INDEX(BAZA_PROG,MATCH($C81,BAZA_EX,0)),"")</f>
        <v/>
      </c>
      <c r="R81" s="5" t="str">
        <f>IF($C81="","",IF(SUMPRODUCT((START!$B$6:$B$69=$C81)*(START!$M$6:$M$69&gt;0))=0,"",SUMPRODUCT(MAX((START!$B$6:$B$69=$C81)*START!$M$6:$M$69))))</f>
        <v/>
      </c>
      <c r="S81" s="5" t="str">
        <f t="array" ref="S81">IFERROR(INDEX(TABELE!$B$4:$J$18,MATCH($E81,TABELE!$A$4:$A$18,0),MATCH($F81,TABELE!$B$3:$J$3,0)),"")</f>
        <v/>
      </c>
      <c r="T81" s="5">
        <f t="array" ref="T81">IFERROR(IF($C81="",0,$O81*$D81*INDEX(TABELE!$B$23:$P$33,MATCH($F81,TABELE!$A$23:$A$33,0),MATCH($E81,TABELE!$B$22:$P$22,0))),0)</f>
        <v>0</v>
      </c>
      <c r="U81" s="5">
        <f t="array" ref="U81">IFERROR(IF($C81="",0,$O81*$D81*INDEX(TABELE!$B$37:$P$47,MATCH($F81,TABELE!$A$37:$A$47,0),MATCH($E81,TABELE!$B$36:$P$36,0))),0)</f>
        <v>0</v>
      </c>
      <c r="V81" s="5">
        <f t="array" ref="V81">IFERROR(IF($C81="",0,$O81*$D81*INDEX(TABELE!$B$51:$P$61,MATCH($F81,TABELE!$A$51:$A$61,0),MATCH($E81,TABELE!$B$50:$P$50,0))),0)</f>
        <v>0</v>
      </c>
      <c r="W81" s="5" t="str">
        <f t="array" ref="W81">IFERROR(INDEX(BAZA_UWAGI,MATCH($C81,BAZA_EX,0)),"")</f>
        <v/>
      </c>
      <c r="X81" s="5" t="str">
        <f t="shared" si="26"/>
        <v/>
      </c>
      <c r="Y81" s="5" t="str">
        <f t="shared" si="29"/>
        <v>E</v>
      </c>
      <c r="Z81" s="5">
        <f t="shared" si="30"/>
        <v>5</v>
      </c>
      <c r="AB81" s="5" t="str">
        <f t="shared" si="27"/>
        <v/>
      </c>
      <c r="AC81" s="5">
        <v>1.0</v>
      </c>
      <c r="AD81" s="5">
        <f t="shared" si="28"/>
        <v>0</v>
      </c>
    </row>
    <row r="82" ht="25.5" hidden="1" customHeight="1" outlineLevel="1">
      <c r="A82" s="18"/>
      <c r="B82" s="30"/>
      <c r="C82" s="31"/>
      <c r="D82" s="32"/>
      <c r="E82" s="39">
        <f>IF($C82="",0,MIN(15,MAX(1,IF(N($O82)&gt;=1,6,IF(N($O82)&gt;=0.75,IF(PRZEL_CZESC="część 1 (objętość)",8,6),IF(PRZEL_CZESC="część 1 (objętość)",10,8)))+0+$AD82)))</f>
        <v>0</v>
      </c>
      <c r="F82" s="33"/>
      <c r="G82" s="34" t="str">
        <f t="shared" si="25"/>
        <v/>
      </c>
      <c r="H82" s="35"/>
      <c r="I82" s="36" t="str">
        <f t="array" ref="I82">IFERROR(IF(IFERROR(INDEX(BAZA_FILM,MATCH($C82,BAZA_EX,0)),"")="","",HYPERLINK(IFERROR(INDEX(BAZA_FILM,MATCH($C82,BAZA_EX,0)),""),"film")),"")</f>
        <v/>
      </c>
      <c r="J82" s="37"/>
      <c r="K82" s="5" t="s">
        <v>131</v>
      </c>
      <c r="L82" s="5" t="str">
        <f t="array" ref="L82">IFERROR(INDEX(BAZA_ID,MATCH($C82,BAZA_EX,0)),"")</f>
        <v/>
      </c>
      <c r="M82" s="5" t="str">
        <f t="array" ref="M82">IFERROR(INDEX(BAZA_PART,MATCH($C82,BAZA_EX,0)),"")</f>
        <v/>
      </c>
      <c r="N82" s="5" t="str">
        <f t="array" ref="N82">IFERROR(INDEX(BAZA_KAT,MATCH($C82,BAZA_EX,0)),"")</f>
        <v/>
      </c>
      <c r="O82" s="5" t="str">
        <f t="array" ref="O82">IFERROR(INDEX(BAZA_COEFF,MATCH($C82,BAZA_EX,0)),"")</f>
        <v/>
      </c>
      <c r="P82" s="5" t="str">
        <f t="array" ref="P82">IFERROR(INDEX(BAZA_SKOK,MATCH($C82,BAZA_EX,0)),"")</f>
        <v/>
      </c>
      <c r="Q82" s="5" t="str">
        <f t="array" ref="Q82">IFERROR(INDEX(BAZA_PROG,MATCH($C82,BAZA_EX,0)),"")</f>
        <v/>
      </c>
      <c r="R82" s="5" t="str">
        <f>IF($C82="","",IF(SUMPRODUCT((START!$B$6:$B$69=$C82)*(START!$M$6:$M$69&gt;0))=0,"",SUMPRODUCT(MAX((START!$B$6:$B$69=$C82)*START!$M$6:$M$69))))</f>
        <v/>
      </c>
      <c r="S82" s="5" t="str">
        <f t="array" ref="S82">IFERROR(INDEX(TABELE!$B$4:$J$18,MATCH($E82,TABELE!$A$4:$A$18,0),MATCH($F82,TABELE!$B$3:$J$3,0)),"")</f>
        <v/>
      </c>
      <c r="T82" s="5">
        <f t="array" ref="T82">IFERROR(IF($C82="",0,$O82*$D82*INDEX(TABELE!$B$23:$P$33,MATCH($F82,TABELE!$A$23:$A$33,0),MATCH($E82,TABELE!$B$22:$P$22,0))),0)</f>
        <v>0</v>
      </c>
      <c r="U82" s="5">
        <f t="array" ref="U82">IFERROR(IF($C82="",0,$O82*$D82*INDEX(TABELE!$B$37:$P$47,MATCH($F82,TABELE!$A$37:$A$47,0),MATCH($E82,TABELE!$B$36:$P$36,0))),0)</f>
        <v>0</v>
      </c>
      <c r="V82" s="5">
        <f t="array" ref="V82">IFERROR(IF($C82="",0,$O82*$D82*INDEX(TABELE!$B$51:$P$61,MATCH($F82,TABELE!$A$51:$A$61,0),MATCH($E82,TABELE!$B$50:$P$50,0))),0)</f>
        <v>0</v>
      </c>
      <c r="W82" s="5" t="str">
        <f t="array" ref="W82">IFERROR(INDEX(BAZA_UWAGI,MATCH($C82,BAZA_EX,0)),"")</f>
        <v/>
      </c>
      <c r="X82" s="5" t="str">
        <f t="shared" si="26"/>
        <v/>
      </c>
      <c r="Y82" s="5" t="str">
        <f t="shared" si="29"/>
        <v>E</v>
      </c>
      <c r="Z82" s="5">
        <f t="shared" si="30"/>
        <v>5</v>
      </c>
      <c r="AB82" s="5" t="str">
        <f t="shared" si="27"/>
        <v/>
      </c>
      <c r="AC82" s="5">
        <v>1.0</v>
      </c>
      <c r="AD82" s="5">
        <f t="shared" si="28"/>
        <v>0</v>
      </c>
    </row>
    <row r="83" ht="19.5" hidden="1" customHeight="1" outlineLevel="1">
      <c r="A83" s="43"/>
      <c r="B83" s="43"/>
      <c r="C83" s="44" t="s">
        <v>139</v>
      </c>
      <c r="D83" s="45">
        <f>SUMPRODUCT((C71:C82&lt;&gt;"")*D71:D82)+IF(AND($B$70="TOP SET",$C$70&lt;&gt;""),1,0)</f>
      </c>
      <c r="E83" s="46" t="str">
        <f>SUMPRODUCT((C71:C82&lt;&gt;"")*D71:D82*E71:E82)&amp;" powt."</f>
        <v>0 powt.</v>
      </c>
      <c r="F83" s="43"/>
      <c r="G83" s="47" t="str">
        <f>"stres t "&amp;TEXT(SUM(T71:T82),"0.0")</f>
        <v>stres t 0,0</v>
      </c>
      <c r="H83" s="48"/>
      <c r="I83" s="43"/>
      <c r="J83" s="43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1.75" customHeight="1">
      <c r="A85" s="49" t="s">
        <v>140</v>
      </c>
      <c r="B85" s="3"/>
      <c r="C85" s="3"/>
      <c r="D85" s="3"/>
      <c r="E85" s="3"/>
      <c r="F85" s="3"/>
      <c r="G85" s="3"/>
      <c r="H85" s="3"/>
      <c r="I85" s="3"/>
      <c r="J85" s="4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0"/>
      <c r="B86" s="51" t="s">
        <v>141</v>
      </c>
      <c r="C86" s="50"/>
      <c r="D86" s="51" t="s">
        <v>142</v>
      </c>
      <c r="E86" s="51" t="s">
        <v>143</v>
      </c>
      <c r="F86" s="51" t="s">
        <v>144</v>
      </c>
      <c r="G86" s="51" t="s">
        <v>145</v>
      </c>
      <c r="H86" s="51" t="s">
        <v>146</v>
      </c>
      <c r="I86" s="51" t="s">
        <v>147</v>
      </c>
      <c r="J86" s="50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>
      <c r="A87" s="52"/>
      <c r="B87" s="20" t="s">
        <v>148</v>
      </c>
      <c r="C87" s="53" t="str">
        <f t="shared" ref="C87:C91" si="31">IF(MAX($D$87:$D$91)=0,"",REPT("█",ROUND($D87/MAX($D$87:$D$91)*14,0))&amp;REPT("░",14-ROUND($D87/MAX($D$87:$D$91)*14,0)))</f>
        <v>░░░░░░░░░░░░░░</v>
      </c>
      <c r="D87" s="54">
        <f>SUMIF(M7:M18,$K87,T7:T18)+SUMIF(M23:M34,$K87,T23:T34)+SUMIF(M39:M50,$K87,T39:T50)+SUMIF(M55:M66,$K87,T55:T66)+SUMIF(M71:M82,$K87,T71:T82)</f>
        <v>0</v>
      </c>
      <c r="E87" s="55" t="str">
        <f t="shared" ref="E87:E91" si="32">IF(SUM($D$87:$D$91)=0,"",TEXT($D87/SUM($D$87:$D$91),"0%"))</f>
        <v>0%</v>
      </c>
      <c r="F87" s="33">
        <f>SUMIF(M7:M18,$K87,U7:U18)+SUMIF(M23:M34,$K87,U23:U34)+SUMIF(M39:M50,$K87,U39:U50)+SUMIF(M55:M66,$K87,U55:U66)+SUMIF(M71:M82,$K87,U71:U82)</f>
        <v>0</v>
      </c>
      <c r="G87" s="33">
        <f>SUMIF(M7:M18,$K87,V7:V18)+SUMIF(M23:M34,$K87,V23:V34)+SUMIF(M39:M50,$K87,V39:V50)+SUMIF(M55:M66,$K87,V55:V66)+SUMIF(M71:M82,$K87,V71:V82)</f>
        <v>0</v>
      </c>
      <c r="H87" s="56">
        <f t="shared" ref="H87:H91" si="33">SUMIF($M$7:$M$18,$K87,$D$7:$D$18)+SUMIF($M$23:$M$34,$K87,$D$23:$D$34)+SUMIF($M$39:$M$50,$K87,$D$39:$D$50)+SUMIF($M$55:$M$66,$K87,$D$55:$D$66)+SUMIF($M$71:$M$82,$K87,$D$71:$D$82)</f>
        <v>0</v>
      </c>
      <c r="I87" s="56">
        <f t="shared" ref="I87:I91" si="34">SUMPRODUCT(($M$7:$M$18=$K87)*$D$7:$D$18*$E$7:$E$18)+SUMPRODUCT(($M$23:$M$34=$K87)*$D$23:$D$34*$E$23:$E$34)+SUMPRODUCT(($M$39:$M$50=$K87)*$D$39:$D$50*$E$39:$E$50)+SUMPRODUCT(($M$55:$M$66=$K87)*$D$55:$D$66*$E$55:$E$66)+SUMPRODUCT(($M$71:$M$82=$K87)*$D$71:$D$82*$E$71:$E$82)</f>
        <v>0</v>
      </c>
      <c r="J87" s="52"/>
      <c r="K87" s="5" t="s">
        <v>149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9.5" customHeight="1">
      <c r="A88" s="52"/>
      <c r="B88" s="20" t="s">
        <v>150</v>
      </c>
      <c r="C88" s="53" t="str">
        <f t="shared" si="31"/>
        <v>░░░░░░░░░░░░░░</v>
      </c>
      <c r="D88" s="54">
        <f>SUMIF(M7:M18,$K88,T7:T18)+SUMIF(M23:M34,$K88,T23:T34)+SUMIF(M39:M50,$K88,T39:T50)+SUMIF(M55:M66,$K88,T55:T66)+SUMIF(M71:M82,$K88,T71:T82)</f>
        <v>0</v>
      </c>
      <c r="E88" s="55" t="str">
        <f t="shared" si="32"/>
        <v>0%</v>
      </c>
      <c r="F88" s="33">
        <f>SUMIF(M7:M18,$K88,U7:U18)+SUMIF(M23:M34,$K88,U23:U34)+SUMIF(M39:M50,$K88,U39:U50)+SUMIF(M55:M66,$K88,U55:U66)+SUMIF(M71:M82,$K88,U71:U82)</f>
        <v>0</v>
      </c>
      <c r="G88" s="33">
        <f>SUMIF(M7:M18,$K88,V7:V18)+SUMIF(M23:M34,$K88,V23:V34)+SUMIF(M39:M50,$K88,V39:V50)+SUMIF(M55:M66,$K88,V55:V66)+SUMIF(M71:M82,$K88,V71:V82)</f>
        <v>0</v>
      </c>
      <c r="H88" s="56">
        <f t="shared" si="33"/>
        <v>0</v>
      </c>
      <c r="I88" s="56">
        <f t="shared" si="34"/>
        <v>0</v>
      </c>
      <c r="J88" s="52"/>
      <c r="K88" s="5" t="s">
        <v>151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9.5" customHeight="1">
      <c r="A89" s="52"/>
      <c r="B89" s="20" t="s">
        <v>152</v>
      </c>
      <c r="C89" s="53" t="str">
        <f t="shared" si="31"/>
        <v>░░░░░░░░░░░░░░</v>
      </c>
      <c r="D89" s="54">
        <f>SUMIF(M7:M18,$K89,T7:T18)+SUMIF(M23:M34,$K89,T23:T34)+SUMIF(M39:M50,$K89,T39:T50)+SUMIF(M55:M66,$K89,T55:T66)+SUMIF(M71:M82,$K89,T71:T82)</f>
        <v>0</v>
      </c>
      <c r="E89" s="55" t="str">
        <f t="shared" si="32"/>
        <v>0%</v>
      </c>
      <c r="F89" s="33">
        <f>SUMIF(M7:M18,$K89,U7:U18)+SUMIF(M23:M34,$K89,U23:U34)+SUMIF(M39:M50,$K89,U39:U50)+SUMIF(M55:M66,$K89,U55:U66)+SUMIF(M71:M82,$K89,U71:U82)</f>
        <v>0</v>
      </c>
      <c r="G89" s="33">
        <f>SUMIF(M7:M18,$K89,V7:V18)+SUMIF(M23:M34,$K89,V23:V34)+SUMIF(M39:M50,$K89,V39:V50)+SUMIF(M55:M66,$K89,V55:V66)+SUMIF(M71:M82,$K89,V71:V82)</f>
        <v>0</v>
      </c>
      <c r="H89" s="56">
        <f t="shared" si="33"/>
        <v>0</v>
      </c>
      <c r="I89" s="56">
        <f t="shared" si="34"/>
        <v>0</v>
      </c>
      <c r="J89" s="52"/>
      <c r="K89" s="5" t="s">
        <v>153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9.5" customHeight="1">
      <c r="A90" s="52"/>
      <c r="B90" s="20" t="s">
        <v>154</v>
      </c>
      <c r="C90" s="53" t="str">
        <f t="shared" si="31"/>
        <v>░░░░░░░░░░░░░░</v>
      </c>
      <c r="D90" s="54">
        <f>SUMIF(M7:M18,$K90,T7:T18)+SUMIF(M23:M34,$K90,T23:T34)+SUMIF(M39:M50,$K90,T39:T50)+SUMIF(M55:M66,$K90,T55:T66)+SUMIF(M71:M82,$K90,T71:T82)</f>
        <v>0</v>
      </c>
      <c r="E90" s="55" t="str">
        <f t="shared" si="32"/>
        <v>0%</v>
      </c>
      <c r="F90" s="33">
        <f>SUMIF(M7:M18,$K90,U7:U18)+SUMIF(M23:M34,$K90,U23:U34)+SUMIF(M39:M50,$K90,U39:U50)+SUMIF(M55:M66,$K90,U55:U66)+SUMIF(M71:M82,$K90,U71:U82)</f>
        <v>0</v>
      </c>
      <c r="G90" s="33">
        <f>SUMIF(M7:M18,$K90,V7:V18)+SUMIF(M23:M34,$K90,V23:V34)+SUMIF(M39:M50,$K90,V39:V50)+SUMIF(M55:M66,$K90,V55:V66)+SUMIF(M71:M82,$K90,V71:V82)</f>
        <v>0</v>
      </c>
      <c r="H90" s="56">
        <f t="shared" si="33"/>
        <v>0</v>
      </c>
      <c r="I90" s="56">
        <f t="shared" si="34"/>
        <v>0</v>
      </c>
      <c r="J90" s="52"/>
      <c r="K90" s="5" t="s">
        <v>155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9.5" customHeight="1">
      <c r="A91" s="52"/>
      <c r="B91" s="20" t="s">
        <v>156</v>
      </c>
      <c r="C91" s="53" t="str">
        <f t="shared" si="31"/>
        <v>██████████████</v>
      </c>
      <c r="D91" s="54">
        <f>SUMIF(M7:M18,$K91,T7:T18)+SUMIF(M23:M34,$K91,T23:T34)+SUMIF(M39:M50,$K91,T39:T50)+SUMIF(M55:M66,$K91,T55:T66)+SUMIF(M71:M82,$K91,T71:T82)</f>
        <v>1.05</v>
      </c>
      <c r="E91" s="55" t="str">
        <f t="shared" si="32"/>
        <v>100%</v>
      </c>
      <c r="F91" s="33">
        <f>SUMIF(M7:M18,$K91,U7:U18)+SUMIF(M23:M34,$K91,U23:U34)+SUMIF(M39:M50,$K91,U39:U50)+SUMIF(M55:M66,$K91,U55:U66)+SUMIF(M71:M82,$K91,U71:U82)</f>
        <v>0.6</v>
      </c>
      <c r="G91" s="33">
        <f>SUMIF(M7:M18,$K91,V7:V18)+SUMIF(M23:M34,$K91,V23:V34)+SUMIF(M39:M50,$K91,V39:V50)+SUMIF(M55:M66,$K91,V55:V66)+SUMIF(M71:M82,$K91,V71:V82)</f>
        <v>1.65</v>
      </c>
      <c r="H91" s="56">
        <f t="shared" si="33"/>
        <v>3</v>
      </c>
      <c r="I91" s="56">
        <f t="shared" si="34"/>
        <v>30</v>
      </c>
      <c r="J91" s="52"/>
      <c r="K91" s="5" t="s">
        <v>157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2"/>
      <c r="B92" s="57" t="s">
        <v>158</v>
      </c>
      <c r="C92" s="52"/>
      <c r="D92" s="58">
        <f>$D$87+$D$88</f>
        <v>0</v>
      </c>
      <c r="E92" s="18" t="str">
        <f t="shared" ref="E92:E93" si="35">IF(($D92+$N92)=0,"",TEXT($D92/($D92+$N92),"0%")&amp;" / "&amp;TEXT($N92/($D92+$N92),"0%"))</f>
        <v/>
      </c>
      <c r="F92" s="52"/>
      <c r="G92" s="52"/>
      <c r="H92" s="52"/>
      <c r="I92" s="52"/>
      <c r="J92" s="52"/>
      <c r="K92" s="5"/>
      <c r="L92" s="5"/>
      <c r="M92" s="5"/>
      <c r="N92" s="59">
        <f>$D$89+$D$90</f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2"/>
      <c r="B93" s="57" t="s">
        <v>159</v>
      </c>
      <c r="C93" s="52"/>
      <c r="D93" s="58">
        <f>SUM($F$87:$F$91)</f>
        <v>0.6</v>
      </c>
      <c r="E93" s="18" t="str">
        <f t="shared" si="35"/>
        <v>27% / 73%</v>
      </c>
      <c r="F93" s="52"/>
      <c r="G93" s="52"/>
      <c r="H93" s="52"/>
      <c r="I93" s="52"/>
      <c r="J93" s="52"/>
      <c r="K93" s="5"/>
      <c r="L93" s="5"/>
      <c r="M93" s="5"/>
      <c r="N93" s="59">
        <f>SUM($G$87:$G$91)</f>
        <v>1.65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1.75" customHeight="1">
      <c r="A94" s="29"/>
      <c r="B94" s="60" t="s">
        <v>160</v>
      </c>
      <c r="C94" s="29"/>
      <c r="D94" s="61">
        <f>SUM($D$87:$D$91)</f>
        <v>1.05</v>
      </c>
      <c r="E94" s="29"/>
      <c r="F94" s="29"/>
      <c r="G94" s="29"/>
      <c r="H94" s="62">
        <f>SUM($H$87:$H$91)</f>
        <v>3</v>
      </c>
      <c r="I94" s="62">
        <f>SUM($I$87:$I$91)</f>
        <v>30</v>
      </c>
      <c r="J94" s="29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1.75" hidden="1" customHeight="1" outlineLevel="1">
      <c r="A96" s="49" t="s">
        <v>161</v>
      </c>
      <c r="B96" s="3"/>
      <c r="C96" s="3"/>
      <c r="D96" s="3"/>
      <c r="E96" s="3"/>
      <c r="F96" s="3"/>
      <c r="G96" s="3"/>
      <c r="H96" s="3"/>
      <c r="I96" s="3"/>
      <c r="J96" s="4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5.5" hidden="1" customHeight="1" outlineLevel="1">
      <c r="A97" s="5"/>
      <c r="B97" s="10" t="s">
        <v>162</v>
      </c>
      <c r="C97" s="63" t="str">
        <f>IF(ODDECH!$B$5="","— wpisz wynik TWOT w zakładce ODDECH",ODDECH!$B$8)</f>
        <v>— wpisz wynik TWOT w zakładce ODDECH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5.5" hidden="1" customHeight="1" outlineLevel="1">
      <c r="A98" s="5"/>
      <c r="B98" s="10" t="s">
        <v>163</v>
      </c>
      <c r="C98" s="63" t="str">
        <f>IF(ODDECH!$B$5="","",ODDECH!$B$9)</f>
        <v/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5.5" hidden="1" customHeight="1" outlineLevel="1">
      <c r="A99" s="5"/>
      <c r="B99" s="10" t="s">
        <v>164</v>
      </c>
      <c r="C99" s="63" t="str">
        <f>IF(ODDECH!$B$5="","",ODDECH!$B$10)</f>
        <v/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5.5" hidden="1" customHeight="1" outlineLevel="1">
      <c r="A100" s="5"/>
      <c r="B100" s="10" t="s">
        <v>165</v>
      </c>
      <c r="C100" s="63" t="str">
        <f>IF(ODDECH!$B$5="","",ODDECH!$B$11)</f>
        <v/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5.5" hidden="1" customHeight="1" outlineLevel="1">
      <c r="A101" s="5"/>
      <c r="B101" s="10" t="s">
        <v>166</v>
      </c>
      <c r="C101" s="63" t="str">
        <f>IF(ODDECH!$B$5="","",ODDECH!$B$12)</f>
        <v/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33.75" hidden="1" customHeight="1" outlineLevel="1">
      <c r="A102" s="5"/>
      <c r="B102" s="10" t="s">
        <v>167</v>
      </c>
      <c r="C102" s="63" t="str">
        <f>IF(ODDECH!$B$5="","",ODDECH!$A$14)</f>
        <v/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10"/>
      <c r="C103" s="63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1.75" hidden="1" customHeight="1" outlineLevel="1">
      <c r="A104" s="49" t="s">
        <v>168</v>
      </c>
      <c r="B104" s="3"/>
      <c r="C104" s="3"/>
      <c r="D104" s="3"/>
      <c r="E104" s="3"/>
      <c r="F104" s="3"/>
      <c r="G104" s="3"/>
      <c r="H104" s="3"/>
      <c r="I104" s="3"/>
      <c r="J104" s="4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5.5" hidden="1" customHeight="1" outlineLevel="1">
      <c r="A105" s="5"/>
      <c r="B105" s="10" t="s">
        <v>169</v>
      </c>
      <c r="C105" s="63" t="str">
        <f>IF(OR(BIEG!$B$7="",BIEG!$B$8=""),"— uzupełnij dane w zakładce BIEG","łącznie "&amp;TEXT(SUM(BIEG!$O$32:$O$36),"0.0")&amp;" km  ·  "&amp;SUM(BIEG!$N$32:$N$36)&amp;" min")</f>
        <v>— uzupełnij dane w zakładce BIEG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5.5" hidden="1" customHeight="1" outlineLevel="1">
      <c r="A106" s="5"/>
      <c r="B106" s="10" t="str">
        <f>IF(N(BIEG!$B$9)&gt;=1,"jednostka 1","")</f>
        <v/>
      </c>
      <c r="C106" s="63" t="str">
        <f>IF(OR(BIEG!$B$7="",BIEG!$B$8=""),"",BIEG!$I$32)</f>
        <v/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5.5" hidden="1" customHeight="1" outlineLevel="1">
      <c r="A107" s="5"/>
      <c r="B107" s="10" t="str">
        <f>IF(N(BIEG!$B$9)&gt;=2,"jednostka 2","")</f>
        <v/>
      </c>
      <c r="C107" s="63" t="str">
        <f>IF(OR(BIEG!$B$7="",BIEG!$B$8=""),"",BIEG!$I$33)</f>
        <v/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5.5" hidden="1" customHeight="1" outlineLevel="1">
      <c r="A108" s="5"/>
      <c r="B108" s="10" t="str">
        <f>IF(N(BIEG!$B$9)&gt;=3,"jednostka 3","")</f>
        <v/>
      </c>
      <c r="C108" s="63" t="str">
        <f>IF(OR(BIEG!$B$7="",BIEG!$B$8=""),"",BIEG!$I$34)</f>
        <v/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5.5" hidden="1" customHeight="1" outlineLevel="1">
      <c r="A109" s="5"/>
      <c r="B109" s="10" t="str">
        <f>IF(N(BIEG!$B$9)&gt;=4,"jednostka 4","")</f>
        <v/>
      </c>
      <c r="C109" s="63" t="str">
        <f>IF(OR(BIEG!$B$7="",BIEG!$B$8=""),"",BIEG!$I$35)</f>
        <v/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5.5" hidden="1" customHeight="1" outlineLevel="1">
      <c r="A110" s="5"/>
      <c r="B110" s="10" t="str">
        <f>IF(N(BIEG!$B$9)&gt;=5,"jednostka 5","")</f>
        <v/>
      </c>
      <c r="C110" s="63" t="str">
        <f>IF(OR(BIEG!$B$7="",BIEG!$B$8=""),"",BIEG!$I$36)</f>
        <v/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hidden="1" customHeight="1" outlineLevel="1">
      <c r="A111" s="5"/>
      <c r="B111" s="10"/>
      <c r="C111" s="63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5.5" hidden="1" customHeight="1" outlineLevel="1">
      <c r="A112" s="5"/>
      <c r="B112" s="10"/>
      <c r="C112" s="63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5.5" hidden="1" customHeight="1" outlineLevel="1">
      <c r="A113" s="5"/>
      <c r="B113" s="10"/>
      <c r="C113" s="63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J1"/>
    <mergeCell ref="A5:J5"/>
    <mergeCell ref="A21:J21"/>
    <mergeCell ref="A37:J37"/>
    <mergeCell ref="A53:J53"/>
    <mergeCell ref="A69:J69"/>
    <mergeCell ref="A85:J85"/>
    <mergeCell ref="A104:J104"/>
    <mergeCell ref="C105:J105"/>
    <mergeCell ref="C106:J106"/>
    <mergeCell ref="C107:J107"/>
    <mergeCell ref="C108:J108"/>
    <mergeCell ref="C109:J109"/>
    <mergeCell ref="C110:J110"/>
    <mergeCell ref="A96:J96"/>
    <mergeCell ref="C97:J97"/>
    <mergeCell ref="C98:J98"/>
    <mergeCell ref="C99:J99"/>
    <mergeCell ref="C100:J100"/>
    <mergeCell ref="C101:J101"/>
    <mergeCell ref="C102:J102"/>
  </mergeCells>
  <conditionalFormatting sqref="A7:J18">
    <cfRule type="expression" dxfId="2" priority="1">
      <formula>AND($A7&lt;&gt;"",N($X7)&lt;&gt;N($X6))</formula>
    </cfRule>
  </conditionalFormatting>
  <conditionalFormatting sqref="A7:J18">
    <cfRule type="expression" dxfId="3" priority="2">
      <formula>AND($A7&lt;&gt;"",MOD(N($X7),2)=0)</formula>
    </cfRule>
  </conditionalFormatting>
  <conditionalFormatting sqref="C7:C18">
    <cfRule type="expression" dxfId="4" priority="3">
      <formula>AND($C7&lt;&gt;"",$J7&lt;&gt;"",$N7&lt;&gt;$J7)</formula>
    </cfRule>
  </conditionalFormatting>
  <conditionalFormatting sqref="A23:J34">
    <cfRule type="expression" dxfId="2" priority="4">
      <formula>AND($A23&lt;&gt;"",N($X23)&lt;&gt;N($X22))</formula>
    </cfRule>
  </conditionalFormatting>
  <conditionalFormatting sqref="A23:J34">
    <cfRule type="expression" dxfId="3" priority="5">
      <formula>AND($A23&lt;&gt;"",MOD(N($X23),2)=0)</formula>
    </cfRule>
  </conditionalFormatting>
  <conditionalFormatting sqref="C23:C34">
    <cfRule type="expression" dxfId="4" priority="6">
      <formula>AND($C23&lt;&gt;"",$J23&lt;&gt;"",$N23&lt;&gt;$J23)</formula>
    </cfRule>
  </conditionalFormatting>
  <conditionalFormatting sqref="A39:J50">
    <cfRule type="expression" dxfId="2" priority="7">
      <formula>AND($A39&lt;&gt;"",N($X39)&lt;&gt;N($X38))</formula>
    </cfRule>
  </conditionalFormatting>
  <conditionalFormatting sqref="A39:J50">
    <cfRule type="expression" dxfId="3" priority="8">
      <formula>AND($A39&lt;&gt;"",MOD(N($X39),2)=0)</formula>
    </cfRule>
  </conditionalFormatting>
  <conditionalFormatting sqref="C39:C50">
    <cfRule type="expression" dxfId="4" priority="9">
      <formula>AND($C39&lt;&gt;"",$J39&lt;&gt;"",$N39&lt;&gt;$J39)</formula>
    </cfRule>
  </conditionalFormatting>
  <conditionalFormatting sqref="A55:J66">
    <cfRule type="expression" dxfId="3" priority="10">
      <formula>AND($A55&lt;&gt;"",MOD(N($X55),2)=0)</formula>
    </cfRule>
  </conditionalFormatting>
  <conditionalFormatting sqref="C55:C66">
    <cfRule type="expression" dxfId="5" priority="11">
      <formula>AND($C55&lt;&gt;"",$J55&lt;&gt;"",$N55&lt;&gt;$J55)</formula>
    </cfRule>
  </conditionalFormatting>
  <conditionalFormatting sqref="A71:J82">
    <cfRule type="expression" dxfId="3" priority="12">
      <formula>AND($A71&lt;&gt;"",MOD(N($X71),2)=0)</formula>
    </cfRule>
  </conditionalFormatting>
  <conditionalFormatting sqref="C71:C82">
    <cfRule type="expression" dxfId="5" priority="13">
      <formula>AND($C71&lt;&gt;"",$J71&lt;&gt;"",$N71&lt;&gt;$J71)</formula>
    </cfRule>
  </conditionalFormatting>
  <conditionalFormatting sqref="E7:E18">
    <cfRule type="expression" dxfId="6" priority="14">
      <formula>AND($C7&lt;&gt;"",N($E7)&gt;15)</formula>
    </cfRule>
  </conditionalFormatting>
  <conditionalFormatting sqref="E23:E34">
    <cfRule type="expression" dxfId="6" priority="15">
      <formula>AND($C23&lt;&gt;"",N($E23)&gt;15)</formula>
    </cfRule>
  </conditionalFormatting>
  <conditionalFormatting sqref="E39:E50">
    <cfRule type="expression" dxfId="6" priority="16">
      <formula>AND($C39&lt;&gt;"",N($E39)&gt;15)</formula>
    </cfRule>
  </conditionalFormatting>
  <conditionalFormatting sqref="E55:E66">
    <cfRule type="expression" dxfId="6" priority="17">
      <formula>AND($C55&lt;&gt;"",N($E55)&gt;15)</formula>
    </cfRule>
  </conditionalFormatting>
  <conditionalFormatting sqref="E71:E82">
    <cfRule type="expression" dxfId="6" priority="18">
      <formula>AND($C71&lt;&gt;"",N($E71)&gt;15)</formula>
    </cfRule>
  </conditionalFormatting>
  <dataValidations>
    <dataValidation type="list" allowBlank="1" sqref="C75">
      <formula1>LISTY!$C$75:$GT$75</formula1>
    </dataValidation>
    <dataValidation type="list" allowBlank="1" sqref="C41">
      <formula1>LISTY!$C$41:$GT$41</formula1>
    </dataValidation>
    <dataValidation type="list" allowBlank="1" sqref="C32">
      <formula1>LISTY!$C$32:$GT$32</formula1>
    </dataValidation>
    <dataValidation type="list" allowBlank="1" sqref="C12">
      <formula1>LISTY!$C$12:$GT$12</formula1>
    </dataValidation>
    <dataValidation type="list" allowBlank="1" sqref="C17">
      <formula1>LISTY!$C$17:$GT$17</formula1>
    </dataValidation>
    <dataValidation type="list" allowBlank="1" sqref="C61">
      <formula1>LISTY!$C$61:$GT$61</formula1>
    </dataValidation>
    <dataValidation type="list" allowBlank="1" sqref="C55">
      <formula1>LISTY!$C$55:$GT$55</formula1>
    </dataValidation>
    <dataValidation type="list" allowBlank="1" sqref="C57">
      <formula1>LISTY!$C$57:$GT$57</formula1>
    </dataValidation>
    <dataValidation type="list" allowBlank="1" sqref="C26">
      <formula1>LISTY!$C$26:$GT$26</formula1>
    </dataValidation>
    <dataValidation type="list" allowBlank="1" sqref="C23">
      <formula1>LISTY!$C$23:$GT$23</formula1>
    </dataValidation>
    <dataValidation type="list" allowBlank="1" sqref="C66">
      <formula1>LISTY!$C$66:$GT$66</formula1>
    </dataValidation>
    <dataValidation type="list" allowBlank="1" sqref="C46">
      <formula1>LISTY!$C$46:$GT$46</formula1>
    </dataValidation>
    <dataValidation type="list" allowBlank="1" sqref="C72">
      <formula1>LISTY!$C$72:$GT$72</formula1>
    </dataValidation>
    <dataValidation type="list" allowBlank="1" sqref="C34">
      <formula1>LISTY!$C$34:$GT$34</formula1>
    </dataValidation>
    <dataValidation type="list" allowBlank="1" sqref="C25">
      <formula1>LISTY!$C$25:$GT$25</formula1>
    </dataValidation>
    <dataValidation type="list" allowBlank="1" sqref="C59">
      <formula1>LISTY!$C$59:$GT$59</formula1>
    </dataValidation>
    <dataValidation type="list" allowBlank="1" sqref="C77">
      <formula1>LISTY!$C$77:$GT$77</formula1>
    </dataValidation>
    <dataValidation type="list" allowBlank="1" sqref="C43">
      <formula1>LISTY!$C$43:$GT$43</formula1>
    </dataValidation>
    <dataValidation type="list" allowBlank="1" sqref="C39">
      <formula1>LISTY!$C$39:$GT$39</formula1>
    </dataValidation>
    <dataValidation type="list" allowBlank="1" sqref="C63">
      <formula1>LISTY!$C$63:$GT$63</formula1>
    </dataValidation>
    <dataValidation type="list" allowBlank="1" sqref="C45">
      <formula1>LISTY!$C$45:$GT$45</formula1>
    </dataValidation>
    <dataValidation type="list" allowBlank="1" sqref="C40">
      <formula1>LISTY!$C$40:$GT$40</formula1>
    </dataValidation>
    <dataValidation type="list" allowBlank="1" sqref="C11">
      <formula1>LISTY!$C$11:$GT$11</formula1>
    </dataValidation>
    <dataValidation type="list" allowBlank="1" sqref="C14">
      <formula1>LISTY!$C$14:$GT$14</formula1>
    </dataValidation>
    <dataValidation type="list" allowBlank="1" sqref="B6 B22 B38 B54 B70">
      <formula1>"TOP SET,—"</formula1>
    </dataValidation>
    <dataValidation type="list" allowBlank="1" sqref="C80">
      <formula1>LISTY!$C$80:$GT$80</formula1>
    </dataValidation>
    <dataValidation type="list" allowBlank="1" sqref="H6:H18 H22:H34 H38:H50 H54:H66 H70:H82">
      <formula1>"OK,za łatwe,za trudne"</formula1>
    </dataValidation>
    <dataValidation type="list" allowBlank="1" sqref="C28">
      <formula1>LISTY!$C$28:$GT$28</formula1>
    </dataValidation>
    <dataValidation type="list" allowBlank="1" sqref="C74">
      <formula1>LISTY!$C$74:$GT$74</formula1>
    </dataValidation>
    <dataValidation type="list" allowBlank="1" sqref="H19 H35 H51 H67 H83">
      <formula1>"✓ ukończony"</formula1>
    </dataValidation>
    <dataValidation type="list" allowBlank="1" sqref="C60">
      <formula1>LISTY!$C$60:$GT$60</formula1>
    </dataValidation>
    <dataValidation type="list" allowBlank="1" sqref="C48">
      <formula1>LISTY!$C$48:$GT$48</formula1>
    </dataValidation>
    <dataValidation type="list" allowBlank="1" sqref="C27">
      <formula1>LISTY!$C$27:$GT$27</formula1>
    </dataValidation>
    <dataValidation type="list" allowBlank="1" sqref="C13">
      <formula1>LISTY!$C$13:$GT$13</formula1>
    </dataValidation>
    <dataValidation type="list" allowBlank="1" sqref="C31">
      <formula1>LISTY!$C$31:$GT$31</formula1>
    </dataValidation>
    <dataValidation type="list" allowBlank="1" sqref="C47">
      <formula1>LISTY!$C$47:$GT$47</formula1>
    </dataValidation>
    <dataValidation type="list" allowBlank="1" sqref="C65">
      <formula1>LISTY!$C$65:$GT$65</formula1>
    </dataValidation>
    <dataValidation type="list" allowBlank="1" sqref="C71">
      <formula1>LISTY!$C$71:$GT$71</formula1>
    </dataValidation>
    <dataValidation type="list" allowBlank="1" sqref="C7">
      <formula1>LISTY!$C$7:$GT$7</formula1>
    </dataValidation>
    <dataValidation type="list" allowBlank="1" sqref="C33">
      <formula1>LISTY!$C$33:$GT$33</formula1>
    </dataValidation>
    <dataValidation type="list" allowBlank="1" sqref="C76">
      <formula1>LISTY!$C$76:$GT$76</formula1>
    </dataValidation>
    <dataValidation type="list" allowBlank="1" sqref="C79">
      <formula1>LISTY!$C$79:$GT$79</formula1>
    </dataValidation>
    <dataValidation type="list" allowBlank="1" sqref="C16">
      <formula1>LISTY!$C$16:$GT$16</formula1>
    </dataValidation>
    <dataValidation type="list" allowBlank="1" sqref="C42">
      <formula1>LISTY!$C$42:$GT$42</formula1>
    </dataValidation>
    <dataValidation type="list" allowBlank="1" sqref="C62">
      <formula1>LISTY!$C$62:$GT$62</formula1>
    </dataValidation>
    <dataValidation type="list" allowBlank="1" sqref="C56">
      <formula1>LISTY!$C$56:$GT$56</formula1>
    </dataValidation>
    <dataValidation type="list" allowBlank="1" sqref="C15">
      <formula1>LISTY!$C$15:$GT$15</formula1>
    </dataValidation>
    <dataValidation type="list" allowBlank="1" sqref="C10">
      <formula1>LISTY!$C$10:$GT$10</formula1>
    </dataValidation>
    <dataValidation type="list" allowBlank="1" sqref="C82">
      <formula1>LISTY!$C$82:$GT$82</formula1>
    </dataValidation>
    <dataValidation type="list" allowBlank="1" sqref="C9">
      <formula1>LISTY!$C$9:$GT$9</formula1>
    </dataValidation>
    <dataValidation type="list" allowBlank="1" sqref="C29">
      <formula1>LISTY!$C$29:$GT$29</formula1>
    </dataValidation>
    <dataValidation type="list" allowBlank="1" sqref="C73">
      <formula1>LISTY!$C$73:$GT$73</formula1>
    </dataValidation>
    <dataValidation type="list" allowBlank="1" sqref="C81">
      <formula1>LISTY!$C$81:$GT$81</formula1>
    </dataValidation>
    <dataValidation type="list" allowBlank="1" sqref="C49">
      <formula1>LISTY!$C$49:$GT$49</formula1>
    </dataValidation>
    <dataValidation type="list" allowBlank="1" sqref="C30">
      <formula1>LISTY!$C$30:$GT$30</formula1>
    </dataValidation>
    <dataValidation type="list" allowBlank="1" sqref="J7:J18 J23:J34 J39:J50 J55:J66 J71:J82">
      <formula1>"Lower push,Lower pull,Upper push horizontal,Upper push vertical,Upper pull horizontal,Upper pull vertical,Core,Bicep,Tricep"</formula1>
    </dataValidation>
    <dataValidation type="list" allowBlank="1" sqref="C8">
      <formula1>LISTY!$C$8:$GT$8</formula1>
    </dataValidation>
    <dataValidation type="list" allowBlank="1" sqref="C24">
      <formula1>LISTY!$C$24:$GT$24</formula1>
    </dataValidation>
    <dataValidation type="list" allowBlank="1" sqref="C18">
      <formula1>LISTY!$C$18:$GT$18</formula1>
    </dataValidation>
    <dataValidation type="list" allowBlank="1" sqref="C50">
      <formula1>LISTY!$C$50:$GT$50</formula1>
    </dataValidation>
    <dataValidation type="list" allowBlank="1" sqref="C78">
      <formula1>LISTY!$C$78:$GT$78</formula1>
    </dataValidation>
    <dataValidation type="list" allowBlank="1" sqref="C44">
      <formula1>LISTY!$C$44:$GT$44</formula1>
    </dataValidation>
    <dataValidation type="list" allowBlank="1" sqref="C58">
      <formula1>LISTY!$C$58:$GT$58</formula1>
    </dataValidation>
    <dataValidation type="list" allowBlank="1" sqref="C64">
      <formula1>LISTY!$C$64:$GT$64</formula1>
    </dataValidation>
  </dataValidations>
  <printOptions/>
  <pageMargins bottom="1.0" footer="0.0" header="0.0" left="0.75" right="0.7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3A45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2"/>
  <cols>
    <col customWidth="1" min="1" max="1" width="7.0"/>
    <col customWidth="1" min="2" max="2" width="16.0"/>
    <col customWidth="1" min="3" max="3" width="32.0"/>
    <col customWidth="1" min="4" max="4" width="7.0"/>
    <col customWidth="1" min="5" max="5" width="13.0"/>
    <col customWidth="1" min="6" max="6" width="6.0"/>
    <col customWidth="1" min="7" max="7" width="12.0"/>
    <col customWidth="1" min="8" max="8" width="5.0"/>
    <col customWidth="1" min="9" max="9" width="7.0"/>
    <col customWidth="1" hidden="1" min="10" max="10" width="17.0"/>
    <col customWidth="1" hidden="1" min="11" max="26" width="11.0"/>
    <col customWidth="1" hidden="1" min="27" max="27" width="13.0"/>
  </cols>
  <sheetData>
    <row r="1" ht="30.0" customHeight="1">
      <c r="A1" s="2" t="s">
        <v>3</v>
      </c>
      <c r="B1" s="3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9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9.5" customHeight="1">
      <c r="A4" s="13" t="s">
        <v>8</v>
      </c>
      <c r="B4" s="13"/>
      <c r="C4" s="13" t="s">
        <v>10</v>
      </c>
      <c r="D4" s="13" t="s">
        <v>11</v>
      </c>
      <c r="E4" s="13" t="s">
        <v>12</v>
      </c>
      <c r="F4" s="13" t="s">
        <v>13</v>
      </c>
      <c r="G4" s="13" t="s">
        <v>14</v>
      </c>
      <c r="H4" s="13" t="s">
        <v>15</v>
      </c>
      <c r="I4" s="13" t="s">
        <v>17</v>
      </c>
      <c r="J4" s="14" t="s">
        <v>18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 t="s">
        <v>25</v>
      </c>
    </row>
    <row r="5" ht="25.5" customHeight="1" outlineLevel="1">
      <c r="A5" s="15" t="s">
        <v>23</v>
      </c>
      <c r="B5" s="3"/>
      <c r="C5" s="3"/>
      <c r="D5" s="3"/>
      <c r="E5" s="3"/>
      <c r="F5" s="3"/>
      <c r="G5" s="3"/>
      <c r="H5" s="3"/>
      <c r="I5" s="3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33.75" customHeight="1" outlineLevel="2">
      <c r="A6" s="17" t="str">
        <f>IF($B6="TOP SET","▲","")</f>
        <v>▲</v>
      </c>
      <c r="B6" s="19" t="str">
        <f>IF('T1'!$B6="TOP SET","TOP SET","—")</f>
        <v>TOP SET</v>
      </c>
      <c r="C6" s="22" t="str">
        <f>IF(OR($B6&lt;&gt;"TOP SET",$F6=""),"",IF(N($K6)=0,"",IF(INDEX($C$7:$C$18,$K6)="","",INDEX($C$7:$C$18,$K6))))</f>
      </c>
      <c r="D6" s="23">
        <f>IF(AND($B6="TOP SET",$F6&lt;&gt;""),1,"")</f>
      </c>
      <c r="E6" s="24" t="str">
        <f>IF(AND($B6="TOP SET",$F6&lt;&gt;""),"1 powtórzenie","")</f>
      </c>
      <c r="F6" s="25">
        <v>6.0</v>
      </c>
      <c r="G6" s="27" t="str">
        <f t="array" ref="G6">IF($B6&lt;&gt;"TOP SET","",IF($C6="","",IF(OR($Q6="masa ciała",$Q6="czas",$Q6="dystans",$Q6="ręczne ustawienie"),"—",IF($C6='T1'!$C6,IF(OR($R6="",$R6=0),"— brak 1RM",MROUND($R6*IFERROR(INDEX(TABELE!$B$4:$J$18,MATCH(1,TABELE!$A$4:$A$18,0),MATCH($F6,TABELE!$B$3:$J$3,0)),0)/100,MAX($P6,0.5))),IF(OR($AA6="",$AA6=0),"— ustaw ręcznie",MROUND($AA6*IFERROR(INDEX(TABELE!$B$4:$J$18,MATCH(1,TABELE!$A$4:$A$18,0),MATCH($F6,TABELE!$B$3:$J$3,0)),0)/100,MAX($P6,0.5)))))))</f>
      </c>
      <c r="H6" s="28"/>
      <c r="I6" s="29"/>
      <c r="J6" s="29"/>
      <c r="K6" s="5">
        <f>IFERROR(MATCH("A*",$A$7:$A$18,0),0)</f>
      </c>
      <c r="L6" s="5"/>
      <c r="M6" s="5"/>
      <c r="N6" s="5"/>
      <c r="O6" s="5"/>
      <c r="P6" s="5">
        <f>IF(N($K6)=0,"",INDEX($P$7:$P$18,$K6))</f>
      </c>
      <c r="Q6" s="5">
        <f>IF(N($K6)=0,"",INDEX($Q$7:$Q$18,$K6))</f>
      </c>
      <c r="R6" s="5">
        <f>IF(N($K6)=0,"",INDEX($R$7:$R$18,$K6))</f>
      </c>
      <c r="S6" s="5"/>
      <c r="T6" s="5"/>
      <c r="U6" s="5"/>
      <c r="V6" s="5"/>
      <c r="W6" s="5"/>
      <c r="X6" s="5"/>
      <c r="Y6" s="5"/>
      <c r="Z6" s="5"/>
      <c r="AA6" s="5">
        <f>IF(N($K6)=0,"",INDEX($AA$7:$AA$18,$K6))</f>
      </c>
    </row>
    <row r="7" ht="25.5" customHeight="1" outlineLevel="1">
      <c r="A7" s="18" t="str">
        <f>IF('T1'!$A7="","",'T1'!$A7)</f>
        <v>A1.</v>
      </c>
      <c r="B7" s="30"/>
      <c r="C7" s="31" t="str">
        <f>IF('T1'!$C7="","",'T1'!$C7)</f>
        <v/>
      </c>
      <c r="D7" s="32">
        <v>5.0</v>
      </c>
      <c r="E7" s="32">
        <v>6.0</v>
      </c>
      <c r="F7" s="33">
        <v>7.0</v>
      </c>
      <c r="G7" s="34" t="str">
        <f>IF($C7="","",IF(OR($Q7="masa ciała",$Q7="czas",$Q7="dystans",$Q7="ręczne ustawienie"),$Q7,IF($C7='T1'!$C7,IF(AND(LEFT($A7,1)&lt;&gt;"A",PRZEL_AKCESORIA="trzymaj z bloku"),IF(NOT(ISNUMBER('T1'!$G7)),'T1'!$G7,MROUND('T1'!$G7*$AC7/(MAX('T1'!$AC7,0.0001)),MAX($P7,0.5))),IF(OR($R7="",$R7=0),"— brak 1RM",MROUND($R7*$S7/100*$AC7,MAX($P7,0.5)))),IF(OR($AA7="",$AA7=0),"— ustaw ręcznie",MROUND($AA7*$S7/100*$AC7,MAX($P7,0.5))))))</f>
        <v/>
      </c>
      <c r="H7" s="35"/>
      <c r="I7" s="36" t="str">
        <f t="array" ref="I7">IFERROR(IF(IFERROR(INDEX(BAZA_FILM,MATCH($C7,BAZA_EX,0)),"")="","",HYPERLINK(IFERROR(INDEX(BAZA_FILM,MATCH($C7,BAZA_EX,0)),""),"film")),"")</f>
        <v/>
      </c>
      <c r="J7" s="37" t="str">
        <f>IF('T1'!$J7="","",'T1'!$J7)</f>
        <v/>
      </c>
      <c r="K7" s="5" t="s">
        <v>33</v>
      </c>
      <c r="L7" s="5" t="str">
        <f t="array" ref="L7">IFERROR(INDEX(BAZA_ID,MATCH($C7,BAZA_EX,0)),"")</f>
        <v/>
      </c>
      <c r="M7" s="5" t="str">
        <f t="array" ref="M7">IFERROR(INDEX(BAZA_PART,MATCH($C7,BAZA_EX,0)),"")</f>
        <v/>
      </c>
      <c r="N7" s="5" t="str">
        <f t="array" ref="N7">IFERROR(INDEX(BAZA_KAT,MATCH($C7,BAZA_EX,0)),"")</f>
        <v/>
      </c>
      <c r="O7" s="5" t="str">
        <f t="array" ref="O7">IFERROR(INDEX(BAZA_COEFF,MATCH($C7,BAZA_EX,0)),"")</f>
        <v/>
      </c>
      <c r="P7" s="5" t="str">
        <f t="array" ref="P7">IFERROR(INDEX(BAZA_SKOK,MATCH($C7,BAZA_EX,0)),"")</f>
        <v/>
      </c>
      <c r="Q7" s="5" t="str">
        <f t="array" ref="Q7">IFERROR(INDEX(BAZA_PROG,MATCH($C7,BAZA_EX,0)),"")</f>
        <v/>
      </c>
      <c r="R7" s="5" t="str">
        <f>IF($C7="","",IF(SUMPRODUCT((START!$B$6:$B$69=$C7)*(START!$M$6:$M$69&gt;0))=0,"",SUMPRODUCT(MAX((START!$B$6:$B$69=$C7)*START!$M$6:$M$69))))</f>
        <v/>
      </c>
      <c r="S7" s="5">
        <f t="array" ref="S7">IFERROR(INDEX(TABELE!$B$4:$J$18,MATCH($E7,TABELE!$A$4:$A$18,0),MATCH($F7,TABELE!$B$3:$J$3,0)),"")</f>
        <v>71.5</v>
      </c>
      <c r="T7" s="5">
        <f t="array" ref="T7">IFERROR(IF($C7="",0,$O7*$D7*INDEX(TABELE!$B$23:$P$33,MATCH($F7,TABELE!$A$23:$A$33,0),MATCH($E7,TABELE!$B$22:$P$22,0))),0)</f>
        <v>0</v>
      </c>
      <c r="U7" s="5">
        <f t="array" ref="U7">IFERROR(IF($C7="",0,$O7*$D7*INDEX(TABELE!$B$37:$P$47,MATCH($F7,TABELE!$A$37:$A$47,0),MATCH($E7,TABELE!$B$36:$P$36,0))),0)</f>
        <v>0</v>
      </c>
      <c r="V7" s="5">
        <f t="array" ref="V7">IFERROR(IF($C7="",0,$O7*$D7*INDEX(TABELE!$B$51:$P$61,MATCH($F7,TABELE!$A$51:$A$61,0),MATCH($E7,TABELE!$B$50:$P$50,0))),0)</f>
        <v>0</v>
      </c>
      <c r="W7" s="5" t="str">
        <f t="array" ref="W7">IFERROR(INDEX(BAZA_UWAGI,MATCH($C7,BAZA_EX,0)),"")</f>
        <v/>
      </c>
      <c r="X7" s="5">
        <f t="shared" ref="X7:X18" si="1">IF($A7="","",$Z7)</f>
        <v>1</v>
      </c>
      <c r="Y7" s="5" t="str">
        <f>IF($A7="","",LEFT($A7,1))</f>
        <v>A</v>
      </c>
      <c r="Z7" s="5">
        <f>IF($A7="",0,1)</f>
        <v>1</v>
      </c>
      <c r="AA7" s="5" t="str">
        <f>IF($C7="","",IF(SUMPRODUCT((START!$B$6:$B$69=$C7)*(START!$M$6:$M$69&gt;0))=0,"",SUMPRODUCT(MAX((START!$B$6:$B$69=$C7)*START!$M$6:$M$69))))</f>
        <v/>
      </c>
      <c r="AB7" s="5" t="str">
        <f t="shared" ref="AB7:AB18" si="2">IF($C7="","",IF($H7&lt;&gt;"",$H7,IF($H$19="✓ ukończony","OK","")))</f>
        <v/>
      </c>
      <c r="AC7" s="5">
        <f>MAX(0.85,MIN(1.15,1+0.05*(COUNTIF('T1'!$AB7,"za łatwe"))-0.05*(COUNTIF('T1'!$AB7,"za trudne"))))</f>
        <v>1</v>
      </c>
      <c r="AD7" s="5">
        <f t="shared" ref="AD7:AD18" si="3">IF(OR($Q7="masa ciała",$Q7="czas",$Q7="dystans",$Q7="ręczne ustawienie"),MAX(-3,MIN(3,ROUND(($AC7-1)/0.05,0))),0)</f>
        <v>0</v>
      </c>
    </row>
    <row r="8" ht="25.5" customHeight="1" outlineLevel="1">
      <c r="A8" s="18" t="str">
        <f>IF('T1'!$A8="","",'T1'!$A8)</f>
        <v>B1.</v>
      </c>
      <c r="B8" s="30"/>
      <c r="C8" s="31" t="str">
        <f>IF('T1'!$C8="","",'T1'!$C8)</f>
        <v>Allah</v>
      </c>
      <c r="D8" s="32">
        <v>3.0</v>
      </c>
      <c r="E8" s="39">
        <f>IF($C8="",0,MIN(15,MAX(1,IF(N($O8)&gt;=1,6,IF(N($O8)&gt;=0.75,IF(PRZEL_CZESC="część 1 (objętość)",8,6),IF(PRZEL_CZESC="część 1 (objętość)",10,8)))+1+$AD8)))</f>
        <v>11</v>
      </c>
      <c r="F8" s="33">
        <v>8.0</v>
      </c>
      <c r="G8" s="34" t="str">
        <f>IF($C8="","",IF(OR($Q8="masa ciała",$Q8="czas",$Q8="dystans",$Q8="ręczne ustawienie"),$Q8,IF($C8='T1'!$C8,IF(AND(LEFT($A8,1)&lt;&gt;"A",PRZEL_AKCESORIA="trzymaj z bloku"),IF(NOT(ISNUMBER('T1'!$G8)),'T1'!$G8,MROUND('T1'!$G8*$AC8/(MAX('T1'!$AC8,0.0001)),MAX($P8,0.5))),IF(OR($R8="",$R8=0),"— brak 1RM",MROUND($R8*$S8/100*$AC8,MAX($P8,0.5)))),IF(OR($AA8="",$AA8=0),"— ustaw ręcznie",MROUND($AA8*$S8/100*$AC8,MAX($P8,0.5))))))</f>
        <v/>
      </c>
      <c r="H8" s="35"/>
      <c r="I8" s="40" t="str">
        <f t="array" ref="I8">IFERROR(IF(IFERROR(INDEX(BAZA_FILM,MATCH($C8,BAZA_EX,0)),"")="","",HYPERLINK(IFERROR(INDEX(BAZA_FILM,MATCH($C8,BAZA_EX,0)),""),"film")),"")</f>
        <v>film</v>
      </c>
      <c r="J8" s="37" t="str">
        <f>IF('T1'!$J8="","",'T1'!$J8)</f>
        <v/>
      </c>
      <c r="K8" s="5" t="s">
        <v>46</v>
      </c>
      <c r="L8" s="5" t="str">
        <f t="array" ref="L8">IFERROR(INDEX(BAZA_ID,MATCH($C8,BAZA_EX,0)),"")</f>
        <v>EX-0003</v>
      </c>
      <c r="M8" s="5" t="str">
        <f t="array" ref="M8">IFERROR(INDEX(BAZA_PART,MATCH($C8,BAZA_EX,0)),"")</f>
        <v>c</v>
      </c>
      <c r="N8" s="5" t="str">
        <f t="array" ref="N8">IFERROR(INDEX(BAZA_KAT,MATCH($C8,BAZA_EX,0)),"")</f>
        <v>Core</v>
      </c>
      <c r="O8" s="5">
        <f t="array" ref="O8">IFERROR(INDEX(BAZA_COEFF,MATCH($C8,BAZA_EX,0)),"")</f>
        <v>0.5</v>
      </c>
      <c r="P8" s="5">
        <f t="array" ref="P8">IFERROR(INDEX(BAZA_SKOK,MATCH($C8,BAZA_EX,0)),"")</f>
        <v>2.5</v>
      </c>
      <c r="Q8" s="5" t="str">
        <f t="array" ref="Q8">IFERROR(INDEX(BAZA_PROG,MATCH($C8,BAZA_EX,0)),"")</f>
        <v>kg</v>
      </c>
      <c r="R8" s="5" t="str">
        <f>IF($C8="","",IF(SUMPRODUCT((START!$B$6:$B$69=$C8)*(START!$M$6:$M$69&gt;0))=0,"",SUMPRODUCT(MAX((START!$B$6:$B$69=$C8)*START!$M$6:$M$69))))</f>
        <v/>
      </c>
      <c r="S8" s="5">
        <f t="array" ref="S8">IFERROR(INDEX(TABELE!$B$4:$J$18,MATCH($E8,TABELE!$A$4:$A$18,0),MATCH($F8,TABELE!$B$3:$J$3,0)),"")</f>
        <v>64.5</v>
      </c>
      <c r="T8" s="5">
        <f t="array" ref="T8">IFERROR(IF($C8="",0,$O8*$D8*INDEX(TABELE!$B$23:$P$33,MATCH($F8,TABELE!$A$23:$A$33,0),MATCH($E8,TABELE!$B$22:$P$22,0))),0)</f>
        <v>1.05</v>
      </c>
      <c r="U8" s="5">
        <f t="array" ref="U8">IFERROR(IF($C8="",0,$O8*$D8*INDEX(TABELE!$B$37:$P$47,MATCH($F8,TABELE!$A$37:$A$47,0),MATCH($E8,TABELE!$B$36:$P$36,0))),0)</f>
        <v>0.45</v>
      </c>
      <c r="V8" s="5">
        <f t="array" ref="V8">IFERROR(IF($C8="",0,$O8*$D8*INDEX(TABELE!$B$51:$P$61,MATCH($F8,TABELE!$A$51:$A$61,0),MATCH($E8,TABELE!$B$50:$P$50,0))),0)</f>
        <v>1.65</v>
      </c>
      <c r="W8" s="5" t="str">
        <f t="array" ref="W8">IFERROR(INDEX(BAZA_UWAGI,MATCH($C8,BAZA_EX,0)),"")</f>
        <v/>
      </c>
      <c r="X8" s="5">
        <f t="shared" si="1"/>
        <v>2</v>
      </c>
      <c r="Y8" s="5" t="str">
        <f t="shared" ref="Y8:Y18" si="4">IF($A8="",$Y7,LEFT($A8,1))</f>
        <v>B</v>
      </c>
      <c r="Z8" s="5">
        <f t="shared" ref="Z8:Z18" si="5">IF($A8="",$Z7,IF(LEFT($A8,1)=$Y7,$Z7,$Z7+1))</f>
        <v>2</v>
      </c>
      <c r="AA8" s="5" t="str">
        <f>IF($C8="","",IF(SUMPRODUCT((START!$B$6:$B$69=$C8)*(START!$M$6:$M$69&gt;0))=0,"",SUMPRODUCT(MAX((START!$B$6:$B$69=$C8)*START!$M$6:$M$69))))</f>
        <v/>
      </c>
      <c r="AB8" s="5" t="str">
        <f t="shared" si="2"/>
        <v/>
      </c>
      <c r="AC8" s="5">
        <f>MAX(0.85,MIN(1.15,1+0.05*(COUNTIF('T1'!$AB8,"za łatwe"))-0.05*(COUNTIF('T1'!$AB8,"za trudne"))))</f>
        <v>1</v>
      </c>
      <c r="AD8" s="5">
        <f t="shared" si="3"/>
        <v>0</v>
      </c>
    </row>
    <row r="9" ht="25.5" customHeight="1" outlineLevel="1">
      <c r="A9" s="18" t="str">
        <f>IF('T1'!$A9="","",'T1'!$A9)</f>
        <v>B2.</v>
      </c>
      <c r="B9" s="30"/>
      <c r="C9" s="31" t="str">
        <f>IF('T1'!$C9="","",'T1'!$C9)</f>
        <v/>
      </c>
      <c r="D9" s="32">
        <v>3.0</v>
      </c>
      <c r="E9" s="39">
        <f>IF($C9="",0,MIN(15,MAX(1,IF(N($O9)&gt;=1,6,IF(N($O9)&gt;=0.75,IF(PRZEL_CZESC="część 1 (objętość)",8,6),IF(PRZEL_CZESC="część 1 (objętość)",10,8)))+1+$AD9)))</f>
        <v>0</v>
      </c>
      <c r="F9" s="33">
        <v>8.0</v>
      </c>
      <c r="G9" s="34" t="str">
        <f>IF($C9="","",IF(OR($Q9="masa ciała",$Q9="czas",$Q9="dystans",$Q9="ręczne ustawienie"),$Q9,IF($C9='T1'!$C9,IF(AND(LEFT($A9,1)&lt;&gt;"A",PRZEL_AKCESORIA="trzymaj z bloku"),IF(NOT(ISNUMBER('T1'!$G9)),'T1'!$G9,MROUND('T1'!$G9*$AC9/(MAX('T1'!$AC9,0.0001)),MAX($P9,0.5))),IF(OR($R9="",$R9=0),"— brak 1RM",MROUND($R9*$S9/100*$AC9,MAX($P9,0.5)))),IF(OR($AA9="",$AA9=0),"— ustaw ręcznie",MROUND($AA9*$S9/100*$AC9,MAX($P9,0.5))))))</f>
        <v/>
      </c>
      <c r="H9" s="35"/>
      <c r="I9" s="36" t="str">
        <f t="array" ref="I9">IFERROR(IF(IFERROR(INDEX(BAZA_FILM,MATCH($C9,BAZA_EX,0)),"")="","",HYPERLINK(IFERROR(INDEX(BAZA_FILM,MATCH($C9,BAZA_EX,0)),""),"film")),"")</f>
        <v/>
      </c>
      <c r="J9" s="37" t="str">
        <f>IF('T1'!$J9="","",'T1'!$J9)</f>
        <v/>
      </c>
      <c r="K9" s="5" t="s">
        <v>51</v>
      </c>
      <c r="L9" s="5" t="str">
        <f t="array" ref="L9">IFERROR(INDEX(BAZA_ID,MATCH($C9,BAZA_EX,0)),"")</f>
        <v/>
      </c>
      <c r="M9" s="5" t="str">
        <f t="array" ref="M9">IFERROR(INDEX(BAZA_PART,MATCH($C9,BAZA_EX,0)),"")</f>
        <v/>
      </c>
      <c r="N9" s="5" t="str">
        <f t="array" ref="N9">IFERROR(INDEX(BAZA_KAT,MATCH($C9,BAZA_EX,0)),"")</f>
        <v/>
      </c>
      <c r="O9" s="5" t="str">
        <f t="array" ref="O9">IFERROR(INDEX(BAZA_COEFF,MATCH($C9,BAZA_EX,0)),"")</f>
        <v/>
      </c>
      <c r="P9" s="5" t="str">
        <f t="array" ref="P9">IFERROR(INDEX(BAZA_SKOK,MATCH($C9,BAZA_EX,0)),"")</f>
        <v/>
      </c>
      <c r="Q9" s="5" t="str">
        <f t="array" ref="Q9">IFERROR(INDEX(BAZA_PROG,MATCH($C9,BAZA_EX,0)),"")</f>
        <v/>
      </c>
      <c r="R9" s="5" t="str">
        <f>IF($C9="","",IF(SUMPRODUCT((START!$B$6:$B$69=$C9)*(START!$M$6:$M$69&gt;0))=0,"",SUMPRODUCT(MAX((START!$B$6:$B$69=$C9)*START!$M$6:$M$69))))</f>
        <v/>
      </c>
      <c r="S9" s="5" t="str">
        <f t="array" ref="S9">IFERROR(INDEX(TABELE!$B$4:$J$18,MATCH($E9,TABELE!$A$4:$A$18,0),MATCH($F9,TABELE!$B$3:$J$3,0)),"")</f>
        <v/>
      </c>
      <c r="T9" s="5">
        <f t="array" ref="T9">IFERROR(IF($C9="",0,$O9*$D9*INDEX(TABELE!$B$23:$P$33,MATCH($F9,TABELE!$A$23:$A$33,0),MATCH($E9,TABELE!$B$22:$P$22,0))),0)</f>
        <v>0</v>
      </c>
      <c r="U9" s="5">
        <f t="array" ref="U9">IFERROR(IF($C9="",0,$O9*$D9*INDEX(TABELE!$B$37:$P$47,MATCH($F9,TABELE!$A$37:$A$47,0),MATCH($E9,TABELE!$B$36:$P$36,0))),0)</f>
        <v>0</v>
      </c>
      <c r="V9" s="5">
        <f t="array" ref="V9">IFERROR(IF($C9="",0,$O9*$D9*INDEX(TABELE!$B$51:$P$61,MATCH($F9,TABELE!$A$51:$A$61,0),MATCH($E9,TABELE!$B$50:$P$50,0))),0)</f>
        <v>0</v>
      </c>
      <c r="W9" s="5" t="str">
        <f t="array" ref="W9">IFERROR(INDEX(BAZA_UWAGI,MATCH($C9,BAZA_EX,0)),"")</f>
        <v/>
      </c>
      <c r="X9" s="5">
        <f t="shared" si="1"/>
        <v>2</v>
      </c>
      <c r="Y9" s="5" t="str">
        <f t="shared" si="4"/>
        <v>B</v>
      </c>
      <c r="Z9" s="5">
        <f t="shared" si="5"/>
        <v>2</v>
      </c>
      <c r="AA9" s="5" t="str">
        <f>IF($C9="","",IF(SUMPRODUCT((START!$B$6:$B$69=$C9)*(START!$M$6:$M$69&gt;0))=0,"",SUMPRODUCT(MAX((START!$B$6:$B$69=$C9)*START!$M$6:$M$69))))</f>
        <v/>
      </c>
      <c r="AB9" s="5" t="str">
        <f t="shared" si="2"/>
        <v/>
      </c>
      <c r="AC9" s="5">
        <f>MAX(0.85,MIN(1.15,1+0.05*(COUNTIF('T1'!$AB9,"za łatwe"))-0.05*(COUNTIF('T1'!$AB9,"za trudne"))))</f>
        <v>1</v>
      </c>
      <c r="AD9" s="5">
        <f t="shared" si="3"/>
        <v>0</v>
      </c>
    </row>
    <row r="10" ht="25.5" customHeight="1" outlineLevel="1">
      <c r="A10" s="18" t="str">
        <f>IF('T1'!$A10="","",'T1'!$A10)</f>
        <v>C1.</v>
      </c>
      <c r="B10" s="30"/>
      <c r="C10" s="31" t="str">
        <f>IF('T1'!$C10="","",'T1'!$C10)</f>
        <v/>
      </c>
      <c r="D10" s="32">
        <v>3.0</v>
      </c>
      <c r="E10" s="39">
        <f>IF($C10="",0,MIN(15,MAX(1,IF(N($O10)&gt;=1,6,IF(N($O10)&gt;=0.75,IF(PRZEL_CZESC="część 1 (objętość)",8,6),IF(PRZEL_CZESC="część 1 (objętość)",10,8)))+1+$AD10)))</f>
        <v>0</v>
      </c>
      <c r="F10" s="33">
        <v>8.0</v>
      </c>
      <c r="G10" s="34" t="str">
        <f>IF($C10="","",IF(OR($Q10="masa ciała",$Q10="czas",$Q10="dystans",$Q10="ręczne ustawienie"),$Q10,IF($C10='T1'!$C10,IF(AND(LEFT($A10,1)&lt;&gt;"A",PRZEL_AKCESORIA="trzymaj z bloku"),IF(NOT(ISNUMBER('T1'!$G10)),'T1'!$G10,MROUND('T1'!$G10*$AC10/(MAX('T1'!$AC10,0.0001)),MAX($P10,0.5))),IF(OR($R10="",$R10=0),"— brak 1RM",MROUND($R10*$S10/100*$AC10,MAX($P10,0.5)))),IF(OR($AA10="",$AA10=0),"— ustaw ręcznie",MROUND($AA10*$S10/100*$AC10,MAX($P10,0.5))))))</f>
        <v/>
      </c>
      <c r="H10" s="35"/>
      <c r="I10" s="36" t="str">
        <f t="array" ref="I10">IFERROR(IF(IFERROR(INDEX(BAZA_FILM,MATCH($C10,BAZA_EX,0)),"")="","",HYPERLINK(IFERROR(INDEX(BAZA_FILM,MATCH($C10,BAZA_EX,0)),""),"film")),"")</f>
        <v/>
      </c>
      <c r="J10" s="37" t="str">
        <f>IF('T1'!$J10="","",'T1'!$J10)</f>
        <v/>
      </c>
      <c r="K10" s="5" t="s">
        <v>57</v>
      </c>
      <c r="L10" s="5" t="str">
        <f t="array" ref="L10">IFERROR(INDEX(BAZA_ID,MATCH($C10,BAZA_EX,0)),"")</f>
        <v/>
      </c>
      <c r="M10" s="5" t="str">
        <f t="array" ref="M10">IFERROR(INDEX(BAZA_PART,MATCH($C10,BAZA_EX,0)),"")</f>
        <v/>
      </c>
      <c r="N10" s="5" t="str">
        <f t="array" ref="N10">IFERROR(INDEX(BAZA_KAT,MATCH($C10,BAZA_EX,0)),"")</f>
        <v/>
      </c>
      <c r="O10" s="5" t="str">
        <f t="array" ref="O10">IFERROR(INDEX(BAZA_COEFF,MATCH($C10,BAZA_EX,0)),"")</f>
        <v/>
      </c>
      <c r="P10" s="5" t="str">
        <f t="array" ref="P10">IFERROR(INDEX(BAZA_SKOK,MATCH($C10,BAZA_EX,0)),"")</f>
        <v/>
      </c>
      <c r="Q10" s="5" t="str">
        <f t="array" ref="Q10">IFERROR(INDEX(BAZA_PROG,MATCH($C10,BAZA_EX,0)),"")</f>
        <v/>
      </c>
      <c r="R10" s="5" t="str">
        <f>IF($C10="","",IF(SUMPRODUCT((START!$B$6:$B$69=$C10)*(START!$M$6:$M$69&gt;0))=0,"",SUMPRODUCT(MAX((START!$B$6:$B$69=$C10)*START!$M$6:$M$69))))</f>
        <v/>
      </c>
      <c r="S10" s="5" t="str">
        <f t="array" ref="S10">IFERROR(INDEX(TABELE!$B$4:$J$18,MATCH($E10,TABELE!$A$4:$A$18,0),MATCH($F10,TABELE!$B$3:$J$3,0)),"")</f>
        <v/>
      </c>
      <c r="T10" s="5">
        <f t="array" ref="T10">IFERROR(IF($C10="",0,$O10*$D10*INDEX(TABELE!$B$23:$P$33,MATCH($F10,TABELE!$A$23:$A$33,0),MATCH($E10,TABELE!$B$22:$P$22,0))),0)</f>
        <v>0</v>
      </c>
      <c r="U10" s="5">
        <f t="array" ref="U10">IFERROR(IF($C10="",0,$O10*$D10*INDEX(TABELE!$B$37:$P$47,MATCH($F10,TABELE!$A$37:$A$47,0),MATCH($E10,TABELE!$B$36:$P$36,0))),0)</f>
        <v>0</v>
      </c>
      <c r="V10" s="5">
        <f t="array" ref="V10">IFERROR(IF($C10="",0,$O10*$D10*INDEX(TABELE!$B$51:$P$61,MATCH($F10,TABELE!$A$51:$A$61,0),MATCH($E10,TABELE!$B$50:$P$50,0))),0)</f>
        <v>0</v>
      </c>
      <c r="W10" s="5" t="str">
        <f t="array" ref="W10">IFERROR(INDEX(BAZA_UWAGI,MATCH($C10,BAZA_EX,0)),"")</f>
        <v/>
      </c>
      <c r="X10" s="5">
        <f t="shared" si="1"/>
        <v>3</v>
      </c>
      <c r="Y10" s="5" t="str">
        <f t="shared" si="4"/>
        <v>C</v>
      </c>
      <c r="Z10" s="5">
        <f t="shared" si="5"/>
        <v>3</v>
      </c>
      <c r="AA10" s="5" t="str">
        <f>IF($C10="","",IF(SUMPRODUCT((START!$B$6:$B$69=$C10)*(START!$M$6:$M$69&gt;0))=0,"",SUMPRODUCT(MAX((START!$B$6:$B$69=$C10)*START!$M$6:$M$69))))</f>
        <v/>
      </c>
      <c r="AB10" s="5" t="str">
        <f t="shared" si="2"/>
        <v/>
      </c>
      <c r="AC10" s="5">
        <f>MAX(0.85,MIN(1.15,1+0.05*(COUNTIF('T1'!$AB10,"za łatwe"))-0.05*(COUNTIF('T1'!$AB10,"za trudne"))))</f>
        <v>1</v>
      </c>
      <c r="AD10" s="5">
        <f t="shared" si="3"/>
        <v>0</v>
      </c>
    </row>
    <row r="11" ht="25.5" customHeight="1" outlineLevel="1">
      <c r="A11" s="18" t="str">
        <f>IF('T1'!$A11="","",'T1'!$A11)</f>
        <v>C2.</v>
      </c>
      <c r="B11" s="30"/>
      <c r="C11" s="31" t="str">
        <f>IF('T1'!$C11="","",'T1'!$C11)</f>
        <v/>
      </c>
      <c r="D11" s="32">
        <v>3.0</v>
      </c>
      <c r="E11" s="39">
        <f>IF($C11="",0,MIN(15,MAX(1,IF(N($O11)&gt;=1,6,IF(N($O11)&gt;=0.75,IF(PRZEL_CZESC="część 1 (objętość)",8,6),IF(PRZEL_CZESC="część 1 (objętość)",10,8)))+1+$AD11)))</f>
        <v>0</v>
      </c>
      <c r="F11" s="33">
        <v>9.0</v>
      </c>
      <c r="G11" s="34" t="str">
        <f>IF($C11="","",IF(OR($Q11="masa ciała",$Q11="czas",$Q11="dystans",$Q11="ręczne ustawienie"),$Q11,IF($C11='T1'!$C11,IF(AND(LEFT($A11,1)&lt;&gt;"A",PRZEL_AKCESORIA="trzymaj z bloku"),IF(NOT(ISNUMBER('T1'!$G11)),'T1'!$G11,MROUND('T1'!$G11*$AC11/(MAX('T1'!$AC11,0.0001)),MAX($P11,0.5))),IF(OR($R11="",$R11=0),"— brak 1RM",MROUND($R11*$S11/100*$AC11,MAX($P11,0.5)))),IF(OR($AA11="",$AA11=0),"— ustaw ręcznie",MROUND($AA11*$S11/100*$AC11,MAX($P11,0.5))))))</f>
        <v/>
      </c>
      <c r="H11" s="35"/>
      <c r="I11" s="36" t="str">
        <f t="array" ref="I11">IFERROR(IF(IFERROR(INDEX(BAZA_FILM,MATCH($C11,BAZA_EX,0)),"")="","",HYPERLINK(IFERROR(INDEX(BAZA_FILM,MATCH($C11,BAZA_EX,0)),""),"film")),"")</f>
        <v/>
      </c>
      <c r="J11" s="37" t="str">
        <f>IF('T1'!$J11="","",'T1'!$J11)</f>
        <v/>
      </c>
      <c r="K11" s="5" t="s">
        <v>62</v>
      </c>
      <c r="L11" s="5" t="str">
        <f t="array" ref="L11">IFERROR(INDEX(BAZA_ID,MATCH($C11,BAZA_EX,0)),"")</f>
        <v/>
      </c>
      <c r="M11" s="5" t="str">
        <f t="array" ref="M11">IFERROR(INDEX(BAZA_PART,MATCH($C11,BAZA_EX,0)),"")</f>
        <v/>
      </c>
      <c r="N11" s="5" t="str">
        <f t="array" ref="N11">IFERROR(INDEX(BAZA_KAT,MATCH($C11,BAZA_EX,0)),"")</f>
        <v/>
      </c>
      <c r="O11" s="5" t="str">
        <f t="array" ref="O11">IFERROR(INDEX(BAZA_COEFF,MATCH($C11,BAZA_EX,0)),"")</f>
        <v/>
      </c>
      <c r="P11" s="5" t="str">
        <f t="array" ref="P11">IFERROR(INDEX(BAZA_SKOK,MATCH($C11,BAZA_EX,0)),"")</f>
        <v/>
      </c>
      <c r="Q11" s="5" t="str">
        <f t="array" ref="Q11">IFERROR(INDEX(BAZA_PROG,MATCH($C11,BAZA_EX,0)),"")</f>
        <v/>
      </c>
      <c r="R11" s="5" t="str">
        <f>IF($C11="","",IF(SUMPRODUCT((START!$B$6:$B$69=$C11)*(START!$M$6:$M$69&gt;0))=0,"",SUMPRODUCT(MAX((START!$B$6:$B$69=$C11)*START!$M$6:$M$69))))</f>
        <v/>
      </c>
      <c r="S11" s="5" t="str">
        <f t="array" ref="S11">IFERROR(INDEX(TABELE!$B$4:$J$18,MATCH($E11,TABELE!$A$4:$A$18,0),MATCH($F11,TABELE!$B$3:$J$3,0)),"")</f>
        <v/>
      </c>
      <c r="T11" s="5">
        <f t="array" ref="T11">IFERROR(IF($C11="",0,$O11*$D11*INDEX(TABELE!$B$23:$P$33,MATCH($F11,TABELE!$A$23:$A$33,0),MATCH($E11,TABELE!$B$22:$P$22,0))),0)</f>
        <v>0</v>
      </c>
      <c r="U11" s="5">
        <f t="array" ref="U11">IFERROR(IF($C11="",0,$O11*$D11*INDEX(TABELE!$B$37:$P$47,MATCH($F11,TABELE!$A$37:$A$47,0),MATCH($E11,TABELE!$B$36:$P$36,0))),0)</f>
        <v>0</v>
      </c>
      <c r="V11" s="5">
        <f t="array" ref="V11">IFERROR(IF($C11="",0,$O11*$D11*INDEX(TABELE!$B$51:$P$61,MATCH($F11,TABELE!$A$51:$A$61,0),MATCH($E11,TABELE!$B$50:$P$50,0))),0)</f>
        <v>0</v>
      </c>
      <c r="W11" s="5" t="str">
        <f t="array" ref="W11">IFERROR(INDEX(BAZA_UWAGI,MATCH($C11,BAZA_EX,0)),"")</f>
        <v/>
      </c>
      <c r="X11" s="5">
        <f t="shared" si="1"/>
        <v>3</v>
      </c>
      <c r="Y11" s="5" t="str">
        <f t="shared" si="4"/>
        <v>C</v>
      </c>
      <c r="Z11" s="5">
        <f t="shared" si="5"/>
        <v>3</v>
      </c>
      <c r="AA11" s="5" t="str">
        <f>IF($C11="","",IF(SUMPRODUCT((START!$B$6:$B$69=$C11)*(START!$M$6:$M$69&gt;0))=0,"",SUMPRODUCT(MAX((START!$B$6:$B$69=$C11)*START!$M$6:$M$69))))</f>
        <v/>
      </c>
      <c r="AB11" s="5" t="str">
        <f t="shared" si="2"/>
        <v/>
      </c>
      <c r="AC11" s="5">
        <f>MAX(0.85,MIN(1.15,1+0.05*(COUNTIF('T1'!$AB11,"za łatwe"))-0.05*(COUNTIF('T1'!$AB11,"za trudne"))))</f>
        <v>1</v>
      </c>
      <c r="AD11" s="5">
        <f t="shared" si="3"/>
        <v>0</v>
      </c>
    </row>
    <row r="12" ht="25.5" customHeight="1" outlineLevel="1">
      <c r="A12" s="18" t="str">
        <f>IF('T1'!$A12="","",'T1'!$A12)</f>
        <v>D1.</v>
      </c>
      <c r="B12" s="30"/>
      <c r="C12" s="31" t="str">
        <f>IF('T1'!$C12="","",'T1'!$C12)</f>
        <v/>
      </c>
      <c r="D12" s="32">
        <v>3.0</v>
      </c>
      <c r="E12" s="39">
        <f>IF($C12="",0,MIN(15,MAX(1,IF(N($O12)&gt;=1,6,IF(N($O12)&gt;=0.75,IF(PRZEL_CZESC="część 1 (objętość)",8,6),IF(PRZEL_CZESC="część 1 (objętość)",10,8)))+1+$AD12)))</f>
        <v>0</v>
      </c>
      <c r="F12" s="33">
        <v>8.0</v>
      </c>
      <c r="G12" s="34" t="str">
        <f>IF($C12="","",IF(OR($Q12="masa ciała",$Q12="czas",$Q12="dystans",$Q12="ręczne ustawienie"),$Q12,IF($C12='T1'!$C12,IF(AND(LEFT($A12,1)&lt;&gt;"A",PRZEL_AKCESORIA="trzymaj z bloku"),IF(NOT(ISNUMBER('T1'!$G12)),'T1'!$G12,MROUND('T1'!$G12*$AC12/(MAX('T1'!$AC12,0.0001)),MAX($P12,0.5))),IF(OR($R12="",$R12=0),"— brak 1RM",MROUND($R12*$S12/100*$AC12,MAX($P12,0.5)))),IF(OR($AA12="",$AA12=0),"— ustaw ręcznie",MROUND($AA12*$S12/100*$AC12,MAX($P12,0.5))))))</f>
        <v/>
      </c>
      <c r="H12" s="35"/>
      <c r="I12" s="36" t="str">
        <f t="array" ref="I12">IFERROR(IF(IFERROR(INDEX(BAZA_FILM,MATCH($C12,BAZA_EX,0)),"")="","",HYPERLINK(IFERROR(INDEX(BAZA_FILM,MATCH($C12,BAZA_EX,0)),""),"film")),"")</f>
        <v/>
      </c>
      <c r="J12" s="37" t="str">
        <f>IF('T1'!$J12="","",'T1'!$J12)</f>
        <v/>
      </c>
      <c r="K12" s="5" t="s">
        <v>63</v>
      </c>
      <c r="L12" s="5" t="str">
        <f t="array" ref="L12">IFERROR(INDEX(BAZA_ID,MATCH($C12,BAZA_EX,0)),"")</f>
        <v/>
      </c>
      <c r="M12" s="5" t="str">
        <f t="array" ref="M12">IFERROR(INDEX(BAZA_PART,MATCH($C12,BAZA_EX,0)),"")</f>
        <v/>
      </c>
      <c r="N12" s="5" t="str">
        <f t="array" ref="N12">IFERROR(INDEX(BAZA_KAT,MATCH($C12,BAZA_EX,0)),"")</f>
        <v/>
      </c>
      <c r="O12" s="5" t="str">
        <f t="array" ref="O12">IFERROR(INDEX(BAZA_COEFF,MATCH($C12,BAZA_EX,0)),"")</f>
        <v/>
      </c>
      <c r="P12" s="5" t="str">
        <f t="array" ref="P12">IFERROR(INDEX(BAZA_SKOK,MATCH($C12,BAZA_EX,0)),"")</f>
        <v/>
      </c>
      <c r="Q12" s="5" t="str">
        <f t="array" ref="Q12">IFERROR(INDEX(BAZA_PROG,MATCH($C12,BAZA_EX,0)),"")</f>
        <v/>
      </c>
      <c r="R12" s="5" t="str">
        <f>IF($C12="","",IF(SUMPRODUCT((START!$B$6:$B$69=$C12)*(START!$M$6:$M$69&gt;0))=0,"",SUMPRODUCT(MAX((START!$B$6:$B$69=$C12)*START!$M$6:$M$69))))</f>
        <v/>
      </c>
      <c r="S12" s="5" t="str">
        <f t="array" ref="S12">IFERROR(INDEX(TABELE!$B$4:$J$18,MATCH($E12,TABELE!$A$4:$A$18,0),MATCH($F12,TABELE!$B$3:$J$3,0)),"")</f>
        <v/>
      </c>
      <c r="T12" s="5">
        <f t="array" ref="T12">IFERROR(IF($C12="",0,$O12*$D12*INDEX(TABELE!$B$23:$P$33,MATCH($F12,TABELE!$A$23:$A$33,0),MATCH($E12,TABELE!$B$22:$P$22,0))),0)</f>
        <v>0</v>
      </c>
      <c r="U12" s="5">
        <f t="array" ref="U12">IFERROR(IF($C12="",0,$O12*$D12*INDEX(TABELE!$B$37:$P$47,MATCH($F12,TABELE!$A$37:$A$47,0),MATCH($E12,TABELE!$B$36:$P$36,0))),0)</f>
        <v>0</v>
      </c>
      <c r="V12" s="5">
        <f t="array" ref="V12">IFERROR(IF($C12="",0,$O12*$D12*INDEX(TABELE!$B$51:$P$61,MATCH($F12,TABELE!$A$51:$A$61,0),MATCH($E12,TABELE!$B$50:$P$50,0))),0)</f>
        <v>0</v>
      </c>
      <c r="W12" s="5" t="str">
        <f t="array" ref="W12">IFERROR(INDEX(BAZA_UWAGI,MATCH($C12,BAZA_EX,0)),"")</f>
        <v/>
      </c>
      <c r="X12" s="5">
        <f t="shared" si="1"/>
        <v>4</v>
      </c>
      <c r="Y12" s="5" t="str">
        <f t="shared" si="4"/>
        <v>D</v>
      </c>
      <c r="Z12" s="5">
        <f t="shared" si="5"/>
        <v>4</v>
      </c>
      <c r="AA12" s="5" t="str">
        <f>IF($C12="","",IF(SUMPRODUCT((START!$B$6:$B$69=$C12)*(START!$M$6:$M$69&gt;0))=0,"",SUMPRODUCT(MAX((START!$B$6:$B$69=$C12)*START!$M$6:$M$69))))</f>
        <v/>
      </c>
      <c r="AB12" s="5" t="str">
        <f t="shared" si="2"/>
        <v/>
      </c>
      <c r="AC12" s="5">
        <f>MAX(0.85,MIN(1.15,1+0.05*(COUNTIF('T1'!$AB12,"za łatwe"))-0.05*(COUNTIF('T1'!$AB12,"za trudne"))))</f>
        <v>1</v>
      </c>
      <c r="AD12" s="5">
        <f t="shared" si="3"/>
        <v>0</v>
      </c>
    </row>
    <row r="13" ht="25.5" customHeight="1" outlineLevel="1">
      <c r="A13" s="18" t="str">
        <f>IF('T1'!$A13="","",'T1'!$A13)</f>
        <v>D2.</v>
      </c>
      <c r="B13" s="30"/>
      <c r="C13" s="31" t="str">
        <f>IF('T1'!$C13="","",'T1'!$C13)</f>
        <v/>
      </c>
      <c r="D13" s="32">
        <v>3.0</v>
      </c>
      <c r="E13" s="39">
        <f>IF($C13="",0,MIN(15,MAX(1,IF(N($O13)&gt;=1,6,IF(N($O13)&gt;=0.75,IF(PRZEL_CZESC="część 1 (objętość)",8,6),IF(PRZEL_CZESC="część 1 (objętość)",10,8)))+1+$AD13)))</f>
        <v>0</v>
      </c>
      <c r="F13" s="33">
        <v>9.0</v>
      </c>
      <c r="G13" s="34" t="str">
        <f>IF($C13="","",IF(OR($Q13="masa ciała",$Q13="czas",$Q13="dystans",$Q13="ręczne ustawienie"),$Q13,IF($C13='T1'!$C13,IF(AND(LEFT($A13,1)&lt;&gt;"A",PRZEL_AKCESORIA="trzymaj z bloku"),IF(NOT(ISNUMBER('T1'!$G13)),'T1'!$G13,MROUND('T1'!$G13*$AC13/(MAX('T1'!$AC13,0.0001)),MAX($P13,0.5))),IF(OR($R13="",$R13=0),"— brak 1RM",MROUND($R13*$S13/100*$AC13,MAX($P13,0.5)))),IF(OR($AA13="",$AA13=0),"— ustaw ręcznie",MROUND($AA13*$S13/100*$AC13,MAX($P13,0.5))))))</f>
        <v/>
      </c>
      <c r="H13" s="35"/>
      <c r="I13" s="36" t="str">
        <f t="array" ref="I13">IFERROR(IF(IFERROR(INDEX(BAZA_FILM,MATCH($C13,BAZA_EX,0)),"")="","",HYPERLINK(IFERROR(INDEX(BAZA_FILM,MATCH($C13,BAZA_EX,0)),""),"film")),"")</f>
        <v/>
      </c>
      <c r="J13" s="37" t="str">
        <f>IF('T1'!$J13="","",'T1'!$J13)</f>
        <v/>
      </c>
      <c r="K13" s="5" t="s">
        <v>66</v>
      </c>
      <c r="L13" s="5" t="str">
        <f t="array" ref="L13">IFERROR(INDEX(BAZA_ID,MATCH($C13,BAZA_EX,0)),"")</f>
        <v/>
      </c>
      <c r="M13" s="5" t="str">
        <f t="array" ref="M13">IFERROR(INDEX(BAZA_PART,MATCH($C13,BAZA_EX,0)),"")</f>
        <v/>
      </c>
      <c r="N13" s="5" t="str">
        <f t="array" ref="N13">IFERROR(INDEX(BAZA_KAT,MATCH($C13,BAZA_EX,0)),"")</f>
        <v/>
      </c>
      <c r="O13" s="5" t="str">
        <f t="array" ref="O13">IFERROR(INDEX(BAZA_COEFF,MATCH($C13,BAZA_EX,0)),"")</f>
        <v/>
      </c>
      <c r="P13" s="5" t="str">
        <f t="array" ref="P13">IFERROR(INDEX(BAZA_SKOK,MATCH($C13,BAZA_EX,0)),"")</f>
        <v/>
      </c>
      <c r="Q13" s="5" t="str">
        <f t="array" ref="Q13">IFERROR(INDEX(BAZA_PROG,MATCH($C13,BAZA_EX,0)),"")</f>
        <v/>
      </c>
      <c r="R13" s="5" t="str">
        <f>IF($C13="","",IF(SUMPRODUCT((START!$B$6:$B$69=$C13)*(START!$M$6:$M$69&gt;0))=0,"",SUMPRODUCT(MAX((START!$B$6:$B$69=$C13)*START!$M$6:$M$69))))</f>
        <v/>
      </c>
      <c r="S13" s="5" t="str">
        <f t="array" ref="S13">IFERROR(INDEX(TABELE!$B$4:$J$18,MATCH($E13,TABELE!$A$4:$A$18,0),MATCH($F13,TABELE!$B$3:$J$3,0)),"")</f>
        <v/>
      </c>
      <c r="T13" s="5">
        <f t="array" ref="T13">IFERROR(IF($C13="",0,$O13*$D13*INDEX(TABELE!$B$23:$P$33,MATCH($F13,TABELE!$A$23:$A$33,0),MATCH($E13,TABELE!$B$22:$P$22,0))),0)</f>
        <v>0</v>
      </c>
      <c r="U13" s="5">
        <f t="array" ref="U13">IFERROR(IF($C13="",0,$O13*$D13*INDEX(TABELE!$B$37:$P$47,MATCH($F13,TABELE!$A$37:$A$47,0),MATCH($E13,TABELE!$B$36:$P$36,0))),0)</f>
        <v>0</v>
      </c>
      <c r="V13" s="5">
        <f t="array" ref="V13">IFERROR(IF($C13="",0,$O13*$D13*INDEX(TABELE!$B$51:$P$61,MATCH($F13,TABELE!$A$51:$A$61,0),MATCH($E13,TABELE!$B$50:$P$50,0))),0)</f>
        <v>0</v>
      </c>
      <c r="W13" s="5" t="str">
        <f t="array" ref="W13">IFERROR(INDEX(BAZA_UWAGI,MATCH($C13,BAZA_EX,0)),"")</f>
        <v/>
      </c>
      <c r="X13" s="5">
        <f t="shared" si="1"/>
        <v>4</v>
      </c>
      <c r="Y13" s="5" t="str">
        <f t="shared" si="4"/>
        <v>D</v>
      </c>
      <c r="Z13" s="5">
        <f t="shared" si="5"/>
        <v>4</v>
      </c>
      <c r="AA13" s="5" t="str">
        <f>IF($C13="","",IF(SUMPRODUCT((START!$B$6:$B$69=$C13)*(START!$M$6:$M$69&gt;0))=0,"",SUMPRODUCT(MAX((START!$B$6:$B$69=$C13)*START!$M$6:$M$69))))</f>
        <v/>
      </c>
      <c r="AB13" s="5" t="str">
        <f t="shared" si="2"/>
        <v/>
      </c>
      <c r="AC13" s="5">
        <f>MAX(0.85,MIN(1.15,1+0.05*(COUNTIF('T1'!$AB13,"za łatwe"))-0.05*(COUNTIF('T1'!$AB13,"za trudne"))))</f>
        <v>1</v>
      </c>
      <c r="AD13" s="5">
        <f t="shared" si="3"/>
        <v>0</v>
      </c>
    </row>
    <row r="14" ht="25.5" customHeight="1" outlineLevel="1">
      <c r="A14" s="18" t="str">
        <f>IF('T1'!$A14="","",'T1'!$A14)</f>
        <v>E1.</v>
      </c>
      <c r="B14" s="30"/>
      <c r="C14" s="31" t="str">
        <f>IF('T1'!$C14="","",'T1'!$C14)</f>
        <v/>
      </c>
      <c r="D14" s="32"/>
      <c r="E14" s="39">
        <f>IF($C14="",0,MIN(15,MAX(1,IF(N($O14)&gt;=1,6,IF(N($O14)&gt;=0.75,IF(PRZEL_CZESC="część 1 (objętość)",8,6),IF(PRZEL_CZESC="część 1 (objętość)",10,8)))+1+$AD14)))</f>
        <v>0</v>
      </c>
      <c r="F14" s="33"/>
      <c r="G14" s="34" t="str">
        <f>IF($C14="","",IF(OR($Q14="masa ciała",$Q14="czas",$Q14="dystans",$Q14="ręczne ustawienie"),$Q14,IF($C14='T1'!$C14,IF(AND(LEFT($A14,1)&lt;&gt;"A",PRZEL_AKCESORIA="trzymaj z bloku"),IF(NOT(ISNUMBER('T1'!$G14)),'T1'!$G14,MROUND('T1'!$G14*$AC14/(MAX('T1'!$AC14,0.0001)),MAX($P14,0.5))),IF(OR($R14="",$R14=0),"— brak 1RM",MROUND($R14*$S14/100*$AC14,MAX($P14,0.5)))),IF(OR($AA14="",$AA14=0),"— ustaw ręcznie",MROUND($AA14*$S14/100*$AC14,MAX($P14,0.5))))))</f>
        <v/>
      </c>
      <c r="H14" s="35"/>
      <c r="I14" s="36" t="str">
        <f t="array" ref="I14">IFERROR(IF(IFERROR(INDEX(BAZA_FILM,MATCH($C14,BAZA_EX,0)),"")="","",HYPERLINK(IFERROR(INDEX(BAZA_FILM,MATCH($C14,BAZA_EX,0)),""),"film")),"")</f>
        <v/>
      </c>
      <c r="J14" s="37" t="str">
        <f>IF('T1'!$J14="","",'T1'!$J14)</f>
        <v/>
      </c>
      <c r="K14" s="5" t="s">
        <v>67</v>
      </c>
      <c r="L14" s="5" t="str">
        <f t="array" ref="L14">IFERROR(INDEX(BAZA_ID,MATCH($C14,BAZA_EX,0)),"")</f>
        <v/>
      </c>
      <c r="M14" s="5" t="str">
        <f t="array" ref="M14">IFERROR(INDEX(BAZA_PART,MATCH($C14,BAZA_EX,0)),"")</f>
        <v/>
      </c>
      <c r="N14" s="5" t="str">
        <f t="array" ref="N14">IFERROR(INDEX(BAZA_KAT,MATCH($C14,BAZA_EX,0)),"")</f>
        <v/>
      </c>
      <c r="O14" s="5" t="str">
        <f t="array" ref="O14">IFERROR(INDEX(BAZA_COEFF,MATCH($C14,BAZA_EX,0)),"")</f>
        <v/>
      </c>
      <c r="P14" s="5" t="str">
        <f t="array" ref="P14">IFERROR(INDEX(BAZA_SKOK,MATCH($C14,BAZA_EX,0)),"")</f>
        <v/>
      </c>
      <c r="Q14" s="5" t="str">
        <f t="array" ref="Q14">IFERROR(INDEX(BAZA_PROG,MATCH($C14,BAZA_EX,0)),"")</f>
        <v/>
      </c>
      <c r="R14" s="5" t="str">
        <f>IF($C14="","",IF(SUMPRODUCT((START!$B$6:$B$69=$C14)*(START!$M$6:$M$69&gt;0))=0,"",SUMPRODUCT(MAX((START!$B$6:$B$69=$C14)*START!$M$6:$M$69))))</f>
        <v/>
      </c>
      <c r="S14" s="5" t="str">
        <f t="array" ref="S14">IFERROR(INDEX(TABELE!$B$4:$J$18,MATCH($E14,TABELE!$A$4:$A$18,0),MATCH($F14,TABELE!$B$3:$J$3,0)),"")</f>
        <v/>
      </c>
      <c r="T14" s="5">
        <f t="array" ref="T14">IFERROR(IF($C14="",0,$O14*$D14*INDEX(TABELE!$B$23:$P$33,MATCH($F14,TABELE!$A$23:$A$33,0),MATCH($E14,TABELE!$B$22:$P$22,0))),0)</f>
        <v>0</v>
      </c>
      <c r="U14" s="5">
        <f t="array" ref="U14">IFERROR(IF($C14="",0,$O14*$D14*INDEX(TABELE!$B$37:$P$47,MATCH($F14,TABELE!$A$37:$A$47,0),MATCH($E14,TABELE!$B$36:$P$36,0))),0)</f>
        <v>0</v>
      </c>
      <c r="V14" s="5">
        <f t="array" ref="V14">IFERROR(IF($C14="",0,$O14*$D14*INDEX(TABELE!$B$51:$P$61,MATCH($F14,TABELE!$A$51:$A$61,0),MATCH($E14,TABELE!$B$50:$P$50,0))),0)</f>
        <v>0</v>
      </c>
      <c r="W14" s="5" t="str">
        <f t="array" ref="W14">IFERROR(INDEX(BAZA_UWAGI,MATCH($C14,BAZA_EX,0)),"")</f>
        <v/>
      </c>
      <c r="X14" s="5">
        <f t="shared" si="1"/>
        <v>5</v>
      </c>
      <c r="Y14" s="5" t="str">
        <f t="shared" si="4"/>
        <v>E</v>
      </c>
      <c r="Z14" s="5">
        <f t="shared" si="5"/>
        <v>5</v>
      </c>
      <c r="AA14" s="5" t="str">
        <f>IF($C14="","",IF(SUMPRODUCT((START!$B$6:$B$69=$C14)*(START!$M$6:$M$69&gt;0))=0,"",SUMPRODUCT(MAX((START!$B$6:$B$69=$C14)*START!$M$6:$M$69))))</f>
        <v/>
      </c>
      <c r="AB14" s="5" t="str">
        <f t="shared" si="2"/>
        <v/>
      </c>
      <c r="AC14" s="5">
        <f>MAX(0.85,MIN(1.15,1+0.05*(COUNTIF('T1'!$AB14,"za łatwe"))-0.05*(COUNTIF('T1'!$AB14,"za trudne"))))</f>
        <v>1</v>
      </c>
      <c r="AD14" s="5">
        <f t="shared" si="3"/>
        <v>0</v>
      </c>
    </row>
    <row r="15" ht="25.5" customHeight="1" outlineLevel="1">
      <c r="A15" s="18" t="str">
        <f>IF('T1'!$A15="","",'T1'!$A15)</f>
        <v>E2.</v>
      </c>
      <c r="B15" s="30"/>
      <c r="C15" s="31" t="str">
        <f>IF('T1'!$C15="","",'T1'!$C15)</f>
        <v/>
      </c>
      <c r="D15" s="32"/>
      <c r="E15" s="39">
        <f>IF($C15="",0,MIN(15,MAX(1,IF(N($O15)&gt;=1,6,IF(N($O15)&gt;=0.75,IF(PRZEL_CZESC="część 1 (objętość)",8,6),IF(PRZEL_CZESC="część 1 (objętość)",10,8)))+1+$AD15)))</f>
        <v>0</v>
      </c>
      <c r="F15" s="33"/>
      <c r="G15" s="34" t="str">
        <f>IF($C15="","",IF(OR($Q15="masa ciała",$Q15="czas",$Q15="dystans",$Q15="ręczne ustawienie"),$Q15,IF($C15='T1'!$C15,IF(AND(LEFT($A15,1)&lt;&gt;"A",PRZEL_AKCESORIA="trzymaj z bloku"),IF(NOT(ISNUMBER('T1'!$G15)),'T1'!$G15,MROUND('T1'!$G15*$AC15/(MAX('T1'!$AC15,0.0001)),MAX($P15,0.5))),IF(OR($R15="",$R15=0),"— brak 1RM",MROUND($R15*$S15/100*$AC15,MAX($P15,0.5)))),IF(OR($AA15="",$AA15=0),"— ustaw ręcznie",MROUND($AA15*$S15/100*$AC15,MAX($P15,0.5))))))</f>
        <v/>
      </c>
      <c r="H15" s="35"/>
      <c r="I15" s="36" t="str">
        <f t="array" ref="I15">IFERROR(IF(IFERROR(INDEX(BAZA_FILM,MATCH($C15,BAZA_EX,0)),"")="","",HYPERLINK(IFERROR(INDEX(BAZA_FILM,MATCH($C15,BAZA_EX,0)),""),"film")),"")</f>
        <v/>
      </c>
      <c r="J15" s="37" t="str">
        <f>IF('T1'!$J15="","",'T1'!$J15)</f>
        <v/>
      </c>
      <c r="K15" s="5" t="s">
        <v>68</v>
      </c>
      <c r="L15" s="5" t="str">
        <f t="array" ref="L15">IFERROR(INDEX(BAZA_ID,MATCH($C15,BAZA_EX,0)),"")</f>
        <v/>
      </c>
      <c r="M15" s="5" t="str">
        <f t="array" ref="M15">IFERROR(INDEX(BAZA_PART,MATCH($C15,BAZA_EX,0)),"")</f>
        <v/>
      </c>
      <c r="N15" s="5" t="str">
        <f t="array" ref="N15">IFERROR(INDEX(BAZA_KAT,MATCH($C15,BAZA_EX,0)),"")</f>
        <v/>
      </c>
      <c r="O15" s="5" t="str">
        <f t="array" ref="O15">IFERROR(INDEX(BAZA_COEFF,MATCH($C15,BAZA_EX,0)),"")</f>
        <v/>
      </c>
      <c r="P15" s="5" t="str">
        <f t="array" ref="P15">IFERROR(INDEX(BAZA_SKOK,MATCH($C15,BAZA_EX,0)),"")</f>
        <v/>
      </c>
      <c r="Q15" s="5" t="str">
        <f t="array" ref="Q15">IFERROR(INDEX(BAZA_PROG,MATCH($C15,BAZA_EX,0)),"")</f>
        <v/>
      </c>
      <c r="R15" s="5" t="str">
        <f>IF($C15="","",IF(SUMPRODUCT((START!$B$6:$B$69=$C15)*(START!$M$6:$M$69&gt;0))=0,"",SUMPRODUCT(MAX((START!$B$6:$B$69=$C15)*START!$M$6:$M$69))))</f>
        <v/>
      </c>
      <c r="S15" s="5" t="str">
        <f t="array" ref="S15">IFERROR(INDEX(TABELE!$B$4:$J$18,MATCH($E15,TABELE!$A$4:$A$18,0),MATCH($F15,TABELE!$B$3:$J$3,0)),"")</f>
        <v/>
      </c>
      <c r="T15" s="5">
        <f t="array" ref="T15">IFERROR(IF($C15="",0,$O15*$D15*INDEX(TABELE!$B$23:$P$33,MATCH($F15,TABELE!$A$23:$A$33,0),MATCH($E15,TABELE!$B$22:$P$22,0))),0)</f>
        <v>0</v>
      </c>
      <c r="U15" s="5">
        <f t="array" ref="U15">IFERROR(IF($C15="",0,$O15*$D15*INDEX(TABELE!$B$37:$P$47,MATCH($F15,TABELE!$A$37:$A$47,0),MATCH($E15,TABELE!$B$36:$P$36,0))),0)</f>
        <v>0</v>
      </c>
      <c r="V15" s="5">
        <f t="array" ref="V15">IFERROR(IF($C15="",0,$O15*$D15*INDEX(TABELE!$B$51:$P$61,MATCH($F15,TABELE!$A$51:$A$61,0),MATCH($E15,TABELE!$B$50:$P$50,0))),0)</f>
        <v>0</v>
      </c>
      <c r="W15" s="5" t="str">
        <f t="array" ref="W15">IFERROR(INDEX(BAZA_UWAGI,MATCH($C15,BAZA_EX,0)),"")</f>
        <v/>
      </c>
      <c r="X15" s="5">
        <f t="shared" si="1"/>
        <v>5</v>
      </c>
      <c r="Y15" s="5" t="str">
        <f t="shared" si="4"/>
        <v>E</v>
      </c>
      <c r="Z15" s="5">
        <f t="shared" si="5"/>
        <v>5</v>
      </c>
      <c r="AA15" s="5" t="str">
        <f>IF($C15="","",IF(SUMPRODUCT((START!$B$6:$B$69=$C15)*(START!$M$6:$M$69&gt;0))=0,"",SUMPRODUCT(MAX((START!$B$6:$B$69=$C15)*START!$M$6:$M$69))))</f>
        <v/>
      </c>
      <c r="AB15" s="5" t="str">
        <f t="shared" si="2"/>
        <v/>
      </c>
      <c r="AC15" s="5">
        <f>MAX(0.85,MIN(1.15,1+0.05*(COUNTIF('T1'!$AB15,"za łatwe"))-0.05*(COUNTIF('T1'!$AB15,"za trudne"))))</f>
        <v>1</v>
      </c>
      <c r="AD15" s="5">
        <f t="shared" si="3"/>
        <v>0</v>
      </c>
    </row>
    <row r="16" ht="25.5" customHeight="1" outlineLevel="1">
      <c r="A16" s="18" t="str">
        <f>IF('T1'!$A16="","",'T1'!$A16)</f>
        <v/>
      </c>
      <c r="B16" s="30"/>
      <c r="C16" s="31" t="str">
        <f>IF('T1'!$C16="","",'T1'!$C16)</f>
        <v/>
      </c>
      <c r="D16" s="32"/>
      <c r="E16" s="39">
        <f>IF($C16="",0,MIN(15,MAX(1,IF(N($O16)&gt;=1,6,IF(N($O16)&gt;=0.75,IF(PRZEL_CZESC="część 1 (objętość)",8,6),IF(PRZEL_CZESC="część 1 (objętość)",10,8)))+1+$AD16)))</f>
        <v>0</v>
      </c>
      <c r="F16" s="33"/>
      <c r="G16" s="34" t="str">
        <f>IF($C16="","",IF(OR($Q16="masa ciała",$Q16="czas",$Q16="dystans",$Q16="ręczne ustawienie"),$Q16,IF($C16='T1'!$C16,IF(AND(LEFT($A16,1)&lt;&gt;"A",PRZEL_AKCESORIA="trzymaj z bloku"),IF(NOT(ISNUMBER('T1'!$G16)),'T1'!$G16,MROUND('T1'!$G16*$AC16/(MAX('T1'!$AC16,0.0001)),MAX($P16,0.5))),IF(OR($R16="",$R16=0),"— brak 1RM",MROUND($R16*$S16/100*$AC16,MAX($P16,0.5)))),IF(OR($AA16="",$AA16=0),"— ustaw ręcznie",MROUND($AA16*$S16/100*$AC16,MAX($P16,0.5))))))</f>
        <v/>
      </c>
      <c r="H16" s="35"/>
      <c r="I16" s="36" t="str">
        <f t="array" ref="I16">IFERROR(IF(IFERROR(INDEX(BAZA_FILM,MATCH($C16,BAZA_EX,0)),"")="","",HYPERLINK(IFERROR(INDEX(BAZA_FILM,MATCH($C16,BAZA_EX,0)),""),"film")),"")</f>
        <v/>
      </c>
      <c r="J16" s="37" t="str">
        <f>IF('T1'!$J16="","",'T1'!$J16)</f>
        <v/>
      </c>
      <c r="K16" s="5" t="s">
        <v>69</v>
      </c>
      <c r="L16" s="5" t="str">
        <f t="array" ref="L16">IFERROR(INDEX(BAZA_ID,MATCH($C16,BAZA_EX,0)),"")</f>
        <v/>
      </c>
      <c r="M16" s="5" t="str">
        <f t="array" ref="M16">IFERROR(INDEX(BAZA_PART,MATCH($C16,BAZA_EX,0)),"")</f>
        <v/>
      </c>
      <c r="N16" s="5" t="str">
        <f t="array" ref="N16">IFERROR(INDEX(BAZA_KAT,MATCH($C16,BAZA_EX,0)),"")</f>
        <v/>
      </c>
      <c r="O16" s="5" t="str">
        <f t="array" ref="O16">IFERROR(INDEX(BAZA_COEFF,MATCH($C16,BAZA_EX,0)),"")</f>
        <v/>
      </c>
      <c r="P16" s="5" t="str">
        <f t="array" ref="P16">IFERROR(INDEX(BAZA_SKOK,MATCH($C16,BAZA_EX,0)),"")</f>
        <v/>
      </c>
      <c r="Q16" s="5" t="str">
        <f t="array" ref="Q16">IFERROR(INDEX(BAZA_PROG,MATCH($C16,BAZA_EX,0)),"")</f>
        <v/>
      </c>
      <c r="R16" s="5" t="str">
        <f>IF($C16="","",IF(SUMPRODUCT((START!$B$6:$B$69=$C16)*(START!$M$6:$M$69&gt;0))=0,"",SUMPRODUCT(MAX((START!$B$6:$B$69=$C16)*START!$M$6:$M$69))))</f>
        <v/>
      </c>
      <c r="S16" s="5" t="str">
        <f t="array" ref="S16">IFERROR(INDEX(TABELE!$B$4:$J$18,MATCH($E16,TABELE!$A$4:$A$18,0),MATCH($F16,TABELE!$B$3:$J$3,0)),"")</f>
        <v/>
      </c>
      <c r="T16" s="5">
        <f t="array" ref="T16">IFERROR(IF($C16="",0,$O16*$D16*INDEX(TABELE!$B$23:$P$33,MATCH($F16,TABELE!$A$23:$A$33,0),MATCH($E16,TABELE!$B$22:$P$22,0))),0)</f>
        <v>0</v>
      </c>
      <c r="U16" s="5">
        <f t="array" ref="U16">IFERROR(IF($C16="",0,$O16*$D16*INDEX(TABELE!$B$37:$P$47,MATCH($F16,TABELE!$A$37:$A$47,0),MATCH($E16,TABELE!$B$36:$P$36,0))),0)</f>
        <v>0</v>
      </c>
      <c r="V16" s="5">
        <f t="array" ref="V16">IFERROR(IF($C16="",0,$O16*$D16*INDEX(TABELE!$B$51:$P$61,MATCH($F16,TABELE!$A$51:$A$61,0),MATCH($E16,TABELE!$B$50:$P$50,0))),0)</f>
        <v>0</v>
      </c>
      <c r="W16" s="5" t="str">
        <f t="array" ref="W16">IFERROR(INDEX(BAZA_UWAGI,MATCH($C16,BAZA_EX,0)),"")</f>
        <v/>
      </c>
      <c r="X16" s="5" t="str">
        <f t="shared" si="1"/>
        <v/>
      </c>
      <c r="Y16" s="5" t="str">
        <f t="shared" si="4"/>
        <v>E</v>
      </c>
      <c r="Z16" s="5">
        <f t="shared" si="5"/>
        <v>5</v>
      </c>
      <c r="AA16" s="5" t="str">
        <f>IF($C16="","",IF(SUMPRODUCT((START!$B$6:$B$69=$C16)*(START!$M$6:$M$69&gt;0))=0,"",SUMPRODUCT(MAX((START!$B$6:$B$69=$C16)*START!$M$6:$M$69))))</f>
        <v/>
      </c>
      <c r="AB16" s="5" t="str">
        <f t="shared" si="2"/>
        <v/>
      </c>
      <c r="AC16" s="5">
        <f>MAX(0.85,MIN(1.15,1+0.05*(COUNTIF('T1'!$AB16,"za łatwe"))-0.05*(COUNTIF('T1'!$AB16,"za trudne"))))</f>
        <v>1</v>
      </c>
      <c r="AD16" s="5">
        <f t="shared" si="3"/>
        <v>0</v>
      </c>
    </row>
    <row r="17" ht="25.5" customHeight="1" outlineLevel="1">
      <c r="A17" s="18" t="str">
        <f>IF('T1'!$A17="","",'T1'!$A17)</f>
        <v/>
      </c>
      <c r="B17" s="30"/>
      <c r="C17" s="31" t="str">
        <f>IF('T1'!$C17="","",'T1'!$C17)</f>
        <v/>
      </c>
      <c r="D17" s="32"/>
      <c r="E17" s="39">
        <f>IF($C17="",0,MIN(15,MAX(1,IF(N($O17)&gt;=1,6,IF(N($O17)&gt;=0.75,IF(PRZEL_CZESC="część 1 (objętość)",8,6),IF(PRZEL_CZESC="część 1 (objętość)",10,8)))+1+$AD17)))</f>
        <v>0</v>
      </c>
      <c r="F17" s="33"/>
      <c r="G17" s="34" t="str">
        <f>IF($C17="","",IF(OR($Q17="masa ciała",$Q17="czas",$Q17="dystans",$Q17="ręczne ustawienie"),$Q17,IF($C17='T1'!$C17,IF(AND(LEFT($A17,1)&lt;&gt;"A",PRZEL_AKCESORIA="trzymaj z bloku"),IF(NOT(ISNUMBER('T1'!$G17)),'T1'!$G17,MROUND('T1'!$G17*$AC17/(MAX('T1'!$AC17,0.0001)),MAX($P17,0.5))),IF(OR($R17="",$R17=0),"— brak 1RM",MROUND($R17*$S17/100*$AC17,MAX($P17,0.5)))),IF(OR($AA17="",$AA17=0),"— ustaw ręcznie",MROUND($AA17*$S17/100*$AC17,MAX($P17,0.5))))))</f>
        <v/>
      </c>
      <c r="H17" s="35"/>
      <c r="I17" s="36" t="str">
        <f t="array" ref="I17">IFERROR(IF(IFERROR(INDEX(BAZA_FILM,MATCH($C17,BAZA_EX,0)),"")="","",HYPERLINK(IFERROR(INDEX(BAZA_FILM,MATCH($C17,BAZA_EX,0)),""),"film")),"")</f>
        <v/>
      </c>
      <c r="J17" s="37" t="str">
        <f>IF('T1'!$J17="","",'T1'!$J17)</f>
        <v/>
      </c>
      <c r="K17" s="5" t="s">
        <v>70</v>
      </c>
      <c r="L17" s="5" t="str">
        <f t="array" ref="L17">IFERROR(INDEX(BAZA_ID,MATCH($C17,BAZA_EX,0)),"")</f>
        <v/>
      </c>
      <c r="M17" s="5" t="str">
        <f t="array" ref="M17">IFERROR(INDEX(BAZA_PART,MATCH($C17,BAZA_EX,0)),"")</f>
        <v/>
      </c>
      <c r="N17" s="5" t="str">
        <f t="array" ref="N17">IFERROR(INDEX(BAZA_KAT,MATCH($C17,BAZA_EX,0)),"")</f>
        <v/>
      </c>
      <c r="O17" s="5" t="str">
        <f t="array" ref="O17">IFERROR(INDEX(BAZA_COEFF,MATCH($C17,BAZA_EX,0)),"")</f>
        <v/>
      </c>
      <c r="P17" s="5" t="str">
        <f t="array" ref="P17">IFERROR(INDEX(BAZA_SKOK,MATCH($C17,BAZA_EX,0)),"")</f>
        <v/>
      </c>
      <c r="Q17" s="5" t="str">
        <f t="array" ref="Q17">IFERROR(INDEX(BAZA_PROG,MATCH($C17,BAZA_EX,0)),"")</f>
        <v/>
      </c>
      <c r="R17" s="5" t="str">
        <f>IF($C17="","",IF(SUMPRODUCT((START!$B$6:$B$69=$C17)*(START!$M$6:$M$69&gt;0))=0,"",SUMPRODUCT(MAX((START!$B$6:$B$69=$C17)*START!$M$6:$M$69))))</f>
        <v/>
      </c>
      <c r="S17" s="5" t="str">
        <f t="array" ref="S17">IFERROR(INDEX(TABELE!$B$4:$J$18,MATCH($E17,TABELE!$A$4:$A$18,0),MATCH($F17,TABELE!$B$3:$J$3,0)),"")</f>
        <v/>
      </c>
      <c r="T17" s="5">
        <f t="array" ref="T17">IFERROR(IF($C17="",0,$O17*$D17*INDEX(TABELE!$B$23:$P$33,MATCH($F17,TABELE!$A$23:$A$33,0),MATCH($E17,TABELE!$B$22:$P$22,0))),0)</f>
        <v>0</v>
      </c>
      <c r="U17" s="5">
        <f t="array" ref="U17">IFERROR(IF($C17="",0,$O17*$D17*INDEX(TABELE!$B$37:$P$47,MATCH($F17,TABELE!$A$37:$A$47,0),MATCH($E17,TABELE!$B$36:$P$36,0))),0)</f>
        <v>0</v>
      </c>
      <c r="V17" s="5">
        <f t="array" ref="V17">IFERROR(IF($C17="",0,$O17*$D17*INDEX(TABELE!$B$51:$P$61,MATCH($F17,TABELE!$A$51:$A$61,0),MATCH($E17,TABELE!$B$50:$P$50,0))),0)</f>
        <v>0</v>
      </c>
      <c r="W17" s="5" t="str">
        <f t="array" ref="W17">IFERROR(INDEX(BAZA_UWAGI,MATCH($C17,BAZA_EX,0)),"")</f>
        <v/>
      </c>
      <c r="X17" s="5" t="str">
        <f t="shared" si="1"/>
        <v/>
      </c>
      <c r="Y17" s="5" t="str">
        <f t="shared" si="4"/>
        <v>E</v>
      </c>
      <c r="Z17" s="5">
        <f t="shared" si="5"/>
        <v>5</v>
      </c>
      <c r="AA17" s="5" t="str">
        <f>IF($C17="","",IF(SUMPRODUCT((START!$B$6:$B$69=$C17)*(START!$M$6:$M$69&gt;0))=0,"",SUMPRODUCT(MAX((START!$B$6:$B$69=$C17)*START!$M$6:$M$69))))</f>
        <v/>
      </c>
      <c r="AB17" s="5" t="str">
        <f t="shared" si="2"/>
        <v/>
      </c>
      <c r="AC17" s="5">
        <f>MAX(0.85,MIN(1.15,1+0.05*(COUNTIF('T1'!$AB17,"za łatwe"))-0.05*(COUNTIF('T1'!$AB17,"za trudne"))))</f>
        <v>1</v>
      </c>
      <c r="AD17" s="5">
        <f t="shared" si="3"/>
        <v>0</v>
      </c>
    </row>
    <row r="18" ht="25.5" customHeight="1" outlineLevel="1">
      <c r="A18" s="18" t="str">
        <f>IF('T1'!$A18="","",'T1'!$A18)</f>
        <v/>
      </c>
      <c r="B18" s="30"/>
      <c r="C18" s="31" t="str">
        <f>IF('T1'!$C18="","",'T1'!$C18)</f>
        <v/>
      </c>
      <c r="D18" s="32"/>
      <c r="E18" s="39">
        <f>IF($C18="",0,MIN(15,MAX(1,IF(N($O18)&gt;=1,6,IF(N($O18)&gt;=0.75,IF(PRZEL_CZESC="część 1 (objętość)",8,6),IF(PRZEL_CZESC="część 1 (objętość)",10,8)))+1+$AD18)))</f>
        <v>0</v>
      </c>
      <c r="F18" s="33"/>
      <c r="G18" s="34" t="str">
        <f>IF($C18="","",IF(OR($Q18="masa ciała",$Q18="czas",$Q18="dystans",$Q18="ręczne ustawienie"),$Q18,IF($C18='T1'!$C18,IF(AND(LEFT($A18,1)&lt;&gt;"A",PRZEL_AKCESORIA="trzymaj z bloku"),IF(NOT(ISNUMBER('T1'!$G18)),'T1'!$G18,MROUND('T1'!$G18*$AC18/(MAX('T1'!$AC18,0.0001)),MAX($P18,0.5))),IF(OR($R18="",$R18=0),"— brak 1RM",MROUND($R18*$S18/100*$AC18,MAX($P18,0.5)))),IF(OR($AA18="",$AA18=0),"— ustaw ręcznie",MROUND($AA18*$S18/100*$AC18,MAX($P18,0.5))))))</f>
        <v/>
      </c>
      <c r="H18" s="35"/>
      <c r="I18" s="36" t="str">
        <f t="array" ref="I18">IFERROR(IF(IFERROR(INDEX(BAZA_FILM,MATCH($C18,BAZA_EX,0)),"")="","",HYPERLINK(IFERROR(INDEX(BAZA_FILM,MATCH($C18,BAZA_EX,0)),""),"film")),"")</f>
        <v/>
      </c>
      <c r="J18" s="37" t="str">
        <f>IF('T1'!$J18="","",'T1'!$J18)</f>
        <v/>
      </c>
      <c r="K18" s="5" t="s">
        <v>72</v>
      </c>
      <c r="L18" s="5" t="str">
        <f t="array" ref="L18">IFERROR(INDEX(BAZA_ID,MATCH($C18,BAZA_EX,0)),"")</f>
        <v/>
      </c>
      <c r="M18" s="5" t="str">
        <f t="array" ref="M18">IFERROR(INDEX(BAZA_PART,MATCH($C18,BAZA_EX,0)),"")</f>
        <v/>
      </c>
      <c r="N18" s="5" t="str">
        <f t="array" ref="N18">IFERROR(INDEX(BAZA_KAT,MATCH($C18,BAZA_EX,0)),"")</f>
        <v/>
      </c>
      <c r="O18" s="5" t="str">
        <f t="array" ref="O18">IFERROR(INDEX(BAZA_COEFF,MATCH($C18,BAZA_EX,0)),"")</f>
        <v/>
      </c>
      <c r="P18" s="5" t="str">
        <f t="array" ref="P18">IFERROR(INDEX(BAZA_SKOK,MATCH($C18,BAZA_EX,0)),"")</f>
        <v/>
      </c>
      <c r="Q18" s="5" t="str">
        <f t="array" ref="Q18">IFERROR(INDEX(BAZA_PROG,MATCH($C18,BAZA_EX,0)),"")</f>
        <v/>
      </c>
      <c r="R18" s="5" t="str">
        <f>IF($C18="","",IF(SUMPRODUCT((START!$B$6:$B$69=$C18)*(START!$M$6:$M$69&gt;0))=0,"",SUMPRODUCT(MAX((START!$B$6:$B$69=$C18)*START!$M$6:$M$69))))</f>
        <v/>
      </c>
      <c r="S18" s="5" t="str">
        <f t="array" ref="S18">IFERROR(INDEX(TABELE!$B$4:$J$18,MATCH($E18,TABELE!$A$4:$A$18,0),MATCH($F18,TABELE!$B$3:$J$3,0)),"")</f>
        <v/>
      </c>
      <c r="T18" s="5">
        <f t="array" ref="T18">IFERROR(IF($C18="",0,$O18*$D18*INDEX(TABELE!$B$23:$P$33,MATCH($F18,TABELE!$A$23:$A$33,0),MATCH($E18,TABELE!$B$22:$P$22,0))),0)</f>
        <v>0</v>
      </c>
      <c r="U18" s="5">
        <f t="array" ref="U18">IFERROR(IF($C18="",0,$O18*$D18*INDEX(TABELE!$B$37:$P$47,MATCH($F18,TABELE!$A$37:$A$47,0),MATCH($E18,TABELE!$B$36:$P$36,0))),0)</f>
        <v>0</v>
      </c>
      <c r="V18" s="5">
        <f t="array" ref="V18">IFERROR(IF($C18="",0,$O18*$D18*INDEX(TABELE!$B$51:$P$61,MATCH($F18,TABELE!$A$51:$A$61,0),MATCH($E18,TABELE!$B$50:$P$50,0))),0)</f>
        <v>0</v>
      </c>
      <c r="W18" s="5" t="str">
        <f t="array" ref="W18">IFERROR(INDEX(BAZA_UWAGI,MATCH($C18,BAZA_EX,0)),"")</f>
        <v/>
      </c>
      <c r="X18" s="5" t="str">
        <f t="shared" si="1"/>
        <v/>
      </c>
      <c r="Y18" s="5" t="str">
        <f t="shared" si="4"/>
        <v>E</v>
      </c>
      <c r="Z18" s="5">
        <f t="shared" si="5"/>
        <v>5</v>
      </c>
      <c r="AA18" s="5" t="str">
        <f>IF($C18="","",IF(SUMPRODUCT((START!$B$6:$B$69=$C18)*(START!$M$6:$M$69&gt;0))=0,"",SUMPRODUCT(MAX((START!$B$6:$B$69=$C18)*START!$M$6:$M$69))))</f>
        <v/>
      </c>
      <c r="AB18" s="5" t="str">
        <f t="shared" si="2"/>
        <v/>
      </c>
      <c r="AC18" s="5">
        <f>MAX(0.85,MIN(1.15,1+0.05*(COUNTIF('T1'!$AB18,"za łatwe"))-0.05*(COUNTIF('T1'!$AB18,"za trudne"))))</f>
        <v>1</v>
      </c>
      <c r="AD18" s="5">
        <f t="shared" si="3"/>
        <v>0</v>
      </c>
    </row>
    <row r="19" ht="19.5" customHeight="1" outlineLevel="1">
      <c r="A19" s="43"/>
      <c r="B19" s="43"/>
      <c r="C19" s="44" t="s">
        <v>134</v>
      </c>
      <c r="D19" s="45">
        <f>SUMPRODUCT((C7:C18&lt;&gt;"")*D7:D18)+IF(AND($B$6="TOP SET",$C$6&lt;&gt;""),1,0)</f>
      </c>
      <c r="E19" s="46" t="str">
        <f>SUMPRODUCT((C7:C18&lt;&gt;"")*D7:D18*E7:E18)&amp;" powt."</f>
        <v>33 powt.</v>
      </c>
      <c r="F19" s="43"/>
      <c r="G19" s="47" t="str">
        <f>"stres t "&amp;TEXT(SUM(T7:T18),"0.0")</f>
        <v>stres t 1,1</v>
      </c>
      <c r="H19" s="48"/>
      <c r="I19" s="43"/>
      <c r="J19" s="4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25.5" customHeight="1" outlineLevel="1">
      <c r="A21" s="15" t="s">
        <v>73</v>
      </c>
      <c r="B21" s="3"/>
      <c r="C21" s="3"/>
      <c r="D21" s="3"/>
      <c r="E21" s="3"/>
      <c r="F21" s="3"/>
      <c r="G21" s="3"/>
      <c r="H21" s="3"/>
      <c r="I21" s="3"/>
      <c r="J21" s="4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33.75" customHeight="1" outlineLevel="2">
      <c r="A22" s="17" t="str">
        <f>IF($B22="TOP SET","▲","")</f>
        <v>▲</v>
      </c>
      <c r="B22" s="19" t="str">
        <f>IF('T1'!$B22="TOP SET","TOP SET","—")</f>
        <v>TOP SET</v>
      </c>
      <c r="C22" s="22" t="str">
        <f>IF(OR($B22&lt;&gt;"TOP SET",$F22=""),"",IF(N($K22)=0,"",IF(INDEX($C$23:$C$34,$K22)="","",INDEX($C$23:$C$34,$K22))))</f>
      </c>
      <c r="D22" s="23">
        <f>IF(AND($B22="TOP SET",$F22&lt;&gt;""),1,"")</f>
      </c>
      <c r="E22" s="24" t="str">
        <f>IF(AND($B22="TOP SET",$F22&lt;&gt;""),"1 powtórzenie","")</f>
      </c>
      <c r="F22" s="25">
        <v>6.0</v>
      </c>
      <c r="G22" s="27" t="str">
        <f t="array" ref="G22">IF($B22&lt;&gt;"TOP SET","",IF($C22="","",IF(OR($Q22="masa ciała",$Q22="czas",$Q22="dystans",$Q22="ręczne ustawienie"),"—",IF($C22='T1'!$C22,IF(OR($R22="",$R22=0),"— brak 1RM",MROUND($R22*IFERROR(INDEX(TABELE!$B$4:$J$18,MATCH(1,TABELE!$A$4:$A$18,0),MATCH($F22,TABELE!$B$3:$J$3,0)),0)/100,MAX($P22,0.5))),IF(OR($AA22="",$AA22=0),"— ustaw ręcznie",MROUND($AA22*IFERROR(INDEX(TABELE!$B$4:$J$18,MATCH(1,TABELE!$A$4:$A$18,0),MATCH($F22,TABELE!$B$3:$J$3,0)),0)/100,MAX($P22,0.5)))))))</f>
      </c>
      <c r="H22" s="28"/>
      <c r="I22" s="29"/>
      <c r="J22" s="29"/>
      <c r="K22" s="5">
        <f>IFERROR(MATCH("A*",$A$23:$A$34,0),0)</f>
      </c>
      <c r="L22" s="5"/>
      <c r="M22" s="5"/>
      <c r="N22" s="5"/>
      <c r="O22" s="5"/>
      <c r="P22" s="5">
        <f>IF(N($K22)=0,"",INDEX($P$23:$P$34,$K22))</f>
      </c>
      <c r="Q22" s="5">
        <f>IF(N($K22)=0,"",INDEX($Q$23:$Q$34,$K22))</f>
      </c>
      <c r="R22" s="5">
        <f>IF(N($K22)=0,"",INDEX($R$23:$R$34,$K22))</f>
      </c>
      <c r="S22" s="5"/>
      <c r="T22" s="5"/>
      <c r="U22" s="5"/>
      <c r="V22" s="5"/>
      <c r="W22" s="5"/>
      <c r="X22" s="5"/>
      <c r="Y22" s="5"/>
      <c r="Z22" s="5"/>
      <c r="AA22" s="5">
        <f>IF(N($K22)=0,"",INDEX($AA$23:$AA$34,$K22))</f>
      </c>
    </row>
    <row r="23" ht="25.5" customHeight="1" outlineLevel="1">
      <c r="A23" s="18" t="str">
        <f>IF('T1'!$A23="","",'T1'!$A23)</f>
        <v>A1.</v>
      </c>
      <c r="B23" s="30"/>
      <c r="C23" s="31" t="str">
        <f>IF('T1'!$C23="","",'T1'!$C23)</f>
        <v/>
      </c>
      <c r="D23" s="32">
        <v>5.0</v>
      </c>
      <c r="E23" s="32">
        <v>6.0</v>
      </c>
      <c r="F23" s="33">
        <v>7.0</v>
      </c>
      <c r="G23" s="34" t="str">
        <f>IF($C23="","",IF(OR($Q23="masa ciała",$Q23="czas",$Q23="dystans",$Q23="ręczne ustawienie"),$Q23,IF($C23='T1'!$C23,IF(AND(LEFT($A23,1)&lt;&gt;"A",PRZEL_AKCESORIA="trzymaj z bloku"),IF(NOT(ISNUMBER('T1'!$G23)),'T1'!$G23,MROUND('T1'!$G23*$AC23/(MAX('T1'!$AC23,0.0001)),MAX($P23,0.5))),IF(OR($R23="",$R23=0),"— brak 1RM",MROUND($R23*$S23/100*$AC23,MAX($P23,0.5)))),IF(OR($AA23="",$AA23=0),"— ustaw ręcznie",MROUND($AA23*$S23/100*$AC23,MAX($P23,0.5))))))</f>
        <v/>
      </c>
      <c r="H23" s="35"/>
      <c r="I23" s="36" t="str">
        <f t="array" ref="I23">IFERROR(IF(IFERROR(INDEX(BAZA_FILM,MATCH($C23,BAZA_EX,0)),"")="","",HYPERLINK(IFERROR(INDEX(BAZA_FILM,MATCH($C23,BAZA_EX,0)),""),"film")),"")</f>
        <v/>
      </c>
      <c r="J23" s="37" t="str">
        <f>IF('T1'!$J23="","",'T1'!$J23)</f>
        <v/>
      </c>
      <c r="K23" s="5" t="s">
        <v>74</v>
      </c>
      <c r="L23" s="5" t="str">
        <f t="array" ref="L23">IFERROR(INDEX(BAZA_ID,MATCH($C23,BAZA_EX,0)),"")</f>
        <v/>
      </c>
      <c r="M23" s="5" t="str">
        <f t="array" ref="M23">IFERROR(INDEX(BAZA_PART,MATCH($C23,BAZA_EX,0)),"")</f>
        <v/>
      </c>
      <c r="N23" s="5" t="str">
        <f t="array" ref="N23">IFERROR(INDEX(BAZA_KAT,MATCH($C23,BAZA_EX,0)),"")</f>
        <v/>
      </c>
      <c r="O23" s="5" t="str">
        <f t="array" ref="O23">IFERROR(INDEX(BAZA_COEFF,MATCH($C23,BAZA_EX,0)),"")</f>
        <v/>
      </c>
      <c r="P23" s="5" t="str">
        <f t="array" ref="P23">IFERROR(INDEX(BAZA_SKOK,MATCH($C23,BAZA_EX,0)),"")</f>
        <v/>
      </c>
      <c r="Q23" s="5" t="str">
        <f t="array" ref="Q23">IFERROR(INDEX(BAZA_PROG,MATCH($C23,BAZA_EX,0)),"")</f>
        <v/>
      </c>
      <c r="R23" s="5" t="str">
        <f>IF($C23="","",IF(SUMPRODUCT((START!$B$6:$B$69=$C23)*(START!$M$6:$M$69&gt;0))=0,"",SUMPRODUCT(MAX((START!$B$6:$B$69=$C23)*START!$M$6:$M$69))))</f>
        <v/>
      </c>
      <c r="S23" s="5">
        <f t="array" ref="S23">IFERROR(INDEX(TABELE!$B$4:$J$18,MATCH($E23,TABELE!$A$4:$A$18,0),MATCH($F23,TABELE!$B$3:$J$3,0)),"")</f>
        <v>71.5</v>
      </c>
      <c r="T23" s="5">
        <f t="array" ref="T23">IFERROR(IF($C23="",0,$O23*$D23*INDEX(TABELE!$B$23:$P$33,MATCH($F23,TABELE!$A$23:$A$33,0),MATCH($E23,TABELE!$B$22:$P$22,0))),0)</f>
        <v>0</v>
      </c>
      <c r="U23" s="5">
        <f t="array" ref="U23">IFERROR(IF($C23="",0,$O23*$D23*INDEX(TABELE!$B$37:$P$47,MATCH($F23,TABELE!$A$37:$A$47,0),MATCH($E23,TABELE!$B$36:$P$36,0))),0)</f>
        <v>0</v>
      </c>
      <c r="V23" s="5">
        <f t="array" ref="V23">IFERROR(IF($C23="",0,$O23*$D23*INDEX(TABELE!$B$51:$P$61,MATCH($F23,TABELE!$A$51:$A$61,0),MATCH($E23,TABELE!$B$50:$P$50,0))),0)</f>
        <v>0</v>
      </c>
      <c r="W23" s="5" t="str">
        <f t="array" ref="W23">IFERROR(INDEX(BAZA_UWAGI,MATCH($C23,BAZA_EX,0)),"")</f>
        <v/>
      </c>
      <c r="X23" s="5">
        <f t="shared" ref="X23:X34" si="6">IF($A23="","",$Z23)</f>
        <v>1</v>
      </c>
      <c r="Y23" s="5" t="str">
        <f>IF($A23="","",LEFT($A23,1))</f>
        <v>A</v>
      </c>
      <c r="Z23" s="5">
        <f>IF($A23="",0,1)</f>
        <v>1</v>
      </c>
      <c r="AA23" s="5" t="str">
        <f>IF($C23="","",IF(SUMPRODUCT((START!$B$6:$B$69=$C23)*(START!$M$6:$M$69&gt;0))=0,"",SUMPRODUCT(MAX((START!$B$6:$B$69=$C23)*START!$M$6:$M$69))))</f>
        <v/>
      </c>
      <c r="AB23" s="5" t="str">
        <f t="shared" ref="AB23:AB34" si="7">IF($C23="","",IF($H23&lt;&gt;"",$H23,IF($H$35="✓ ukończony","OK","")))</f>
        <v/>
      </c>
      <c r="AC23" s="5">
        <f>MAX(0.85,MIN(1.15,1+0.05*(COUNTIF('T1'!$AB23,"za łatwe"))-0.05*(COUNTIF('T1'!$AB23,"za trudne"))))</f>
        <v>1</v>
      </c>
      <c r="AD23" s="5">
        <f t="shared" ref="AD23:AD34" si="8">IF(OR($Q23="masa ciała",$Q23="czas",$Q23="dystans",$Q23="ręczne ustawienie"),MAX(-3,MIN(3,ROUND(($AC23-1)/0.05,0))),0)</f>
        <v>0</v>
      </c>
    </row>
    <row r="24" ht="25.5" customHeight="1" outlineLevel="1">
      <c r="A24" s="18" t="str">
        <f>IF('T1'!$A24="","",'T1'!$A24)</f>
        <v>B1.</v>
      </c>
      <c r="B24" s="30"/>
      <c r="C24" s="31" t="str">
        <f>IF('T1'!$C24="","",'T1'!$C24)</f>
        <v/>
      </c>
      <c r="D24" s="32">
        <v>3.0</v>
      </c>
      <c r="E24" s="39">
        <f>IF($C24="",0,MIN(15,MAX(1,IF(N($O24)&gt;=1,6,IF(N($O24)&gt;=0.75,IF(PRZEL_CZESC="część 1 (objętość)",8,6),IF(PRZEL_CZESC="część 1 (objętość)",10,8)))+1+$AD24)))</f>
        <v>0</v>
      </c>
      <c r="F24" s="33">
        <v>8.0</v>
      </c>
      <c r="G24" s="34" t="str">
        <f>IF($C24="","",IF(OR($Q24="masa ciała",$Q24="czas",$Q24="dystans",$Q24="ręczne ustawienie"),$Q24,IF($C24='T1'!$C24,IF(AND(LEFT($A24,1)&lt;&gt;"A",PRZEL_AKCESORIA="trzymaj z bloku"),IF(NOT(ISNUMBER('T1'!$G24)),'T1'!$G24,MROUND('T1'!$G24*$AC24/(MAX('T1'!$AC24,0.0001)),MAX($P24,0.5))),IF(OR($R24="",$R24=0),"— brak 1RM",MROUND($R24*$S24/100*$AC24,MAX($P24,0.5)))),IF(OR($AA24="",$AA24=0),"— ustaw ręcznie",MROUND($AA24*$S24/100*$AC24,MAX($P24,0.5))))))</f>
        <v/>
      </c>
      <c r="H24" s="35"/>
      <c r="I24" s="36" t="str">
        <f t="array" ref="I24">IFERROR(IF(IFERROR(INDEX(BAZA_FILM,MATCH($C24,BAZA_EX,0)),"")="","",HYPERLINK(IFERROR(INDEX(BAZA_FILM,MATCH($C24,BAZA_EX,0)),""),"film")),"")</f>
        <v/>
      </c>
      <c r="J24" s="37" t="str">
        <f>IF('T1'!$J24="","",'T1'!$J24)</f>
        <v/>
      </c>
      <c r="K24" s="5" t="s">
        <v>75</v>
      </c>
      <c r="L24" s="5" t="str">
        <f t="array" ref="L24">IFERROR(INDEX(BAZA_ID,MATCH($C24,BAZA_EX,0)),"")</f>
        <v/>
      </c>
      <c r="M24" s="5" t="str">
        <f t="array" ref="M24">IFERROR(INDEX(BAZA_PART,MATCH($C24,BAZA_EX,0)),"")</f>
        <v/>
      </c>
      <c r="N24" s="5" t="str">
        <f t="array" ref="N24">IFERROR(INDEX(BAZA_KAT,MATCH($C24,BAZA_EX,0)),"")</f>
        <v/>
      </c>
      <c r="O24" s="5" t="str">
        <f t="array" ref="O24">IFERROR(INDEX(BAZA_COEFF,MATCH($C24,BAZA_EX,0)),"")</f>
        <v/>
      </c>
      <c r="P24" s="5" t="str">
        <f t="array" ref="P24">IFERROR(INDEX(BAZA_SKOK,MATCH($C24,BAZA_EX,0)),"")</f>
        <v/>
      </c>
      <c r="Q24" s="5" t="str">
        <f t="array" ref="Q24">IFERROR(INDEX(BAZA_PROG,MATCH($C24,BAZA_EX,0)),"")</f>
        <v/>
      </c>
      <c r="R24" s="5" t="str">
        <f>IF($C24="","",IF(SUMPRODUCT((START!$B$6:$B$69=$C24)*(START!$M$6:$M$69&gt;0))=0,"",SUMPRODUCT(MAX((START!$B$6:$B$69=$C24)*START!$M$6:$M$69))))</f>
        <v/>
      </c>
      <c r="S24" s="5" t="str">
        <f t="array" ref="S24">IFERROR(INDEX(TABELE!$B$4:$J$18,MATCH($E24,TABELE!$A$4:$A$18,0),MATCH($F24,TABELE!$B$3:$J$3,0)),"")</f>
        <v/>
      </c>
      <c r="T24" s="5">
        <f t="array" ref="T24">IFERROR(IF($C24="",0,$O24*$D24*INDEX(TABELE!$B$23:$P$33,MATCH($F24,TABELE!$A$23:$A$33,0),MATCH($E24,TABELE!$B$22:$P$22,0))),0)</f>
        <v>0</v>
      </c>
      <c r="U24" s="5">
        <f t="array" ref="U24">IFERROR(IF($C24="",0,$O24*$D24*INDEX(TABELE!$B$37:$P$47,MATCH($F24,TABELE!$A$37:$A$47,0),MATCH($E24,TABELE!$B$36:$P$36,0))),0)</f>
        <v>0</v>
      </c>
      <c r="V24" s="5">
        <f t="array" ref="V24">IFERROR(IF($C24="",0,$O24*$D24*INDEX(TABELE!$B$51:$P$61,MATCH($F24,TABELE!$A$51:$A$61,0),MATCH($E24,TABELE!$B$50:$P$50,0))),0)</f>
        <v>0</v>
      </c>
      <c r="W24" s="5" t="str">
        <f t="array" ref="W24">IFERROR(INDEX(BAZA_UWAGI,MATCH($C24,BAZA_EX,0)),"")</f>
        <v/>
      </c>
      <c r="X24" s="5">
        <f t="shared" si="6"/>
        <v>2</v>
      </c>
      <c r="Y24" s="5" t="str">
        <f t="shared" ref="Y24:Y34" si="9">IF($A24="",$Y23,LEFT($A24,1))</f>
        <v>B</v>
      </c>
      <c r="Z24" s="5">
        <f t="shared" ref="Z24:Z34" si="10">IF($A24="",$Z23,IF(LEFT($A24,1)=$Y23,$Z23,$Z23+1))</f>
        <v>2</v>
      </c>
      <c r="AA24" s="5" t="str">
        <f>IF($C24="","",IF(SUMPRODUCT((START!$B$6:$B$69=$C24)*(START!$M$6:$M$69&gt;0))=0,"",SUMPRODUCT(MAX((START!$B$6:$B$69=$C24)*START!$M$6:$M$69))))</f>
        <v/>
      </c>
      <c r="AB24" s="5" t="str">
        <f t="shared" si="7"/>
        <v/>
      </c>
      <c r="AC24" s="5">
        <f>MAX(0.85,MIN(1.15,1+0.05*(COUNTIF('T1'!$AB24,"za łatwe"))-0.05*(COUNTIF('T1'!$AB24,"za trudne"))))</f>
        <v>1</v>
      </c>
      <c r="AD24" s="5">
        <f t="shared" si="8"/>
        <v>0</v>
      </c>
    </row>
    <row r="25" ht="25.5" customHeight="1" outlineLevel="1">
      <c r="A25" s="18" t="str">
        <f>IF('T1'!$A25="","",'T1'!$A25)</f>
        <v>B2.</v>
      </c>
      <c r="B25" s="30"/>
      <c r="C25" s="31" t="str">
        <f>IF('T1'!$C25="","",'T1'!$C25)</f>
        <v/>
      </c>
      <c r="D25" s="32">
        <v>3.0</v>
      </c>
      <c r="E25" s="39">
        <f>IF($C25="",0,MIN(15,MAX(1,IF(N($O25)&gt;=1,6,IF(N($O25)&gt;=0.75,IF(PRZEL_CZESC="część 1 (objętość)",8,6),IF(PRZEL_CZESC="część 1 (objętość)",10,8)))+1+$AD25)))</f>
        <v>0</v>
      </c>
      <c r="F25" s="33">
        <v>8.0</v>
      </c>
      <c r="G25" s="34" t="str">
        <f>IF($C25="","",IF(OR($Q25="masa ciała",$Q25="czas",$Q25="dystans",$Q25="ręczne ustawienie"),$Q25,IF($C25='T1'!$C25,IF(AND(LEFT($A25,1)&lt;&gt;"A",PRZEL_AKCESORIA="trzymaj z bloku"),IF(NOT(ISNUMBER('T1'!$G25)),'T1'!$G25,MROUND('T1'!$G25*$AC25/(MAX('T1'!$AC25,0.0001)),MAX($P25,0.5))),IF(OR($R25="",$R25=0),"— brak 1RM",MROUND($R25*$S25/100*$AC25,MAX($P25,0.5)))),IF(OR($AA25="",$AA25=0),"— ustaw ręcznie",MROUND($AA25*$S25/100*$AC25,MAX($P25,0.5))))))</f>
        <v/>
      </c>
      <c r="H25" s="35"/>
      <c r="I25" s="36" t="str">
        <f t="array" ref="I25">IFERROR(IF(IFERROR(INDEX(BAZA_FILM,MATCH($C25,BAZA_EX,0)),"")="","",HYPERLINK(IFERROR(INDEX(BAZA_FILM,MATCH($C25,BAZA_EX,0)),""),"film")),"")</f>
        <v/>
      </c>
      <c r="J25" s="37" t="str">
        <f>IF('T1'!$J25="","",'T1'!$J25)</f>
        <v/>
      </c>
      <c r="K25" s="5" t="s">
        <v>76</v>
      </c>
      <c r="L25" s="5" t="str">
        <f t="array" ref="L25">IFERROR(INDEX(BAZA_ID,MATCH($C25,BAZA_EX,0)),"")</f>
        <v/>
      </c>
      <c r="M25" s="5" t="str">
        <f t="array" ref="M25">IFERROR(INDEX(BAZA_PART,MATCH($C25,BAZA_EX,0)),"")</f>
        <v/>
      </c>
      <c r="N25" s="5" t="str">
        <f t="array" ref="N25">IFERROR(INDEX(BAZA_KAT,MATCH($C25,BAZA_EX,0)),"")</f>
        <v/>
      </c>
      <c r="O25" s="5" t="str">
        <f t="array" ref="O25">IFERROR(INDEX(BAZA_COEFF,MATCH($C25,BAZA_EX,0)),"")</f>
        <v/>
      </c>
      <c r="P25" s="5" t="str">
        <f t="array" ref="P25">IFERROR(INDEX(BAZA_SKOK,MATCH($C25,BAZA_EX,0)),"")</f>
        <v/>
      </c>
      <c r="Q25" s="5" t="str">
        <f t="array" ref="Q25">IFERROR(INDEX(BAZA_PROG,MATCH($C25,BAZA_EX,0)),"")</f>
        <v/>
      </c>
      <c r="R25" s="5" t="str">
        <f>IF($C25="","",IF(SUMPRODUCT((START!$B$6:$B$69=$C25)*(START!$M$6:$M$69&gt;0))=0,"",SUMPRODUCT(MAX((START!$B$6:$B$69=$C25)*START!$M$6:$M$69))))</f>
        <v/>
      </c>
      <c r="S25" s="5" t="str">
        <f t="array" ref="S25">IFERROR(INDEX(TABELE!$B$4:$J$18,MATCH($E25,TABELE!$A$4:$A$18,0),MATCH($F25,TABELE!$B$3:$J$3,0)),"")</f>
        <v/>
      </c>
      <c r="T25" s="5">
        <f t="array" ref="T25">IFERROR(IF($C25="",0,$O25*$D25*INDEX(TABELE!$B$23:$P$33,MATCH($F25,TABELE!$A$23:$A$33,0),MATCH($E25,TABELE!$B$22:$P$22,0))),0)</f>
        <v>0</v>
      </c>
      <c r="U25" s="5">
        <f t="array" ref="U25">IFERROR(IF($C25="",0,$O25*$D25*INDEX(TABELE!$B$37:$P$47,MATCH($F25,TABELE!$A$37:$A$47,0),MATCH($E25,TABELE!$B$36:$P$36,0))),0)</f>
        <v>0</v>
      </c>
      <c r="V25" s="5">
        <f t="array" ref="V25">IFERROR(IF($C25="",0,$O25*$D25*INDEX(TABELE!$B$51:$P$61,MATCH($F25,TABELE!$A$51:$A$61,0),MATCH($E25,TABELE!$B$50:$P$50,0))),0)</f>
        <v>0</v>
      </c>
      <c r="W25" s="5" t="str">
        <f t="array" ref="W25">IFERROR(INDEX(BAZA_UWAGI,MATCH($C25,BAZA_EX,0)),"")</f>
        <v/>
      </c>
      <c r="X25" s="5">
        <f t="shared" si="6"/>
        <v>2</v>
      </c>
      <c r="Y25" s="5" t="str">
        <f t="shared" si="9"/>
        <v>B</v>
      </c>
      <c r="Z25" s="5">
        <f t="shared" si="10"/>
        <v>2</v>
      </c>
      <c r="AA25" s="5" t="str">
        <f>IF($C25="","",IF(SUMPRODUCT((START!$B$6:$B$69=$C25)*(START!$M$6:$M$69&gt;0))=0,"",SUMPRODUCT(MAX((START!$B$6:$B$69=$C25)*START!$M$6:$M$69))))</f>
        <v/>
      </c>
      <c r="AB25" s="5" t="str">
        <f t="shared" si="7"/>
        <v/>
      </c>
      <c r="AC25" s="5">
        <f>MAX(0.85,MIN(1.15,1+0.05*(COUNTIF('T1'!$AB25,"za łatwe"))-0.05*(COUNTIF('T1'!$AB25,"za trudne"))))</f>
        <v>1</v>
      </c>
      <c r="AD25" s="5">
        <f t="shared" si="8"/>
        <v>0</v>
      </c>
    </row>
    <row r="26" ht="25.5" customHeight="1" outlineLevel="1">
      <c r="A26" s="18" t="str">
        <f>IF('T1'!$A26="","",'T1'!$A26)</f>
        <v>C1.</v>
      </c>
      <c r="B26" s="30"/>
      <c r="C26" s="31" t="str">
        <f>IF('T1'!$C26="","",'T1'!$C26)</f>
        <v/>
      </c>
      <c r="D26" s="32">
        <v>3.0</v>
      </c>
      <c r="E26" s="39">
        <f>IF($C26="",0,MIN(15,MAX(1,IF(N($O26)&gt;=1,6,IF(N($O26)&gt;=0.75,IF(PRZEL_CZESC="część 1 (objętość)",8,6),IF(PRZEL_CZESC="część 1 (objętość)",10,8)))+1+$AD26)))</f>
        <v>0</v>
      </c>
      <c r="F26" s="33">
        <v>8.0</v>
      </c>
      <c r="G26" s="34" t="str">
        <f>IF($C26="","",IF(OR($Q26="masa ciała",$Q26="czas",$Q26="dystans",$Q26="ręczne ustawienie"),$Q26,IF($C26='T1'!$C26,IF(AND(LEFT($A26,1)&lt;&gt;"A",PRZEL_AKCESORIA="trzymaj z bloku"),IF(NOT(ISNUMBER('T1'!$G26)),'T1'!$G26,MROUND('T1'!$G26*$AC26/(MAX('T1'!$AC26,0.0001)),MAX($P26,0.5))),IF(OR($R26="",$R26=0),"— brak 1RM",MROUND($R26*$S26/100*$AC26,MAX($P26,0.5)))),IF(OR($AA26="",$AA26=0),"— ustaw ręcznie",MROUND($AA26*$S26/100*$AC26,MAX($P26,0.5))))))</f>
        <v/>
      </c>
      <c r="H26" s="35"/>
      <c r="I26" s="36" t="str">
        <f t="array" ref="I26">IFERROR(IF(IFERROR(INDEX(BAZA_FILM,MATCH($C26,BAZA_EX,0)),"")="","",HYPERLINK(IFERROR(INDEX(BAZA_FILM,MATCH($C26,BAZA_EX,0)),""),"film")),"")</f>
        <v/>
      </c>
      <c r="J26" s="37" t="str">
        <f>IF('T1'!$J26="","",'T1'!$J26)</f>
        <v/>
      </c>
      <c r="K26" s="5" t="s">
        <v>77</v>
      </c>
      <c r="L26" s="5" t="str">
        <f t="array" ref="L26">IFERROR(INDEX(BAZA_ID,MATCH($C26,BAZA_EX,0)),"")</f>
        <v/>
      </c>
      <c r="M26" s="5" t="str">
        <f t="array" ref="M26">IFERROR(INDEX(BAZA_PART,MATCH($C26,BAZA_EX,0)),"")</f>
        <v/>
      </c>
      <c r="N26" s="5" t="str">
        <f t="array" ref="N26">IFERROR(INDEX(BAZA_KAT,MATCH($C26,BAZA_EX,0)),"")</f>
        <v/>
      </c>
      <c r="O26" s="5" t="str">
        <f t="array" ref="O26">IFERROR(INDEX(BAZA_COEFF,MATCH($C26,BAZA_EX,0)),"")</f>
        <v/>
      </c>
      <c r="P26" s="5" t="str">
        <f t="array" ref="P26">IFERROR(INDEX(BAZA_SKOK,MATCH($C26,BAZA_EX,0)),"")</f>
        <v/>
      </c>
      <c r="Q26" s="5" t="str">
        <f t="array" ref="Q26">IFERROR(INDEX(BAZA_PROG,MATCH($C26,BAZA_EX,0)),"")</f>
        <v/>
      </c>
      <c r="R26" s="5" t="str">
        <f>IF($C26="","",IF(SUMPRODUCT((START!$B$6:$B$69=$C26)*(START!$M$6:$M$69&gt;0))=0,"",SUMPRODUCT(MAX((START!$B$6:$B$69=$C26)*START!$M$6:$M$69))))</f>
        <v/>
      </c>
      <c r="S26" s="5" t="str">
        <f t="array" ref="S26">IFERROR(INDEX(TABELE!$B$4:$J$18,MATCH($E26,TABELE!$A$4:$A$18,0),MATCH($F26,TABELE!$B$3:$J$3,0)),"")</f>
        <v/>
      </c>
      <c r="T26" s="5">
        <f t="array" ref="T26">IFERROR(IF($C26="",0,$O26*$D26*INDEX(TABELE!$B$23:$P$33,MATCH($F26,TABELE!$A$23:$A$33,0),MATCH($E26,TABELE!$B$22:$P$22,0))),0)</f>
        <v>0</v>
      </c>
      <c r="U26" s="5">
        <f t="array" ref="U26">IFERROR(IF($C26="",0,$O26*$D26*INDEX(TABELE!$B$37:$P$47,MATCH($F26,TABELE!$A$37:$A$47,0),MATCH($E26,TABELE!$B$36:$P$36,0))),0)</f>
        <v>0</v>
      </c>
      <c r="V26" s="5">
        <f t="array" ref="V26">IFERROR(IF($C26="",0,$O26*$D26*INDEX(TABELE!$B$51:$P$61,MATCH($F26,TABELE!$A$51:$A$61,0),MATCH($E26,TABELE!$B$50:$P$50,0))),0)</f>
        <v>0</v>
      </c>
      <c r="W26" s="5" t="str">
        <f t="array" ref="W26">IFERROR(INDEX(BAZA_UWAGI,MATCH($C26,BAZA_EX,0)),"")</f>
        <v/>
      </c>
      <c r="X26" s="5">
        <f t="shared" si="6"/>
        <v>3</v>
      </c>
      <c r="Y26" s="5" t="str">
        <f t="shared" si="9"/>
        <v>C</v>
      </c>
      <c r="Z26" s="5">
        <f t="shared" si="10"/>
        <v>3</v>
      </c>
      <c r="AA26" s="5" t="str">
        <f>IF($C26="","",IF(SUMPRODUCT((START!$B$6:$B$69=$C26)*(START!$M$6:$M$69&gt;0))=0,"",SUMPRODUCT(MAX((START!$B$6:$B$69=$C26)*START!$M$6:$M$69))))</f>
        <v/>
      </c>
      <c r="AB26" s="5" t="str">
        <f t="shared" si="7"/>
        <v/>
      </c>
      <c r="AC26" s="5">
        <f>MAX(0.85,MIN(1.15,1+0.05*(COUNTIF('T1'!$AB26,"za łatwe"))-0.05*(COUNTIF('T1'!$AB26,"za trudne"))))</f>
        <v>1</v>
      </c>
      <c r="AD26" s="5">
        <f t="shared" si="8"/>
        <v>0</v>
      </c>
    </row>
    <row r="27" ht="25.5" customHeight="1" outlineLevel="1">
      <c r="A27" s="18" t="str">
        <f>IF('T1'!$A27="","",'T1'!$A27)</f>
        <v>C2.</v>
      </c>
      <c r="B27" s="30"/>
      <c r="C27" s="31" t="str">
        <f>IF('T1'!$C27="","",'T1'!$C27)</f>
        <v/>
      </c>
      <c r="D27" s="32">
        <v>3.0</v>
      </c>
      <c r="E27" s="39">
        <f>IF($C27="",0,MIN(15,MAX(1,IF(N($O27)&gt;=1,6,IF(N($O27)&gt;=0.75,IF(PRZEL_CZESC="część 1 (objętość)",8,6),IF(PRZEL_CZESC="część 1 (objętość)",10,8)))+1+$AD27)))</f>
        <v>0</v>
      </c>
      <c r="F27" s="33">
        <v>9.0</v>
      </c>
      <c r="G27" s="34" t="str">
        <f>IF($C27="","",IF(OR($Q27="masa ciała",$Q27="czas",$Q27="dystans",$Q27="ręczne ustawienie"),$Q27,IF($C27='T1'!$C27,IF(AND(LEFT($A27,1)&lt;&gt;"A",PRZEL_AKCESORIA="trzymaj z bloku"),IF(NOT(ISNUMBER('T1'!$G27)),'T1'!$G27,MROUND('T1'!$G27*$AC27/(MAX('T1'!$AC27,0.0001)),MAX($P27,0.5))),IF(OR($R27="",$R27=0),"— brak 1RM",MROUND($R27*$S27/100*$AC27,MAX($P27,0.5)))),IF(OR($AA27="",$AA27=0),"— ustaw ręcznie",MROUND($AA27*$S27/100*$AC27,MAX($P27,0.5))))))</f>
        <v/>
      </c>
      <c r="H27" s="35"/>
      <c r="I27" s="36" t="str">
        <f t="array" ref="I27">IFERROR(IF(IFERROR(INDEX(BAZA_FILM,MATCH($C27,BAZA_EX,0)),"")="","",HYPERLINK(IFERROR(INDEX(BAZA_FILM,MATCH($C27,BAZA_EX,0)),""),"film")),"")</f>
        <v/>
      </c>
      <c r="J27" s="37" t="str">
        <f>IF('T1'!$J27="","",'T1'!$J27)</f>
        <v/>
      </c>
      <c r="K27" s="5" t="s">
        <v>79</v>
      </c>
      <c r="L27" s="5" t="str">
        <f t="array" ref="L27">IFERROR(INDEX(BAZA_ID,MATCH($C27,BAZA_EX,0)),"")</f>
        <v/>
      </c>
      <c r="M27" s="5" t="str">
        <f t="array" ref="M27">IFERROR(INDEX(BAZA_PART,MATCH($C27,BAZA_EX,0)),"")</f>
        <v/>
      </c>
      <c r="N27" s="5" t="str">
        <f t="array" ref="N27">IFERROR(INDEX(BAZA_KAT,MATCH($C27,BAZA_EX,0)),"")</f>
        <v/>
      </c>
      <c r="O27" s="5" t="str">
        <f t="array" ref="O27">IFERROR(INDEX(BAZA_COEFF,MATCH($C27,BAZA_EX,0)),"")</f>
        <v/>
      </c>
      <c r="P27" s="5" t="str">
        <f t="array" ref="P27">IFERROR(INDEX(BAZA_SKOK,MATCH($C27,BAZA_EX,0)),"")</f>
        <v/>
      </c>
      <c r="Q27" s="5" t="str">
        <f t="array" ref="Q27">IFERROR(INDEX(BAZA_PROG,MATCH($C27,BAZA_EX,0)),"")</f>
        <v/>
      </c>
      <c r="R27" s="5" t="str">
        <f>IF($C27="","",IF(SUMPRODUCT((START!$B$6:$B$69=$C27)*(START!$M$6:$M$69&gt;0))=0,"",SUMPRODUCT(MAX((START!$B$6:$B$69=$C27)*START!$M$6:$M$69))))</f>
        <v/>
      </c>
      <c r="S27" s="5" t="str">
        <f t="array" ref="S27">IFERROR(INDEX(TABELE!$B$4:$J$18,MATCH($E27,TABELE!$A$4:$A$18,0),MATCH($F27,TABELE!$B$3:$J$3,0)),"")</f>
        <v/>
      </c>
      <c r="T27" s="5">
        <f t="array" ref="T27">IFERROR(IF($C27="",0,$O27*$D27*INDEX(TABELE!$B$23:$P$33,MATCH($F27,TABELE!$A$23:$A$33,0),MATCH($E27,TABELE!$B$22:$P$22,0))),0)</f>
        <v>0</v>
      </c>
      <c r="U27" s="5">
        <f t="array" ref="U27">IFERROR(IF($C27="",0,$O27*$D27*INDEX(TABELE!$B$37:$P$47,MATCH($F27,TABELE!$A$37:$A$47,0),MATCH($E27,TABELE!$B$36:$P$36,0))),0)</f>
        <v>0</v>
      </c>
      <c r="V27" s="5">
        <f t="array" ref="V27">IFERROR(IF($C27="",0,$O27*$D27*INDEX(TABELE!$B$51:$P$61,MATCH($F27,TABELE!$A$51:$A$61,0),MATCH($E27,TABELE!$B$50:$P$50,0))),0)</f>
        <v>0</v>
      </c>
      <c r="W27" s="5" t="str">
        <f t="array" ref="W27">IFERROR(INDEX(BAZA_UWAGI,MATCH($C27,BAZA_EX,0)),"")</f>
        <v/>
      </c>
      <c r="X27" s="5">
        <f t="shared" si="6"/>
        <v>3</v>
      </c>
      <c r="Y27" s="5" t="str">
        <f t="shared" si="9"/>
        <v>C</v>
      </c>
      <c r="Z27" s="5">
        <f t="shared" si="10"/>
        <v>3</v>
      </c>
      <c r="AA27" s="5" t="str">
        <f>IF($C27="","",IF(SUMPRODUCT((START!$B$6:$B$69=$C27)*(START!$M$6:$M$69&gt;0))=0,"",SUMPRODUCT(MAX((START!$B$6:$B$69=$C27)*START!$M$6:$M$69))))</f>
        <v/>
      </c>
      <c r="AB27" s="5" t="str">
        <f t="shared" si="7"/>
        <v/>
      </c>
      <c r="AC27" s="5">
        <f>MAX(0.85,MIN(1.15,1+0.05*(COUNTIF('T1'!$AB27,"za łatwe"))-0.05*(COUNTIF('T1'!$AB27,"za trudne"))))</f>
        <v>1</v>
      </c>
      <c r="AD27" s="5">
        <f t="shared" si="8"/>
        <v>0</v>
      </c>
    </row>
    <row r="28" ht="25.5" customHeight="1" outlineLevel="1">
      <c r="A28" s="18" t="str">
        <f>IF('T1'!$A28="","",'T1'!$A28)</f>
        <v>D1.</v>
      </c>
      <c r="B28" s="30"/>
      <c r="C28" s="31" t="str">
        <f>IF('T1'!$C28="","",'T1'!$C28)</f>
        <v/>
      </c>
      <c r="D28" s="32">
        <v>3.0</v>
      </c>
      <c r="E28" s="39">
        <f>IF($C28="",0,MIN(15,MAX(1,IF(N($O28)&gt;=1,6,IF(N($O28)&gt;=0.75,IF(PRZEL_CZESC="część 1 (objętość)",8,6),IF(PRZEL_CZESC="część 1 (objętość)",10,8)))+1+$AD28)))</f>
        <v>0</v>
      </c>
      <c r="F28" s="33">
        <v>8.0</v>
      </c>
      <c r="G28" s="34" t="str">
        <f>IF($C28="","",IF(OR($Q28="masa ciała",$Q28="czas",$Q28="dystans",$Q28="ręczne ustawienie"),$Q28,IF($C28='T1'!$C28,IF(AND(LEFT($A28,1)&lt;&gt;"A",PRZEL_AKCESORIA="trzymaj z bloku"),IF(NOT(ISNUMBER('T1'!$G28)),'T1'!$G28,MROUND('T1'!$G28*$AC28/(MAX('T1'!$AC28,0.0001)),MAX($P28,0.5))),IF(OR($R28="",$R28=0),"— brak 1RM",MROUND($R28*$S28/100*$AC28,MAX($P28,0.5)))),IF(OR($AA28="",$AA28=0),"— ustaw ręcznie",MROUND($AA28*$S28/100*$AC28,MAX($P28,0.5))))))</f>
        <v/>
      </c>
      <c r="H28" s="35"/>
      <c r="I28" s="36" t="str">
        <f t="array" ref="I28">IFERROR(IF(IFERROR(INDEX(BAZA_FILM,MATCH($C28,BAZA_EX,0)),"")="","",HYPERLINK(IFERROR(INDEX(BAZA_FILM,MATCH($C28,BAZA_EX,0)),""),"film")),"")</f>
        <v/>
      </c>
      <c r="J28" s="37" t="str">
        <f>IF('T1'!$J28="","",'T1'!$J28)</f>
        <v/>
      </c>
      <c r="K28" s="5" t="s">
        <v>80</v>
      </c>
      <c r="L28" s="5" t="str">
        <f t="array" ref="L28">IFERROR(INDEX(BAZA_ID,MATCH($C28,BAZA_EX,0)),"")</f>
        <v/>
      </c>
      <c r="M28" s="5" t="str">
        <f t="array" ref="M28">IFERROR(INDEX(BAZA_PART,MATCH($C28,BAZA_EX,0)),"")</f>
        <v/>
      </c>
      <c r="N28" s="5" t="str">
        <f t="array" ref="N28">IFERROR(INDEX(BAZA_KAT,MATCH($C28,BAZA_EX,0)),"")</f>
        <v/>
      </c>
      <c r="O28" s="5" t="str">
        <f t="array" ref="O28">IFERROR(INDEX(BAZA_COEFF,MATCH($C28,BAZA_EX,0)),"")</f>
        <v/>
      </c>
      <c r="P28" s="5" t="str">
        <f t="array" ref="P28">IFERROR(INDEX(BAZA_SKOK,MATCH($C28,BAZA_EX,0)),"")</f>
        <v/>
      </c>
      <c r="Q28" s="5" t="str">
        <f t="array" ref="Q28">IFERROR(INDEX(BAZA_PROG,MATCH($C28,BAZA_EX,0)),"")</f>
        <v/>
      </c>
      <c r="R28" s="5" t="str">
        <f>IF($C28="","",IF(SUMPRODUCT((START!$B$6:$B$69=$C28)*(START!$M$6:$M$69&gt;0))=0,"",SUMPRODUCT(MAX((START!$B$6:$B$69=$C28)*START!$M$6:$M$69))))</f>
        <v/>
      </c>
      <c r="S28" s="5" t="str">
        <f t="array" ref="S28">IFERROR(INDEX(TABELE!$B$4:$J$18,MATCH($E28,TABELE!$A$4:$A$18,0),MATCH($F28,TABELE!$B$3:$J$3,0)),"")</f>
        <v/>
      </c>
      <c r="T28" s="5">
        <f t="array" ref="T28">IFERROR(IF($C28="",0,$O28*$D28*INDEX(TABELE!$B$23:$P$33,MATCH($F28,TABELE!$A$23:$A$33,0),MATCH($E28,TABELE!$B$22:$P$22,0))),0)</f>
        <v>0</v>
      </c>
      <c r="U28" s="5">
        <f t="array" ref="U28">IFERROR(IF($C28="",0,$O28*$D28*INDEX(TABELE!$B$37:$P$47,MATCH($F28,TABELE!$A$37:$A$47,0),MATCH($E28,TABELE!$B$36:$P$36,0))),0)</f>
        <v>0</v>
      </c>
      <c r="V28" s="5">
        <f t="array" ref="V28">IFERROR(IF($C28="",0,$O28*$D28*INDEX(TABELE!$B$51:$P$61,MATCH($F28,TABELE!$A$51:$A$61,0),MATCH($E28,TABELE!$B$50:$P$50,0))),0)</f>
        <v>0</v>
      </c>
      <c r="W28" s="5" t="str">
        <f t="array" ref="W28">IFERROR(INDEX(BAZA_UWAGI,MATCH($C28,BAZA_EX,0)),"")</f>
        <v/>
      </c>
      <c r="X28" s="5">
        <f t="shared" si="6"/>
        <v>4</v>
      </c>
      <c r="Y28" s="5" t="str">
        <f t="shared" si="9"/>
        <v>D</v>
      </c>
      <c r="Z28" s="5">
        <f t="shared" si="10"/>
        <v>4</v>
      </c>
      <c r="AA28" s="5" t="str">
        <f>IF($C28="","",IF(SUMPRODUCT((START!$B$6:$B$69=$C28)*(START!$M$6:$M$69&gt;0))=0,"",SUMPRODUCT(MAX((START!$B$6:$B$69=$C28)*START!$M$6:$M$69))))</f>
        <v/>
      </c>
      <c r="AB28" s="5" t="str">
        <f t="shared" si="7"/>
        <v/>
      </c>
      <c r="AC28" s="5">
        <f>MAX(0.85,MIN(1.15,1+0.05*(COUNTIF('T1'!$AB28,"za łatwe"))-0.05*(COUNTIF('T1'!$AB28,"za trudne"))))</f>
        <v>1</v>
      </c>
      <c r="AD28" s="5">
        <f t="shared" si="8"/>
        <v>0</v>
      </c>
    </row>
    <row r="29" ht="25.5" customHeight="1" outlineLevel="1">
      <c r="A29" s="18" t="str">
        <f>IF('T1'!$A29="","",'T1'!$A29)</f>
        <v>D2.</v>
      </c>
      <c r="B29" s="30"/>
      <c r="C29" s="31" t="str">
        <f>IF('T1'!$C29="","",'T1'!$C29)</f>
        <v/>
      </c>
      <c r="D29" s="32">
        <v>3.0</v>
      </c>
      <c r="E29" s="39">
        <f>IF($C29="",0,MIN(15,MAX(1,IF(N($O29)&gt;=1,6,IF(N($O29)&gt;=0.75,IF(PRZEL_CZESC="część 1 (objętość)",8,6),IF(PRZEL_CZESC="część 1 (objętość)",10,8)))+1+$AD29)))</f>
        <v>0</v>
      </c>
      <c r="F29" s="33">
        <v>9.0</v>
      </c>
      <c r="G29" s="34" t="str">
        <f>IF($C29="","",IF(OR($Q29="masa ciała",$Q29="czas",$Q29="dystans",$Q29="ręczne ustawienie"),$Q29,IF($C29='T1'!$C29,IF(AND(LEFT($A29,1)&lt;&gt;"A",PRZEL_AKCESORIA="trzymaj z bloku"),IF(NOT(ISNUMBER('T1'!$G29)),'T1'!$G29,MROUND('T1'!$G29*$AC29/(MAX('T1'!$AC29,0.0001)),MAX($P29,0.5))),IF(OR($R29="",$R29=0),"— brak 1RM",MROUND($R29*$S29/100*$AC29,MAX($P29,0.5)))),IF(OR($AA29="",$AA29=0),"— ustaw ręcznie",MROUND($AA29*$S29/100*$AC29,MAX($P29,0.5))))))</f>
        <v/>
      </c>
      <c r="H29" s="35"/>
      <c r="I29" s="36" t="str">
        <f t="array" ref="I29">IFERROR(IF(IFERROR(INDEX(BAZA_FILM,MATCH($C29,BAZA_EX,0)),"")="","",HYPERLINK(IFERROR(INDEX(BAZA_FILM,MATCH($C29,BAZA_EX,0)),""),"film")),"")</f>
        <v/>
      </c>
      <c r="J29" s="37" t="str">
        <f>IF('T1'!$J29="","",'T1'!$J29)</f>
        <v/>
      </c>
      <c r="K29" s="5" t="s">
        <v>81</v>
      </c>
      <c r="L29" s="5" t="str">
        <f t="array" ref="L29">IFERROR(INDEX(BAZA_ID,MATCH($C29,BAZA_EX,0)),"")</f>
        <v/>
      </c>
      <c r="M29" s="5" t="str">
        <f t="array" ref="M29">IFERROR(INDEX(BAZA_PART,MATCH($C29,BAZA_EX,0)),"")</f>
        <v/>
      </c>
      <c r="N29" s="5" t="str">
        <f t="array" ref="N29">IFERROR(INDEX(BAZA_KAT,MATCH($C29,BAZA_EX,0)),"")</f>
        <v/>
      </c>
      <c r="O29" s="5" t="str">
        <f t="array" ref="O29">IFERROR(INDEX(BAZA_COEFF,MATCH($C29,BAZA_EX,0)),"")</f>
        <v/>
      </c>
      <c r="P29" s="5" t="str">
        <f t="array" ref="P29">IFERROR(INDEX(BAZA_SKOK,MATCH($C29,BAZA_EX,0)),"")</f>
        <v/>
      </c>
      <c r="Q29" s="5" t="str">
        <f t="array" ref="Q29">IFERROR(INDEX(BAZA_PROG,MATCH($C29,BAZA_EX,0)),"")</f>
        <v/>
      </c>
      <c r="R29" s="5" t="str">
        <f>IF($C29="","",IF(SUMPRODUCT((START!$B$6:$B$69=$C29)*(START!$M$6:$M$69&gt;0))=0,"",SUMPRODUCT(MAX((START!$B$6:$B$69=$C29)*START!$M$6:$M$69))))</f>
        <v/>
      </c>
      <c r="S29" s="5" t="str">
        <f t="array" ref="S29">IFERROR(INDEX(TABELE!$B$4:$J$18,MATCH($E29,TABELE!$A$4:$A$18,0),MATCH($F29,TABELE!$B$3:$J$3,0)),"")</f>
        <v/>
      </c>
      <c r="T29" s="5">
        <f t="array" ref="T29">IFERROR(IF($C29="",0,$O29*$D29*INDEX(TABELE!$B$23:$P$33,MATCH($F29,TABELE!$A$23:$A$33,0),MATCH($E29,TABELE!$B$22:$P$22,0))),0)</f>
        <v>0</v>
      </c>
      <c r="U29" s="5">
        <f t="array" ref="U29">IFERROR(IF($C29="",0,$O29*$D29*INDEX(TABELE!$B$37:$P$47,MATCH($F29,TABELE!$A$37:$A$47,0),MATCH($E29,TABELE!$B$36:$P$36,0))),0)</f>
        <v>0</v>
      </c>
      <c r="V29" s="5">
        <f t="array" ref="V29">IFERROR(IF($C29="",0,$O29*$D29*INDEX(TABELE!$B$51:$P$61,MATCH($F29,TABELE!$A$51:$A$61,0),MATCH($E29,TABELE!$B$50:$P$50,0))),0)</f>
        <v>0</v>
      </c>
      <c r="W29" s="5" t="str">
        <f t="array" ref="W29">IFERROR(INDEX(BAZA_UWAGI,MATCH($C29,BAZA_EX,0)),"")</f>
        <v/>
      </c>
      <c r="X29" s="5">
        <f t="shared" si="6"/>
        <v>4</v>
      </c>
      <c r="Y29" s="5" t="str">
        <f t="shared" si="9"/>
        <v>D</v>
      </c>
      <c r="Z29" s="5">
        <f t="shared" si="10"/>
        <v>4</v>
      </c>
      <c r="AA29" s="5" t="str">
        <f>IF($C29="","",IF(SUMPRODUCT((START!$B$6:$B$69=$C29)*(START!$M$6:$M$69&gt;0))=0,"",SUMPRODUCT(MAX((START!$B$6:$B$69=$C29)*START!$M$6:$M$69))))</f>
        <v/>
      </c>
      <c r="AB29" s="5" t="str">
        <f t="shared" si="7"/>
        <v/>
      </c>
      <c r="AC29" s="5">
        <f>MAX(0.85,MIN(1.15,1+0.05*(COUNTIF('T1'!$AB29,"za łatwe"))-0.05*(COUNTIF('T1'!$AB29,"za trudne"))))</f>
        <v>1</v>
      </c>
      <c r="AD29" s="5">
        <f t="shared" si="8"/>
        <v>0</v>
      </c>
    </row>
    <row r="30" ht="25.5" customHeight="1" outlineLevel="1">
      <c r="A30" s="18" t="str">
        <f>IF('T1'!$A30="","",'T1'!$A30)</f>
        <v>E1.</v>
      </c>
      <c r="B30" s="30"/>
      <c r="C30" s="31" t="str">
        <f>IF('T1'!$C30="","",'T1'!$C30)</f>
        <v/>
      </c>
      <c r="D30" s="32"/>
      <c r="E30" s="39">
        <f>IF($C30="",0,MIN(15,MAX(1,IF(N($O30)&gt;=1,6,IF(N($O30)&gt;=0.75,IF(PRZEL_CZESC="część 1 (objętość)",8,6),IF(PRZEL_CZESC="część 1 (objętość)",10,8)))+1+$AD30)))</f>
        <v>0</v>
      </c>
      <c r="F30" s="33"/>
      <c r="G30" s="34" t="str">
        <f>IF($C30="","",IF(OR($Q30="masa ciała",$Q30="czas",$Q30="dystans",$Q30="ręczne ustawienie"),$Q30,IF($C30='T1'!$C30,IF(AND(LEFT($A30,1)&lt;&gt;"A",PRZEL_AKCESORIA="trzymaj z bloku"),IF(NOT(ISNUMBER('T1'!$G30)),'T1'!$G30,MROUND('T1'!$G30*$AC30/(MAX('T1'!$AC30,0.0001)),MAX($P30,0.5))),IF(OR($R30="",$R30=0),"— brak 1RM",MROUND($R30*$S30/100*$AC30,MAX($P30,0.5)))),IF(OR($AA30="",$AA30=0),"— ustaw ręcznie",MROUND($AA30*$S30/100*$AC30,MAX($P30,0.5))))))</f>
        <v/>
      </c>
      <c r="H30" s="35"/>
      <c r="I30" s="36" t="str">
        <f t="array" ref="I30">IFERROR(IF(IFERROR(INDEX(BAZA_FILM,MATCH($C30,BAZA_EX,0)),"")="","",HYPERLINK(IFERROR(INDEX(BAZA_FILM,MATCH($C30,BAZA_EX,0)),""),"film")),"")</f>
        <v/>
      </c>
      <c r="J30" s="37" t="str">
        <f>IF('T1'!$J30="","",'T1'!$J30)</f>
        <v/>
      </c>
      <c r="K30" s="5" t="s">
        <v>82</v>
      </c>
      <c r="L30" s="5" t="str">
        <f t="array" ref="L30">IFERROR(INDEX(BAZA_ID,MATCH($C30,BAZA_EX,0)),"")</f>
        <v/>
      </c>
      <c r="M30" s="5" t="str">
        <f t="array" ref="M30">IFERROR(INDEX(BAZA_PART,MATCH($C30,BAZA_EX,0)),"")</f>
        <v/>
      </c>
      <c r="N30" s="5" t="str">
        <f t="array" ref="N30">IFERROR(INDEX(BAZA_KAT,MATCH($C30,BAZA_EX,0)),"")</f>
        <v/>
      </c>
      <c r="O30" s="5" t="str">
        <f t="array" ref="O30">IFERROR(INDEX(BAZA_COEFF,MATCH($C30,BAZA_EX,0)),"")</f>
        <v/>
      </c>
      <c r="P30" s="5" t="str">
        <f t="array" ref="P30">IFERROR(INDEX(BAZA_SKOK,MATCH($C30,BAZA_EX,0)),"")</f>
        <v/>
      </c>
      <c r="Q30" s="5" t="str">
        <f t="array" ref="Q30">IFERROR(INDEX(BAZA_PROG,MATCH($C30,BAZA_EX,0)),"")</f>
        <v/>
      </c>
      <c r="R30" s="5" t="str">
        <f>IF($C30="","",IF(SUMPRODUCT((START!$B$6:$B$69=$C30)*(START!$M$6:$M$69&gt;0))=0,"",SUMPRODUCT(MAX((START!$B$6:$B$69=$C30)*START!$M$6:$M$69))))</f>
        <v/>
      </c>
      <c r="S30" s="5" t="str">
        <f t="array" ref="S30">IFERROR(INDEX(TABELE!$B$4:$J$18,MATCH($E30,TABELE!$A$4:$A$18,0),MATCH($F30,TABELE!$B$3:$J$3,0)),"")</f>
        <v/>
      </c>
      <c r="T30" s="5">
        <f t="array" ref="T30">IFERROR(IF($C30="",0,$O30*$D30*INDEX(TABELE!$B$23:$P$33,MATCH($F30,TABELE!$A$23:$A$33,0),MATCH($E30,TABELE!$B$22:$P$22,0))),0)</f>
        <v>0</v>
      </c>
      <c r="U30" s="5">
        <f t="array" ref="U30">IFERROR(IF($C30="",0,$O30*$D30*INDEX(TABELE!$B$37:$P$47,MATCH($F30,TABELE!$A$37:$A$47,0),MATCH($E30,TABELE!$B$36:$P$36,0))),0)</f>
        <v>0</v>
      </c>
      <c r="V30" s="5">
        <f t="array" ref="V30">IFERROR(IF($C30="",0,$O30*$D30*INDEX(TABELE!$B$51:$P$61,MATCH($F30,TABELE!$A$51:$A$61,0),MATCH($E30,TABELE!$B$50:$P$50,0))),0)</f>
        <v>0</v>
      </c>
      <c r="W30" s="5" t="str">
        <f t="array" ref="W30">IFERROR(INDEX(BAZA_UWAGI,MATCH($C30,BAZA_EX,0)),"")</f>
        <v/>
      </c>
      <c r="X30" s="5">
        <f t="shared" si="6"/>
        <v>5</v>
      </c>
      <c r="Y30" s="5" t="str">
        <f t="shared" si="9"/>
        <v>E</v>
      </c>
      <c r="Z30" s="5">
        <f t="shared" si="10"/>
        <v>5</v>
      </c>
      <c r="AA30" s="5" t="str">
        <f>IF($C30="","",IF(SUMPRODUCT((START!$B$6:$B$69=$C30)*(START!$M$6:$M$69&gt;0))=0,"",SUMPRODUCT(MAX((START!$B$6:$B$69=$C30)*START!$M$6:$M$69))))</f>
        <v/>
      </c>
      <c r="AB30" s="5" t="str">
        <f t="shared" si="7"/>
        <v/>
      </c>
      <c r="AC30" s="5">
        <f>MAX(0.85,MIN(1.15,1+0.05*(COUNTIF('T1'!$AB30,"za łatwe"))-0.05*(COUNTIF('T1'!$AB30,"za trudne"))))</f>
        <v>1</v>
      </c>
      <c r="AD30" s="5">
        <f t="shared" si="8"/>
        <v>0</v>
      </c>
    </row>
    <row r="31" ht="25.5" customHeight="1" outlineLevel="1">
      <c r="A31" s="18" t="str">
        <f>IF('T1'!$A31="","",'T1'!$A31)</f>
        <v>E2.</v>
      </c>
      <c r="B31" s="30"/>
      <c r="C31" s="31" t="str">
        <f>IF('T1'!$C31="","",'T1'!$C31)</f>
        <v/>
      </c>
      <c r="D31" s="32"/>
      <c r="E31" s="39">
        <f>IF($C31="",0,MIN(15,MAX(1,IF(N($O31)&gt;=1,6,IF(N($O31)&gt;=0.75,IF(PRZEL_CZESC="część 1 (objętość)",8,6),IF(PRZEL_CZESC="część 1 (objętość)",10,8)))+1+$AD31)))</f>
        <v>0</v>
      </c>
      <c r="F31" s="33"/>
      <c r="G31" s="34" t="str">
        <f>IF($C31="","",IF(OR($Q31="masa ciała",$Q31="czas",$Q31="dystans",$Q31="ręczne ustawienie"),$Q31,IF($C31='T1'!$C31,IF(AND(LEFT($A31,1)&lt;&gt;"A",PRZEL_AKCESORIA="trzymaj z bloku"),IF(NOT(ISNUMBER('T1'!$G31)),'T1'!$G31,MROUND('T1'!$G31*$AC31/(MAX('T1'!$AC31,0.0001)),MAX($P31,0.5))),IF(OR($R31="",$R31=0),"— brak 1RM",MROUND($R31*$S31/100*$AC31,MAX($P31,0.5)))),IF(OR($AA31="",$AA31=0),"— ustaw ręcznie",MROUND($AA31*$S31/100*$AC31,MAX($P31,0.5))))))</f>
        <v/>
      </c>
      <c r="H31" s="35"/>
      <c r="I31" s="36" t="str">
        <f t="array" ref="I31">IFERROR(IF(IFERROR(INDEX(BAZA_FILM,MATCH($C31,BAZA_EX,0)),"")="","",HYPERLINK(IFERROR(INDEX(BAZA_FILM,MATCH($C31,BAZA_EX,0)),""),"film")),"")</f>
        <v/>
      </c>
      <c r="J31" s="37" t="str">
        <f>IF('T1'!$J31="","",'T1'!$J31)</f>
        <v/>
      </c>
      <c r="K31" s="5" t="s">
        <v>83</v>
      </c>
      <c r="L31" s="5" t="str">
        <f t="array" ref="L31">IFERROR(INDEX(BAZA_ID,MATCH($C31,BAZA_EX,0)),"")</f>
        <v/>
      </c>
      <c r="M31" s="5" t="str">
        <f t="array" ref="M31">IFERROR(INDEX(BAZA_PART,MATCH($C31,BAZA_EX,0)),"")</f>
        <v/>
      </c>
      <c r="N31" s="5" t="str">
        <f t="array" ref="N31">IFERROR(INDEX(BAZA_KAT,MATCH($C31,BAZA_EX,0)),"")</f>
        <v/>
      </c>
      <c r="O31" s="5" t="str">
        <f t="array" ref="O31">IFERROR(INDEX(BAZA_COEFF,MATCH($C31,BAZA_EX,0)),"")</f>
        <v/>
      </c>
      <c r="P31" s="5" t="str">
        <f t="array" ref="P31">IFERROR(INDEX(BAZA_SKOK,MATCH($C31,BAZA_EX,0)),"")</f>
        <v/>
      </c>
      <c r="Q31" s="5" t="str">
        <f t="array" ref="Q31">IFERROR(INDEX(BAZA_PROG,MATCH($C31,BAZA_EX,0)),"")</f>
        <v/>
      </c>
      <c r="R31" s="5" t="str">
        <f>IF($C31="","",IF(SUMPRODUCT((START!$B$6:$B$69=$C31)*(START!$M$6:$M$69&gt;0))=0,"",SUMPRODUCT(MAX((START!$B$6:$B$69=$C31)*START!$M$6:$M$69))))</f>
        <v/>
      </c>
      <c r="S31" s="5" t="str">
        <f t="array" ref="S31">IFERROR(INDEX(TABELE!$B$4:$J$18,MATCH($E31,TABELE!$A$4:$A$18,0),MATCH($F31,TABELE!$B$3:$J$3,0)),"")</f>
        <v/>
      </c>
      <c r="T31" s="5">
        <f t="array" ref="T31">IFERROR(IF($C31="",0,$O31*$D31*INDEX(TABELE!$B$23:$P$33,MATCH($F31,TABELE!$A$23:$A$33,0),MATCH($E31,TABELE!$B$22:$P$22,0))),0)</f>
        <v>0</v>
      </c>
      <c r="U31" s="5">
        <f t="array" ref="U31">IFERROR(IF($C31="",0,$O31*$D31*INDEX(TABELE!$B$37:$P$47,MATCH($F31,TABELE!$A$37:$A$47,0),MATCH($E31,TABELE!$B$36:$P$36,0))),0)</f>
        <v>0</v>
      </c>
      <c r="V31" s="5">
        <f t="array" ref="V31">IFERROR(IF($C31="",0,$O31*$D31*INDEX(TABELE!$B$51:$P$61,MATCH($F31,TABELE!$A$51:$A$61,0),MATCH($E31,TABELE!$B$50:$P$50,0))),0)</f>
        <v>0</v>
      </c>
      <c r="W31" s="5" t="str">
        <f t="array" ref="W31">IFERROR(INDEX(BAZA_UWAGI,MATCH($C31,BAZA_EX,0)),"")</f>
        <v/>
      </c>
      <c r="X31" s="5">
        <f t="shared" si="6"/>
        <v>5</v>
      </c>
      <c r="Y31" s="5" t="str">
        <f t="shared" si="9"/>
        <v>E</v>
      </c>
      <c r="Z31" s="5">
        <f t="shared" si="10"/>
        <v>5</v>
      </c>
      <c r="AA31" s="5" t="str">
        <f>IF($C31="","",IF(SUMPRODUCT((START!$B$6:$B$69=$C31)*(START!$M$6:$M$69&gt;0))=0,"",SUMPRODUCT(MAX((START!$B$6:$B$69=$C31)*START!$M$6:$M$69))))</f>
        <v/>
      </c>
      <c r="AB31" s="5" t="str">
        <f t="shared" si="7"/>
        <v/>
      </c>
      <c r="AC31" s="5">
        <f>MAX(0.85,MIN(1.15,1+0.05*(COUNTIF('T1'!$AB31,"za łatwe"))-0.05*(COUNTIF('T1'!$AB31,"za trudne"))))</f>
        <v>1</v>
      </c>
      <c r="AD31" s="5">
        <f t="shared" si="8"/>
        <v>0</v>
      </c>
    </row>
    <row r="32" ht="25.5" customHeight="1" outlineLevel="1">
      <c r="A32" s="18" t="str">
        <f>IF('T1'!$A32="","",'T1'!$A32)</f>
        <v/>
      </c>
      <c r="B32" s="30"/>
      <c r="C32" s="31" t="str">
        <f>IF('T1'!$C32="","",'T1'!$C32)</f>
        <v/>
      </c>
      <c r="D32" s="32"/>
      <c r="E32" s="39">
        <f>IF($C32="",0,MIN(15,MAX(1,IF(N($O32)&gt;=1,6,IF(N($O32)&gt;=0.75,IF(PRZEL_CZESC="część 1 (objętość)",8,6),IF(PRZEL_CZESC="część 1 (objętość)",10,8)))+1+$AD32)))</f>
        <v>0</v>
      </c>
      <c r="F32" s="33"/>
      <c r="G32" s="34" t="str">
        <f>IF($C32="","",IF(OR($Q32="masa ciała",$Q32="czas",$Q32="dystans",$Q32="ręczne ustawienie"),$Q32,IF($C32='T1'!$C32,IF(AND(LEFT($A32,1)&lt;&gt;"A",PRZEL_AKCESORIA="trzymaj z bloku"),IF(NOT(ISNUMBER('T1'!$G32)),'T1'!$G32,MROUND('T1'!$G32*$AC32/(MAX('T1'!$AC32,0.0001)),MAX($P32,0.5))),IF(OR($R32="",$R32=0),"— brak 1RM",MROUND($R32*$S32/100*$AC32,MAX($P32,0.5)))),IF(OR($AA32="",$AA32=0),"— ustaw ręcznie",MROUND($AA32*$S32/100*$AC32,MAX($P32,0.5))))))</f>
        <v/>
      </c>
      <c r="H32" s="35"/>
      <c r="I32" s="36" t="str">
        <f t="array" ref="I32">IFERROR(IF(IFERROR(INDEX(BAZA_FILM,MATCH($C32,BAZA_EX,0)),"")="","",HYPERLINK(IFERROR(INDEX(BAZA_FILM,MATCH($C32,BAZA_EX,0)),""),"film")),"")</f>
        <v/>
      </c>
      <c r="J32" s="37" t="str">
        <f>IF('T1'!$J32="","",'T1'!$J32)</f>
        <v/>
      </c>
      <c r="K32" s="5" t="s">
        <v>85</v>
      </c>
      <c r="L32" s="5" t="str">
        <f t="array" ref="L32">IFERROR(INDEX(BAZA_ID,MATCH($C32,BAZA_EX,0)),"")</f>
        <v/>
      </c>
      <c r="M32" s="5" t="str">
        <f t="array" ref="M32">IFERROR(INDEX(BAZA_PART,MATCH($C32,BAZA_EX,0)),"")</f>
        <v/>
      </c>
      <c r="N32" s="5" t="str">
        <f t="array" ref="N32">IFERROR(INDEX(BAZA_KAT,MATCH($C32,BAZA_EX,0)),"")</f>
        <v/>
      </c>
      <c r="O32" s="5" t="str">
        <f t="array" ref="O32">IFERROR(INDEX(BAZA_COEFF,MATCH($C32,BAZA_EX,0)),"")</f>
        <v/>
      </c>
      <c r="P32" s="5" t="str">
        <f t="array" ref="P32">IFERROR(INDEX(BAZA_SKOK,MATCH($C32,BAZA_EX,0)),"")</f>
        <v/>
      </c>
      <c r="Q32" s="5" t="str">
        <f t="array" ref="Q32">IFERROR(INDEX(BAZA_PROG,MATCH($C32,BAZA_EX,0)),"")</f>
        <v/>
      </c>
      <c r="R32" s="5" t="str">
        <f>IF($C32="","",IF(SUMPRODUCT((START!$B$6:$B$69=$C32)*(START!$M$6:$M$69&gt;0))=0,"",SUMPRODUCT(MAX((START!$B$6:$B$69=$C32)*START!$M$6:$M$69))))</f>
        <v/>
      </c>
      <c r="S32" s="5" t="str">
        <f t="array" ref="S32">IFERROR(INDEX(TABELE!$B$4:$J$18,MATCH($E32,TABELE!$A$4:$A$18,0),MATCH($F32,TABELE!$B$3:$J$3,0)),"")</f>
        <v/>
      </c>
      <c r="T32" s="5">
        <f t="array" ref="T32">IFERROR(IF($C32="",0,$O32*$D32*INDEX(TABELE!$B$23:$P$33,MATCH($F32,TABELE!$A$23:$A$33,0),MATCH($E32,TABELE!$B$22:$P$22,0))),0)</f>
        <v>0</v>
      </c>
      <c r="U32" s="5">
        <f t="array" ref="U32">IFERROR(IF($C32="",0,$O32*$D32*INDEX(TABELE!$B$37:$P$47,MATCH($F32,TABELE!$A$37:$A$47,0),MATCH($E32,TABELE!$B$36:$P$36,0))),0)</f>
        <v>0</v>
      </c>
      <c r="V32" s="5">
        <f t="array" ref="V32">IFERROR(IF($C32="",0,$O32*$D32*INDEX(TABELE!$B$51:$P$61,MATCH($F32,TABELE!$A$51:$A$61,0),MATCH($E32,TABELE!$B$50:$P$50,0))),0)</f>
        <v>0</v>
      </c>
      <c r="W32" s="5" t="str">
        <f t="array" ref="W32">IFERROR(INDEX(BAZA_UWAGI,MATCH($C32,BAZA_EX,0)),"")</f>
        <v/>
      </c>
      <c r="X32" s="5" t="str">
        <f t="shared" si="6"/>
        <v/>
      </c>
      <c r="Y32" s="5" t="str">
        <f t="shared" si="9"/>
        <v>E</v>
      </c>
      <c r="Z32" s="5">
        <f t="shared" si="10"/>
        <v>5</v>
      </c>
      <c r="AA32" s="5" t="str">
        <f>IF($C32="","",IF(SUMPRODUCT((START!$B$6:$B$69=$C32)*(START!$M$6:$M$69&gt;0))=0,"",SUMPRODUCT(MAX((START!$B$6:$B$69=$C32)*START!$M$6:$M$69))))</f>
        <v/>
      </c>
      <c r="AB32" s="5" t="str">
        <f t="shared" si="7"/>
        <v/>
      </c>
      <c r="AC32" s="5">
        <f>MAX(0.85,MIN(1.15,1+0.05*(COUNTIF('T1'!$AB32,"za łatwe"))-0.05*(COUNTIF('T1'!$AB32,"za trudne"))))</f>
        <v>1</v>
      </c>
      <c r="AD32" s="5">
        <f t="shared" si="8"/>
        <v>0</v>
      </c>
    </row>
    <row r="33" ht="25.5" customHeight="1" outlineLevel="1">
      <c r="A33" s="18" t="str">
        <f>IF('T1'!$A33="","",'T1'!$A33)</f>
        <v/>
      </c>
      <c r="B33" s="30"/>
      <c r="C33" s="31" t="str">
        <f>IF('T1'!$C33="","",'T1'!$C33)</f>
        <v/>
      </c>
      <c r="D33" s="32"/>
      <c r="E33" s="39">
        <f>IF($C33="",0,MIN(15,MAX(1,IF(N($O33)&gt;=1,6,IF(N($O33)&gt;=0.75,IF(PRZEL_CZESC="część 1 (objętość)",8,6),IF(PRZEL_CZESC="część 1 (objętość)",10,8)))+1+$AD33)))</f>
        <v>0</v>
      </c>
      <c r="F33" s="33"/>
      <c r="G33" s="34" t="str">
        <f>IF($C33="","",IF(OR($Q33="masa ciała",$Q33="czas",$Q33="dystans",$Q33="ręczne ustawienie"),$Q33,IF($C33='T1'!$C33,IF(AND(LEFT($A33,1)&lt;&gt;"A",PRZEL_AKCESORIA="trzymaj z bloku"),IF(NOT(ISNUMBER('T1'!$G33)),'T1'!$G33,MROUND('T1'!$G33*$AC33/(MAX('T1'!$AC33,0.0001)),MAX($P33,0.5))),IF(OR($R33="",$R33=0),"— brak 1RM",MROUND($R33*$S33/100*$AC33,MAX($P33,0.5)))),IF(OR($AA33="",$AA33=0),"— ustaw ręcznie",MROUND($AA33*$S33/100*$AC33,MAX($P33,0.5))))))</f>
        <v/>
      </c>
      <c r="H33" s="35"/>
      <c r="I33" s="36" t="str">
        <f t="array" ref="I33">IFERROR(IF(IFERROR(INDEX(BAZA_FILM,MATCH($C33,BAZA_EX,0)),"")="","",HYPERLINK(IFERROR(INDEX(BAZA_FILM,MATCH($C33,BAZA_EX,0)),""),"film")),"")</f>
        <v/>
      </c>
      <c r="J33" s="37" t="str">
        <f>IF('T1'!$J33="","",'T1'!$J33)</f>
        <v/>
      </c>
      <c r="K33" s="5" t="s">
        <v>86</v>
      </c>
      <c r="L33" s="5" t="str">
        <f t="array" ref="L33">IFERROR(INDEX(BAZA_ID,MATCH($C33,BAZA_EX,0)),"")</f>
        <v/>
      </c>
      <c r="M33" s="5" t="str">
        <f t="array" ref="M33">IFERROR(INDEX(BAZA_PART,MATCH($C33,BAZA_EX,0)),"")</f>
        <v/>
      </c>
      <c r="N33" s="5" t="str">
        <f t="array" ref="N33">IFERROR(INDEX(BAZA_KAT,MATCH($C33,BAZA_EX,0)),"")</f>
        <v/>
      </c>
      <c r="O33" s="5" t="str">
        <f t="array" ref="O33">IFERROR(INDEX(BAZA_COEFF,MATCH($C33,BAZA_EX,0)),"")</f>
        <v/>
      </c>
      <c r="P33" s="5" t="str">
        <f t="array" ref="P33">IFERROR(INDEX(BAZA_SKOK,MATCH($C33,BAZA_EX,0)),"")</f>
        <v/>
      </c>
      <c r="Q33" s="5" t="str">
        <f t="array" ref="Q33">IFERROR(INDEX(BAZA_PROG,MATCH($C33,BAZA_EX,0)),"")</f>
        <v/>
      </c>
      <c r="R33" s="5" t="str">
        <f>IF($C33="","",IF(SUMPRODUCT((START!$B$6:$B$69=$C33)*(START!$M$6:$M$69&gt;0))=0,"",SUMPRODUCT(MAX((START!$B$6:$B$69=$C33)*START!$M$6:$M$69))))</f>
        <v/>
      </c>
      <c r="S33" s="5" t="str">
        <f t="array" ref="S33">IFERROR(INDEX(TABELE!$B$4:$J$18,MATCH($E33,TABELE!$A$4:$A$18,0),MATCH($F33,TABELE!$B$3:$J$3,0)),"")</f>
        <v/>
      </c>
      <c r="T33" s="5">
        <f t="array" ref="T33">IFERROR(IF($C33="",0,$O33*$D33*INDEX(TABELE!$B$23:$P$33,MATCH($F33,TABELE!$A$23:$A$33,0),MATCH($E33,TABELE!$B$22:$P$22,0))),0)</f>
        <v>0</v>
      </c>
      <c r="U33" s="5">
        <f t="array" ref="U33">IFERROR(IF($C33="",0,$O33*$D33*INDEX(TABELE!$B$37:$P$47,MATCH($F33,TABELE!$A$37:$A$47,0),MATCH($E33,TABELE!$B$36:$P$36,0))),0)</f>
        <v>0</v>
      </c>
      <c r="V33" s="5">
        <f t="array" ref="V33">IFERROR(IF($C33="",0,$O33*$D33*INDEX(TABELE!$B$51:$P$61,MATCH($F33,TABELE!$A$51:$A$61,0),MATCH($E33,TABELE!$B$50:$P$50,0))),0)</f>
        <v>0</v>
      </c>
      <c r="W33" s="5" t="str">
        <f t="array" ref="W33">IFERROR(INDEX(BAZA_UWAGI,MATCH($C33,BAZA_EX,0)),"")</f>
        <v/>
      </c>
      <c r="X33" s="5" t="str">
        <f t="shared" si="6"/>
        <v/>
      </c>
      <c r="Y33" s="5" t="str">
        <f t="shared" si="9"/>
        <v>E</v>
      </c>
      <c r="Z33" s="5">
        <f t="shared" si="10"/>
        <v>5</v>
      </c>
      <c r="AA33" s="5" t="str">
        <f>IF($C33="","",IF(SUMPRODUCT((START!$B$6:$B$69=$C33)*(START!$M$6:$M$69&gt;0))=0,"",SUMPRODUCT(MAX((START!$B$6:$B$69=$C33)*START!$M$6:$M$69))))</f>
        <v/>
      </c>
      <c r="AB33" s="5" t="str">
        <f t="shared" si="7"/>
        <v/>
      </c>
      <c r="AC33" s="5">
        <f>MAX(0.85,MIN(1.15,1+0.05*(COUNTIF('T1'!$AB33,"za łatwe"))-0.05*(COUNTIF('T1'!$AB33,"za trudne"))))</f>
        <v>1</v>
      </c>
      <c r="AD33" s="5">
        <f t="shared" si="8"/>
        <v>0</v>
      </c>
    </row>
    <row r="34" ht="25.5" customHeight="1" outlineLevel="1">
      <c r="A34" s="18" t="str">
        <f>IF('T1'!$A34="","",'T1'!$A34)</f>
        <v/>
      </c>
      <c r="B34" s="30"/>
      <c r="C34" s="31" t="str">
        <f>IF('T1'!$C34="","",'T1'!$C34)</f>
        <v/>
      </c>
      <c r="D34" s="32"/>
      <c r="E34" s="39">
        <f>IF($C34="",0,MIN(15,MAX(1,IF(N($O34)&gt;=1,6,IF(N($O34)&gt;=0.75,IF(PRZEL_CZESC="część 1 (objętość)",8,6),IF(PRZEL_CZESC="część 1 (objętość)",10,8)))+1+$AD34)))</f>
        <v>0</v>
      </c>
      <c r="F34" s="33"/>
      <c r="G34" s="34" t="str">
        <f>IF($C34="","",IF(OR($Q34="masa ciała",$Q34="czas",$Q34="dystans",$Q34="ręczne ustawienie"),$Q34,IF($C34='T1'!$C34,IF(AND(LEFT($A34,1)&lt;&gt;"A",PRZEL_AKCESORIA="trzymaj z bloku"),IF(NOT(ISNUMBER('T1'!$G34)),'T1'!$G34,MROUND('T1'!$G34*$AC34/(MAX('T1'!$AC34,0.0001)),MAX($P34,0.5))),IF(OR($R34="",$R34=0),"— brak 1RM",MROUND($R34*$S34/100*$AC34,MAX($P34,0.5)))),IF(OR($AA34="",$AA34=0),"— ustaw ręcznie",MROUND($AA34*$S34/100*$AC34,MAX($P34,0.5))))))</f>
        <v/>
      </c>
      <c r="H34" s="35"/>
      <c r="I34" s="36" t="str">
        <f t="array" ref="I34">IFERROR(IF(IFERROR(INDEX(BAZA_FILM,MATCH($C34,BAZA_EX,0)),"")="","",HYPERLINK(IFERROR(INDEX(BAZA_FILM,MATCH($C34,BAZA_EX,0)),""),"film")),"")</f>
        <v/>
      </c>
      <c r="J34" s="37" t="str">
        <f>IF('T1'!$J34="","",'T1'!$J34)</f>
        <v/>
      </c>
      <c r="K34" s="5" t="s">
        <v>87</v>
      </c>
      <c r="L34" s="5" t="str">
        <f t="array" ref="L34">IFERROR(INDEX(BAZA_ID,MATCH($C34,BAZA_EX,0)),"")</f>
        <v/>
      </c>
      <c r="M34" s="5" t="str">
        <f t="array" ref="M34">IFERROR(INDEX(BAZA_PART,MATCH($C34,BAZA_EX,0)),"")</f>
        <v/>
      </c>
      <c r="N34" s="5" t="str">
        <f t="array" ref="N34">IFERROR(INDEX(BAZA_KAT,MATCH($C34,BAZA_EX,0)),"")</f>
        <v/>
      </c>
      <c r="O34" s="5" t="str">
        <f t="array" ref="O34">IFERROR(INDEX(BAZA_COEFF,MATCH($C34,BAZA_EX,0)),"")</f>
        <v/>
      </c>
      <c r="P34" s="5" t="str">
        <f t="array" ref="P34">IFERROR(INDEX(BAZA_SKOK,MATCH($C34,BAZA_EX,0)),"")</f>
        <v/>
      </c>
      <c r="Q34" s="5" t="str">
        <f t="array" ref="Q34">IFERROR(INDEX(BAZA_PROG,MATCH($C34,BAZA_EX,0)),"")</f>
        <v/>
      </c>
      <c r="R34" s="5" t="str">
        <f>IF($C34="","",IF(SUMPRODUCT((START!$B$6:$B$69=$C34)*(START!$M$6:$M$69&gt;0))=0,"",SUMPRODUCT(MAX((START!$B$6:$B$69=$C34)*START!$M$6:$M$69))))</f>
        <v/>
      </c>
      <c r="S34" s="5" t="str">
        <f t="array" ref="S34">IFERROR(INDEX(TABELE!$B$4:$J$18,MATCH($E34,TABELE!$A$4:$A$18,0),MATCH($F34,TABELE!$B$3:$J$3,0)),"")</f>
        <v/>
      </c>
      <c r="T34" s="5">
        <f t="array" ref="T34">IFERROR(IF($C34="",0,$O34*$D34*INDEX(TABELE!$B$23:$P$33,MATCH($F34,TABELE!$A$23:$A$33,0),MATCH($E34,TABELE!$B$22:$P$22,0))),0)</f>
        <v>0</v>
      </c>
      <c r="U34" s="5">
        <f t="array" ref="U34">IFERROR(IF($C34="",0,$O34*$D34*INDEX(TABELE!$B$37:$P$47,MATCH($F34,TABELE!$A$37:$A$47,0),MATCH($E34,TABELE!$B$36:$P$36,0))),0)</f>
        <v>0</v>
      </c>
      <c r="V34" s="5">
        <f t="array" ref="V34">IFERROR(IF($C34="",0,$O34*$D34*INDEX(TABELE!$B$51:$P$61,MATCH($F34,TABELE!$A$51:$A$61,0),MATCH($E34,TABELE!$B$50:$P$50,0))),0)</f>
        <v>0</v>
      </c>
      <c r="W34" s="5" t="str">
        <f t="array" ref="W34">IFERROR(INDEX(BAZA_UWAGI,MATCH($C34,BAZA_EX,0)),"")</f>
        <v/>
      </c>
      <c r="X34" s="5" t="str">
        <f t="shared" si="6"/>
        <v/>
      </c>
      <c r="Y34" s="5" t="str">
        <f t="shared" si="9"/>
        <v>E</v>
      </c>
      <c r="Z34" s="5">
        <f t="shared" si="10"/>
        <v>5</v>
      </c>
      <c r="AA34" s="5" t="str">
        <f>IF($C34="","",IF(SUMPRODUCT((START!$B$6:$B$69=$C34)*(START!$M$6:$M$69&gt;0))=0,"",SUMPRODUCT(MAX((START!$B$6:$B$69=$C34)*START!$M$6:$M$69))))</f>
        <v/>
      </c>
      <c r="AB34" s="5" t="str">
        <f t="shared" si="7"/>
        <v/>
      </c>
      <c r="AC34" s="5">
        <f>MAX(0.85,MIN(1.15,1+0.05*(COUNTIF('T1'!$AB34,"za łatwe"))-0.05*(COUNTIF('T1'!$AB34,"za trudne"))))</f>
        <v>1</v>
      </c>
      <c r="AD34" s="5">
        <f t="shared" si="8"/>
        <v>0</v>
      </c>
    </row>
    <row r="35" ht="19.5" customHeight="1" outlineLevel="1">
      <c r="A35" s="43"/>
      <c r="B35" s="43"/>
      <c r="C35" s="44" t="s">
        <v>136</v>
      </c>
      <c r="D35" s="45">
        <f>SUMPRODUCT((C23:C34&lt;&gt;"")*D23:D34)+IF(AND($B$22="TOP SET",$C$22&lt;&gt;""),1,0)</f>
      </c>
      <c r="E35" s="46" t="str">
        <f>SUMPRODUCT((C23:C34&lt;&gt;"")*D23:D34*E23:E34)&amp;" powt."</f>
        <v>0 powt.</v>
      </c>
      <c r="F35" s="43"/>
      <c r="G35" s="47" t="str">
        <f>"stres t "&amp;TEXT(SUM(T23:T34),"0.0")</f>
        <v>stres t 0,0</v>
      </c>
      <c r="H35" s="48"/>
      <c r="I35" s="43"/>
      <c r="J35" s="43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25.5" customHeight="1" outlineLevel="1">
      <c r="A37" s="15" t="s">
        <v>88</v>
      </c>
      <c r="B37" s="3"/>
      <c r="C37" s="3"/>
      <c r="D37" s="3"/>
      <c r="E37" s="3"/>
      <c r="F37" s="3"/>
      <c r="G37" s="3"/>
      <c r="H37" s="3"/>
      <c r="I37" s="3"/>
      <c r="J37" s="4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33.75" customHeight="1" outlineLevel="2">
      <c r="A38" s="17" t="str">
        <f>IF($B38="TOP SET","▲","")</f>
        <v>▲</v>
      </c>
      <c r="B38" s="19" t="str">
        <f>IF('T1'!$B38="TOP SET","TOP SET","—")</f>
        <v>TOP SET</v>
      </c>
      <c r="C38" s="22" t="str">
        <f>IF(OR($B38&lt;&gt;"TOP SET",$F38=""),"",IF(N($K38)=0,"",IF(INDEX($C$39:$C$50,$K38)="","",INDEX($C$39:$C$50,$K38))))</f>
      </c>
      <c r="D38" s="23">
        <f>IF(AND($B38="TOP SET",$F38&lt;&gt;""),1,"")</f>
      </c>
      <c r="E38" s="24" t="str">
        <f>IF(AND($B38="TOP SET",$F38&lt;&gt;""),"1 powtórzenie","")</f>
      </c>
      <c r="F38" s="25">
        <v>6.0</v>
      </c>
      <c r="G38" s="27" t="str">
        <f t="array" ref="G38">IF($B38&lt;&gt;"TOP SET","",IF($C38="","",IF(OR($Q38="masa ciała",$Q38="czas",$Q38="dystans",$Q38="ręczne ustawienie"),"—",IF($C38='T1'!$C38,IF(OR($R38="",$R38=0),"— brak 1RM",MROUND($R38*IFERROR(INDEX(TABELE!$B$4:$J$18,MATCH(1,TABELE!$A$4:$A$18,0),MATCH($F38,TABELE!$B$3:$J$3,0)),0)/100,MAX($P38,0.5))),IF(OR($AA38="",$AA38=0),"— ustaw ręcznie",MROUND($AA38*IFERROR(INDEX(TABELE!$B$4:$J$18,MATCH(1,TABELE!$A$4:$A$18,0),MATCH($F38,TABELE!$B$3:$J$3,0)),0)/100,MAX($P38,0.5)))))))</f>
      </c>
      <c r="H38" s="28"/>
      <c r="I38" s="29"/>
      <c r="J38" s="29"/>
      <c r="K38" s="5">
        <f>IFERROR(MATCH("A*",$A$39:$A$50,0),0)</f>
      </c>
      <c r="L38" s="5"/>
      <c r="M38" s="5"/>
      <c r="N38" s="5"/>
      <c r="O38" s="5"/>
      <c r="P38" s="5">
        <f>IF(N($K38)=0,"",INDEX($P$39:$P$50,$K38))</f>
      </c>
      <c r="Q38" s="5">
        <f>IF(N($K38)=0,"",INDEX($Q$39:$Q$50,$K38))</f>
      </c>
      <c r="R38" s="5">
        <f>IF(N($K38)=0,"",INDEX($R$39:$R$50,$K38))</f>
      </c>
      <c r="S38" s="5"/>
      <c r="T38" s="5"/>
      <c r="U38" s="5"/>
      <c r="V38" s="5"/>
      <c r="W38" s="5"/>
      <c r="X38" s="5"/>
      <c r="Y38" s="5"/>
      <c r="Z38" s="5"/>
      <c r="AA38" s="5">
        <f>IF(N($K38)=0,"",INDEX($AA$39:$AA$50,$K38))</f>
      </c>
    </row>
    <row r="39" ht="25.5" customHeight="1" outlineLevel="1">
      <c r="A39" s="18" t="str">
        <f>IF('T1'!$A39="","",'T1'!$A39)</f>
        <v>A1.</v>
      </c>
      <c r="B39" s="30"/>
      <c r="C39" s="31" t="str">
        <f>IF('T1'!$C39="","",'T1'!$C39)</f>
        <v/>
      </c>
      <c r="D39" s="32">
        <v>5.0</v>
      </c>
      <c r="E39" s="32">
        <v>6.0</v>
      </c>
      <c r="F39" s="33">
        <v>7.0</v>
      </c>
      <c r="G39" s="34" t="str">
        <f>IF($C39="","",IF(OR($Q39="masa ciała",$Q39="czas",$Q39="dystans",$Q39="ręczne ustawienie"),$Q39,IF($C39='T1'!$C39,IF(AND(LEFT($A39,1)&lt;&gt;"A",PRZEL_AKCESORIA="trzymaj z bloku"),IF(NOT(ISNUMBER('T1'!$G39)),'T1'!$G39,MROUND('T1'!$G39*$AC39/(MAX('T1'!$AC39,0.0001)),MAX($P39,0.5))),IF(OR($R39="",$R39=0),"— brak 1RM",MROUND($R39*$S39/100*$AC39,MAX($P39,0.5)))),IF(OR($AA39="",$AA39=0),"— ustaw ręcznie",MROUND($AA39*$S39/100*$AC39,MAX($P39,0.5))))))</f>
        <v/>
      </c>
      <c r="H39" s="35"/>
      <c r="I39" s="36" t="str">
        <f t="array" ref="I39">IFERROR(IF(IFERROR(INDEX(BAZA_FILM,MATCH($C39,BAZA_EX,0)),"")="","",HYPERLINK(IFERROR(INDEX(BAZA_FILM,MATCH($C39,BAZA_EX,0)),""),"film")),"")</f>
        <v/>
      </c>
      <c r="J39" s="37" t="str">
        <f>IF('T1'!$J39="","",'T1'!$J39)</f>
        <v/>
      </c>
      <c r="K39" s="5" t="s">
        <v>89</v>
      </c>
      <c r="L39" s="5" t="str">
        <f t="array" ref="L39">IFERROR(INDEX(BAZA_ID,MATCH($C39,BAZA_EX,0)),"")</f>
        <v/>
      </c>
      <c r="M39" s="5" t="str">
        <f t="array" ref="M39">IFERROR(INDEX(BAZA_PART,MATCH($C39,BAZA_EX,0)),"")</f>
        <v/>
      </c>
      <c r="N39" s="5" t="str">
        <f t="array" ref="N39">IFERROR(INDEX(BAZA_KAT,MATCH($C39,BAZA_EX,0)),"")</f>
        <v/>
      </c>
      <c r="O39" s="5" t="str">
        <f t="array" ref="O39">IFERROR(INDEX(BAZA_COEFF,MATCH($C39,BAZA_EX,0)),"")</f>
        <v/>
      </c>
      <c r="P39" s="5" t="str">
        <f t="array" ref="P39">IFERROR(INDEX(BAZA_SKOK,MATCH($C39,BAZA_EX,0)),"")</f>
        <v/>
      </c>
      <c r="Q39" s="5" t="str">
        <f t="array" ref="Q39">IFERROR(INDEX(BAZA_PROG,MATCH($C39,BAZA_EX,0)),"")</f>
        <v/>
      </c>
      <c r="R39" s="5" t="str">
        <f>IF($C39="","",IF(SUMPRODUCT((START!$B$6:$B$69=$C39)*(START!$M$6:$M$69&gt;0))=0,"",SUMPRODUCT(MAX((START!$B$6:$B$69=$C39)*START!$M$6:$M$69))))</f>
        <v/>
      </c>
      <c r="S39" s="5">
        <f t="array" ref="S39">IFERROR(INDEX(TABELE!$B$4:$J$18,MATCH($E39,TABELE!$A$4:$A$18,0),MATCH($F39,TABELE!$B$3:$J$3,0)),"")</f>
        <v>71.5</v>
      </c>
      <c r="T39" s="5">
        <f t="array" ref="T39">IFERROR(IF($C39="",0,$O39*$D39*INDEX(TABELE!$B$23:$P$33,MATCH($F39,TABELE!$A$23:$A$33,0),MATCH($E39,TABELE!$B$22:$P$22,0))),0)</f>
        <v>0</v>
      </c>
      <c r="U39" s="5">
        <f t="array" ref="U39">IFERROR(IF($C39="",0,$O39*$D39*INDEX(TABELE!$B$37:$P$47,MATCH($F39,TABELE!$A$37:$A$47,0),MATCH($E39,TABELE!$B$36:$P$36,0))),0)</f>
        <v>0</v>
      </c>
      <c r="V39" s="5">
        <f t="array" ref="V39">IFERROR(IF($C39="",0,$O39*$D39*INDEX(TABELE!$B$51:$P$61,MATCH($F39,TABELE!$A$51:$A$61,0),MATCH($E39,TABELE!$B$50:$P$50,0))),0)</f>
        <v>0</v>
      </c>
      <c r="W39" s="5" t="str">
        <f t="array" ref="W39">IFERROR(INDEX(BAZA_UWAGI,MATCH($C39,BAZA_EX,0)),"")</f>
        <v/>
      </c>
      <c r="X39" s="5">
        <f t="shared" ref="X39:X50" si="11">IF($A39="","",$Z39)</f>
        <v>1</v>
      </c>
      <c r="Y39" s="5" t="str">
        <f>IF($A39="","",LEFT($A39,1))</f>
        <v>A</v>
      </c>
      <c r="Z39" s="5">
        <f>IF($A39="",0,1)</f>
        <v>1</v>
      </c>
      <c r="AA39" s="5" t="str">
        <f>IF($C39="","",IF(SUMPRODUCT((START!$B$6:$B$69=$C39)*(START!$M$6:$M$69&gt;0))=0,"",SUMPRODUCT(MAX((START!$B$6:$B$69=$C39)*START!$M$6:$M$69))))</f>
        <v/>
      </c>
      <c r="AB39" s="5" t="str">
        <f t="shared" ref="AB39:AB50" si="12">IF($C39="","",IF($H39&lt;&gt;"",$H39,IF($H$51="✓ ukończony","OK","")))</f>
        <v/>
      </c>
      <c r="AC39" s="5">
        <f>MAX(0.85,MIN(1.15,1+0.05*(COUNTIF('T1'!$AB39,"za łatwe"))-0.05*(COUNTIF('T1'!$AB39,"za trudne"))))</f>
        <v>1</v>
      </c>
      <c r="AD39" s="5">
        <f t="shared" ref="AD39:AD50" si="13">IF(OR($Q39="masa ciała",$Q39="czas",$Q39="dystans",$Q39="ręczne ustawienie"),MAX(-3,MIN(3,ROUND(($AC39-1)/0.05,0))),0)</f>
        <v>0</v>
      </c>
    </row>
    <row r="40" ht="25.5" customHeight="1" outlineLevel="1">
      <c r="A40" s="18" t="str">
        <f>IF('T1'!$A40="","",'T1'!$A40)</f>
        <v>B1.</v>
      </c>
      <c r="B40" s="30"/>
      <c r="C40" s="31" t="str">
        <f>IF('T1'!$C40="","",'T1'!$C40)</f>
        <v/>
      </c>
      <c r="D40" s="32">
        <v>3.0</v>
      </c>
      <c r="E40" s="39">
        <f>IF($C40="",0,MIN(15,MAX(1,IF(N($O40)&gt;=1,6,IF(N($O40)&gt;=0.75,IF(PRZEL_CZESC="część 1 (objętość)",8,6),IF(PRZEL_CZESC="część 1 (objętość)",10,8)))+1+$AD40)))</f>
        <v>0</v>
      </c>
      <c r="F40" s="33">
        <v>8.0</v>
      </c>
      <c r="G40" s="34" t="str">
        <f>IF($C40="","",IF(OR($Q40="masa ciała",$Q40="czas",$Q40="dystans",$Q40="ręczne ustawienie"),$Q40,IF($C40='T1'!$C40,IF(AND(LEFT($A40,1)&lt;&gt;"A",PRZEL_AKCESORIA="trzymaj z bloku"),IF(NOT(ISNUMBER('T1'!$G40)),'T1'!$G40,MROUND('T1'!$G40*$AC40/(MAX('T1'!$AC40,0.0001)),MAX($P40,0.5))),IF(OR($R40="",$R40=0),"— brak 1RM",MROUND($R40*$S40/100*$AC40,MAX($P40,0.5)))),IF(OR($AA40="",$AA40=0),"— ustaw ręcznie",MROUND($AA40*$S40/100*$AC40,MAX($P40,0.5))))))</f>
        <v/>
      </c>
      <c r="H40" s="35"/>
      <c r="I40" s="36" t="str">
        <f t="array" ref="I40">IFERROR(IF(IFERROR(INDEX(BAZA_FILM,MATCH($C40,BAZA_EX,0)),"")="","",HYPERLINK(IFERROR(INDEX(BAZA_FILM,MATCH($C40,BAZA_EX,0)),""),"film")),"")</f>
        <v/>
      </c>
      <c r="J40" s="37" t="str">
        <f>IF('T1'!$J40="","",'T1'!$J40)</f>
        <v/>
      </c>
      <c r="K40" s="5" t="s">
        <v>90</v>
      </c>
      <c r="L40" s="5" t="str">
        <f t="array" ref="L40">IFERROR(INDEX(BAZA_ID,MATCH($C40,BAZA_EX,0)),"")</f>
        <v/>
      </c>
      <c r="M40" s="5" t="str">
        <f t="array" ref="M40">IFERROR(INDEX(BAZA_PART,MATCH($C40,BAZA_EX,0)),"")</f>
        <v/>
      </c>
      <c r="N40" s="5" t="str">
        <f t="array" ref="N40">IFERROR(INDEX(BAZA_KAT,MATCH($C40,BAZA_EX,0)),"")</f>
        <v/>
      </c>
      <c r="O40" s="5" t="str">
        <f t="array" ref="O40">IFERROR(INDEX(BAZA_COEFF,MATCH($C40,BAZA_EX,0)),"")</f>
        <v/>
      </c>
      <c r="P40" s="5" t="str">
        <f t="array" ref="P40">IFERROR(INDEX(BAZA_SKOK,MATCH($C40,BAZA_EX,0)),"")</f>
        <v/>
      </c>
      <c r="Q40" s="5" t="str">
        <f t="array" ref="Q40">IFERROR(INDEX(BAZA_PROG,MATCH($C40,BAZA_EX,0)),"")</f>
        <v/>
      </c>
      <c r="R40" s="5" t="str">
        <f>IF($C40="","",IF(SUMPRODUCT((START!$B$6:$B$69=$C40)*(START!$M$6:$M$69&gt;0))=0,"",SUMPRODUCT(MAX((START!$B$6:$B$69=$C40)*START!$M$6:$M$69))))</f>
        <v/>
      </c>
      <c r="S40" s="5" t="str">
        <f t="array" ref="S40">IFERROR(INDEX(TABELE!$B$4:$J$18,MATCH($E40,TABELE!$A$4:$A$18,0),MATCH($F40,TABELE!$B$3:$J$3,0)),"")</f>
        <v/>
      </c>
      <c r="T40" s="5">
        <f t="array" ref="T40">IFERROR(IF($C40="",0,$O40*$D40*INDEX(TABELE!$B$23:$P$33,MATCH($F40,TABELE!$A$23:$A$33,0),MATCH($E40,TABELE!$B$22:$P$22,0))),0)</f>
        <v>0</v>
      </c>
      <c r="U40" s="5">
        <f t="array" ref="U40">IFERROR(IF($C40="",0,$O40*$D40*INDEX(TABELE!$B$37:$P$47,MATCH($F40,TABELE!$A$37:$A$47,0),MATCH($E40,TABELE!$B$36:$P$36,0))),0)</f>
        <v>0</v>
      </c>
      <c r="V40" s="5">
        <f t="array" ref="V40">IFERROR(IF($C40="",0,$O40*$D40*INDEX(TABELE!$B$51:$P$61,MATCH($F40,TABELE!$A$51:$A$61,0),MATCH($E40,TABELE!$B$50:$P$50,0))),0)</f>
        <v>0</v>
      </c>
      <c r="W40" s="5" t="str">
        <f t="array" ref="W40">IFERROR(INDEX(BAZA_UWAGI,MATCH($C40,BAZA_EX,0)),"")</f>
        <v/>
      </c>
      <c r="X40" s="5">
        <f t="shared" si="11"/>
        <v>2</v>
      </c>
      <c r="Y40" s="5" t="str">
        <f t="shared" ref="Y40:Y50" si="14">IF($A40="",$Y39,LEFT($A40,1))</f>
        <v>B</v>
      </c>
      <c r="Z40" s="5">
        <f t="shared" ref="Z40:Z50" si="15">IF($A40="",$Z39,IF(LEFT($A40,1)=$Y39,$Z39,$Z39+1))</f>
        <v>2</v>
      </c>
      <c r="AA40" s="5" t="str">
        <f>IF($C40="","",IF(SUMPRODUCT((START!$B$6:$B$69=$C40)*(START!$M$6:$M$69&gt;0))=0,"",SUMPRODUCT(MAX((START!$B$6:$B$69=$C40)*START!$M$6:$M$69))))</f>
        <v/>
      </c>
      <c r="AB40" s="5" t="str">
        <f t="shared" si="12"/>
        <v/>
      </c>
      <c r="AC40" s="5">
        <f>MAX(0.85,MIN(1.15,1+0.05*(COUNTIF('T1'!$AB40,"za łatwe"))-0.05*(COUNTIF('T1'!$AB40,"za trudne"))))</f>
        <v>1</v>
      </c>
      <c r="AD40" s="5">
        <f t="shared" si="13"/>
        <v>0</v>
      </c>
    </row>
    <row r="41" ht="25.5" customHeight="1" outlineLevel="1">
      <c r="A41" s="18" t="str">
        <f>IF('T1'!$A41="","",'T1'!$A41)</f>
        <v>B2.</v>
      </c>
      <c r="B41" s="30"/>
      <c r="C41" s="31" t="str">
        <f>IF('T1'!$C41="","",'T1'!$C41)</f>
        <v/>
      </c>
      <c r="D41" s="32">
        <v>3.0</v>
      </c>
      <c r="E41" s="39">
        <f>IF($C41="",0,MIN(15,MAX(1,IF(N($O41)&gt;=1,6,IF(N($O41)&gt;=0.75,IF(PRZEL_CZESC="część 1 (objętość)",8,6),IF(PRZEL_CZESC="część 1 (objętość)",10,8)))+1+$AD41)))</f>
        <v>0</v>
      </c>
      <c r="F41" s="33">
        <v>8.0</v>
      </c>
      <c r="G41" s="34" t="str">
        <f>IF($C41="","",IF(OR($Q41="masa ciała",$Q41="czas",$Q41="dystans",$Q41="ręczne ustawienie"),$Q41,IF($C41='T1'!$C41,IF(AND(LEFT($A41,1)&lt;&gt;"A",PRZEL_AKCESORIA="trzymaj z bloku"),IF(NOT(ISNUMBER('T1'!$G41)),'T1'!$G41,MROUND('T1'!$G41*$AC41/(MAX('T1'!$AC41,0.0001)),MAX($P41,0.5))),IF(OR($R41="",$R41=0),"— brak 1RM",MROUND($R41*$S41/100*$AC41,MAX($P41,0.5)))),IF(OR($AA41="",$AA41=0),"— ustaw ręcznie",MROUND($AA41*$S41/100*$AC41,MAX($P41,0.5))))))</f>
        <v/>
      </c>
      <c r="H41" s="35"/>
      <c r="I41" s="36" t="str">
        <f t="array" ref="I41">IFERROR(IF(IFERROR(INDEX(BAZA_FILM,MATCH($C41,BAZA_EX,0)),"")="","",HYPERLINK(IFERROR(INDEX(BAZA_FILM,MATCH($C41,BAZA_EX,0)),""),"film")),"")</f>
        <v/>
      </c>
      <c r="J41" s="37" t="str">
        <f>IF('T1'!$J41="","",'T1'!$J41)</f>
        <v/>
      </c>
      <c r="K41" s="5" t="s">
        <v>91</v>
      </c>
      <c r="L41" s="5" t="str">
        <f t="array" ref="L41">IFERROR(INDEX(BAZA_ID,MATCH($C41,BAZA_EX,0)),"")</f>
        <v/>
      </c>
      <c r="M41" s="5" t="str">
        <f t="array" ref="M41">IFERROR(INDEX(BAZA_PART,MATCH($C41,BAZA_EX,0)),"")</f>
        <v/>
      </c>
      <c r="N41" s="5" t="str">
        <f t="array" ref="N41">IFERROR(INDEX(BAZA_KAT,MATCH($C41,BAZA_EX,0)),"")</f>
        <v/>
      </c>
      <c r="O41" s="5" t="str">
        <f t="array" ref="O41">IFERROR(INDEX(BAZA_COEFF,MATCH($C41,BAZA_EX,0)),"")</f>
        <v/>
      </c>
      <c r="P41" s="5" t="str">
        <f t="array" ref="P41">IFERROR(INDEX(BAZA_SKOK,MATCH($C41,BAZA_EX,0)),"")</f>
        <v/>
      </c>
      <c r="Q41" s="5" t="str">
        <f t="array" ref="Q41">IFERROR(INDEX(BAZA_PROG,MATCH($C41,BAZA_EX,0)),"")</f>
        <v/>
      </c>
      <c r="R41" s="5" t="str">
        <f>IF($C41="","",IF(SUMPRODUCT((START!$B$6:$B$69=$C41)*(START!$M$6:$M$69&gt;0))=0,"",SUMPRODUCT(MAX((START!$B$6:$B$69=$C41)*START!$M$6:$M$69))))</f>
        <v/>
      </c>
      <c r="S41" s="5" t="str">
        <f t="array" ref="S41">IFERROR(INDEX(TABELE!$B$4:$J$18,MATCH($E41,TABELE!$A$4:$A$18,0),MATCH($F41,TABELE!$B$3:$J$3,0)),"")</f>
        <v/>
      </c>
      <c r="T41" s="5">
        <f t="array" ref="T41">IFERROR(IF($C41="",0,$O41*$D41*INDEX(TABELE!$B$23:$P$33,MATCH($F41,TABELE!$A$23:$A$33,0),MATCH($E41,TABELE!$B$22:$P$22,0))),0)</f>
        <v>0</v>
      </c>
      <c r="U41" s="5">
        <f t="array" ref="U41">IFERROR(IF($C41="",0,$O41*$D41*INDEX(TABELE!$B$37:$P$47,MATCH($F41,TABELE!$A$37:$A$47,0),MATCH($E41,TABELE!$B$36:$P$36,0))),0)</f>
        <v>0</v>
      </c>
      <c r="V41" s="5">
        <f t="array" ref="V41">IFERROR(IF($C41="",0,$O41*$D41*INDEX(TABELE!$B$51:$P$61,MATCH($F41,TABELE!$A$51:$A$61,0),MATCH($E41,TABELE!$B$50:$P$50,0))),0)</f>
        <v>0</v>
      </c>
      <c r="W41" s="5" t="str">
        <f t="array" ref="W41">IFERROR(INDEX(BAZA_UWAGI,MATCH($C41,BAZA_EX,0)),"")</f>
        <v/>
      </c>
      <c r="X41" s="5">
        <f t="shared" si="11"/>
        <v>2</v>
      </c>
      <c r="Y41" s="5" t="str">
        <f t="shared" si="14"/>
        <v>B</v>
      </c>
      <c r="Z41" s="5">
        <f t="shared" si="15"/>
        <v>2</v>
      </c>
      <c r="AA41" s="5" t="str">
        <f>IF($C41="","",IF(SUMPRODUCT((START!$B$6:$B$69=$C41)*(START!$M$6:$M$69&gt;0))=0,"",SUMPRODUCT(MAX((START!$B$6:$B$69=$C41)*START!$M$6:$M$69))))</f>
        <v/>
      </c>
      <c r="AB41" s="5" t="str">
        <f t="shared" si="12"/>
        <v/>
      </c>
      <c r="AC41" s="5">
        <f>MAX(0.85,MIN(1.15,1+0.05*(COUNTIF('T1'!$AB41,"za łatwe"))-0.05*(COUNTIF('T1'!$AB41,"za trudne"))))</f>
        <v>1</v>
      </c>
      <c r="AD41" s="5">
        <f t="shared" si="13"/>
        <v>0</v>
      </c>
    </row>
    <row r="42" ht="25.5" customHeight="1" outlineLevel="1">
      <c r="A42" s="18" t="str">
        <f>IF('T1'!$A42="","",'T1'!$A42)</f>
        <v>C1.</v>
      </c>
      <c r="B42" s="30"/>
      <c r="C42" s="31" t="str">
        <f>IF('T1'!$C42="","",'T1'!$C42)</f>
        <v/>
      </c>
      <c r="D42" s="32">
        <v>3.0</v>
      </c>
      <c r="E42" s="39">
        <f>IF($C42="",0,MIN(15,MAX(1,IF(N($O42)&gt;=1,6,IF(N($O42)&gt;=0.75,IF(PRZEL_CZESC="część 1 (objętość)",8,6),IF(PRZEL_CZESC="część 1 (objętość)",10,8)))+1+$AD42)))</f>
        <v>0</v>
      </c>
      <c r="F42" s="33">
        <v>8.0</v>
      </c>
      <c r="G42" s="34" t="str">
        <f>IF($C42="","",IF(OR($Q42="masa ciała",$Q42="czas",$Q42="dystans",$Q42="ręczne ustawienie"),$Q42,IF($C42='T1'!$C42,IF(AND(LEFT($A42,1)&lt;&gt;"A",PRZEL_AKCESORIA="trzymaj z bloku"),IF(NOT(ISNUMBER('T1'!$G42)),'T1'!$G42,MROUND('T1'!$G42*$AC42/(MAX('T1'!$AC42,0.0001)),MAX($P42,0.5))),IF(OR($R42="",$R42=0),"— brak 1RM",MROUND($R42*$S42/100*$AC42,MAX($P42,0.5)))),IF(OR($AA42="",$AA42=0),"— ustaw ręcznie",MROUND($AA42*$S42/100*$AC42,MAX($P42,0.5))))))</f>
        <v/>
      </c>
      <c r="H42" s="35"/>
      <c r="I42" s="36" t="str">
        <f t="array" ref="I42">IFERROR(IF(IFERROR(INDEX(BAZA_FILM,MATCH($C42,BAZA_EX,0)),"")="","",HYPERLINK(IFERROR(INDEX(BAZA_FILM,MATCH($C42,BAZA_EX,0)),""),"film")),"")</f>
        <v/>
      </c>
      <c r="J42" s="37" t="str">
        <f>IF('T1'!$J42="","",'T1'!$J42)</f>
        <v/>
      </c>
      <c r="K42" s="5" t="s">
        <v>92</v>
      </c>
      <c r="L42" s="5" t="str">
        <f t="array" ref="L42">IFERROR(INDEX(BAZA_ID,MATCH($C42,BAZA_EX,0)),"")</f>
        <v/>
      </c>
      <c r="M42" s="5" t="str">
        <f t="array" ref="M42">IFERROR(INDEX(BAZA_PART,MATCH($C42,BAZA_EX,0)),"")</f>
        <v/>
      </c>
      <c r="N42" s="5" t="str">
        <f t="array" ref="N42">IFERROR(INDEX(BAZA_KAT,MATCH($C42,BAZA_EX,0)),"")</f>
        <v/>
      </c>
      <c r="O42" s="5" t="str">
        <f t="array" ref="O42">IFERROR(INDEX(BAZA_COEFF,MATCH($C42,BAZA_EX,0)),"")</f>
        <v/>
      </c>
      <c r="P42" s="5" t="str">
        <f t="array" ref="P42">IFERROR(INDEX(BAZA_SKOK,MATCH($C42,BAZA_EX,0)),"")</f>
        <v/>
      </c>
      <c r="Q42" s="5" t="str">
        <f t="array" ref="Q42">IFERROR(INDEX(BAZA_PROG,MATCH($C42,BAZA_EX,0)),"")</f>
        <v/>
      </c>
      <c r="R42" s="5" t="str">
        <f>IF($C42="","",IF(SUMPRODUCT((START!$B$6:$B$69=$C42)*(START!$M$6:$M$69&gt;0))=0,"",SUMPRODUCT(MAX((START!$B$6:$B$69=$C42)*START!$M$6:$M$69))))</f>
        <v/>
      </c>
      <c r="S42" s="5" t="str">
        <f t="array" ref="S42">IFERROR(INDEX(TABELE!$B$4:$J$18,MATCH($E42,TABELE!$A$4:$A$18,0),MATCH($F42,TABELE!$B$3:$J$3,0)),"")</f>
        <v/>
      </c>
      <c r="T42" s="5">
        <f t="array" ref="T42">IFERROR(IF($C42="",0,$O42*$D42*INDEX(TABELE!$B$23:$P$33,MATCH($F42,TABELE!$A$23:$A$33,0),MATCH($E42,TABELE!$B$22:$P$22,0))),0)</f>
        <v>0</v>
      </c>
      <c r="U42" s="5">
        <f t="array" ref="U42">IFERROR(IF($C42="",0,$O42*$D42*INDEX(TABELE!$B$37:$P$47,MATCH($F42,TABELE!$A$37:$A$47,0),MATCH($E42,TABELE!$B$36:$P$36,0))),0)</f>
        <v>0</v>
      </c>
      <c r="V42" s="5">
        <f t="array" ref="V42">IFERROR(IF($C42="",0,$O42*$D42*INDEX(TABELE!$B$51:$P$61,MATCH($F42,TABELE!$A$51:$A$61,0),MATCH($E42,TABELE!$B$50:$P$50,0))),0)</f>
        <v>0</v>
      </c>
      <c r="W42" s="5" t="str">
        <f t="array" ref="W42">IFERROR(INDEX(BAZA_UWAGI,MATCH($C42,BAZA_EX,0)),"")</f>
        <v/>
      </c>
      <c r="X42" s="5">
        <f t="shared" si="11"/>
        <v>3</v>
      </c>
      <c r="Y42" s="5" t="str">
        <f t="shared" si="14"/>
        <v>C</v>
      </c>
      <c r="Z42" s="5">
        <f t="shared" si="15"/>
        <v>3</v>
      </c>
      <c r="AA42" s="5" t="str">
        <f>IF($C42="","",IF(SUMPRODUCT((START!$B$6:$B$69=$C42)*(START!$M$6:$M$69&gt;0))=0,"",SUMPRODUCT(MAX((START!$B$6:$B$69=$C42)*START!$M$6:$M$69))))</f>
        <v/>
      </c>
      <c r="AB42" s="5" t="str">
        <f t="shared" si="12"/>
        <v/>
      </c>
      <c r="AC42" s="5">
        <f>MAX(0.85,MIN(1.15,1+0.05*(COUNTIF('T1'!$AB42,"za łatwe"))-0.05*(COUNTIF('T1'!$AB42,"za trudne"))))</f>
        <v>1</v>
      </c>
      <c r="AD42" s="5">
        <f t="shared" si="13"/>
        <v>0</v>
      </c>
    </row>
    <row r="43" ht="25.5" customHeight="1" outlineLevel="1">
      <c r="A43" s="18" t="str">
        <f>IF('T1'!$A43="","",'T1'!$A43)</f>
        <v>C2.</v>
      </c>
      <c r="B43" s="30"/>
      <c r="C43" s="31" t="str">
        <f>IF('T1'!$C43="","",'T1'!$C43)</f>
        <v/>
      </c>
      <c r="D43" s="32">
        <v>3.0</v>
      </c>
      <c r="E43" s="39">
        <f>IF($C43="",0,MIN(15,MAX(1,IF(N($O43)&gt;=1,6,IF(N($O43)&gt;=0.75,IF(PRZEL_CZESC="część 1 (objętość)",8,6),IF(PRZEL_CZESC="część 1 (objętość)",10,8)))+1+$AD43)))</f>
        <v>0</v>
      </c>
      <c r="F43" s="33">
        <v>9.0</v>
      </c>
      <c r="G43" s="34" t="str">
        <f>IF($C43="","",IF(OR($Q43="masa ciała",$Q43="czas",$Q43="dystans",$Q43="ręczne ustawienie"),$Q43,IF($C43='T1'!$C43,IF(AND(LEFT($A43,1)&lt;&gt;"A",PRZEL_AKCESORIA="trzymaj z bloku"),IF(NOT(ISNUMBER('T1'!$G43)),'T1'!$G43,MROUND('T1'!$G43*$AC43/(MAX('T1'!$AC43,0.0001)),MAX($P43,0.5))),IF(OR($R43="",$R43=0),"— brak 1RM",MROUND($R43*$S43/100*$AC43,MAX($P43,0.5)))),IF(OR($AA43="",$AA43=0),"— ustaw ręcznie",MROUND($AA43*$S43/100*$AC43,MAX($P43,0.5))))))</f>
        <v/>
      </c>
      <c r="H43" s="35"/>
      <c r="I43" s="36" t="str">
        <f t="array" ref="I43">IFERROR(IF(IFERROR(INDEX(BAZA_FILM,MATCH($C43,BAZA_EX,0)),"")="","",HYPERLINK(IFERROR(INDEX(BAZA_FILM,MATCH($C43,BAZA_EX,0)),""),"film")),"")</f>
        <v/>
      </c>
      <c r="J43" s="37" t="str">
        <f>IF('T1'!$J43="","",'T1'!$J43)</f>
        <v/>
      </c>
      <c r="K43" s="5" t="s">
        <v>94</v>
      </c>
      <c r="L43" s="5" t="str">
        <f t="array" ref="L43">IFERROR(INDEX(BAZA_ID,MATCH($C43,BAZA_EX,0)),"")</f>
        <v/>
      </c>
      <c r="M43" s="5" t="str">
        <f t="array" ref="M43">IFERROR(INDEX(BAZA_PART,MATCH($C43,BAZA_EX,0)),"")</f>
        <v/>
      </c>
      <c r="N43" s="5" t="str">
        <f t="array" ref="N43">IFERROR(INDEX(BAZA_KAT,MATCH($C43,BAZA_EX,0)),"")</f>
        <v/>
      </c>
      <c r="O43" s="5" t="str">
        <f t="array" ref="O43">IFERROR(INDEX(BAZA_COEFF,MATCH($C43,BAZA_EX,0)),"")</f>
        <v/>
      </c>
      <c r="P43" s="5" t="str">
        <f t="array" ref="P43">IFERROR(INDEX(BAZA_SKOK,MATCH($C43,BAZA_EX,0)),"")</f>
        <v/>
      </c>
      <c r="Q43" s="5" t="str">
        <f t="array" ref="Q43">IFERROR(INDEX(BAZA_PROG,MATCH($C43,BAZA_EX,0)),"")</f>
        <v/>
      </c>
      <c r="R43" s="5" t="str">
        <f>IF($C43="","",IF(SUMPRODUCT((START!$B$6:$B$69=$C43)*(START!$M$6:$M$69&gt;0))=0,"",SUMPRODUCT(MAX((START!$B$6:$B$69=$C43)*START!$M$6:$M$69))))</f>
        <v/>
      </c>
      <c r="S43" s="5" t="str">
        <f t="array" ref="S43">IFERROR(INDEX(TABELE!$B$4:$J$18,MATCH($E43,TABELE!$A$4:$A$18,0),MATCH($F43,TABELE!$B$3:$J$3,0)),"")</f>
        <v/>
      </c>
      <c r="T43" s="5">
        <f t="array" ref="T43">IFERROR(IF($C43="",0,$O43*$D43*INDEX(TABELE!$B$23:$P$33,MATCH($F43,TABELE!$A$23:$A$33,0),MATCH($E43,TABELE!$B$22:$P$22,0))),0)</f>
        <v>0</v>
      </c>
      <c r="U43" s="5">
        <f t="array" ref="U43">IFERROR(IF($C43="",0,$O43*$D43*INDEX(TABELE!$B$37:$P$47,MATCH($F43,TABELE!$A$37:$A$47,0),MATCH($E43,TABELE!$B$36:$P$36,0))),0)</f>
        <v>0</v>
      </c>
      <c r="V43" s="5">
        <f t="array" ref="V43">IFERROR(IF($C43="",0,$O43*$D43*INDEX(TABELE!$B$51:$P$61,MATCH($F43,TABELE!$A$51:$A$61,0),MATCH($E43,TABELE!$B$50:$P$50,0))),0)</f>
        <v>0</v>
      </c>
      <c r="W43" s="5" t="str">
        <f t="array" ref="W43">IFERROR(INDEX(BAZA_UWAGI,MATCH($C43,BAZA_EX,0)),"")</f>
        <v/>
      </c>
      <c r="X43" s="5">
        <f t="shared" si="11"/>
        <v>3</v>
      </c>
      <c r="Y43" s="5" t="str">
        <f t="shared" si="14"/>
        <v>C</v>
      </c>
      <c r="Z43" s="5">
        <f t="shared" si="15"/>
        <v>3</v>
      </c>
      <c r="AA43" s="5" t="str">
        <f>IF($C43="","",IF(SUMPRODUCT((START!$B$6:$B$69=$C43)*(START!$M$6:$M$69&gt;0))=0,"",SUMPRODUCT(MAX((START!$B$6:$B$69=$C43)*START!$M$6:$M$69))))</f>
        <v/>
      </c>
      <c r="AB43" s="5" t="str">
        <f t="shared" si="12"/>
        <v/>
      </c>
      <c r="AC43" s="5">
        <f>MAX(0.85,MIN(1.15,1+0.05*(COUNTIF('T1'!$AB43,"za łatwe"))-0.05*(COUNTIF('T1'!$AB43,"za trudne"))))</f>
        <v>1</v>
      </c>
      <c r="AD43" s="5">
        <f t="shared" si="13"/>
        <v>0</v>
      </c>
    </row>
    <row r="44" ht="25.5" customHeight="1" outlineLevel="1">
      <c r="A44" s="18" t="str">
        <f>IF('T1'!$A44="","",'T1'!$A44)</f>
        <v>D1.</v>
      </c>
      <c r="B44" s="30"/>
      <c r="C44" s="31" t="str">
        <f>IF('T1'!$C44="","",'T1'!$C44)</f>
        <v/>
      </c>
      <c r="D44" s="32">
        <v>3.0</v>
      </c>
      <c r="E44" s="39">
        <f>IF($C44="",0,MIN(15,MAX(1,IF(N($O44)&gt;=1,6,IF(N($O44)&gt;=0.75,IF(PRZEL_CZESC="część 1 (objętość)",8,6),IF(PRZEL_CZESC="część 1 (objętość)",10,8)))+1+$AD44)))</f>
        <v>0</v>
      </c>
      <c r="F44" s="33">
        <v>8.0</v>
      </c>
      <c r="G44" s="34" t="str">
        <f>IF($C44="","",IF(OR($Q44="masa ciała",$Q44="czas",$Q44="dystans",$Q44="ręczne ustawienie"),$Q44,IF($C44='T1'!$C44,IF(AND(LEFT($A44,1)&lt;&gt;"A",PRZEL_AKCESORIA="trzymaj z bloku"),IF(NOT(ISNUMBER('T1'!$G44)),'T1'!$G44,MROUND('T1'!$G44*$AC44/(MAX('T1'!$AC44,0.0001)),MAX($P44,0.5))),IF(OR($R44="",$R44=0),"— brak 1RM",MROUND($R44*$S44/100*$AC44,MAX($P44,0.5)))),IF(OR($AA44="",$AA44=0),"— ustaw ręcznie",MROUND($AA44*$S44/100*$AC44,MAX($P44,0.5))))))</f>
        <v/>
      </c>
      <c r="H44" s="35"/>
      <c r="I44" s="36" t="str">
        <f t="array" ref="I44">IFERROR(IF(IFERROR(INDEX(BAZA_FILM,MATCH($C44,BAZA_EX,0)),"")="","",HYPERLINK(IFERROR(INDEX(BAZA_FILM,MATCH($C44,BAZA_EX,0)),""),"film")),"")</f>
        <v/>
      </c>
      <c r="J44" s="37" t="str">
        <f>IF('T1'!$J44="","",'T1'!$J44)</f>
        <v/>
      </c>
      <c r="K44" s="5" t="s">
        <v>95</v>
      </c>
      <c r="L44" s="5" t="str">
        <f t="array" ref="L44">IFERROR(INDEX(BAZA_ID,MATCH($C44,BAZA_EX,0)),"")</f>
        <v/>
      </c>
      <c r="M44" s="5" t="str">
        <f t="array" ref="M44">IFERROR(INDEX(BAZA_PART,MATCH($C44,BAZA_EX,0)),"")</f>
        <v/>
      </c>
      <c r="N44" s="5" t="str">
        <f t="array" ref="N44">IFERROR(INDEX(BAZA_KAT,MATCH($C44,BAZA_EX,0)),"")</f>
        <v/>
      </c>
      <c r="O44" s="5" t="str">
        <f t="array" ref="O44">IFERROR(INDEX(BAZA_COEFF,MATCH($C44,BAZA_EX,0)),"")</f>
        <v/>
      </c>
      <c r="P44" s="5" t="str">
        <f t="array" ref="P44">IFERROR(INDEX(BAZA_SKOK,MATCH($C44,BAZA_EX,0)),"")</f>
        <v/>
      </c>
      <c r="Q44" s="5" t="str">
        <f t="array" ref="Q44">IFERROR(INDEX(BAZA_PROG,MATCH($C44,BAZA_EX,0)),"")</f>
        <v/>
      </c>
      <c r="R44" s="5" t="str">
        <f>IF($C44="","",IF(SUMPRODUCT((START!$B$6:$B$69=$C44)*(START!$M$6:$M$69&gt;0))=0,"",SUMPRODUCT(MAX((START!$B$6:$B$69=$C44)*START!$M$6:$M$69))))</f>
        <v/>
      </c>
      <c r="S44" s="5" t="str">
        <f t="array" ref="S44">IFERROR(INDEX(TABELE!$B$4:$J$18,MATCH($E44,TABELE!$A$4:$A$18,0),MATCH($F44,TABELE!$B$3:$J$3,0)),"")</f>
        <v/>
      </c>
      <c r="T44" s="5">
        <f t="array" ref="T44">IFERROR(IF($C44="",0,$O44*$D44*INDEX(TABELE!$B$23:$P$33,MATCH($F44,TABELE!$A$23:$A$33,0),MATCH($E44,TABELE!$B$22:$P$22,0))),0)</f>
        <v>0</v>
      </c>
      <c r="U44" s="5">
        <f t="array" ref="U44">IFERROR(IF($C44="",0,$O44*$D44*INDEX(TABELE!$B$37:$P$47,MATCH($F44,TABELE!$A$37:$A$47,0),MATCH($E44,TABELE!$B$36:$P$36,0))),0)</f>
        <v>0</v>
      </c>
      <c r="V44" s="5">
        <f t="array" ref="V44">IFERROR(IF($C44="",0,$O44*$D44*INDEX(TABELE!$B$51:$P$61,MATCH($F44,TABELE!$A$51:$A$61,0),MATCH($E44,TABELE!$B$50:$P$50,0))),0)</f>
        <v>0</v>
      </c>
      <c r="W44" s="5" t="str">
        <f t="array" ref="W44">IFERROR(INDEX(BAZA_UWAGI,MATCH($C44,BAZA_EX,0)),"")</f>
        <v/>
      </c>
      <c r="X44" s="5">
        <f t="shared" si="11"/>
        <v>4</v>
      </c>
      <c r="Y44" s="5" t="str">
        <f t="shared" si="14"/>
        <v>D</v>
      </c>
      <c r="Z44" s="5">
        <f t="shared" si="15"/>
        <v>4</v>
      </c>
      <c r="AA44" s="5" t="str">
        <f>IF($C44="","",IF(SUMPRODUCT((START!$B$6:$B$69=$C44)*(START!$M$6:$M$69&gt;0))=0,"",SUMPRODUCT(MAX((START!$B$6:$B$69=$C44)*START!$M$6:$M$69))))</f>
        <v/>
      </c>
      <c r="AB44" s="5" t="str">
        <f t="shared" si="12"/>
        <v/>
      </c>
      <c r="AC44" s="5">
        <f>MAX(0.85,MIN(1.15,1+0.05*(COUNTIF('T1'!$AB44,"za łatwe"))-0.05*(COUNTIF('T1'!$AB44,"za trudne"))))</f>
        <v>1</v>
      </c>
      <c r="AD44" s="5">
        <f t="shared" si="13"/>
        <v>0</v>
      </c>
    </row>
    <row r="45" ht="25.5" customHeight="1" outlineLevel="1">
      <c r="A45" s="18" t="str">
        <f>IF('T1'!$A45="","",'T1'!$A45)</f>
        <v>D2.</v>
      </c>
      <c r="B45" s="30"/>
      <c r="C45" s="31" t="str">
        <f>IF('T1'!$C45="","",'T1'!$C45)</f>
        <v/>
      </c>
      <c r="D45" s="32">
        <v>3.0</v>
      </c>
      <c r="E45" s="39">
        <f>IF($C45="",0,MIN(15,MAX(1,IF(N($O45)&gt;=1,6,IF(N($O45)&gt;=0.75,IF(PRZEL_CZESC="część 1 (objętość)",8,6),IF(PRZEL_CZESC="część 1 (objętość)",10,8)))+1+$AD45)))</f>
        <v>0</v>
      </c>
      <c r="F45" s="33">
        <v>9.0</v>
      </c>
      <c r="G45" s="34" t="str">
        <f>IF($C45="","",IF(OR($Q45="masa ciała",$Q45="czas",$Q45="dystans",$Q45="ręczne ustawienie"),$Q45,IF($C45='T1'!$C45,IF(AND(LEFT($A45,1)&lt;&gt;"A",PRZEL_AKCESORIA="trzymaj z bloku"),IF(NOT(ISNUMBER('T1'!$G45)),'T1'!$G45,MROUND('T1'!$G45*$AC45/(MAX('T1'!$AC45,0.0001)),MAX($P45,0.5))),IF(OR($R45="",$R45=0),"— brak 1RM",MROUND($R45*$S45/100*$AC45,MAX($P45,0.5)))),IF(OR($AA45="",$AA45=0),"— ustaw ręcznie",MROUND($AA45*$S45/100*$AC45,MAX($P45,0.5))))))</f>
        <v/>
      </c>
      <c r="H45" s="35"/>
      <c r="I45" s="36" t="str">
        <f t="array" ref="I45">IFERROR(IF(IFERROR(INDEX(BAZA_FILM,MATCH($C45,BAZA_EX,0)),"")="","",HYPERLINK(IFERROR(INDEX(BAZA_FILM,MATCH($C45,BAZA_EX,0)),""),"film")),"")</f>
        <v/>
      </c>
      <c r="J45" s="37" t="str">
        <f>IF('T1'!$J45="","",'T1'!$J45)</f>
        <v/>
      </c>
      <c r="K45" s="5" t="s">
        <v>96</v>
      </c>
      <c r="L45" s="5" t="str">
        <f t="array" ref="L45">IFERROR(INDEX(BAZA_ID,MATCH($C45,BAZA_EX,0)),"")</f>
        <v/>
      </c>
      <c r="M45" s="5" t="str">
        <f t="array" ref="M45">IFERROR(INDEX(BAZA_PART,MATCH($C45,BAZA_EX,0)),"")</f>
        <v/>
      </c>
      <c r="N45" s="5" t="str">
        <f t="array" ref="N45">IFERROR(INDEX(BAZA_KAT,MATCH($C45,BAZA_EX,0)),"")</f>
        <v/>
      </c>
      <c r="O45" s="5" t="str">
        <f t="array" ref="O45">IFERROR(INDEX(BAZA_COEFF,MATCH($C45,BAZA_EX,0)),"")</f>
        <v/>
      </c>
      <c r="P45" s="5" t="str">
        <f t="array" ref="P45">IFERROR(INDEX(BAZA_SKOK,MATCH($C45,BAZA_EX,0)),"")</f>
        <v/>
      </c>
      <c r="Q45" s="5" t="str">
        <f t="array" ref="Q45">IFERROR(INDEX(BAZA_PROG,MATCH($C45,BAZA_EX,0)),"")</f>
        <v/>
      </c>
      <c r="R45" s="5" t="str">
        <f>IF($C45="","",IF(SUMPRODUCT((START!$B$6:$B$69=$C45)*(START!$M$6:$M$69&gt;0))=0,"",SUMPRODUCT(MAX((START!$B$6:$B$69=$C45)*START!$M$6:$M$69))))</f>
        <v/>
      </c>
      <c r="S45" s="5" t="str">
        <f t="array" ref="S45">IFERROR(INDEX(TABELE!$B$4:$J$18,MATCH($E45,TABELE!$A$4:$A$18,0),MATCH($F45,TABELE!$B$3:$J$3,0)),"")</f>
        <v/>
      </c>
      <c r="T45" s="5">
        <f t="array" ref="T45">IFERROR(IF($C45="",0,$O45*$D45*INDEX(TABELE!$B$23:$P$33,MATCH($F45,TABELE!$A$23:$A$33,0),MATCH($E45,TABELE!$B$22:$P$22,0))),0)</f>
        <v>0</v>
      </c>
      <c r="U45" s="5">
        <f t="array" ref="U45">IFERROR(IF($C45="",0,$O45*$D45*INDEX(TABELE!$B$37:$P$47,MATCH($F45,TABELE!$A$37:$A$47,0),MATCH($E45,TABELE!$B$36:$P$36,0))),0)</f>
        <v>0</v>
      </c>
      <c r="V45" s="5">
        <f t="array" ref="V45">IFERROR(IF($C45="",0,$O45*$D45*INDEX(TABELE!$B$51:$P$61,MATCH($F45,TABELE!$A$51:$A$61,0),MATCH($E45,TABELE!$B$50:$P$50,0))),0)</f>
        <v>0</v>
      </c>
      <c r="W45" s="5" t="str">
        <f t="array" ref="W45">IFERROR(INDEX(BAZA_UWAGI,MATCH($C45,BAZA_EX,0)),"")</f>
        <v/>
      </c>
      <c r="X45" s="5">
        <f t="shared" si="11"/>
        <v>4</v>
      </c>
      <c r="Y45" s="5" t="str">
        <f t="shared" si="14"/>
        <v>D</v>
      </c>
      <c r="Z45" s="5">
        <f t="shared" si="15"/>
        <v>4</v>
      </c>
      <c r="AA45" s="5" t="str">
        <f>IF($C45="","",IF(SUMPRODUCT((START!$B$6:$B$69=$C45)*(START!$M$6:$M$69&gt;0))=0,"",SUMPRODUCT(MAX((START!$B$6:$B$69=$C45)*START!$M$6:$M$69))))</f>
        <v/>
      </c>
      <c r="AB45" s="5" t="str">
        <f t="shared" si="12"/>
        <v/>
      </c>
      <c r="AC45" s="5">
        <f>MAX(0.85,MIN(1.15,1+0.05*(COUNTIF('T1'!$AB45,"za łatwe"))-0.05*(COUNTIF('T1'!$AB45,"za trudne"))))</f>
        <v>1</v>
      </c>
      <c r="AD45" s="5">
        <f t="shared" si="13"/>
        <v>0</v>
      </c>
    </row>
    <row r="46" ht="25.5" customHeight="1" outlineLevel="1">
      <c r="A46" s="18" t="str">
        <f>IF('T1'!$A46="","",'T1'!$A46)</f>
        <v>E1.</v>
      </c>
      <c r="B46" s="30"/>
      <c r="C46" s="31" t="str">
        <f>IF('T1'!$C46="","",'T1'!$C46)</f>
        <v/>
      </c>
      <c r="D46" s="32"/>
      <c r="E46" s="39">
        <f>IF($C46="",0,MIN(15,MAX(1,IF(N($O46)&gt;=1,6,IF(N($O46)&gt;=0.75,IF(PRZEL_CZESC="część 1 (objętość)",8,6),IF(PRZEL_CZESC="część 1 (objętość)",10,8)))+1+$AD46)))</f>
        <v>0</v>
      </c>
      <c r="F46" s="33"/>
      <c r="G46" s="34" t="str">
        <f>IF($C46="","",IF(OR($Q46="masa ciała",$Q46="czas",$Q46="dystans",$Q46="ręczne ustawienie"),$Q46,IF($C46='T1'!$C46,IF(AND(LEFT($A46,1)&lt;&gt;"A",PRZEL_AKCESORIA="trzymaj z bloku"),IF(NOT(ISNUMBER('T1'!$G46)),'T1'!$G46,MROUND('T1'!$G46*$AC46/(MAX('T1'!$AC46,0.0001)),MAX($P46,0.5))),IF(OR($R46="",$R46=0),"— brak 1RM",MROUND($R46*$S46/100*$AC46,MAX($P46,0.5)))),IF(OR($AA46="",$AA46=0),"— ustaw ręcznie",MROUND($AA46*$S46/100*$AC46,MAX($P46,0.5))))))</f>
        <v/>
      </c>
      <c r="H46" s="35"/>
      <c r="I46" s="36" t="str">
        <f t="array" ref="I46">IFERROR(IF(IFERROR(INDEX(BAZA_FILM,MATCH($C46,BAZA_EX,0)),"")="","",HYPERLINK(IFERROR(INDEX(BAZA_FILM,MATCH($C46,BAZA_EX,0)),""),"film")),"")</f>
        <v/>
      </c>
      <c r="J46" s="37" t="str">
        <f>IF('T1'!$J46="","",'T1'!$J46)</f>
        <v/>
      </c>
      <c r="K46" s="5" t="s">
        <v>97</v>
      </c>
      <c r="L46" s="5" t="str">
        <f t="array" ref="L46">IFERROR(INDEX(BAZA_ID,MATCH($C46,BAZA_EX,0)),"")</f>
        <v/>
      </c>
      <c r="M46" s="5" t="str">
        <f t="array" ref="M46">IFERROR(INDEX(BAZA_PART,MATCH($C46,BAZA_EX,0)),"")</f>
        <v/>
      </c>
      <c r="N46" s="5" t="str">
        <f t="array" ref="N46">IFERROR(INDEX(BAZA_KAT,MATCH($C46,BAZA_EX,0)),"")</f>
        <v/>
      </c>
      <c r="O46" s="5" t="str">
        <f t="array" ref="O46">IFERROR(INDEX(BAZA_COEFF,MATCH($C46,BAZA_EX,0)),"")</f>
        <v/>
      </c>
      <c r="P46" s="5" t="str">
        <f t="array" ref="P46">IFERROR(INDEX(BAZA_SKOK,MATCH($C46,BAZA_EX,0)),"")</f>
        <v/>
      </c>
      <c r="Q46" s="5" t="str">
        <f t="array" ref="Q46">IFERROR(INDEX(BAZA_PROG,MATCH($C46,BAZA_EX,0)),"")</f>
        <v/>
      </c>
      <c r="R46" s="5" t="str">
        <f>IF($C46="","",IF(SUMPRODUCT((START!$B$6:$B$69=$C46)*(START!$M$6:$M$69&gt;0))=0,"",SUMPRODUCT(MAX((START!$B$6:$B$69=$C46)*START!$M$6:$M$69))))</f>
        <v/>
      </c>
      <c r="S46" s="5" t="str">
        <f t="array" ref="S46">IFERROR(INDEX(TABELE!$B$4:$J$18,MATCH($E46,TABELE!$A$4:$A$18,0),MATCH($F46,TABELE!$B$3:$J$3,0)),"")</f>
        <v/>
      </c>
      <c r="T46" s="5">
        <f t="array" ref="T46">IFERROR(IF($C46="",0,$O46*$D46*INDEX(TABELE!$B$23:$P$33,MATCH($F46,TABELE!$A$23:$A$33,0),MATCH($E46,TABELE!$B$22:$P$22,0))),0)</f>
        <v>0</v>
      </c>
      <c r="U46" s="5">
        <f t="array" ref="U46">IFERROR(IF($C46="",0,$O46*$D46*INDEX(TABELE!$B$37:$P$47,MATCH($F46,TABELE!$A$37:$A$47,0),MATCH($E46,TABELE!$B$36:$P$36,0))),0)</f>
        <v>0</v>
      </c>
      <c r="V46" s="5">
        <f t="array" ref="V46">IFERROR(IF($C46="",0,$O46*$D46*INDEX(TABELE!$B$51:$P$61,MATCH($F46,TABELE!$A$51:$A$61,0),MATCH($E46,TABELE!$B$50:$P$50,0))),0)</f>
        <v>0</v>
      </c>
      <c r="W46" s="5" t="str">
        <f t="array" ref="W46">IFERROR(INDEX(BAZA_UWAGI,MATCH($C46,BAZA_EX,0)),"")</f>
        <v/>
      </c>
      <c r="X46" s="5">
        <f t="shared" si="11"/>
        <v>5</v>
      </c>
      <c r="Y46" s="5" t="str">
        <f t="shared" si="14"/>
        <v>E</v>
      </c>
      <c r="Z46" s="5">
        <f t="shared" si="15"/>
        <v>5</v>
      </c>
      <c r="AA46" s="5" t="str">
        <f>IF($C46="","",IF(SUMPRODUCT((START!$B$6:$B$69=$C46)*(START!$M$6:$M$69&gt;0))=0,"",SUMPRODUCT(MAX((START!$B$6:$B$69=$C46)*START!$M$6:$M$69))))</f>
        <v/>
      </c>
      <c r="AB46" s="5" t="str">
        <f t="shared" si="12"/>
        <v/>
      </c>
      <c r="AC46" s="5">
        <f>MAX(0.85,MIN(1.15,1+0.05*(COUNTIF('T1'!$AB46,"za łatwe"))-0.05*(COUNTIF('T1'!$AB46,"za trudne"))))</f>
        <v>1</v>
      </c>
      <c r="AD46" s="5">
        <f t="shared" si="13"/>
        <v>0</v>
      </c>
    </row>
    <row r="47" ht="25.5" customHeight="1" outlineLevel="1">
      <c r="A47" s="18" t="str">
        <f>IF('T1'!$A47="","",'T1'!$A47)</f>
        <v>E2.</v>
      </c>
      <c r="B47" s="30"/>
      <c r="C47" s="31" t="str">
        <f>IF('T1'!$C47="","",'T1'!$C47)</f>
        <v/>
      </c>
      <c r="D47" s="32"/>
      <c r="E47" s="39">
        <f>IF($C47="",0,MIN(15,MAX(1,IF(N($O47)&gt;=1,6,IF(N($O47)&gt;=0.75,IF(PRZEL_CZESC="część 1 (objętość)",8,6),IF(PRZEL_CZESC="część 1 (objętość)",10,8)))+1+$AD47)))</f>
        <v>0</v>
      </c>
      <c r="F47" s="33"/>
      <c r="G47" s="34" t="str">
        <f>IF($C47="","",IF(OR($Q47="masa ciała",$Q47="czas",$Q47="dystans",$Q47="ręczne ustawienie"),$Q47,IF($C47='T1'!$C47,IF(AND(LEFT($A47,1)&lt;&gt;"A",PRZEL_AKCESORIA="trzymaj z bloku"),IF(NOT(ISNUMBER('T1'!$G47)),'T1'!$G47,MROUND('T1'!$G47*$AC47/(MAX('T1'!$AC47,0.0001)),MAX($P47,0.5))),IF(OR($R47="",$R47=0),"— brak 1RM",MROUND($R47*$S47/100*$AC47,MAX($P47,0.5)))),IF(OR($AA47="",$AA47=0),"— ustaw ręcznie",MROUND($AA47*$S47/100*$AC47,MAX($P47,0.5))))))</f>
        <v/>
      </c>
      <c r="H47" s="35"/>
      <c r="I47" s="36" t="str">
        <f t="array" ref="I47">IFERROR(IF(IFERROR(INDEX(BAZA_FILM,MATCH($C47,BAZA_EX,0)),"")="","",HYPERLINK(IFERROR(INDEX(BAZA_FILM,MATCH($C47,BAZA_EX,0)),""),"film")),"")</f>
        <v/>
      </c>
      <c r="J47" s="37" t="str">
        <f>IF('T1'!$J47="","",'T1'!$J47)</f>
        <v/>
      </c>
      <c r="K47" s="5" t="s">
        <v>98</v>
      </c>
      <c r="L47" s="5" t="str">
        <f t="array" ref="L47">IFERROR(INDEX(BAZA_ID,MATCH($C47,BAZA_EX,0)),"")</f>
        <v/>
      </c>
      <c r="M47" s="5" t="str">
        <f t="array" ref="M47">IFERROR(INDEX(BAZA_PART,MATCH($C47,BAZA_EX,0)),"")</f>
        <v/>
      </c>
      <c r="N47" s="5" t="str">
        <f t="array" ref="N47">IFERROR(INDEX(BAZA_KAT,MATCH($C47,BAZA_EX,0)),"")</f>
        <v/>
      </c>
      <c r="O47" s="5" t="str">
        <f t="array" ref="O47">IFERROR(INDEX(BAZA_COEFF,MATCH($C47,BAZA_EX,0)),"")</f>
        <v/>
      </c>
      <c r="P47" s="5" t="str">
        <f t="array" ref="P47">IFERROR(INDEX(BAZA_SKOK,MATCH($C47,BAZA_EX,0)),"")</f>
        <v/>
      </c>
      <c r="Q47" s="5" t="str">
        <f t="array" ref="Q47">IFERROR(INDEX(BAZA_PROG,MATCH($C47,BAZA_EX,0)),"")</f>
        <v/>
      </c>
      <c r="R47" s="5" t="str">
        <f>IF($C47="","",IF(SUMPRODUCT((START!$B$6:$B$69=$C47)*(START!$M$6:$M$69&gt;0))=0,"",SUMPRODUCT(MAX((START!$B$6:$B$69=$C47)*START!$M$6:$M$69))))</f>
        <v/>
      </c>
      <c r="S47" s="5" t="str">
        <f t="array" ref="S47">IFERROR(INDEX(TABELE!$B$4:$J$18,MATCH($E47,TABELE!$A$4:$A$18,0),MATCH($F47,TABELE!$B$3:$J$3,0)),"")</f>
        <v/>
      </c>
      <c r="T47" s="5">
        <f t="array" ref="T47">IFERROR(IF($C47="",0,$O47*$D47*INDEX(TABELE!$B$23:$P$33,MATCH($F47,TABELE!$A$23:$A$33,0),MATCH($E47,TABELE!$B$22:$P$22,0))),0)</f>
        <v>0</v>
      </c>
      <c r="U47" s="5">
        <f t="array" ref="U47">IFERROR(IF($C47="",0,$O47*$D47*INDEX(TABELE!$B$37:$P$47,MATCH($F47,TABELE!$A$37:$A$47,0),MATCH($E47,TABELE!$B$36:$P$36,0))),0)</f>
        <v>0</v>
      </c>
      <c r="V47" s="5">
        <f t="array" ref="V47">IFERROR(IF($C47="",0,$O47*$D47*INDEX(TABELE!$B$51:$P$61,MATCH($F47,TABELE!$A$51:$A$61,0),MATCH($E47,TABELE!$B$50:$P$50,0))),0)</f>
        <v>0</v>
      </c>
      <c r="W47" s="5" t="str">
        <f t="array" ref="W47">IFERROR(INDEX(BAZA_UWAGI,MATCH($C47,BAZA_EX,0)),"")</f>
        <v/>
      </c>
      <c r="X47" s="5">
        <f t="shared" si="11"/>
        <v>5</v>
      </c>
      <c r="Y47" s="5" t="str">
        <f t="shared" si="14"/>
        <v>E</v>
      </c>
      <c r="Z47" s="5">
        <f t="shared" si="15"/>
        <v>5</v>
      </c>
      <c r="AA47" s="5" t="str">
        <f>IF($C47="","",IF(SUMPRODUCT((START!$B$6:$B$69=$C47)*(START!$M$6:$M$69&gt;0))=0,"",SUMPRODUCT(MAX((START!$B$6:$B$69=$C47)*START!$M$6:$M$69))))</f>
        <v/>
      </c>
      <c r="AB47" s="5" t="str">
        <f t="shared" si="12"/>
        <v/>
      </c>
      <c r="AC47" s="5">
        <f>MAX(0.85,MIN(1.15,1+0.05*(COUNTIF('T1'!$AB47,"za łatwe"))-0.05*(COUNTIF('T1'!$AB47,"za trudne"))))</f>
        <v>1</v>
      </c>
      <c r="AD47" s="5">
        <f t="shared" si="13"/>
        <v>0</v>
      </c>
    </row>
    <row r="48" ht="25.5" customHeight="1" outlineLevel="1">
      <c r="A48" s="18" t="str">
        <f>IF('T1'!$A48="","",'T1'!$A48)</f>
        <v/>
      </c>
      <c r="B48" s="30"/>
      <c r="C48" s="31" t="str">
        <f>IF('T1'!$C48="","",'T1'!$C48)</f>
        <v/>
      </c>
      <c r="D48" s="32"/>
      <c r="E48" s="39">
        <f>IF($C48="",0,MIN(15,MAX(1,IF(N($O48)&gt;=1,6,IF(N($O48)&gt;=0.75,IF(PRZEL_CZESC="część 1 (objętość)",8,6),IF(PRZEL_CZESC="część 1 (objętość)",10,8)))+1+$AD48)))</f>
        <v>0</v>
      </c>
      <c r="F48" s="33"/>
      <c r="G48" s="34" t="str">
        <f>IF($C48="","",IF(OR($Q48="masa ciała",$Q48="czas",$Q48="dystans",$Q48="ręczne ustawienie"),$Q48,IF($C48='T1'!$C48,IF(AND(LEFT($A48,1)&lt;&gt;"A",PRZEL_AKCESORIA="trzymaj z bloku"),IF(NOT(ISNUMBER('T1'!$G48)),'T1'!$G48,MROUND('T1'!$G48*$AC48/(MAX('T1'!$AC48,0.0001)),MAX($P48,0.5))),IF(OR($R48="",$R48=0),"— brak 1RM",MROUND($R48*$S48/100*$AC48,MAX($P48,0.5)))),IF(OR($AA48="",$AA48=0),"— ustaw ręcznie",MROUND($AA48*$S48/100*$AC48,MAX($P48,0.5))))))</f>
        <v/>
      </c>
      <c r="H48" s="35"/>
      <c r="I48" s="36" t="str">
        <f t="array" ref="I48">IFERROR(IF(IFERROR(INDEX(BAZA_FILM,MATCH($C48,BAZA_EX,0)),"")="","",HYPERLINK(IFERROR(INDEX(BAZA_FILM,MATCH($C48,BAZA_EX,0)),""),"film")),"")</f>
        <v/>
      </c>
      <c r="J48" s="37" t="str">
        <f>IF('T1'!$J48="","",'T1'!$J48)</f>
        <v/>
      </c>
      <c r="K48" s="5" t="s">
        <v>99</v>
      </c>
      <c r="L48" s="5" t="str">
        <f t="array" ref="L48">IFERROR(INDEX(BAZA_ID,MATCH($C48,BAZA_EX,0)),"")</f>
        <v/>
      </c>
      <c r="M48" s="5" t="str">
        <f t="array" ref="M48">IFERROR(INDEX(BAZA_PART,MATCH($C48,BAZA_EX,0)),"")</f>
        <v/>
      </c>
      <c r="N48" s="5" t="str">
        <f t="array" ref="N48">IFERROR(INDEX(BAZA_KAT,MATCH($C48,BAZA_EX,0)),"")</f>
        <v/>
      </c>
      <c r="O48" s="5" t="str">
        <f t="array" ref="O48">IFERROR(INDEX(BAZA_COEFF,MATCH($C48,BAZA_EX,0)),"")</f>
        <v/>
      </c>
      <c r="P48" s="5" t="str">
        <f t="array" ref="P48">IFERROR(INDEX(BAZA_SKOK,MATCH($C48,BAZA_EX,0)),"")</f>
        <v/>
      </c>
      <c r="Q48" s="5" t="str">
        <f t="array" ref="Q48">IFERROR(INDEX(BAZA_PROG,MATCH($C48,BAZA_EX,0)),"")</f>
        <v/>
      </c>
      <c r="R48" s="5" t="str">
        <f>IF($C48="","",IF(SUMPRODUCT((START!$B$6:$B$69=$C48)*(START!$M$6:$M$69&gt;0))=0,"",SUMPRODUCT(MAX((START!$B$6:$B$69=$C48)*START!$M$6:$M$69))))</f>
        <v/>
      </c>
      <c r="S48" s="5" t="str">
        <f t="array" ref="S48">IFERROR(INDEX(TABELE!$B$4:$J$18,MATCH($E48,TABELE!$A$4:$A$18,0),MATCH($F48,TABELE!$B$3:$J$3,0)),"")</f>
        <v/>
      </c>
      <c r="T48" s="5">
        <f t="array" ref="T48">IFERROR(IF($C48="",0,$O48*$D48*INDEX(TABELE!$B$23:$P$33,MATCH($F48,TABELE!$A$23:$A$33,0),MATCH($E48,TABELE!$B$22:$P$22,0))),0)</f>
        <v>0</v>
      </c>
      <c r="U48" s="5">
        <f t="array" ref="U48">IFERROR(IF($C48="",0,$O48*$D48*INDEX(TABELE!$B$37:$P$47,MATCH($F48,TABELE!$A$37:$A$47,0),MATCH($E48,TABELE!$B$36:$P$36,0))),0)</f>
        <v>0</v>
      </c>
      <c r="V48" s="5">
        <f t="array" ref="V48">IFERROR(IF($C48="",0,$O48*$D48*INDEX(TABELE!$B$51:$P$61,MATCH($F48,TABELE!$A$51:$A$61,0),MATCH($E48,TABELE!$B$50:$P$50,0))),0)</f>
        <v>0</v>
      </c>
      <c r="W48" s="5" t="str">
        <f t="array" ref="W48">IFERROR(INDEX(BAZA_UWAGI,MATCH($C48,BAZA_EX,0)),"")</f>
        <v/>
      </c>
      <c r="X48" s="5" t="str">
        <f t="shared" si="11"/>
        <v/>
      </c>
      <c r="Y48" s="5" t="str">
        <f t="shared" si="14"/>
        <v>E</v>
      </c>
      <c r="Z48" s="5">
        <f t="shared" si="15"/>
        <v>5</v>
      </c>
      <c r="AA48" s="5" t="str">
        <f>IF($C48="","",IF(SUMPRODUCT((START!$B$6:$B$69=$C48)*(START!$M$6:$M$69&gt;0))=0,"",SUMPRODUCT(MAX((START!$B$6:$B$69=$C48)*START!$M$6:$M$69))))</f>
        <v/>
      </c>
      <c r="AB48" s="5" t="str">
        <f t="shared" si="12"/>
        <v/>
      </c>
      <c r="AC48" s="5">
        <f>MAX(0.85,MIN(1.15,1+0.05*(COUNTIF('T1'!$AB48,"za łatwe"))-0.05*(COUNTIF('T1'!$AB48,"za trudne"))))</f>
        <v>1</v>
      </c>
      <c r="AD48" s="5">
        <f t="shared" si="13"/>
        <v>0</v>
      </c>
    </row>
    <row r="49" ht="25.5" customHeight="1" outlineLevel="1">
      <c r="A49" s="18" t="str">
        <f>IF('T1'!$A49="","",'T1'!$A49)</f>
        <v/>
      </c>
      <c r="B49" s="30"/>
      <c r="C49" s="31" t="str">
        <f>IF('T1'!$C49="","",'T1'!$C49)</f>
        <v/>
      </c>
      <c r="D49" s="32"/>
      <c r="E49" s="39">
        <f>IF($C49="",0,MIN(15,MAX(1,IF(N($O49)&gt;=1,6,IF(N($O49)&gt;=0.75,IF(PRZEL_CZESC="część 1 (objętość)",8,6),IF(PRZEL_CZESC="część 1 (objętość)",10,8)))+1+$AD49)))</f>
        <v>0</v>
      </c>
      <c r="F49" s="33"/>
      <c r="G49" s="34" t="str">
        <f>IF($C49="","",IF(OR($Q49="masa ciała",$Q49="czas",$Q49="dystans",$Q49="ręczne ustawienie"),$Q49,IF($C49='T1'!$C49,IF(AND(LEFT($A49,1)&lt;&gt;"A",PRZEL_AKCESORIA="trzymaj z bloku"),IF(NOT(ISNUMBER('T1'!$G49)),'T1'!$G49,MROUND('T1'!$G49*$AC49/(MAX('T1'!$AC49,0.0001)),MAX($P49,0.5))),IF(OR($R49="",$R49=0),"— brak 1RM",MROUND($R49*$S49/100*$AC49,MAX($P49,0.5)))),IF(OR($AA49="",$AA49=0),"— ustaw ręcznie",MROUND($AA49*$S49/100*$AC49,MAX($P49,0.5))))))</f>
        <v/>
      </c>
      <c r="H49" s="35"/>
      <c r="I49" s="36" t="str">
        <f t="array" ref="I49">IFERROR(IF(IFERROR(INDEX(BAZA_FILM,MATCH($C49,BAZA_EX,0)),"")="","",HYPERLINK(IFERROR(INDEX(BAZA_FILM,MATCH($C49,BAZA_EX,0)),""),"film")),"")</f>
        <v/>
      </c>
      <c r="J49" s="37" t="str">
        <f>IF('T1'!$J49="","",'T1'!$J49)</f>
        <v/>
      </c>
      <c r="K49" s="5" t="s">
        <v>101</v>
      </c>
      <c r="L49" s="5" t="str">
        <f t="array" ref="L49">IFERROR(INDEX(BAZA_ID,MATCH($C49,BAZA_EX,0)),"")</f>
        <v/>
      </c>
      <c r="M49" s="5" t="str">
        <f t="array" ref="M49">IFERROR(INDEX(BAZA_PART,MATCH($C49,BAZA_EX,0)),"")</f>
        <v/>
      </c>
      <c r="N49" s="5" t="str">
        <f t="array" ref="N49">IFERROR(INDEX(BAZA_KAT,MATCH($C49,BAZA_EX,0)),"")</f>
        <v/>
      </c>
      <c r="O49" s="5" t="str">
        <f t="array" ref="O49">IFERROR(INDEX(BAZA_COEFF,MATCH($C49,BAZA_EX,0)),"")</f>
        <v/>
      </c>
      <c r="P49" s="5" t="str">
        <f t="array" ref="P49">IFERROR(INDEX(BAZA_SKOK,MATCH($C49,BAZA_EX,0)),"")</f>
        <v/>
      </c>
      <c r="Q49" s="5" t="str">
        <f t="array" ref="Q49">IFERROR(INDEX(BAZA_PROG,MATCH($C49,BAZA_EX,0)),"")</f>
        <v/>
      </c>
      <c r="R49" s="5" t="str">
        <f>IF($C49="","",IF(SUMPRODUCT((START!$B$6:$B$69=$C49)*(START!$M$6:$M$69&gt;0))=0,"",SUMPRODUCT(MAX((START!$B$6:$B$69=$C49)*START!$M$6:$M$69))))</f>
        <v/>
      </c>
      <c r="S49" s="5" t="str">
        <f t="array" ref="S49">IFERROR(INDEX(TABELE!$B$4:$J$18,MATCH($E49,TABELE!$A$4:$A$18,0),MATCH($F49,TABELE!$B$3:$J$3,0)),"")</f>
        <v/>
      </c>
      <c r="T49" s="5">
        <f t="array" ref="T49">IFERROR(IF($C49="",0,$O49*$D49*INDEX(TABELE!$B$23:$P$33,MATCH($F49,TABELE!$A$23:$A$33,0),MATCH($E49,TABELE!$B$22:$P$22,0))),0)</f>
        <v>0</v>
      </c>
      <c r="U49" s="5">
        <f t="array" ref="U49">IFERROR(IF($C49="",0,$O49*$D49*INDEX(TABELE!$B$37:$P$47,MATCH($F49,TABELE!$A$37:$A$47,0),MATCH($E49,TABELE!$B$36:$P$36,0))),0)</f>
        <v>0</v>
      </c>
      <c r="V49" s="5">
        <f t="array" ref="V49">IFERROR(IF($C49="",0,$O49*$D49*INDEX(TABELE!$B$51:$P$61,MATCH($F49,TABELE!$A$51:$A$61,0),MATCH($E49,TABELE!$B$50:$P$50,0))),0)</f>
        <v>0</v>
      </c>
      <c r="W49" s="5" t="str">
        <f t="array" ref="W49">IFERROR(INDEX(BAZA_UWAGI,MATCH($C49,BAZA_EX,0)),"")</f>
        <v/>
      </c>
      <c r="X49" s="5" t="str">
        <f t="shared" si="11"/>
        <v/>
      </c>
      <c r="Y49" s="5" t="str">
        <f t="shared" si="14"/>
        <v>E</v>
      </c>
      <c r="Z49" s="5">
        <f t="shared" si="15"/>
        <v>5</v>
      </c>
      <c r="AA49" s="5" t="str">
        <f>IF($C49="","",IF(SUMPRODUCT((START!$B$6:$B$69=$C49)*(START!$M$6:$M$69&gt;0))=0,"",SUMPRODUCT(MAX((START!$B$6:$B$69=$C49)*START!$M$6:$M$69))))</f>
        <v/>
      </c>
      <c r="AB49" s="5" t="str">
        <f t="shared" si="12"/>
        <v/>
      </c>
      <c r="AC49" s="5">
        <f>MAX(0.85,MIN(1.15,1+0.05*(COUNTIF('T1'!$AB49,"za łatwe"))-0.05*(COUNTIF('T1'!$AB49,"za trudne"))))</f>
        <v>1</v>
      </c>
      <c r="AD49" s="5">
        <f t="shared" si="13"/>
        <v>0</v>
      </c>
    </row>
    <row r="50" ht="25.5" customHeight="1" outlineLevel="1">
      <c r="A50" s="18" t="str">
        <f>IF('T1'!$A50="","",'T1'!$A50)</f>
        <v/>
      </c>
      <c r="B50" s="30"/>
      <c r="C50" s="31" t="str">
        <f>IF('T1'!$C50="","",'T1'!$C50)</f>
        <v/>
      </c>
      <c r="D50" s="32"/>
      <c r="E50" s="39">
        <f>IF($C50="",0,MIN(15,MAX(1,IF(N($O50)&gt;=1,6,IF(N($O50)&gt;=0.75,IF(PRZEL_CZESC="część 1 (objętość)",8,6),IF(PRZEL_CZESC="część 1 (objętość)",10,8)))+1+$AD50)))</f>
        <v>0</v>
      </c>
      <c r="F50" s="33"/>
      <c r="G50" s="34" t="str">
        <f>IF($C50="","",IF(OR($Q50="masa ciała",$Q50="czas",$Q50="dystans",$Q50="ręczne ustawienie"),$Q50,IF($C50='T1'!$C50,IF(AND(LEFT($A50,1)&lt;&gt;"A",PRZEL_AKCESORIA="trzymaj z bloku"),IF(NOT(ISNUMBER('T1'!$G50)),'T1'!$G50,MROUND('T1'!$G50*$AC50/(MAX('T1'!$AC50,0.0001)),MAX($P50,0.5))),IF(OR($R50="",$R50=0),"— brak 1RM",MROUND($R50*$S50/100*$AC50,MAX($P50,0.5)))),IF(OR($AA50="",$AA50=0),"— ustaw ręcznie",MROUND($AA50*$S50/100*$AC50,MAX($P50,0.5))))))</f>
        <v/>
      </c>
      <c r="H50" s="35"/>
      <c r="I50" s="36" t="str">
        <f t="array" ref="I50">IFERROR(IF(IFERROR(INDEX(BAZA_FILM,MATCH($C50,BAZA_EX,0)),"")="","",HYPERLINK(IFERROR(INDEX(BAZA_FILM,MATCH($C50,BAZA_EX,0)),""),"film")),"")</f>
        <v/>
      </c>
      <c r="J50" s="37" t="str">
        <f>IF('T1'!$J50="","",'T1'!$J50)</f>
        <v/>
      </c>
      <c r="K50" s="5" t="s">
        <v>102</v>
      </c>
      <c r="L50" s="5" t="str">
        <f t="array" ref="L50">IFERROR(INDEX(BAZA_ID,MATCH($C50,BAZA_EX,0)),"")</f>
        <v/>
      </c>
      <c r="M50" s="5" t="str">
        <f t="array" ref="M50">IFERROR(INDEX(BAZA_PART,MATCH($C50,BAZA_EX,0)),"")</f>
        <v/>
      </c>
      <c r="N50" s="5" t="str">
        <f t="array" ref="N50">IFERROR(INDEX(BAZA_KAT,MATCH($C50,BAZA_EX,0)),"")</f>
        <v/>
      </c>
      <c r="O50" s="5" t="str">
        <f t="array" ref="O50">IFERROR(INDEX(BAZA_COEFF,MATCH($C50,BAZA_EX,0)),"")</f>
        <v/>
      </c>
      <c r="P50" s="5" t="str">
        <f t="array" ref="P50">IFERROR(INDEX(BAZA_SKOK,MATCH($C50,BAZA_EX,0)),"")</f>
        <v/>
      </c>
      <c r="Q50" s="5" t="str">
        <f t="array" ref="Q50">IFERROR(INDEX(BAZA_PROG,MATCH($C50,BAZA_EX,0)),"")</f>
        <v/>
      </c>
      <c r="R50" s="5" t="str">
        <f>IF($C50="","",IF(SUMPRODUCT((START!$B$6:$B$69=$C50)*(START!$M$6:$M$69&gt;0))=0,"",SUMPRODUCT(MAX((START!$B$6:$B$69=$C50)*START!$M$6:$M$69))))</f>
        <v/>
      </c>
      <c r="S50" s="5" t="str">
        <f t="array" ref="S50">IFERROR(INDEX(TABELE!$B$4:$J$18,MATCH($E50,TABELE!$A$4:$A$18,0),MATCH($F50,TABELE!$B$3:$J$3,0)),"")</f>
        <v/>
      </c>
      <c r="T50" s="5">
        <f t="array" ref="T50">IFERROR(IF($C50="",0,$O50*$D50*INDEX(TABELE!$B$23:$P$33,MATCH($F50,TABELE!$A$23:$A$33,0),MATCH($E50,TABELE!$B$22:$P$22,0))),0)</f>
        <v>0</v>
      </c>
      <c r="U50" s="5">
        <f t="array" ref="U50">IFERROR(IF($C50="",0,$O50*$D50*INDEX(TABELE!$B$37:$P$47,MATCH($F50,TABELE!$A$37:$A$47,0),MATCH($E50,TABELE!$B$36:$P$36,0))),0)</f>
        <v>0</v>
      </c>
      <c r="V50" s="5">
        <f t="array" ref="V50">IFERROR(IF($C50="",0,$O50*$D50*INDEX(TABELE!$B$51:$P$61,MATCH($F50,TABELE!$A$51:$A$61,0),MATCH($E50,TABELE!$B$50:$P$50,0))),0)</f>
        <v>0</v>
      </c>
      <c r="W50" s="5" t="str">
        <f t="array" ref="W50">IFERROR(INDEX(BAZA_UWAGI,MATCH($C50,BAZA_EX,0)),"")</f>
        <v/>
      </c>
      <c r="X50" s="5" t="str">
        <f t="shared" si="11"/>
        <v/>
      </c>
      <c r="Y50" s="5" t="str">
        <f t="shared" si="14"/>
        <v>E</v>
      </c>
      <c r="Z50" s="5">
        <f t="shared" si="15"/>
        <v>5</v>
      </c>
      <c r="AA50" s="5" t="str">
        <f>IF($C50="","",IF(SUMPRODUCT((START!$B$6:$B$69=$C50)*(START!$M$6:$M$69&gt;0))=0,"",SUMPRODUCT(MAX((START!$B$6:$B$69=$C50)*START!$M$6:$M$69))))</f>
        <v/>
      </c>
      <c r="AB50" s="5" t="str">
        <f t="shared" si="12"/>
        <v/>
      </c>
      <c r="AC50" s="5">
        <f>MAX(0.85,MIN(1.15,1+0.05*(COUNTIF('T1'!$AB50,"za łatwe"))-0.05*(COUNTIF('T1'!$AB50,"za trudne"))))</f>
        <v>1</v>
      </c>
      <c r="AD50" s="5">
        <f t="shared" si="13"/>
        <v>0</v>
      </c>
    </row>
    <row r="51" ht="19.5" customHeight="1" outlineLevel="1">
      <c r="A51" s="43"/>
      <c r="B51" s="43"/>
      <c r="C51" s="44" t="s">
        <v>137</v>
      </c>
      <c r="D51" s="45">
        <f>SUMPRODUCT((C39:C50&lt;&gt;"")*D39:D50)+IF(AND($B$38="TOP SET",$C$38&lt;&gt;""),1,0)</f>
      </c>
      <c r="E51" s="46" t="str">
        <f>SUMPRODUCT((C39:C50&lt;&gt;"")*D39:D50*E39:E50)&amp;" powt."</f>
        <v>0 powt.</v>
      </c>
      <c r="F51" s="43"/>
      <c r="G51" s="47" t="str">
        <f>"stres t "&amp;TEXT(SUM(T39:T50),"0.0")</f>
        <v>stres t 0,0</v>
      </c>
      <c r="H51" s="48"/>
      <c r="I51" s="43"/>
      <c r="J51" s="4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25.5" hidden="1" customHeight="1" outlineLevel="1">
      <c r="A53" s="15" t="s">
        <v>103</v>
      </c>
      <c r="B53" s="3"/>
      <c r="C53" s="3"/>
      <c r="D53" s="3"/>
      <c r="E53" s="3"/>
      <c r="F53" s="3"/>
      <c r="G53" s="3"/>
      <c r="H53" s="3"/>
      <c r="I53" s="3"/>
      <c r="J53" s="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33.75" hidden="1" customHeight="1" outlineLevel="2">
      <c r="A54" s="17" t="str">
        <f>IF($B54="TOP SET","▲","")</f>
        <v>▲</v>
      </c>
      <c r="B54" s="19" t="str">
        <f>IF('T1'!$B54="TOP SET","TOP SET","—")</f>
        <v>TOP SET</v>
      </c>
      <c r="C54" s="22" t="str">
        <f>IF(OR($B54&lt;&gt;"TOP SET",$F54=""),"",IF(N($K54)=0,"",IF(INDEX($C$55:$C$66,$K54)="","",INDEX($C$55:$C$66,$K54))))</f>
      </c>
      <c r="D54" s="23">
        <f>IF(AND($B54="TOP SET",$F54&lt;&gt;""),1,"")</f>
      </c>
      <c r="E54" s="24" t="str">
        <f>IF(AND($B54="TOP SET",$F54&lt;&gt;""),"1 powtórzenie","")</f>
      </c>
      <c r="F54" s="25">
        <v>6.0</v>
      </c>
      <c r="G54" s="27" t="str">
        <f t="array" ref="G54">IF($B54&lt;&gt;"TOP SET","",IF($C54="","",IF(OR($Q54="masa ciała",$Q54="czas",$Q54="dystans",$Q54="ręczne ustawienie"),"—",IF($C54='T1'!$C54,IF(OR($R54="",$R54=0),"— brak 1RM",MROUND($R54*IFERROR(INDEX(TABELE!$B$4:$J$18,MATCH(1,TABELE!$A$4:$A$18,0),MATCH($F54,TABELE!$B$3:$J$3,0)),0)/100,MAX($P54,0.5))),IF(OR($AA54="",$AA54=0),"— ustaw ręcznie",MROUND($AA54*IFERROR(INDEX(TABELE!$B$4:$J$18,MATCH(1,TABELE!$A$4:$A$18,0),MATCH($F54,TABELE!$B$3:$J$3,0)),0)/100,MAX($P54,0.5)))))))</f>
      </c>
      <c r="H54" s="28"/>
      <c r="I54" s="29"/>
      <c r="J54" s="29"/>
      <c r="K54" s="5">
        <f>IFERROR(MATCH("A*",$A$55:$A$66,0),0)</f>
      </c>
      <c r="L54" s="5"/>
      <c r="M54" s="5"/>
      <c r="N54" s="5"/>
      <c r="O54" s="5"/>
      <c r="P54" s="5">
        <f>IF(N($K54)=0,"",INDEX($P$55:$P$66,$K54))</f>
      </c>
      <c r="Q54" s="5">
        <f>IF(N($K54)=0,"",INDEX($Q$55:$Q$66,$K54))</f>
      </c>
      <c r="R54" s="5">
        <f>IF(N($K54)=0,"",INDEX($R$55:$R$66,$K54))</f>
      </c>
      <c r="S54" s="5"/>
      <c r="T54" s="5"/>
      <c r="U54" s="5"/>
      <c r="V54" s="5"/>
      <c r="W54" s="5"/>
      <c r="X54" s="5"/>
      <c r="Y54" s="5"/>
      <c r="Z54" s="5"/>
      <c r="AA54" s="5">
        <f>IF(N($K54)=0,"",INDEX($AA$55:$AA$66,$K54))</f>
      </c>
    </row>
    <row r="55" ht="25.5" hidden="1" customHeight="1" outlineLevel="1">
      <c r="A55" s="18" t="str">
        <f>IF('T1'!$A55="","",'T1'!$A55)</f>
        <v>A1.</v>
      </c>
      <c r="B55" s="30"/>
      <c r="C55" s="31" t="str">
        <f>IF('T1'!$C55="","",'T1'!$C55)</f>
        <v/>
      </c>
      <c r="D55" s="32">
        <v>5.0</v>
      </c>
      <c r="E55" s="32">
        <v>6.0</v>
      </c>
      <c r="F55" s="33">
        <v>7.0</v>
      </c>
      <c r="G55" s="34" t="str">
        <f>IF($C55="","",IF(OR($Q55="masa ciała",$Q55="czas",$Q55="dystans",$Q55="ręczne ustawienie"),$Q55,IF($C55='T1'!$C55,IF(AND(LEFT($A55,1)&lt;&gt;"A",PRZEL_AKCESORIA="trzymaj z bloku"),IF(NOT(ISNUMBER('T1'!$G55)),'T1'!$G55,MROUND('T1'!$G55*$AC55/(MAX('T1'!$AC55,0.0001)),MAX($P55,0.5))),IF(OR($R55="",$R55=0),"— brak 1RM",MROUND($R55*$S55/100*$AC55,MAX($P55,0.5)))),IF(OR($AA55="",$AA55=0),"— ustaw ręcznie",MROUND($AA55*$S55/100*$AC55,MAX($P55,0.5))))))</f>
        <v/>
      </c>
      <c r="H55" s="35"/>
      <c r="I55" s="36" t="str">
        <f t="array" ref="I55">IFERROR(IF(IFERROR(INDEX(BAZA_FILM,MATCH($C55,BAZA_EX,0)),"")="","",HYPERLINK(IFERROR(INDEX(BAZA_FILM,MATCH($C55,BAZA_EX,0)),""),"film")),"")</f>
        <v/>
      </c>
      <c r="J55" s="37" t="str">
        <f>IF('T1'!$J55="","",'T1'!$J55)</f>
        <v/>
      </c>
      <c r="K55" s="5" t="s">
        <v>104</v>
      </c>
      <c r="L55" s="5" t="str">
        <f t="array" ref="L55">IFERROR(INDEX(BAZA_ID,MATCH($C55,BAZA_EX,0)),"")</f>
        <v/>
      </c>
      <c r="M55" s="5" t="str">
        <f t="array" ref="M55">IFERROR(INDEX(BAZA_PART,MATCH($C55,BAZA_EX,0)),"")</f>
        <v/>
      </c>
      <c r="N55" s="5" t="str">
        <f t="array" ref="N55">IFERROR(INDEX(BAZA_KAT,MATCH($C55,BAZA_EX,0)),"")</f>
        <v/>
      </c>
      <c r="O55" s="5" t="str">
        <f t="array" ref="O55">IFERROR(INDEX(BAZA_COEFF,MATCH($C55,BAZA_EX,0)),"")</f>
        <v/>
      </c>
      <c r="P55" s="5" t="str">
        <f t="array" ref="P55">IFERROR(INDEX(BAZA_SKOK,MATCH($C55,BAZA_EX,0)),"")</f>
        <v/>
      </c>
      <c r="Q55" s="5" t="str">
        <f t="array" ref="Q55">IFERROR(INDEX(BAZA_PROG,MATCH($C55,BAZA_EX,0)),"")</f>
        <v/>
      </c>
      <c r="R55" s="5" t="str">
        <f>IF($C55="","",IF(SUMPRODUCT((START!$B$6:$B$69=$C55)*(START!$M$6:$M$69&gt;0))=0,"",SUMPRODUCT(MAX((START!$B$6:$B$69=$C55)*START!$M$6:$M$69))))</f>
        <v/>
      </c>
      <c r="S55" s="5">
        <f t="array" ref="S55">IFERROR(INDEX(TABELE!$B$4:$J$18,MATCH($E55,TABELE!$A$4:$A$18,0),MATCH($F55,TABELE!$B$3:$J$3,0)),"")</f>
        <v>71.5</v>
      </c>
      <c r="T55" s="5">
        <f t="array" ref="T55">IFERROR(IF($C55="",0,$O55*$D55*INDEX(TABELE!$B$23:$P$33,MATCH($F55,TABELE!$A$23:$A$33,0),MATCH($E55,TABELE!$B$22:$P$22,0))),0)</f>
        <v>0</v>
      </c>
      <c r="U55" s="5">
        <f t="array" ref="U55">IFERROR(IF($C55="",0,$O55*$D55*INDEX(TABELE!$B$37:$P$47,MATCH($F55,TABELE!$A$37:$A$47,0),MATCH($E55,TABELE!$B$36:$P$36,0))),0)</f>
        <v>0</v>
      </c>
      <c r="V55" s="5">
        <f t="array" ref="V55">IFERROR(IF($C55="",0,$O55*$D55*INDEX(TABELE!$B$51:$P$61,MATCH($F55,TABELE!$A$51:$A$61,0),MATCH($E55,TABELE!$B$50:$P$50,0))),0)</f>
        <v>0</v>
      </c>
      <c r="W55" s="5" t="str">
        <f t="array" ref="W55">IFERROR(INDEX(BAZA_UWAGI,MATCH($C55,BAZA_EX,0)),"")</f>
        <v/>
      </c>
      <c r="X55" s="5">
        <f t="shared" ref="X55:X66" si="16">IF($A55="","",$Z55)</f>
        <v>1</v>
      </c>
      <c r="Y55" s="5" t="str">
        <f>IF($A55="","",LEFT($A55,1))</f>
        <v>A</v>
      </c>
      <c r="Z55" s="5">
        <f>IF($A55="",0,1)</f>
        <v>1</v>
      </c>
      <c r="AA55" s="5" t="str">
        <f>IF($C55="","",IF(SUMPRODUCT((START!$B$6:$B$69=$C55)*(START!$M$6:$M$69&gt;0))=0,"",SUMPRODUCT(MAX((START!$B$6:$B$69=$C55)*START!$M$6:$M$69))))</f>
        <v/>
      </c>
      <c r="AB55" s="5" t="str">
        <f t="shared" ref="AB55:AB66" si="17">IF($C55="","",IF($H55&lt;&gt;"",$H55,IF($H$67="✓ ukończony","OK","")))</f>
        <v/>
      </c>
      <c r="AC55" s="5">
        <f>MAX(0.85,MIN(1.15,1+0.05*(COUNTIF('T1'!$AB55,"za łatwe"))-0.05*(COUNTIF('T1'!$AB55,"za trudne"))))</f>
        <v>1</v>
      </c>
      <c r="AD55" s="5">
        <f t="shared" ref="AD55:AD66" si="18">IF(OR($Q55="masa ciała",$Q55="czas",$Q55="dystans",$Q55="ręczne ustawienie"),MAX(-3,MIN(3,ROUND(($AC55-1)/0.05,0))),0)</f>
        <v>0</v>
      </c>
    </row>
    <row r="56" ht="25.5" hidden="1" customHeight="1" outlineLevel="1">
      <c r="A56" s="18" t="str">
        <f>IF('T1'!$A56="","",'T1'!$A56)</f>
        <v>B1.</v>
      </c>
      <c r="B56" s="30"/>
      <c r="C56" s="31" t="str">
        <f>IF('T1'!$C56="","",'T1'!$C56)</f>
        <v/>
      </c>
      <c r="D56" s="32">
        <v>3.0</v>
      </c>
      <c r="E56" s="39">
        <f>IF($C56="",0,MIN(15,MAX(1,IF(N($O56)&gt;=1,6,IF(N($O56)&gt;=0.75,IF(PRZEL_CZESC="część 1 (objętość)",8,6),IF(PRZEL_CZESC="część 1 (objętość)",10,8)))+1+$AD56)))</f>
        <v>0</v>
      </c>
      <c r="F56" s="33">
        <v>8.0</v>
      </c>
      <c r="G56" s="34" t="str">
        <f>IF($C56="","",IF(OR($Q56="masa ciała",$Q56="czas",$Q56="dystans",$Q56="ręczne ustawienie"),$Q56,IF($C56='T1'!$C56,IF(AND(LEFT($A56,1)&lt;&gt;"A",PRZEL_AKCESORIA="trzymaj z bloku"),IF(NOT(ISNUMBER('T1'!$G56)),'T1'!$G56,MROUND('T1'!$G56*$AC56/(MAX('T1'!$AC56,0.0001)),MAX($P56,0.5))),IF(OR($R56="",$R56=0),"— brak 1RM",MROUND($R56*$S56/100*$AC56,MAX($P56,0.5)))),IF(OR($AA56="",$AA56=0),"— ustaw ręcznie",MROUND($AA56*$S56/100*$AC56,MAX($P56,0.5))))))</f>
        <v/>
      </c>
      <c r="H56" s="35"/>
      <c r="I56" s="36" t="str">
        <f t="array" ref="I56">IFERROR(IF(IFERROR(INDEX(BAZA_FILM,MATCH($C56,BAZA_EX,0)),"")="","",HYPERLINK(IFERROR(INDEX(BAZA_FILM,MATCH($C56,BAZA_EX,0)),""),"film")),"")</f>
        <v/>
      </c>
      <c r="J56" s="37" t="str">
        <f>IF('T1'!$J56="","",'T1'!$J56)</f>
        <v/>
      </c>
      <c r="K56" s="5" t="s">
        <v>105</v>
      </c>
      <c r="L56" s="5" t="str">
        <f t="array" ref="L56">IFERROR(INDEX(BAZA_ID,MATCH($C56,BAZA_EX,0)),"")</f>
        <v/>
      </c>
      <c r="M56" s="5" t="str">
        <f t="array" ref="M56">IFERROR(INDEX(BAZA_PART,MATCH($C56,BAZA_EX,0)),"")</f>
        <v/>
      </c>
      <c r="N56" s="5" t="str">
        <f t="array" ref="N56">IFERROR(INDEX(BAZA_KAT,MATCH($C56,BAZA_EX,0)),"")</f>
        <v/>
      </c>
      <c r="O56" s="5" t="str">
        <f t="array" ref="O56">IFERROR(INDEX(BAZA_COEFF,MATCH($C56,BAZA_EX,0)),"")</f>
        <v/>
      </c>
      <c r="P56" s="5" t="str">
        <f t="array" ref="P56">IFERROR(INDEX(BAZA_SKOK,MATCH($C56,BAZA_EX,0)),"")</f>
        <v/>
      </c>
      <c r="Q56" s="5" t="str">
        <f t="array" ref="Q56">IFERROR(INDEX(BAZA_PROG,MATCH($C56,BAZA_EX,0)),"")</f>
        <v/>
      </c>
      <c r="R56" s="5" t="str">
        <f>IF($C56="","",IF(SUMPRODUCT((START!$B$6:$B$69=$C56)*(START!$M$6:$M$69&gt;0))=0,"",SUMPRODUCT(MAX((START!$B$6:$B$69=$C56)*START!$M$6:$M$69))))</f>
        <v/>
      </c>
      <c r="S56" s="5" t="str">
        <f t="array" ref="S56">IFERROR(INDEX(TABELE!$B$4:$J$18,MATCH($E56,TABELE!$A$4:$A$18,0),MATCH($F56,TABELE!$B$3:$J$3,0)),"")</f>
        <v/>
      </c>
      <c r="T56" s="5">
        <f t="array" ref="T56">IFERROR(IF($C56="",0,$O56*$D56*INDEX(TABELE!$B$23:$P$33,MATCH($F56,TABELE!$A$23:$A$33,0),MATCH($E56,TABELE!$B$22:$P$22,0))),0)</f>
        <v>0</v>
      </c>
      <c r="U56" s="5">
        <f t="array" ref="U56">IFERROR(IF($C56="",0,$O56*$D56*INDEX(TABELE!$B$37:$P$47,MATCH($F56,TABELE!$A$37:$A$47,0),MATCH($E56,TABELE!$B$36:$P$36,0))),0)</f>
        <v>0</v>
      </c>
      <c r="V56" s="5">
        <f t="array" ref="V56">IFERROR(IF($C56="",0,$O56*$D56*INDEX(TABELE!$B$51:$P$61,MATCH($F56,TABELE!$A$51:$A$61,0),MATCH($E56,TABELE!$B$50:$P$50,0))),0)</f>
        <v>0</v>
      </c>
      <c r="W56" s="5" t="str">
        <f t="array" ref="W56">IFERROR(INDEX(BAZA_UWAGI,MATCH($C56,BAZA_EX,0)),"")</f>
        <v/>
      </c>
      <c r="X56" s="5">
        <f t="shared" si="16"/>
        <v>2</v>
      </c>
      <c r="Y56" s="5" t="str">
        <f t="shared" ref="Y56:Y66" si="19">IF($A56="",$Y55,LEFT($A56,1))</f>
        <v>B</v>
      </c>
      <c r="Z56" s="5">
        <f t="shared" ref="Z56:Z66" si="20">IF($A56="",$Z55,IF(LEFT($A56,1)=$Y55,$Z55,$Z55+1))</f>
        <v>2</v>
      </c>
      <c r="AA56" s="5" t="str">
        <f>IF($C56="","",IF(SUMPRODUCT((START!$B$6:$B$69=$C56)*(START!$M$6:$M$69&gt;0))=0,"",SUMPRODUCT(MAX((START!$B$6:$B$69=$C56)*START!$M$6:$M$69))))</f>
        <v/>
      </c>
      <c r="AB56" s="5" t="str">
        <f t="shared" si="17"/>
        <v/>
      </c>
      <c r="AC56" s="5">
        <f>MAX(0.85,MIN(1.15,1+0.05*(COUNTIF('T1'!$AB56,"za łatwe"))-0.05*(COUNTIF('T1'!$AB56,"za trudne"))))</f>
        <v>1</v>
      </c>
      <c r="AD56" s="5">
        <f t="shared" si="18"/>
        <v>0</v>
      </c>
    </row>
    <row r="57" ht="25.5" hidden="1" customHeight="1" outlineLevel="1">
      <c r="A57" s="18" t="str">
        <f>IF('T1'!$A57="","",'T1'!$A57)</f>
        <v>B2.</v>
      </c>
      <c r="B57" s="30"/>
      <c r="C57" s="31" t="str">
        <f>IF('T1'!$C57="","",'T1'!$C57)</f>
        <v/>
      </c>
      <c r="D57" s="32">
        <v>3.0</v>
      </c>
      <c r="E57" s="39">
        <f>IF($C57="",0,MIN(15,MAX(1,IF(N($O57)&gt;=1,6,IF(N($O57)&gt;=0.75,IF(PRZEL_CZESC="część 1 (objętość)",8,6),IF(PRZEL_CZESC="część 1 (objętość)",10,8)))+1+$AD57)))</f>
        <v>0</v>
      </c>
      <c r="F57" s="33">
        <v>8.0</v>
      </c>
      <c r="G57" s="34" t="str">
        <f>IF($C57="","",IF(OR($Q57="masa ciała",$Q57="czas",$Q57="dystans",$Q57="ręczne ustawienie"),$Q57,IF($C57='T1'!$C57,IF(AND(LEFT($A57,1)&lt;&gt;"A",PRZEL_AKCESORIA="trzymaj z bloku"),IF(NOT(ISNUMBER('T1'!$G57)),'T1'!$G57,MROUND('T1'!$G57*$AC57/(MAX('T1'!$AC57,0.0001)),MAX($P57,0.5))),IF(OR($R57="",$R57=0),"— brak 1RM",MROUND($R57*$S57/100*$AC57,MAX($P57,0.5)))),IF(OR($AA57="",$AA57=0),"— ustaw ręcznie",MROUND($AA57*$S57/100*$AC57,MAX($P57,0.5))))))</f>
        <v/>
      </c>
      <c r="H57" s="35"/>
      <c r="I57" s="36" t="str">
        <f t="array" ref="I57">IFERROR(IF(IFERROR(INDEX(BAZA_FILM,MATCH($C57,BAZA_EX,0)),"")="","",HYPERLINK(IFERROR(INDEX(BAZA_FILM,MATCH($C57,BAZA_EX,0)),""),"film")),"")</f>
        <v/>
      </c>
      <c r="J57" s="37" t="str">
        <f>IF('T1'!$J57="","",'T1'!$J57)</f>
        <v/>
      </c>
      <c r="K57" s="5" t="s">
        <v>106</v>
      </c>
      <c r="L57" s="5" t="str">
        <f t="array" ref="L57">IFERROR(INDEX(BAZA_ID,MATCH($C57,BAZA_EX,0)),"")</f>
        <v/>
      </c>
      <c r="M57" s="5" t="str">
        <f t="array" ref="M57">IFERROR(INDEX(BAZA_PART,MATCH($C57,BAZA_EX,0)),"")</f>
        <v/>
      </c>
      <c r="N57" s="5" t="str">
        <f t="array" ref="N57">IFERROR(INDEX(BAZA_KAT,MATCH($C57,BAZA_EX,0)),"")</f>
        <v/>
      </c>
      <c r="O57" s="5" t="str">
        <f t="array" ref="O57">IFERROR(INDEX(BAZA_COEFF,MATCH($C57,BAZA_EX,0)),"")</f>
        <v/>
      </c>
      <c r="P57" s="5" t="str">
        <f t="array" ref="P57">IFERROR(INDEX(BAZA_SKOK,MATCH($C57,BAZA_EX,0)),"")</f>
        <v/>
      </c>
      <c r="Q57" s="5" t="str">
        <f t="array" ref="Q57">IFERROR(INDEX(BAZA_PROG,MATCH($C57,BAZA_EX,0)),"")</f>
        <v/>
      </c>
      <c r="R57" s="5" t="str">
        <f>IF($C57="","",IF(SUMPRODUCT((START!$B$6:$B$69=$C57)*(START!$M$6:$M$69&gt;0))=0,"",SUMPRODUCT(MAX((START!$B$6:$B$69=$C57)*START!$M$6:$M$69))))</f>
        <v/>
      </c>
      <c r="S57" s="5" t="str">
        <f t="array" ref="S57">IFERROR(INDEX(TABELE!$B$4:$J$18,MATCH($E57,TABELE!$A$4:$A$18,0),MATCH($F57,TABELE!$B$3:$J$3,0)),"")</f>
        <v/>
      </c>
      <c r="T57" s="5">
        <f t="array" ref="T57">IFERROR(IF($C57="",0,$O57*$D57*INDEX(TABELE!$B$23:$P$33,MATCH($F57,TABELE!$A$23:$A$33,0),MATCH($E57,TABELE!$B$22:$P$22,0))),0)</f>
        <v>0</v>
      </c>
      <c r="U57" s="5">
        <f t="array" ref="U57">IFERROR(IF($C57="",0,$O57*$D57*INDEX(TABELE!$B$37:$P$47,MATCH($F57,TABELE!$A$37:$A$47,0),MATCH($E57,TABELE!$B$36:$P$36,0))),0)</f>
        <v>0</v>
      </c>
      <c r="V57" s="5">
        <f t="array" ref="V57">IFERROR(IF($C57="",0,$O57*$D57*INDEX(TABELE!$B$51:$P$61,MATCH($F57,TABELE!$A$51:$A$61,0),MATCH($E57,TABELE!$B$50:$P$50,0))),0)</f>
        <v>0</v>
      </c>
      <c r="W57" s="5" t="str">
        <f t="array" ref="W57">IFERROR(INDEX(BAZA_UWAGI,MATCH($C57,BAZA_EX,0)),"")</f>
        <v/>
      </c>
      <c r="X57" s="5">
        <f t="shared" si="16"/>
        <v>2</v>
      </c>
      <c r="Y57" s="5" t="str">
        <f t="shared" si="19"/>
        <v>B</v>
      </c>
      <c r="Z57" s="5">
        <f t="shared" si="20"/>
        <v>2</v>
      </c>
      <c r="AA57" s="5" t="str">
        <f>IF($C57="","",IF(SUMPRODUCT((START!$B$6:$B$69=$C57)*(START!$M$6:$M$69&gt;0))=0,"",SUMPRODUCT(MAX((START!$B$6:$B$69=$C57)*START!$M$6:$M$69))))</f>
        <v/>
      </c>
      <c r="AB57" s="5" t="str">
        <f t="shared" si="17"/>
        <v/>
      </c>
      <c r="AC57" s="5">
        <f>MAX(0.85,MIN(1.15,1+0.05*(COUNTIF('T1'!$AB57,"za łatwe"))-0.05*(COUNTIF('T1'!$AB57,"za trudne"))))</f>
        <v>1</v>
      </c>
      <c r="AD57" s="5">
        <f t="shared" si="18"/>
        <v>0</v>
      </c>
    </row>
    <row r="58" ht="25.5" hidden="1" customHeight="1" outlineLevel="1">
      <c r="A58" s="18" t="str">
        <f>IF('T1'!$A58="","",'T1'!$A58)</f>
        <v>C1.</v>
      </c>
      <c r="B58" s="30"/>
      <c r="C58" s="31" t="str">
        <f>IF('T1'!$C58="","",'T1'!$C58)</f>
        <v/>
      </c>
      <c r="D58" s="32">
        <v>3.0</v>
      </c>
      <c r="E58" s="39">
        <f>IF($C58="",0,MIN(15,MAX(1,IF(N($O58)&gt;=1,6,IF(N($O58)&gt;=0.75,IF(PRZEL_CZESC="część 1 (objętość)",8,6),IF(PRZEL_CZESC="część 1 (objętość)",10,8)))+1+$AD58)))</f>
        <v>0</v>
      </c>
      <c r="F58" s="33">
        <v>8.0</v>
      </c>
      <c r="G58" s="34" t="str">
        <f>IF($C58="","",IF(OR($Q58="masa ciała",$Q58="czas",$Q58="dystans",$Q58="ręczne ustawienie"),$Q58,IF($C58='T1'!$C58,IF(AND(LEFT($A58,1)&lt;&gt;"A",PRZEL_AKCESORIA="trzymaj z bloku"),IF(NOT(ISNUMBER('T1'!$G58)),'T1'!$G58,MROUND('T1'!$G58*$AC58/(MAX('T1'!$AC58,0.0001)),MAX($P58,0.5))),IF(OR($R58="",$R58=0),"— brak 1RM",MROUND($R58*$S58/100*$AC58,MAX($P58,0.5)))),IF(OR($AA58="",$AA58=0),"— ustaw ręcznie",MROUND($AA58*$S58/100*$AC58,MAX($P58,0.5))))))</f>
        <v/>
      </c>
      <c r="H58" s="35"/>
      <c r="I58" s="36" t="str">
        <f t="array" ref="I58">IFERROR(IF(IFERROR(INDEX(BAZA_FILM,MATCH($C58,BAZA_EX,0)),"")="","",HYPERLINK(IFERROR(INDEX(BAZA_FILM,MATCH($C58,BAZA_EX,0)),""),"film")),"")</f>
        <v/>
      </c>
      <c r="J58" s="37" t="str">
        <f>IF('T1'!$J58="","",'T1'!$J58)</f>
        <v/>
      </c>
      <c r="K58" s="5" t="s">
        <v>108</v>
      </c>
      <c r="L58" s="5" t="str">
        <f t="array" ref="L58">IFERROR(INDEX(BAZA_ID,MATCH($C58,BAZA_EX,0)),"")</f>
        <v/>
      </c>
      <c r="M58" s="5" t="str">
        <f t="array" ref="M58">IFERROR(INDEX(BAZA_PART,MATCH($C58,BAZA_EX,0)),"")</f>
        <v/>
      </c>
      <c r="N58" s="5" t="str">
        <f t="array" ref="N58">IFERROR(INDEX(BAZA_KAT,MATCH($C58,BAZA_EX,0)),"")</f>
        <v/>
      </c>
      <c r="O58" s="5" t="str">
        <f t="array" ref="O58">IFERROR(INDEX(BAZA_COEFF,MATCH($C58,BAZA_EX,0)),"")</f>
        <v/>
      </c>
      <c r="P58" s="5" t="str">
        <f t="array" ref="P58">IFERROR(INDEX(BAZA_SKOK,MATCH($C58,BAZA_EX,0)),"")</f>
        <v/>
      </c>
      <c r="Q58" s="5" t="str">
        <f t="array" ref="Q58">IFERROR(INDEX(BAZA_PROG,MATCH($C58,BAZA_EX,0)),"")</f>
        <v/>
      </c>
      <c r="R58" s="5" t="str">
        <f>IF($C58="","",IF(SUMPRODUCT((START!$B$6:$B$69=$C58)*(START!$M$6:$M$69&gt;0))=0,"",SUMPRODUCT(MAX((START!$B$6:$B$69=$C58)*START!$M$6:$M$69))))</f>
        <v/>
      </c>
      <c r="S58" s="5" t="str">
        <f t="array" ref="S58">IFERROR(INDEX(TABELE!$B$4:$J$18,MATCH($E58,TABELE!$A$4:$A$18,0),MATCH($F58,TABELE!$B$3:$J$3,0)),"")</f>
        <v/>
      </c>
      <c r="T58" s="5">
        <f t="array" ref="T58">IFERROR(IF($C58="",0,$O58*$D58*INDEX(TABELE!$B$23:$P$33,MATCH($F58,TABELE!$A$23:$A$33,0),MATCH($E58,TABELE!$B$22:$P$22,0))),0)</f>
        <v>0</v>
      </c>
      <c r="U58" s="5">
        <f t="array" ref="U58">IFERROR(IF($C58="",0,$O58*$D58*INDEX(TABELE!$B$37:$P$47,MATCH($F58,TABELE!$A$37:$A$47,0),MATCH($E58,TABELE!$B$36:$P$36,0))),0)</f>
        <v>0</v>
      </c>
      <c r="V58" s="5">
        <f t="array" ref="V58">IFERROR(IF($C58="",0,$O58*$D58*INDEX(TABELE!$B$51:$P$61,MATCH($F58,TABELE!$A$51:$A$61,0),MATCH($E58,TABELE!$B$50:$P$50,0))),0)</f>
        <v>0</v>
      </c>
      <c r="W58" s="5" t="str">
        <f t="array" ref="W58">IFERROR(INDEX(BAZA_UWAGI,MATCH($C58,BAZA_EX,0)),"")</f>
        <v/>
      </c>
      <c r="X58" s="5">
        <f t="shared" si="16"/>
        <v>3</v>
      </c>
      <c r="Y58" s="5" t="str">
        <f t="shared" si="19"/>
        <v>C</v>
      </c>
      <c r="Z58" s="5">
        <f t="shared" si="20"/>
        <v>3</v>
      </c>
      <c r="AA58" s="5" t="str">
        <f>IF($C58="","",IF(SUMPRODUCT((START!$B$6:$B$69=$C58)*(START!$M$6:$M$69&gt;0))=0,"",SUMPRODUCT(MAX((START!$B$6:$B$69=$C58)*START!$M$6:$M$69))))</f>
        <v/>
      </c>
      <c r="AB58" s="5" t="str">
        <f t="shared" si="17"/>
        <v/>
      </c>
      <c r="AC58" s="5">
        <f>MAX(0.85,MIN(1.15,1+0.05*(COUNTIF('T1'!$AB58,"za łatwe"))-0.05*(COUNTIF('T1'!$AB58,"za trudne"))))</f>
        <v>1</v>
      </c>
      <c r="AD58" s="5">
        <f t="shared" si="18"/>
        <v>0</v>
      </c>
    </row>
    <row r="59" ht="25.5" hidden="1" customHeight="1" outlineLevel="1">
      <c r="A59" s="18" t="str">
        <f>IF('T1'!$A59="","",'T1'!$A59)</f>
        <v>C2.</v>
      </c>
      <c r="B59" s="30"/>
      <c r="C59" s="31" t="str">
        <f>IF('T1'!$C59="","",'T1'!$C59)</f>
        <v/>
      </c>
      <c r="D59" s="32">
        <v>3.0</v>
      </c>
      <c r="E59" s="39">
        <f>IF($C59="",0,MIN(15,MAX(1,IF(N($O59)&gt;=1,6,IF(N($O59)&gt;=0.75,IF(PRZEL_CZESC="część 1 (objętość)",8,6),IF(PRZEL_CZESC="część 1 (objętość)",10,8)))+1+$AD59)))</f>
        <v>0</v>
      </c>
      <c r="F59" s="33">
        <v>9.0</v>
      </c>
      <c r="G59" s="34" t="str">
        <f>IF($C59="","",IF(OR($Q59="masa ciała",$Q59="czas",$Q59="dystans",$Q59="ręczne ustawienie"),$Q59,IF($C59='T1'!$C59,IF(AND(LEFT($A59,1)&lt;&gt;"A",PRZEL_AKCESORIA="trzymaj z bloku"),IF(NOT(ISNUMBER('T1'!$G59)),'T1'!$G59,MROUND('T1'!$G59*$AC59/(MAX('T1'!$AC59,0.0001)),MAX($P59,0.5))),IF(OR($R59="",$R59=0),"— brak 1RM",MROUND($R59*$S59/100*$AC59,MAX($P59,0.5)))),IF(OR($AA59="",$AA59=0),"— ustaw ręcznie",MROUND($AA59*$S59/100*$AC59,MAX($P59,0.5))))))</f>
        <v/>
      </c>
      <c r="H59" s="35"/>
      <c r="I59" s="36" t="str">
        <f t="array" ref="I59">IFERROR(IF(IFERROR(INDEX(BAZA_FILM,MATCH($C59,BAZA_EX,0)),"")="","",HYPERLINK(IFERROR(INDEX(BAZA_FILM,MATCH($C59,BAZA_EX,0)),""),"film")),"")</f>
        <v/>
      </c>
      <c r="J59" s="37" t="str">
        <f>IF('T1'!$J59="","",'T1'!$J59)</f>
        <v/>
      </c>
      <c r="K59" s="5" t="s">
        <v>109</v>
      </c>
      <c r="L59" s="5" t="str">
        <f t="array" ref="L59">IFERROR(INDEX(BAZA_ID,MATCH($C59,BAZA_EX,0)),"")</f>
        <v/>
      </c>
      <c r="M59" s="5" t="str">
        <f t="array" ref="M59">IFERROR(INDEX(BAZA_PART,MATCH($C59,BAZA_EX,0)),"")</f>
        <v/>
      </c>
      <c r="N59" s="5" t="str">
        <f t="array" ref="N59">IFERROR(INDEX(BAZA_KAT,MATCH($C59,BAZA_EX,0)),"")</f>
        <v/>
      </c>
      <c r="O59" s="5" t="str">
        <f t="array" ref="O59">IFERROR(INDEX(BAZA_COEFF,MATCH($C59,BAZA_EX,0)),"")</f>
        <v/>
      </c>
      <c r="P59" s="5" t="str">
        <f t="array" ref="P59">IFERROR(INDEX(BAZA_SKOK,MATCH($C59,BAZA_EX,0)),"")</f>
        <v/>
      </c>
      <c r="Q59" s="5" t="str">
        <f t="array" ref="Q59">IFERROR(INDEX(BAZA_PROG,MATCH($C59,BAZA_EX,0)),"")</f>
        <v/>
      </c>
      <c r="R59" s="5" t="str">
        <f>IF($C59="","",IF(SUMPRODUCT((START!$B$6:$B$69=$C59)*(START!$M$6:$M$69&gt;0))=0,"",SUMPRODUCT(MAX((START!$B$6:$B$69=$C59)*START!$M$6:$M$69))))</f>
        <v/>
      </c>
      <c r="S59" s="5" t="str">
        <f t="array" ref="S59">IFERROR(INDEX(TABELE!$B$4:$J$18,MATCH($E59,TABELE!$A$4:$A$18,0),MATCH($F59,TABELE!$B$3:$J$3,0)),"")</f>
        <v/>
      </c>
      <c r="T59" s="5">
        <f t="array" ref="T59">IFERROR(IF($C59="",0,$O59*$D59*INDEX(TABELE!$B$23:$P$33,MATCH($F59,TABELE!$A$23:$A$33,0),MATCH($E59,TABELE!$B$22:$P$22,0))),0)</f>
        <v>0</v>
      </c>
      <c r="U59" s="5">
        <f t="array" ref="U59">IFERROR(IF($C59="",0,$O59*$D59*INDEX(TABELE!$B$37:$P$47,MATCH($F59,TABELE!$A$37:$A$47,0),MATCH($E59,TABELE!$B$36:$P$36,0))),0)</f>
        <v>0</v>
      </c>
      <c r="V59" s="5">
        <f t="array" ref="V59">IFERROR(IF($C59="",0,$O59*$D59*INDEX(TABELE!$B$51:$P$61,MATCH($F59,TABELE!$A$51:$A$61,0),MATCH($E59,TABELE!$B$50:$P$50,0))),0)</f>
        <v>0</v>
      </c>
      <c r="W59" s="5" t="str">
        <f t="array" ref="W59">IFERROR(INDEX(BAZA_UWAGI,MATCH($C59,BAZA_EX,0)),"")</f>
        <v/>
      </c>
      <c r="X59" s="5">
        <f t="shared" si="16"/>
        <v>3</v>
      </c>
      <c r="Y59" s="5" t="str">
        <f t="shared" si="19"/>
        <v>C</v>
      </c>
      <c r="Z59" s="5">
        <f t="shared" si="20"/>
        <v>3</v>
      </c>
      <c r="AA59" s="5" t="str">
        <f>IF($C59="","",IF(SUMPRODUCT((START!$B$6:$B$69=$C59)*(START!$M$6:$M$69&gt;0))=0,"",SUMPRODUCT(MAX((START!$B$6:$B$69=$C59)*START!$M$6:$M$69))))</f>
        <v/>
      </c>
      <c r="AB59" s="5" t="str">
        <f t="shared" si="17"/>
        <v/>
      </c>
      <c r="AC59" s="5">
        <f>MAX(0.85,MIN(1.15,1+0.05*(COUNTIF('T1'!$AB59,"za łatwe"))-0.05*(COUNTIF('T1'!$AB59,"za trudne"))))</f>
        <v>1</v>
      </c>
      <c r="AD59" s="5">
        <f t="shared" si="18"/>
        <v>0</v>
      </c>
    </row>
    <row r="60" ht="25.5" hidden="1" customHeight="1" outlineLevel="1">
      <c r="A60" s="18" t="str">
        <f>IF('T1'!$A60="","",'T1'!$A60)</f>
        <v>D1.</v>
      </c>
      <c r="B60" s="30"/>
      <c r="C60" s="31" t="str">
        <f>IF('T1'!$C60="","",'T1'!$C60)</f>
        <v/>
      </c>
      <c r="D60" s="32">
        <v>3.0</v>
      </c>
      <c r="E60" s="39">
        <f>IF($C60="",0,MIN(15,MAX(1,IF(N($O60)&gt;=1,6,IF(N($O60)&gt;=0.75,IF(PRZEL_CZESC="część 1 (objętość)",8,6),IF(PRZEL_CZESC="część 1 (objętość)",10,8)))+1+$AD60)))</f>
        <v>0</v>
      </c>
      <c r="F60" s="33">
        <v>8.0</v>
      </c>
      <c r="G60" s="34" t="str">
        <f>IF($C60="","",IF(OR($Q60="masa ciała",$Q60="czas",$Q60="dystans",$Q60="ręczne ustawienie"),$Q60,IF($C60='T1'!$C60,IF(AND(LEFT($A60,1)&lt;&gt;"A",PRZEL_AKCESORIA="trzymaj z bloku"),IF(NOT(ISNUMBER('T1'!$G60)),'T1'!$G60,MROUND('T1'!$G60*$AC60/(MAX('T1'!$AC60,0.0001)),MAX($P60,0.5))),IF(OR($R60="",$R60=0),"— brak 1RM",MROUND($R60*$S60/100*$AC60,MAX($P60,0.5)))),IF(OR($AA60="",$AA60=0),"— ustaw ręcznie",MROUND($AA60*$S60/100*$AC60,MAX($P60,0.5))))))</f>
        <v/>
      </c>
      <c r="H60" s="35"/>
      <c r="I60" s="36" t="str">
        <f t="array" ref="I60">IFERROR(IF(IFERROR(INDEX(BAZA_FILM,MATCH($C60,BAZA_EX,0)),"")="","",HYPERLINK(IFERROR(INDEX(BAZA_FILM,MATCH($C60,BAZA_EX,0)),""),"film")),"")</f>
        <v/>
      </c>
      <c r="J60" s="37" t="str">
        <f>IF('T1'!$J60="","",'T1'!$J60)</f>
        <v/>
      </c>
      <c r="K60" s="5" t="s">
        <v>110</v>
      </c>
      <c r="L60" s="5" t="str">
        <f t="array" ref="L60">IFERROR(INDEX(BAZA_ID,MATCH($C60,BAZA_EX,0)),"")</f>
        <v/>
      </c>
      <c r="M60" s="5" t="str">
        <f t="array" ref="M60">IFERROR(INDEX(BAZA_PART,MATCH($C60,BAZA_EX,0)),"")</f>
        <v/>
      </c>
      <c r="N60" s="5" t="str">
        <f t="array" ref="N60">IFERROR(INDEX(BAZA_KAT,MATCH($C60,BAZA_EX,0)),"")</f>
        <v/>
      </c>
      <c r="O60" s="5" t="str">
        <f t="array" ref="O60">IFERROR(INDEX(BAZA_COEFF,MATCH($C60,BAZA_EX,0)),"")</f>
        <v/>
      </c>
      <c r="P60" s="5" t="str">
        <f t="array" ref="P60">IFERROR(INDEX(BAZA_SKOK,MATCH($C60,BAZA_EX,0)),"")</f>
        <v/>
      </c>
      <c r="Q60" s="5" t="str">
        <f t="array" ref="Q60">IFERROR(INDEX(BAZA_PROG,MATCH($C60,BAZA_EX,0)),"")</f>
        <v/>
      </c>
      <c r="R60" s="5" t="str">
        <f>IF($C60="","",IF(SUMPRODUCT((START!$B$6:$B$69=$C60)*(START!$M$6:$M$69&gt;0))=0,"",SUMPRODUCT(MAX((START!$B$6:$B$69=$C60)*START!$M$6:$M$69))))</f>
        <v/>
      </c>
      <c r="S60" s="5" t="str">
        <f t="array" ref="S60">IFERROR(INDEX(TABELE!$B$4:$J$18,MATCH($E60,TABELE!$A$4:$A$18,0),MATCH($F60,TABELE!$B$3:$J$3,0)),"")</f>
        <v/>
      </c>
      <c r="T60" s="5">
        <f t="array" ref="T60">IFERROR(IF($C60="",0,$O60*$D60*INDEX(TABELE!$B$23:$P$33,MATCH($F60,TABELE!$A$23:$A$33,0),MATCH($E60,TABELE!$B$22:$P$22,0))),0)</f>
        <v>0</v>
      </c>
      <c r="U60" s="5">
        <f t="array" ref="U60">IFERROR(IF($C60="",0,$O60*$D60*INDEX(TABELE!$B$37:$P$47,MATCH($F60,TABELE!$A$37:$A$47,0),MATCH($E60,TABELE!$B$36:$P$36,0))),0)</f>
        <v>0</v>
      </c>
      <c r="V60" s="5">
        <f t="array" ref="V60">IFERROR(IF($C60="",0,$O60*$D60*INDEX(TABELE!$B$51:$P$61,MATCH($F60,TABELE!$A$51:$A$61,0),MATCH($E60,TABELE!$B$50:$P$50,0))),0)</f>
        <v>0</v>
      </c>
      <c r="W60" s="5" t="str">
        <f t="array" ref="W60">IFERROR(INDEX(BAZA_UWAGI,MATCH($C60,BAZA_EX,0)),"")</f>
        <v/>
      </c>
      <c r="X60" s="5">
        <f t="shared" si="16"/>
        <v>4</v>
      </c>
      <c r="Y60" s="5" t="str">
        <f t="shared" si="19"/>
        <v>D</v>
      </c>
      <c r="Z60" s="5">
        <f t="shared" si="20"/>
        <v>4</v>
      </c>
      <c r="AA60" s="5" t="str">
        <f>IF($C60="","",IF(SUMPRODUCT((START!$B$6:$B$69=$C60)*(START!$M$6:$M$69&gt;0))=0,"",SUMPRODUCT(MAX((START!$B$6:$B$69=$C60)*START!$M$6:$M$69))))</f>
        <v/>
      </c>
      <c r="AB60" s="5" t="str">
        <f t="shared" si="17"/>
        <v/>
      </c>
      <c r="AC60" s="5">
        <f>MAX(0.85,MIN(1.15,1+0.05*(COUNTIF('T1'!$AB60,"za łatwe"))-0.05*(COUNTIF('T1'!$AB60,"za trudne"))))</f>
        <v>1</v>
      </c>
      <c r="AD60" s="5">
        <f t="shared" si="18"/>
        <v>0</v>
      </c>
    </row>
    <row r="61" ht="25.5" hidden="1" customHeight="1" outlineLevel="1">
      <c r="A61" s="18" t="str">
        <f>IF('T1'!$A61="","",'T1'!$A61)</f>
        <v>D2.</v>
      </c>
      <c r="B61" s="30"/>
      <c r="C61" s="31" t="str">
        <f>IF('T1'!$C61="","",'T1'!$C61)</f>
        <v/>
      </c>
      <c r="D61" s="32">
        <v>3.0</v>
      </c>
      <c r="E61" s="39">
        <f>IF($C61="",0,MIN(15,MAX(1,IF(N($O61)&gt;=1,6,IF(N($O61)&gt;=0.75,IF(PRZEL_CZESC="część 1 (objętość)",8,6),IF(PRZEL_CZESC="część 1 (objętość)",10,8)))+1+$AD61)))</f>
        <v>0</v>
      </c>
      <c r="F61" s="33">
        <v>9.0</v>
      </c>
      <c r="G61" s="34" t="str">
        <f>IF($C61="","",IF(OR($Q61="masa ciała",$Q61="czas",$Q61="dystans",$Q61="ręczne ustawienie"),$Q61,IF($C61='T1'!$C61,IF(AND(LEFT($A61,1)&lt;&gt;"A",PRZEL_AKCESORIA="trzymaj z bloku"),IF(NOT(ISNUMBER('T1'!$G61)),'T1'!$G61,MROUND('T1'!$G61*$AC61/(MAX('T1'!$AC61,0.0001)),MAX($P61,0.5))),IF(OR($R61="",$R61=0),"— brak 1RM",MROUND($R61*$S61/100*$AC61,MAX($P61,0.5)))),IF(OR($AA61="",$AA61=0),"— ustaw ręcznie",MROUND($AA61*$S61/100*$AC61,MAX($P61,0.5))))))</f>
        <v/>
      </c>
      <c r="H61" s="35"/>
      <c r="I61" s="36" t="str">
        <f t="array" ref="I61">IFERROR(IF(IFERROR(INDEX(BAZA_FILM,MATCH($C61,BAZA_EX,0)),"")="","",HYPERLINK(IFERROR(INDEX(BAZA_FILM,MATCH($C61,BAZA_EX,0)),""),"film")),"")</f>
        <v/>
      </c>
      <c r="J61" s="37" t="str">
        <f>IF('T1'!$J61="","",'T1'!$J61)</f>
        <v/>
      </c>
      <c r="K61" s="5" t="s">
        <v>112</v>
      </c>
      <c r="L61" s="5" t="str">
        <f t="array" ref="L61">IFERROR(INDEX(BAZA_ID,MATCH($C61,BAZA_EX,0)),"")</f>
        <v/>
      </c>
      <c r="M61" s="5" t="str">
        <f t="array" ref="M61">IFERROR(INDEX(BAZA_PART,MATCH($C61,BAZA_EX,0)),"")</f>
        <v/>
      </c>
      <c r="N61" s="5" t="str">
        <f t="array" ref="N61">IFERROR(INDEX(BAZA_KAT,MATCH($C61,BAZA_EX,0)),"")</f>
        <v/>
      </c>
      <c r="O61" s="5" t="str">
        <f t="array" ref="O61">IFERROR(INDEX(BAZA_COEFF,MATCH($C61,BAZA_EX,0)),"")</f>
        <v/>
      </c>
      <c r="P61" s="5" t="str">
        <f t="array" ref="P61">IFERROR(INDEX(BAZA_SKOK,MATCH($C61,BAZA_EX,0)),"")</f>
        <v/>
      </c>
      <c r="Q61" s="5" t="str">
        <f t="array" ref="Q61">IFERROR(INDEX(BAZA_PROG,MATCH($C61,BAZA_EX,0)),"")</f>
        <v/>
      </c>
      <c r="R61" s="5" t="str">
        <f>IF($C61="","",IF(SUMPRODUCT((START!$B$6:$B$69=$C61)*(START!$M$6:$M$69&gt;0))=0,"",SUMPRODUCT(MAX((START!$B$6:$B$69=$C61)*START!$M$6:$M$69))))</f>
        <v/>
      </c>
      <c r="S61" s="5" t="str">
        <f t="array" ref="S61">IFERROR(INDEX(TABELE!$B$4:$J$18,MATCH($E61,TABELE!$A$4:$A$18,0),MATCH($F61,TABELE!$B$3:$J$3,0)),"")</f>
        <v/>
      </c>
      <c r="T61" s="5">
        <f t="array" ref="T61">IFERROR(IF($C61="",0,$O61*$D61*INDEX(TABELE!$B$23:$P$33,MATCH($F61,TABELE!$A$23:$A$33,0),MATCH($E61,TABELE!$B$22:$P$22,0))),0)</f>
        <v>0</v>
      </c>
      <c r="U61" s="5">
        <f t="array" ref="U61">IFERROR(IF($C61="",0,$O61*$D61*INDEX(TABELE!$B$37:$P$47,MATCH($F61,TABELE!$A$37:$A$47,0),MATCH($E61,TABELE!$B$36:$P$36,0))),0)</f>
        <v>0</v>
      </c>
      <c r="V61" s="5">
        <f t="array" ref="V61">IFERROR(IF($C61="",0,$O61*$D61*INDEX(TABELE!$B$51:$P$61,MATCH($F61,TABELE!$A$51:$A$61,0),MATCH($E61,TABELE!$B$50:$P$50,0))),0)</f>
        <v>0</v>
      </c>
      <c r="W61" s="5" t="str">
        <f t="array" ref="W61">IFERROR(INDEX(BAZA_UWAGI,MATCH($C61,BAZA_EX,0)),"")</f>
        <v/>
      </c>
      <c r="X61" s="5">
        <f t="shared" si="16"/>
        <v>4</v>
      </c>
      <c r="Y61" s="5" t="str">
        <f t="shared" si="19"/>
        <v>D</v>
      </c>
      <c r="Z61" s="5">
        <f t="shared" si="20"/>
        <v>4</v>
      </c>
      <c r="AA61" s="5" t="str">
        <f>IF($C61="","",IF(SUMPRODUCT((START!$B$6:$B$69=$C61)*(START!$M$6:$M$69&gt;0))=0,"",SUMPRODUCT(MAX((START!$B$6:$B$69=$C61)*START!$M$6:$M$69))))</f>
        <v/>
      </c>
      <c r="AB61" s="5" t="str">
        <f t="shared" si="17"/>
        <v/>
      </c>
      <c r="AC61" s="5">
        <f>MAX(0.85,MIN(1.15,1+0.05*(COUNTIF('T1'!$AB61,"za łatwe"))-0.05*(COUNTIF('T1'!$AB61,"za trudne"))))</f>
        <v>1</v>
      </c>
      <c r="AD61" s="5">
        <f t="shared" si="18"/>
        <v>0</v>
      </c>
    </row>
    <row r="62" ht="25.5" hidden="1" customHeight="1" outlineLevel="1">
      <c r="A62" s="18" t="str">
        <f>IF('T1'!$A62="","",'T1'!$A62)</f>
        <v>E1.</v>
      </c>
      <c r="B62" s="30"/>
      <c r="C62" s="31" t="str">
        <f>IF('T1'!$C62="","",'T1'!$C62)</f>
        <v/>
      </c>
      <c r="D62" s="32"/>
      <c r="E62" s="39">
        <f>IF($C62="",0,MIN(15,MAX(1,IF(N($O62)&gt;=1,6,IF(N($O62)&gt;=0.75,IF(PRZEL_CZESC="część 1 (objętość)",8,6),IF(PRZEL_CZESC="część 1 (objętość)",10,8)))+1+$AD62)))</f>
        <v>0</v>
      </c>
      <c r="F62" s="33"/>
      <c r="G62" s="34" t="str">
        <f>IF($C62="","",IF(OR($Q62="masa ciała",$Q62="czas",$Q62="dystans",$Q62="ręczne ustawienie"),$Q62,IF($C62='T1'!$C62,IF(AND(LEFT($A62,1)&lt;&gt;"A",PRZEL_AKCESORIA="trzymaj z bloku"),IF(NOT(ISNUMBER('T1'!$G62)),'T1'!$G62,MROUND('T1'!$G62*$AC62/(MAX('T1'!$AC62,0.0001)),MAX($P62,0.5))),IF(OR($R62="",$R62=0),"— brak 1RM",MROUND($R62*$S62/100*$AC62,MAX($P62,0.5)))),IF(OR($AA62="",$AA62=0),"— ustaw ręcznie",MROUND($AA62*$S62/100*$AC62,MAX($P62,0.5))))))</f>
        <v/>
      </c>
      <c r="H62" s="35"/>
      <c r="I62" s="36" t="str">
        <f t="array" ref="I62">IFERROR(IF(IFERROR(INDEX(BAZA_FILM,MATCH($C62,BAZA_EX,0)),"")="","",HYPERLINK(IFERROR(INDEX(BAZA_FILM,MATCH($C62,BAZA_EX,0)),""),"film")),"")</f>
        <v/>
      </c>
      <c r="J62" s="37" t="str">
        <f>IF('T1'!$J62="","",'T1'!$J62)</f>
        <v/>
      </c>
      <c r="K62" s="5" t="s">
        <v>114</v>
      </c>
      <c r="L62" s="5" t="str">
        <f t="array" ref="L62">IFERROR(INDEX(BAZA_ID,MATCH($C62,BAZA_EX,0)),"")</f>
        <v/>
      </c>
      <c r="M62" s="5" t="str">
        <f t="array" ref="M62">IFERROR(INDEX(BAZA_PART,MATCH($C62,BAZA_EX,0)),"")</f>
        <v/>
      </c>
      <c r="N62" s="5" t="str">
        <f t="array" ref="N62">IFERROR(INDEX(BAZA_KAT,MATCH($C62,BAZA_EX,0)),"")</f>
        <v/>
      </c>
      <c r="O62" s="5" t="str">
        <f t="array" ref="O62">IFERROR(INDEX(BAZA_COEFF,MATCH($C62,BAZA_EX,0)),"")</f>
        <v/>
      </c>
      <c r="P62" s="5" t="str">
        <f t="array" ref="P62">IFERROR(INDEX(BAZA_SKOK,MATCH($C62,BAZA_EX,0)),"")</f>
        <v/>
      </c>
      <c r="Q62" s="5" t="str">
        <f t="array" ref="Q62">IFERROR(INDEX(BAZA_PROG,MATCH($C62,BAZA_EX,0)),"")</f>
        <v/>
      </c>
      <c r="R62" s="5" t="str">
        <f>IF($C62="","",IF(SUMPRODUCT((START!$B$6:$B$69=$C62)*(START!$M$6:$M$69&gt;0))=0,"",SUMPRODUCT(MAX((START!$B$6:$B$69=$C62)*START!$M$6:$M$69))))</f>
        <v/>
      </c>
      <c r="S62" s="5" t="str">
        <f t="array" ref="S62">IFERROR(INDEX(TABELE!$B$4:$J$18,MATCH($E62,TABELE!$A$4:$A$18,0),MATCH($F62,TABELE!$B$3:$J$3,0)),"")</f>
        <v/>
      </c>
      <c r="T62" s="5">
        <f t="array" ref="T62">IFERROR(IF($C62="",0,$O62*$D62*INDEX(TABELE!$B$23:$P$33,MATCH($F62,TABELE!$A$23:$A$33,0),MATCH($E62,TABELE!$B$22:$P$22,0))),0)</f>
        <v>0</v>
      </c>
      <c r="U62" s="5">
        <f t="array" ref="U62">IFERROR(IF($C62="",0,$O62*$D62*INDEX(TABELE!$B$37:$P$47,MATCH($F62,TABELE!$A$37:$A$47,0),MATCH($E62,TABELE!$B$36:$P$36,0))),0)</f>
        <v>0</v>
      </c>
      <c r="V62" s="5">
        <f t="array" ref="V62">IFERROR(IF($C62="",0,$O62*$D62*INDEX(TABELE!$B$51:$P$61,MATCH($F62,TABELE!$A$51:$A$61,0),MATCH($E62,TABELE!$B$50:$P$50,0))),0)</f>
        <v>0</v>
      </c>
      <c r="W62" s="5" t="str">
        <f t="array" ref="W62">IFERROR(INDEX(BAZA_UWAGI,MATCH($C62,BAZA_EX,0)),"")</f>
        <v/>
      </c>
      <c r="X62" s="5">
        <f t="shared" si="16"/>
        <v>5</v>
      </c>
      <c r="Y62" s="5" t="str">
        <f t="shared" si="19"/>
        <v>E</v>
      </c>
      <c r="Z62" s="5">
        <f t="shared" si="20"/>
        <v>5</v>
      </c>
      <c r="AA62" s="5" t="str">
        <f>IF($C62="","",IF(SUMPRODUCT((START!$B$6:$B$69=$C62)*(START!$M$6:$M$69&gt;0))=0,"",SUMPRODUCT(MAX((START!$B$6:$B$69=$C62)*START!$M$6:$M$69))))</f>
        <v/>
      </c>
      <c r="AB62" s="5" t="str">
        <f t="shared" si="17"/>
        <v/>
      </c>
      <c r="AC62" s="5">
        <f>MAX(0.85,MIN(1.15,1+0.05*(COUNTIF('T1'!$AB62,"za łatwe"))-0.05*(COUNTIF('T1'!$AB62,"za trudne"))))</f>
        <v>1</v>
      </c>
      <c r="AD62" s="5">
        <f t="shared" si="18"/>
        <v>0</v>
      </c>
    </row>
    <row r="63" ht="25.5" hidden="1" customHeight="1" outlineLevel="1">
      <c r="A63" s="18" t="str">
        <f>IF('T1'!$A63="","",'T1'!$A63)</f>
        <v>E2.</v>
      </c>
      <c r="B63" s="30"/>
      <c r="C63" s="31" t="str">
        <f>IF('T1'!$C63="","",'T1'!$C63)</f>
        <v/>
      </c>
      <c r="D63" s="32"/>
      <c r="E63" s="39">
        <f>IF($C63="",0,MIN(15,MAX(1,IF(N($O63)&gt;=1,6,IF(N($O63)&gt;=0.75,IF(PRZEL_CZESC="część 1 (objętość)",8,6),IF(PRZEL_CZESC="część 1 (objętość)",10,8)))+1+$AD63)))</f>
        <v>0</v>
      </c>
      <c r="F63" s="33"/>
      <c r="G63" s="34" t="str">
        <f>IF($C63="","",IF(OR($Q63="masa ciała",$Q63="czas",$Q63="dystans",$Q63="ręczne ustawienie"),$Q63,IF($C63='T1'!$C63,IF(AND(LEFT($A63,1)&lt;&gt;"A",PRZEL_AKCESORIA="trzymaj z bloku"),IF(NOT(ISNUMBER('T1'!$G63)),'T1'!$G63,MROUND('T1'!$G63*$AC63/(MAX('T1'!$AC63,0.0001)),MAX($P63,0.5))),IF(OR($R63="",$R63=0),"— brak 1RM",MROUND($R63*$S63/100*$AC63,MAX($P63,0.5)))),IF(OR($AA63="",$AA63=0),"— ustaw ręcznie",MROUND($AA63*$S63/100*$AC63,MAX($P63,0.5))))))</f>
        <v/>
      </c>
      <c r="H63" s="35"/>
      <c r="I63" s="36" t="str">
        <f t="array" ref="I63">IFERROR(IF(IFERROR(INDEX(BAZA_FILM,MATCH($C63,BAZA_EX,0)),"")="","",HYPERLINK(IFERROR(INDEX(BAZA_FILM,MATCH($C63,BAZA_EX,0)),""),"film")),"")</f>
        <v/>
      </c>
      <c r="J63" s="37" t="str">
        <f>IF('T1'!$J63="","",'T1'!$J63)</f>
        <v/>
      </c>
      <c r="K63" s="5" t="s">
        <v>115</v>
      </c>
      <c r="L63" s="5" t="str">
        <f t="array" ref="L63">IFERROR(INDEX(BAZA_ID,MATCH($C63,BAZA_EX,0)),"")</f>
        <v/>
      </c>
      <c r="M63" s="5" t="str">
        <f t="array" ref="M63">IFERROR(INDEX(BAZA_PART,MATCH($C63,BAZA_EX,0)),"")</f>
        <v/>
      </c>
      <c r="N63" s="5" t="str">
        <f t="array" ref="N63">IFERROR(INDEX(BAZA_KAT,MATCH($C63,BAZA_EX,0)),"")</f>
        <v/>
      </c>
      <c r="O63" s="5" t="str">
        <f t="array" ref="O63">IFERROR(INDEX(BAZA_COEFF,MATCH($C63,BAZA_EX,0)),"")</f>
        <v/>
      </c>
      <c r="P63" s="5" t="str">
        <f t="array" ref="P63">IFERROR(INDEX(BAZA_SKOK,MATCH($C63,BAZA_EX,0)),"")</f>
        <v/>
      </c>
      <c r="Q63" s="5" t="str">
        <f t="array" ref="Q63">IFERROR(INDEX(BAZA_PROG,MATCH($C63,BAZA_EX,0)),"")</f>
        <v/>
      </c>
      <c r="R63" s="5" t="str">
        <f>IF($C63="","",IF(SUMPRODUCT((START!$B$6:$B$69=$C63)*(START!$M$6:$M$69&gt;0))=0,"",SUMPRODUCT(MAX((START!$B$6:$B$69=$C63)*START!$M$6:$M$69))))</f>
        <v/>
      </c>
      <c r="S63" s="5" t="str">
        <f t="array" ref="S63">IFERROR(INDEX(TABELE!$B$4:$J$18,MATCH($E63,TABELE!$A$4:$A$18,0),MATCH($F63,TABELE!$B$3:$J$3,0)),"")</f>
        <v/>
      </c>
      <c r="T63" s="5">
        <f t="array" ref="T63">IFERROR(IF($C63="",0,$O63*$D63*INDEX(TABELE!$B$23:$P$33,MATCH($F63,TABELE!$A$23:$A$33,0),MATCH($E63,TABELE!$B$22:$P$22,0))),0)</f>
        <v>0</v>
      </c>
      <c r="U63" s="5">
        <f t="array" ref="U63">IFERROR(IF($C63="",0,$O63*$D63*INDEX(TABELE!$B$37:$P$47,MATCH($F63,TABELE!$A$37:$A$47,0),MATCH($E63,TABELE!$B$36:$P$36,0))),0)</f>
        <v>0</v>
      </c>
      <c r="V63" s="5">
        <f t="array" ref="V63">IFERROR(IF($C63="",0,$O63*$D63*INDEX(TABELE!$B$51:$P$61,MATCH($F63,TABELE!$A$51:$A$61,0),MATCH($E63,TABELE!$B$50:$P$50,0))),0)</f>
        <v>0</v>
      </c>
      <c r="W63" s="5" t="str">
        <f t="array" ref="W63">IFERROR(INDEX(BAZA_UWAGI,MATCH($C63,BAZA_EX,0)),"")</f>
        <v/>
      </c>
      <c r="X63" s="5">
        <f t="shared" si="16"/>
        <v>5</v>
      </c>
      <c r="Y63" s="5" t="str">
        <f t="shared" si="19"/>
        <v>E</v>
      </c>
      <c r="Z63" s="5">
        <f t="shared" si="20"/>
        <v>5</v>
      </c>
      <c r="AA63" s="5" t="str">
        <f>IF($C63="","",IF(SUMPRODUCT((START!$B$6:$B$69=$C63)*(START!$M$6:$M$69&gt;0))=0,"",SUMPRODUCT(MAX((START!$B$6:$B$69=$C63)*START!$M$6:$M$69))))</f>
        <v/>
      </c>
      <c r="AB63" s="5" t="str">
        <f t="shared" si="17"/>
        <v/>
      </c>
      <c r="AC63" s="5">
        <f>MAX(0.85,MIN(1.15,1+0.05*(COUNTIF('T1'!$AB63,"za łatwe"))-0.05*(COUNTIF('T1'!$AB63,"za trudne"))))</f>
        <v>1</v>
      </c>
      <c r="AD63" s="5">
        <f t="shared" si="18"/>
        <v>0</v>
      </c>
    </row>
    <row r="64" ht="25.5" hidden="1" customHeight="1" outlineLevel="1">
      <c r="A64" s="18" t="str">
        <f>IF('T1'!$A64="","",'T1'!$A64)</f>
        <v/>
      </c>
      <c r="B64" s="30"/>
      <c r="C64" s="31" t="str">
        <f>IF('T1'!$C64="","",'T1'!$C64)</f>
        <v/>
      </c>
      <c r="D64" s="32"/>
      <c r="E64" s="39">
        <f>IF($C64="",0,MIN(15,MAX(1,IF(N($O64)&gt;=1,6,IF(N($O64)&gt;=0.75,IF(PRZEL_CZESC="część 1 (objętość)",8,6),IF(PRZEL_CZESC="część 1 (objętość)",10,8)))+1+$AD64)))</f>
        <v>0</v>
      </c>
      <c r="F64" s="33"/>
      <c r="G64" s="34" t="str">
        <f>IF($C64="","",IF(OR($Q64="masa ciała",$Q64="czas",$Q64="dystans",$Q64="ręczne ustawienie"),$Q64,IF($C64='T1'!$C64,IF(AND(LEFT($A64,1)&lt;&gt;"A",PRZEL_AKCESORIA="trzymaj z bloku"),IF(NOT(ISNUMBER('T1'!$G64)),'T1'!$G64,MROUND('T1'!$G64*$AC64/(MAX('T1'!$AC64,0.0001)),MAX($P64,0.5))),IF(OR($R64="",$R64=0),"— brak 1RM",MROUND($R64*$S64/100*$AC64,MAX($P64,0.5)))),IF(OR($AA64="",$AA64=0),"— ustaw ręcznie",MROUND($AA64*$S64/100*$AC64,MAX($P64,0.5))))))</f>
        <v/>
      </c>
      <c r="H64" s="35"/>
      <c r="I64" s="36" t="str">
        <f t="array" ref="I64">IFERROR(IF(IFERROR(INDEX(BAZA_FILM,MATCH($C64,BAZA_EX,0)),"")="","",HYPERLINK(IFERROR(INDEX(BAZA_FILM,MATCH($C64,BAZA_EX,0)),""),"film")),"")</f>
        <v/>
      </c>
      <c r="J64" s="37" t="str">
        <f>IF('T1'!$J64="","",'T1'!$J64)</f>
        <v/>
      </c>
      <c r="K64" s="5" t="s">
        <v>116</v>
      </c>
      <c r="L64" s="5" t="str">
        <f t="array" ref="L64">IFERROR(INDEX(BAZA_ID,MATCH($C64,BAZA_EX,0)),"")</f>
        <v/>
      </c>
      <c r="M64" s="5" t="str">
        <f t="array" ref="M64">IFERROR(INDEX(BAZA_PART,MATCH($C64,BAZA_EX,0)),"")</f>
        <v/>
      </c>
      <c r="N64" s="5" t="str">
        <f t="array" ref="N64">IFERROR(INDEX(BAZA_KAT,MATCH($C64,BAZA_EX,0)),"")</f>
        <v/>
      </c>
      <c r="O64" s="5" t="str">
        <f t="array" ref="O64">IFERROR(INDEX(BAZA_COEFF,MATCH($C64,BAZA_EX,0)),"")</f>
        <v/>
      </c>
      <c r="P64" s="5" t="str">
        <f t="array" ref="P64">IFERROR(INDEX(BAZA_SKOK,MATCH($C64,BAZA_EX,0)),"")</f>
        <v/>
      </c>
      <c r="Q64" s="5" t="str">
        <f t="array" ref="Q64">IFERROR(INDEX(BAZA_PROG,MATCH($C64,BAZA_EX,0)),"")</f>
        <v/>
      </c>
      <c r="R64" s="5" t="str">
        <f>IF($C64="","",IF(SUMPRODUCT((START!$B$6:$B$69=$C64)*(START!$M$6:$M$69&gt;0))=0,"",SUMPRODUCT(MAX((START!$B$6:$B$69=$C64)*START!$M$6:$M$69))))</f>
        <v/>
      </c>
      <c r="S64" s="5" t="str">
        <f t="array" ref="S64">IFERROR(INDEX(TABELE!$B$4:$J$18,MATCH($E64,TABELE!$A$4:$A$18,0),MATCH($F64,TABELE!$B$3:$J$3,0)),"")</f>
        <v/>
      </c>
      <c r="T64" s="5">
        <f t="array" ref="T64">IFERROR(IF($C64="",0,$O64*$D64*INDEX(TABELE!$B$23:$P$33,MATCH($F64,TABELE!$A$23:$A$33,0),MATCH($E64,TABELE!$B$22:$P$22,0))),0)</f>
        <v>0</v>
      </c>
      <c r="U64" s="5">
        <f t="array" ref="U64">IFERROR(IF($C64="",0,$O64*$D64*INDEX(TABELE!$B$37:$P$47,MATCH($F64,TABELE!$A$37:$A$47,0),MATCH($E64,TABELE!$B$36:$P$36,0))),0)</f>
        <v>0</v>
      </c>
      <c r="V64" s="5">
        <f t="array" ref="V64">IFERROR(IF($C64="",0,$O64*$D64*INDEX(TABELE!$B$51:$P$61,MATCH($F64,TABELE!$A$51:$A$61,0),MATCH($E64,TABELE!$B$50:$P$50,0))),0)</f>
        <v>0</v>
      </c>
      <c r="W64" s="5" t="str">
        <f t="array" ref="W64">IFERROR(INDEX(BAZA_UWAGI,MATCH($C64,BAZA_EX,0)),"")</f>
        <v/>
      </c>
      <c r="X64" s="5" t="str">
        <f t="shared" si="16"/>
        <v/>
      </c>
      <c r="Y64" s="5" t="str">
        <f t="shared" si="19"/>
        <v>E</v>
      </c>
      <c r="Z64" s="5">
        <f t="shared" si="20"/>
        <v>5</v>
      </c>
      <c r="AA64" s="5" t="str">
        <f>IF($C64="","",IF(SUMPRODUCT((START!$B$6:$B$69=$C64)*(START!$M$6:$M$69&gt;0))=0,"",SUMPRODUCT(MAX((START!$B$6:$B$69=$C64)*START!$M$6:$M$69))))</f>
        <v/>
      </c>
      <c r="AB64" s="5" t="str">
        <f t="shared" si="17"/>
        <v/>
      </c>
      <c r="AC64" s="5">
        <f>MAX(0.85,MIN(1.15,1+0.05*(COUNTIF('T1'!$AB64,"za łatwe"))-0.05*(COUNTIF('T1'!$AB64,"za trudne"))))</f>
        <v>1</v>
      </c>
      <c r="AD64" s="5">
        <f t="shared" si="18"/>
        <v>0</v>
      </c>
    </row>
    <row r="65" ht="25.5" hidden="1" customHeight="1" outlineLevel="1">
      <c r="A65" s="18" t="str">
        <f>IF('T1'!$A65="","",'T1'!$A65)</f>
        <v/>
      </c>
      <c r="B65" s="30"/>
      <c r="C65" s="31" t="str">
        <f>IF('T1'!$C65="","",'T1'!$C65)</f>
        <v/>
      </c>
      <c r="D65" s="32"/>
      <c r="E65" s="39">
        <f>IF($C65="",0,MIN(15,MAX(1,IF(N($O65)&gt;=1,6,IF(N($O65)&gt;=0.75,IF(PRZEL_CZESC="część 1 (objętość)",8,6),IF(PRZEL_CZESC="część 1 (objętość)",10,8)))+1+$AD65)))</f>
        <v>0</v>
      </c>
      <c r="F65" s="33"/>
      <c r="G65" s="34" t="str">
        <f>IF($C65="","",IF(OR($Q65="masa ciała",$Q65="czas",$Q65="dystans",$Q65="ręczne ustawienie"),$Q65,IF($C65='T1'!$C65,IF(AND(LEFT($A65,1)&lt;&gt;"A",PRZEL_AKCESORIA="trzymaj z bloku"),IF(NOT(ISNUMBER('T1'!$G65)),'T1'!$G65,MROUND('T1'!$G65*$AC65/(MAX('T1'!$AC65,0.0001)),MAX($P65,0.5))),IF(OR($R65="",$R65=0),"— brak 1RM",MROUND($R65*$S65/100*$AC65,MAX($P65,0.5)))),IF(OR($AA65="",$AA65=0),"— ustaw ręcznie",MROUND($AA65*$S65/100*$AC65,MAX($P65,0.5))))))</f>
        <v/>
      </c>
      <c r="H65" s="35"/>
      <c r="I65" s="36" t="str">
        <f t="array" ref="I65">IFERROR(IF(IFERROR(INDEX(BAZA_FILM,MATCH($C65,BAZA_EX,0)),"")="","",HYPERLINK(IFERROR(INDEX(BAZA_FILM,MATCH($C65,BAZA_EX,0)),""),"film")),"")</f>
        <v/>
      </c>
      <c r="J65" s="37" t="str">
        <f>IF('T1'!$J65="","",'T1'!$J65)</f>
        <v/>
      </c>
      <c r="K65" s="5" t="s">
        <v>117</v>
      </c>
      <c r="L65" s="5" t="str">
        <f t="array" ref="L65">IFERROR(INDEX(BAZA_ID,MATCH($C65,BAZA_EX,0)),"")</f>
        <v/>
      </c>
      <c r="M65" s="5" t="str">
        <f t="array" ref="M65">IFERROR(INDEX(BAZA_PART,MATCH($C65,BAZA_EX,0)),"")</f>
        <v/>
      </c>
      <c r="N65" s="5" t="str">
        <f t="array" ref="N65">IFERROR(INDEX(BAZA_KAT,MATCH($C65,BAZA_EX,0)),"")</f>
        <v/>
      </c>
      <c r="O65" s="5" t="str">
        <f t="array" ref="O65">IFERROR(INDEX(BAZA_COEFF,MATCH($C65,BAZA_EX,0)),"")</f>
        <v/>
      </c>
      <c r="P65" s="5" t="str">
        <f t="array" ref="P65">IFERROR(INDEX(BAZA_SKOK,MATCH($C65,BAZA_EX,0)),"")</f>
        <v/>
      </c>
      <c r="Q65" s="5" t="str">
        <f t="array" ref="Q65">IFERROR(INDEX(BAZA_PROG,MATCH($C65,BAZA_EX,0)),"")</f>
        <v/>
      </c>
      <c r="R65" s="5" t="str">
        <f>IF($C65="","",IF(SUMPRODUCT((START!$B$6:$B$69=$C65)*(START!$M$6:$M$69&gt;0))=0,"",SUMPRODUCT(MAX((START!$B$6:$B$69=$C65)*START!$M$6:$M$69))))</f>
        <v/>
      </c>
      <c r="S65" s="5" t="str">
        <f t="array" ref="S65">IFERROR(INDEX(TABELE!$B$4:$J$18,MATCH($E65,TABELE!$A$4:$A$18,0),MATCH($F65,TABELE!$B$3:$J$3,0)),"")</f>
        <v/>
      </c>
      <c r="T65" s="5">
        <f t="array" ref="T65">IFERROR(IF($C65="",0,$O65*$D65*INDEX(TABELE!$B$23:$P$33,MATCH($F65,TABELE!$A$23:$A$33,0),MATCH($E65,TABELE!$B$22:$P$22,0))),0)</f>
        <v>0</v>
      </c>
      <c r="U65" s="5">
        <f t="array" ref="U65">IFERROR(IF($C65="",0,$O65*$D65*INDEX(TABELE!$B$37:$P$47,MATCH($F65,TABELE!$A$37:$A$47,0),MATCH($E65,TABELE!$B$36:$P$36,0))),0)</f>
        <v>0</v>
      </c>
      <c r="V65" s="5">
        <f t="array" ref="V65">IFERROR(IF($C65="",0,$O65*$D65*INDEX(TABELE!$B$51:$P$61,MATCH($F65,TABELE!$A$51:$A$61,0),MATCH($E65,TABELE!$B$50:$P$50,0))),0)</f>
        <v>0</v>
      </c>
      <c r="W65" s="5" t="str">
        <f t="array" ref="W65">IFERROR(INDEX(BAZA_UWAGI,MATCH($C65,BAZA_EX,0)),"")</f>
        <v/>
      </c>
      <c r="X65" s="5" t="str">
        <f t="shared" si="16"/>
        <v/>
      </c>
      <c r="Y65" s="5" t="str">
        <f t="shared" si="19"/>
        <v>E</v>
      </c>
      <c r="Z65" s="5">
        <f t="shared" si="20"/>
        <v>5</v>
      </c>
      <c r="AA65" s="5" t="str">
        <f>IF($C65="","",IF(SUMPRODUCT((START!$B$6:$B$69=$C65)*(START!$M$6:$M$69&gt;0))=0,"",SUMPRODUCT(MAX((START!$B$6:$B$69=$C65)*START!$M$6:$M$69))))</f>
        <v/>
      </c>
      <c r="AB65" s="5" t="str">
        <f t="shared" si="17"/>
        <v/>
      </c>
      <c r="AC65" s="5">
        <f>MAX(0.85,MIN(1.15,1+0.05*(COUNTIF('T1'!$AB65,"za łatwe"))-0.05*(COUNTIF('T1'!$AB65,"za trudne"))))</f>
        <v>1</v>
      </c>
      <c r="AD65" s="5">
        <f t="shared" si="18"/>
        <v>0</v>
      </c>
    </row>
    <row r="66" ht="25.5" hidden="1" customHeight="1" outlineLevel="1">
      <c r="A66" s="18" t="str">
        <f>IF('T1'!$A66="","",'T1'!$A66)</f>
        <v/>
      </c>
      <c r="B66" s="30"/>
      <c r="C66" s="31" t="str">
        <f>IF('T1'!$C66="","",'T1'!$C66)</f>
        <v/>
      </c>
      <c r="D66" s="32"/>
      <c r="E66" s="39">
        <f>IF($C66="",0,MIN(15,MAX(1,IF(N($O66)&gt;=1,6,IF(N($O66)&gt;=0.75,IF(PRZEL_CZESC="część 1 (objętość)",8,6),IF(PRZEL_CZESC="część 1 (objętość)",10,8)))+1+$AD66)))</f>
        <v>0</v>
      </c>
      <c r="F66" s="33"/>
      <c r="G66" s="34" t="str">
        <f>IF($C66="","",IF(OR($Q66="masa ciała",$Q66="czas",$Q66="dystans",$Q66="ręczne ustawienie"),$Q66,IF($C66='T1'!$C66,IF(AND(LEFT($A66,1)&lt;&gt;"A",PRZEL_AKCESORIA="trzymaj z bloku"),IF(NOT(ISNUMBER('T1'!$G66)),'T1'!$G66,MROUND('T1'!$G66*$AC66/(MAX('T1'!$AC66,0.0001)),MAX($P66,0.5))),IF(OR($R66="",$R66=0),"— brak 1RM",MROUND($R66*$S66/100*$AC66,MAX($P66,0.5)))),IF(OR($AA66="",$AA66=0),"— ustaw ręcznie",MROUND($AA66*$S66/100*$AC66,MAX($P66,0.5))))))</f>
        <v/>
      </c>
      <c r="H66" s="35"/>
      <c r="I66" s="36" t="str">
        <f t="array" ref="I66">IFERROR(IF(IFERROR(INDEX(BAZA_FILM,MATCH($C66,BAZA_EX,0)),"")="","",HYPERLINK(IFERROR(INDEX(BAZA_FILM,MATCH($C66,BAZA_EX,0)),""),"film")),"")</f>
        <v/>
      </c>
      <c r="J66" s="37" t="str">
        <f>IF('T1'!$J66="","",'T1'!$J66)</f>
        <v/>
      </c>
      <c r="K66" s="5" t="s">
        <v>118</v>
      </c>
      <c r="L66" s="5" t="str">
        <f t="array" ref="L66">IFERROR(INDEX(BAZA_ID,MATCH($C66,BAZA_EX,0)),"")</f>
        <v/>
      </c>
      <c r="M66" s="5" t="str">
        <f t="array" ref="M66">IFERROR(INDEX(BAZA_PART,MATCH($C66,BAZA_EX,0)),"")</f>
        <v/>
      </c>
      <c r="N66" s="5" t="str">
        <f t="array" ref="N66">IFERROR(INDEX(BAZA_KAT,MATCH($C66,BAZA_EX,0)),"")</f>
        <v/>
      </c>
      <c r="O66" s="5" t="str">
        <f t="array" ref="O66">IFERROR(INDEX(BAZA_COEFF,MATCH($C66,BAZA_EX,0)),"")</f>
        <v/>
      </c>
      <c r="P66" s="5" t="str">
        <f t="array" ref="P66">IFERROR(INDEX(BAZA_SKOK,MATCH($C66,BAZA_EX,0)),"")</f>
        <v/>
      </c>
      <c r="Q66" s="5" t="str">
        <f t="array" ref="Q66">IFERROR(INDEX(BAZA_PROG,MATCH($C66,BAZA_EX,0)),"")</f>
        <v/>
      </c>
      <c r="R66" s="5" t="str">
        <f>IF($C66="","",IF(SUMPRODUCT((START!$B$6:$B$69=$C66)*(START!$M$6:$M$69&gt;0))=0,"",SUMPRODUCT(MAX((START!$B$6:$B$69=$C66)*START!$M$6:$M$69))))</f>
        <v/>
      </c>
      <c r="S66" s="5" t="str">
        <f t="array" ref="S66">IFERROR(INDEX(TABELE!$B$4:$J$18,MATCH($E66,TABELE!$A$4:$A$18,0),MATCH($F66,TABELE!$B$3:$J$3,0)),"")</f>
        <v/>
      </c>
      <c r="T66" s="5">
        <f t="array" ref="T66">IFERROR(IF($C66="",0,$O66*$D66*INDEX(TABELE!$B$23:$P$33,MATCH($F66,TABELE!$A$23:$A$33,0),MATCH($E66,TABELE!$B$22:$P$22,0))),0)</f>
        <v>0</v>
      </c>
      <c r="U66" s="5">
        <f t="array" ref="U66">IFERROR(IF($C66="",0,$O66*$D66*INDEX(TABELE!$B$37:$P$47,MATCH($F66,TABELE!$A$37:$A$47,0),MATCH($E66,TABELE!$B$36:$P$36,0))),0)</f>
        <v>0</v>
      </c>
      <c r="V66" s="5">
        <f t="array" ref="V66">IFERROR(IF($C66="",0,$O66*$D66*INDEX(TABELE!$B$51:$P$61,MATCH($F66,TABELE!$A$51:$A$61,0),MATCH($E66,TABELE!$B$50:$P$50,0))),0)</f>
        <v>0</v>
      </c>
      <c r="W66" s="5" t="str">
        <f t="array" ref="W66">IFERROR(INDEX(BAZA_UWAGI,MATCH($C66,BAZA_EX,0)),"")</f>
        <v/>
      </c>
      <c r="X66" s="5" t="str">
        <f t="shared" si="16"/>
        <v/>
      </c>
      <c r="Y66" s="5" t="str">
        <f t="shared" si="19"/>
        <v>E</v>
      </c>
      <c r="Z66" s="5">
        <f t="shared" si="20"/>
        <v>5</v>
      </c>
      <c r="AA66" s="5" t="str">
        <f>IF($C66="","",IF(SUMPRODUCT((START!$B$6:$B$69=$C66)*(START!$M$6:$M$69&gt;0))=0,"",SUMPRODUCT(MAX((START!$B$6:$B$69=$C66)*START!$M$6:$M$69))))</f>
        <v/>
      </c>
      <c r="AB66" s="5" t="str">
        <f t="shared" si="17"/>
        <v/>
      </c>
      <c r="AC66" s="5">
        <f>MAX(0.85,MIN(1.15,1+0.05*(COUNTIF('T1'!$AB66,"za łatwe"))-0.05*(COUNTIF('T1'!$AB66,"za trudne"))))</f>
        <v>1</v>
      </c>
      <c r="AD66" s="5">
        <f t="shared" si="18"/>
        <v>0</v>
      </c>
    </row>
    <row r="67" ht="19.5" hidden="1" customHeight="1" outlineLevel="1">
      <c r="A67" s="43"/>
      <c r="B67" s="43"/>
      <c r="C67" s="44" t="s">
        <v>138</v>
      </c>
      <c r="D67" s="45">
        <f>SUMPRODUCT((C55:C66&lt;&gt;"")*D55:D66)+IF(AND($B$54="TOP SET",$C$54&lt;&gt;""),1,0)</f>
      </c>
      <c r="E67" s="46" t="str">
        <f>SUMPRODUCT((C55:C66&lt;&gt;"")*D55:D66*E55:E66)&amp;" powt."</f>
        <v>0 powt.</v>
      </c>
      <c r="F67" s="43"/>
      <c r="G67" s="47" t="str">
        <f>"stres t "&amp;TEXT(SUM(T55:T66),"0.0")</f>
        <v>stres t 0,0</v>
      </c>
      <c r="H67" s="48"/>
      <c r="I67" s="43"/>
      <c r="J67" s="4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25.5" hidden="1" customHeight="1" outlineLevel="1">
      <c r="A69" s="15" t="s">
        <v>119</v>
      </c>
      <c r="B69" s="3"/>
      <c r="C69" s="3"/>
      <c r="D69" s="3"/>
      <c r="E69" s="3"/>
      <c r="F69" s="3"/>
      <c r="G69" s="3"/>
      <c r="H69" s="3"/>
      <c r="I69" s="3"/>
      <c r="J69" s="4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33.75" hidden="1" customHeight="1" outlineLevel="2">
      <c r="A70" s="17" t="str">
        <f>IF($B70="TOP SET","▲","")</f>
        <v>▲</v>
      </c>
      <c r="B70" s="19" t="str">
        <f>IF('T1'!$B70="TOP SET","TOP SET","—")</f>
        <v>TOP SET</v>
      </c>
      <c r="C70" s="22" t="str">
        <f>IF(OR($B70&lt;&gt;"TOP SET",$F70=""),"",IF(N($K70)=0,"",IF(INDEX($C$71:$C$82,$K70)="","",INDEX($C$71:$C$82,$K70))))</f>
      </c>
      <c r="D70" s="23">
        <f>IF(AND($B70="TOP SET",$F70&lt;&gt;""),1,"")</f>
      </c>
      <c r="E70" s="24" t="str">
        <f>IF(AND($B70="TOP SET",$F70&lt;&gt;""),"1 powtórzenie","")</f>
      </c>
      <c r="F70" s="25">
        <v>6.0</v>
      </c>
      <c r="G70" s="27" t="str">
        <f t="array" ref="G70">IF($B70&lt;&gt;"TOP SET","",IF($C70="","",IF(OR($Q70="masa ciała",$Q70="czas",$Q70="dystans",$Q70="ręczne ustawienie"),"—",IF($C70='T1'!$C70,IF(OR($R70="",$R70=0),"— brak 1RM",MROUND($R70*IFERROR(INDEX(TABELE!$B$4:$J$18,MATCH(1,TABELE!$A$4:$A$18,0),MATCH($F70,TABELE!$B$3:$J$3,0)),0)/100,MAX($P70,0.5))),IF(OR($AA70="",$AA70=0),"— ustaw ręcznie",MROUND($AA70*IFERROR(INDEX(TABELE!$B$4:$J$18,MATCH(1,TABELE!$A$4:$A$18,0),MATCH($F70,TABELE!$B$3:$J$3,0)),0)/100,MAX($P70,0.5)))))))</f>
      </c>
      <c r="H70" s="28"/>
      <c r="I70" s="29"/>
      <c r="J70" s="29"/>
      <c r="K70" s="5">
        <f>IFERROR(MATCH("A*",$A$71:$A$82,0),0)</f>
      </c>
      <c r="L70" s="5"/>
      <c r="M70" s="5"/>
      <c r="N70" s="5"/>
      <c r="O70" s="5"/>
      <c r="P70" s="5">
        <f>IF(N($K70)=0,"",INDEX($P$71:$P$82,$K70))</f>
      </c>
      <c r="Q70" s="5">
        <f>IF(N($K70)=0,"",INDEX($Q$71:$Q$82,$K70))</f>
      </c>
      <c r="R70" s="5">
        <f>IF(N($K70)=0,"",INDEX($R$71:$R$82,$K70))</f>
      </c>
      <c r="S70" s="5"/>
      <c r="T70" s="5"/>
      <c r="U70" s="5"/>
      <c r="V70" s="5"/>
      <c r="W70" s="5"/>
      <c r="X70" s="5"/>
      <c r="Y70" s="5"/>
      <c r="Z70" s="5"/>
      <c r="AA70" s="5">
        <f>IF(N($K70)=0,"",INDEX($AA$71:$AA$82,$K70))</f>
      </c>
    </row>
    <row r="71" ht="25.5" hidden="1" customHeight="1" outlineLevel="1">
      <c r="A71" s="18" t="str">
        <f>IF('T1'!$A71="","",'T1'!$A71)</f>
        <v>A1.</v>
      </c>
      <c r="B71" s="30"/>
      <c r="C71" s="31" t="str">
        <f>IF('T1'!$C71="","",'T1'!$C71)</f>
        <v/>
      </c>
      <c r="D71" s="32">
        <v>5.0</v>
      </c>
      <c r="E71" s="32">
        <v>6.0</v>
      </c>
      <c r="F71" s="33">
        <v>7.0</v>
      </c>
      <c r="G71" s="34" t="str">
        <f>IF($C71="","",IF(OR($Q71="masa ciała",$Q71="czas",$Q71="dystans",$Q71="ręczne ustawienie"),$Q71,IF($C71='T1'!$C71,IF(AND(LEFT($A71,1)&lt;&gt;"A",PRZEL_AKCESORIA="trzymaj z bloku"),IF(NOT(ISNUMBER('T1'!$G71)),'T1'!$G71,MROUND('T1'!$G71*$AC71/(MAX('T1'!$AC71,0.0001)),MAX($P71,0.5))),IF(OR($R71="",$R71=0),"— brak 1RM",MROUND($R71*$S71/100*$AC71,MAX($P71,0.5)))),IF(OR($AA71="",$AA71=0),"— ustaw ręcznie",MROUND($AA71*$S71/100*$AC71,MAX($P71,0.5))))))</f>
        <v/>
      </c>
      <c r="H71" s="35"/>
      <c r="I71" s="36" t="str">
        <f t="array" ref="I71">IFERROR(IF(IFERROR(INDEX(BAZA_FILM,MATCH($C71,BAZA_EX,0)),"")="","",HYPERLINK(IFERROR(INDEX(BAZA_FILM,MATCH($C71,BAZA_EX,0)),""),"film")),"")</f>
        <v/>
      </c>
      <c r="J71" s="37" t="str">
        <f>IF('T1'!$J71="","",'T1'!$J71)</f>
        <v/>
      </c>
      <c r="K71" s="5" t="s">
        <v>120</v>
      </c>
      <c r="L71" s="5" t="str">
        <f t="array" ref="L71">IFERROR(INDEX(BAZA_ID,MATCH($C71,BAZA_EX,0)),"")</f>
        <v/>
      </c>
      <c r="M71" s="5" t="str">
        <f t="array" ref="M71">IFERROR(INDEX(BAZA_PART,MATCH($C71,BAZA_EX,0)),"")</f>
        <v/>
      </c>
      <c r="N71" s="5" t="str">
        <f t="array" ref="N71">IFERROR(INDEX(BAZA_KAT,MATCH($C71,BAZA_EX,0)),"")</f>
        <v/>
      </c>
      <c r="O71" s="5" t="str">
        <f t="array" ref="O71">IFERROR(INDEX(BAZA_COEFF,MATCH($C71,BAZA_EX,0)),"")</f>
        <v/>
      </c>
      <c r="P71" s="5" t="str">
        <f t="array" ref="P71">IFERROR(INDEX(BAZA_SKOK,MATCH($C71,BAZA_EX,0)),"")</f>
        <v/>
      </c>
      <c r="Q71" s="5" t="str">
        <f t="array" ref="Q71">IFERROR(INDEX(BAZA_PROG,MATCH($C71,BAZA_EX,0)),"")</f>
        <v/>
      </c>
      <c r="R71" s="5" t="str">
        <f>IF($C71="","",IF(SUMPRODUCT((START!$B$6:$B$69=$C71)*(START!$M$6:$M$69&gt;0))=0,"",SUMPRODUCT(MAX((START!$B$6:$B$69=$C71)*START!$M$6:$M$69))))</f>
        <v/>
      </c>
      <c r="S71" s="5">
        <f t="array" ref="S71">IFERROR(INDEX(TABELE!$B$4:$J$18,MATCH($E71,TABELE!$A$4:$A$18,0),MATCH($F71,TABELE!$B$3:$J$3,0)),"")</f>
        <v>71.5</v>
      </c>
      <c r="T71" s="5">
        <f t="array" ref="T71">IFERROR(IF($C71="",0,$O71*$D71*INDEX(TABELE!$B$23:$P$33,MATCH($F71,TABELE!$A$23:$A$33,0),MATCH($E71,TABELE!$B$22:$P$22,0))),0)</f>
        <v>0</v>
      </c>
      <c r="U71" s="5">
        <f t="array" ref="U71">IFERROR(IF($C71="",0,$O71*$D71*INDEX(TABELE!$B$37:$P$47,MATCH($F71,TABELE!$A$37:$A$47,0),MATCH($E71,TABELE!$B$36:$P$36,0))),0)</f>
        <v>0</v>
      </c>
      <c r="V71" s="5">
        <f t="array" ref="V71">IFERROR(IF($C71="",0,$O71*$D71*INDEX(TABELE!$B$51:$P$61,MATCH($F71,TABELE!$A$51:$A$61,0),MATCH($E71,TABELE!$B$50:$P$50,0))),0)</f>
        <v>0</v>
      </c>
      <c r="W71" s="5" t="str">
        <f t="array" ref="W71">IFERROR(INDEX(BAZA_UWAGI,MATCH($C71,BAZA_EX,0)),"")</f>
        <v/>
      </c>
      <c r="X71" s="5">
        <f t="shared" ref="X71:X82" si="21">IF($A71="","",$Z71)</f>
        <v>1</v>
      </c>
      <c r="Y71" s="5" t="str">
        <f>IF($A71="","",LEFT($A71,1))</f>
        <v>A</v>
      </c>
      <c r="Z71" s="5">
        <f>IF($A71="",0,1)</f>
        <v>1</v>
      </c>
      <c r="AA71" s="5" t="str">
        <f>IF($C71="","",IF(SUMPRODUCT((START!$B$6:$B$69=$C71)*(START!$M$6:$M$69&gt;0))=0,"",SUMPRODUCT(MAX((START!$B$6:$B$69=$C71)*START!$M$6:$M$69))))</f>
        <v/>
      </c>
      <c r="AB71" s="5" t="str">
        <f t="shared" ref="AB71:AB82" si="22">IF($C71="","",IF($H71&lt;&gt;"",$H71,IF($H$83="✓ ukończony","OK","")))</f>
        <v/>
      </c>
      <c r="AC71" s="5">
        <f>MAX(0.85,MIN(1.15,1+0.05*(COUNTIF('T1'!$AB71,"za łatwe"))-0.05*(COUNTIF('T1'!$AB71,"za trudne"))))</f>
        <v>1</v>
      </c>
      <c r="AD71" s="5">
        <f t="shared" ref="AD71:AD82" si="23">IF(OR($Q71="masa ciała",$Q71="czas",$Q71="dystans",$Q71="ręczne ustawienie"),MAX(-3,MIN(3,ROUND(($AC71-1)/0.05,0))),0)</f>
        <v>0</v>
      </c>
    </row>
    <row r="72" ht="25.5" hidden="1" customHeight="1" outlineLevel="1">
      <c r="A72" s="18" t="str">
        <f>IF('T1'!$A72="","",'T1'!$A72)</f>
        <v>B1.</v>
      </c>
      <c r="B72" s="30"/>
      <c r="C72" s="31" t="str">
        <f>IF('T1'!$C72="","",'T1'!$C72)</f>
        <v/>
      </c>
      <c r="D72" s="32">
        <v>3.0</v>
      </c>
      <c r="E72" s="39">
        <f>IF($C72="",0,MIN(15,MAX(1,IF(N($O72)&gt;=1,6,IF(N($O72)&gt;=0.75,IF(PRZEL_CZESC="część 1 (objętość)",8,6),IF(PRZEL_CZESC="część 1 (objętość)",10,8)))+1+$AD72)))</f>
        <v>0</v>
      </c>
      <c r="F72" s="33">
        <v>8.0</v>
      </c>
      <c r="G72" s="34" t="str">
        <f>IF($C72="","",IF(OR($Q72="masa ciała",$Q72="czas",$Q72="dystans",$Q72="ręczne ustawienie"),$Q72,IF($C72='T1'!$C72,IF(AND(LEFT($A72,1)&lt;&gt;"A",PRZEL_AKCESORIA="trzymaj z bloku"),IF(NOT(ISNUMBER('T1'!$G72)),'T1'!$G72,MROUND('T1'!$G72*$AC72/(MAX('T1'!$AC72,0.0001)),MAX($P72,0.5))),IF(OR($R72="",$R72=0),"— brak 1RM",MROUND($R72*$S72/100*$AC72,MAX($P72,0.5)))),IF(OR($AA72="",$AA72=0),"— ustaw ręcznie",MROUND($AA72*$S72/100*$AC72,MAX($P72,0.5))))))</f>
        <v/>
      </c>
      <c r="H72" s="35"/>
      <c r="I72" s="36" t="str">
        <f t="array" ref="I72">IFERROR(IF(IFERROR(INDEX(BAZA_FILM,MATCH($C72,BAZA_EX,0)),"")="","",HYPERLINK(IFERROR(INDEX(BAZA_FILM,MATCH($C72,BAZA_EX,0)),""),"film")),"")</f>
        <v/>
      </c>
      <c r="J72" s="37" t="str">
        <f>IF('T1'!$J72="","",'T1'!$J72)</f>
        <v/>
      </c>
      <c r="K72" s="5" t="s">
        <v>121</v>
      </c>
      <c r="L72" s="5" t="str">
        <f t="array" ref="L72">IFERROR(INDEX(BAZA_ID,MATCH($C72,BAZA_EX,0)),"")</f>
        <v/>
      </c>
      <c r="M72" s="5" t="str">
        <f t="array" ref="M72">IFERROR(INDEX(BAZA_PART,MATCH($C72,BAZA_EX,0)),"")</f>
        <v/>
      </c>
      <c r="N72" s="5" t="str">
        <f t="array" ref="N72">IFERROR(INDEX(BAZA_KAT,MATCH($C72,BAZA_EX,0)),"")</f>
        <v/>
      </c>
      <c r="O72" s="5" t="str">
        <f t="array" ref="O72">IFERROR(INDEX(BAZA_COEFF,MATCH($C72,BAZA_EX,0)),"")</f>
        <v/>
      </c>
      <c r="P72" s="5" t="str">
        <f t="array" ref="P72">IFERROR(INDEX(BAZA_SKOK,MATCH($C72,BAZA_EX,0)),"")</f>
        <v/>
      </c>
      <c r="Q72" s="5" t="str">
        <f t="array" ref="Q72">IFERROR(INDEX(BAZA_PROG,MATCH($C72,BAZA_EX,0)),"")</f>
        <v/>
      </c>
      <c r="R72" s="5" t="str">
        <f>IF($C72="","",IF(SUMPRODUCT((START!$B$6:$B$69=$C72)*(START!$M$6:$M$69&gt;0))=0,"",SUMPRODUCT(MAX((START!$B$6:$B$69=$C72)*START!$M$6:$M$69))))</f>
        <v/>
      </c>
      <c r="S72" s="5" t="str">
        <f t="array" ref="S72">IFERROR(INDEX(TABELE!$B$4:$J$18,MATCH($E72,TABELE!$A$4:$A$18,0),MATCH($F72,TABELE!$B$3:$J$3,0)),"")</f>
        <v/>
      </c>
      <c r="T72" s="5">
        <f t="array" ref="T72">IFERROR(IF($C72="",0,$O72*$D72*INDEX(TABELE!$B$23:$P$33,MATCH($F72,TABELE!$A$23:$A$33,0),MATCH($E72,TABELE!$B$22:$P$22,0))),0)</f>
        <v>0</v>
      </c>
      <c r="U72" s="5">
        <f t="array" ref="U72">IFERROR(IF($C72="",0,$O72*$D72*INDEX(TABELE!$B$37:$P$47,MATCH($F72,TABELE!$A$37:$A$47,0),MATCH($E72,TABELE!$B$36:$P$36,0))),0)</f>
        <v>0</v>
      </c>
      <c r="V72" s="5">
        <f t="array" ref="V72">IFERROR(IF($C72="",0,$O72*$D72*INDEX(TABELE!$B$51:$P$61,MATCH($F72,TABELE!$A$51:$A$61,0),MATCH($E72,TABELE!$B$50:$P$50,0))),0)</f>
        <v>0</v>
      </c>
      <c r="W72" s="5" t="str">
        <f t="array" ref="W72">IFERROR(INDEX(BAZA_UWAGI,MATCH($C72,BAZA_EX,0)),"")</f>
        <v/>
      </c>
      <c r="X72" s="5">
        <f t="shared" si="21"/>
        <v>2</v>
      </c>
      <c r="Y72" s="5" t="str">
        <f t="shared" ref="Y72:Y82" si="24">IF($A72="",$Y71,LEFT($A72,1))</f>
        <v>B</v>
      </c>
      <c r="Z72" s="5">
        <f t="shared" ref="Z72:Z82" si="25">IF($A72="",$Z71,IF(LEFT($A72,1)=$Y71,$Z71,$Z71+1))</f>
        <v>2</v>
      </c>
      <c r="AA72" s="5" t="str">
        <f>IF($C72="","",IF(SUMPRODUCT((START!$B$6:$B$69=$C72)*(START!$M$6:$M$69&gt;0))=0,"",SUMPRODUCT(MAX((START!$B$6:$B$69=$C72)*START!$M$6:$M$69))))</f>
        <v/>
      </c>
      <c r="AB72" s="5" t="str">
        <f t="shared" si="22"/>
        <v/>
      </c>
      <c r="AC72" s="5">
        <f>MAX(0.85,MIN(1.15,1+0.05*(COUNTIF('T1'!$AB72,"za łatwe"))-0.05*(COUNTIF('T1'!$AB72,"za trudne"))))</f>
        <v>1</v>
      </c>
      <c r="AD72" s="5">
        <f t="shared" si="23"/>
        <v>0</v>
      </c>
    </row>
    <row r="73" ht="25.5" hidden="1" customHeight="1" outlineLevel="1">
      <c r="A73" s="18" t="str">
        <f>IF('T1'!$A73="","",'T1'!$A73)</f>
        <v>B2.</v>
      </c>
      <c r="B73" s="30"/>
      <c r="C73" s="31" t="str">
        <f>IF('T1'!$C73="","",'T1'!$C73)</f>
        <v/>
      </c>
      <c r="D73" s="32">
        <v>3.0</v>
      </c>
      <c r="E73" s="39">
        <f>IF($C73="",0,MIN(15,MAX(1,IF(N($O73)&gt;=1,6,IF(N($O73)&gt;=0.75,IF(PRZEL_CZESC="część 1 (objętość)",8,6),IF(PRZEL_CZESC="część 1 (objętość)",10,8)))+1+$AD73)))</f>
        <v>0</v>
      </c>
      <c r="F73" s="33">
        <v>8.0</v>
      </c>
      <c r="G73" s="34" t="str">
        <f>IF($C73="","",IF(OR($Q73="masa ciała",$Q73="czas",$Q73="dystans",$Q73="ręczne ustawienie"),$Q73,IF($C73='T1'!$C73,IF(AND(LEFT($A73,1)&lt;&gt;"A",PRZEL_AKCESORIA="trzymaj z bloku"),IF(NOT(ISNUMBER('T1'!$G73)),'T1'!$G73,MROUND('T1'!$G73*$AC73/(MAX('T1'!$AC73,0.0001)),MAX($P73,0.5))),IF(OR($R73="",$R73=0),"— brak 1RM",MROUND($R73*$S73/100*$AC73,MAX($P73,0.5)))),IF(OR($AA73="",$AA73=0),"— ustaw ręcznie",MROUND($AA73*$S73/100*$AC73,MAX($P73,0.5))))))</f>
        <v/>
      </c>
      <c r="H73" s="35"/>
      <c r="I73" s="36" t="str">
        <f t="array" ref="I73">IFERROR(IF(IFERROR(INDEX(BAZA_FILM,MATCH($C73,BAZA_EX,0)),"")="","",HYPERLINK(IFERROR(INDEX(BAZA_FILM,MATCH($C73,BAZA_EX,0)),""),"film")),"")</f>
        <v/>
      </c>
      <c r="J73" s="37" t="str">
        <f>IF('T1'!$J73="","",'T1'!$J73)</f>
        <v/>
      </c>
      <c r="K73" s="5" t="s">
        <v>122</v>
      </c>
      <c r="L73" s="5" t="str">
        <f t="array" ref="L73">IFERROR(INDEX(BAZA_ID,MATCH($C73,BAZA_EX,0)),"")</f>
        <v/>
      </c>
      <c r="M73" s="5" t="str">
        <f t="array" ref="M73">IFERROR(INDEX(BAZA_PART,MATCH($C73,BAZA_EX,0)),"")</f>
        <v/>
      </c>
      <c r="N73" s="5" t="str">
        <f t="array" ref="N73">IFERROR(INDEX(BAZA_KAT,MATCH($C73,BAZA_EX,0)),"")</f>
        <v/>
      </c>
      <c r="O73" s="5" t="str">
        <f t="array" ref="O73">IFERROR(INDEX(BAZA_COEFF,MATCH($C73,BAZA_EX,0)),"")</f>
        <v/>
      </c>
      <c r="P73" s="5" t="str">
        <f t="array" ref="P73">IFERROR(INDEX(BAZA_SKOK,MATCH($C73,BAZA_EX,0)),"")</f>
        <v/>
      </c>
      <c r="Q73" s="5" t="str">
        <f t="array" ref="Q73">IFERROR(INDEX(BAZA_PROG,MATCH($C73,BAZA_EX,0)),"")</f>
        <v/>
      </c>
      <c r="R73" s="5" t="str">
        <f>IF($C73="","",IF(SUMPRODUCT((START!$B$6:$B$69=$C73)*(START!$M$6:$M$69&gt;0))=0,"",SUMPRODUCT(MAX((START!$B$6:$B$69=$C73)*START!$M$6:$M$69))))</f>
        <v/>
      </c>
      <c r="S73" s="5" t="str">
        <f t="array" ref="S73">IFERROR(INDEX(TABELE!$B$4:$J$18,MATCH($E73,TABELE!$A$4:$A$18,0),MATCH($F73,TABELE!$B$3:$J$3,0)),"")</f>
        <v/>
      </c>
      <c r="T73" s="5">
        <f t="array" ref="T73">IFERROR(IF($C73="",0,$O73*$D73*INDEX(TABELE!$B$23:$P$33,MATCH($F73,TABELE!$A$23:$A$33,0),MATCH($E73,TABELE!$B$22:$P$22,0))),0)</f>
        <v>0</v>
      </c>
      <c r="U73" s="5">
        <f t="array" ref="U73">IFERROR(IF($C73="",0,$O73*$D73*INDEX(TABELE!$B$37:$P$47,MATCH($F73,TABELE!$A$37:$A$47,0),MATCH($E73,TABELE!$B$36:$P$36,0))),0)</f>
        <v>0</v>
      </c>
      <c r="V73" s="5">
        <f t="array" ref="V73">IFERROR(IF($C73="",0,$O73*$D73*INDEX(TABELE!$B$51:$P$61,MATCH($F73,TABELE!$A$51:$A$61,0),MATCH($E73,TABELE!$B$50:$P$50,0))),0)</f>
        <v>0</v>
      </c>
      <c r="W73" s="5" t="str">
        <f t="array" ref="W73">IFERROR(INDEX(BAZA_UWAGI,MATCH($C73,BAZA_EX,0)),"")</f>
        <v/>
      </c>
      <c r="X73" s="5">
        <f t="shared" si="21"/>
        <v>2</v>
      </c>
      <c r="Y73" s="5" t="str">
        <f t="shared" si="24"/>
        <v>B</v>
      </c>
      <c r="Z73" s="5">
        <f t="shared" si="25"/>
        <v>2</v>
      </c>
      <c r="AA73" s="5" t="str">
        <f>IF($C73="","",IF(SUMPRODUCT((START!$B$6:$B$69=$C73)*(START!$M$6:$M$69&gt;0))=0,"",SUMPRODUCT(MAX((START!$B$6:$B$69=$C73)*START!$M$6:$M$69))))</f>
        <v/>
      </c>
      <c r="AB73" s="5" t="str">
        <f t="shared" si="22"/>
        <v/>
      </c>
      <c r="AC73" s="5">
        <f>MAX(0.85,MIN(1.15,1+0.05*(COUNTIF('T1'!$AB73,"za łatwe"))-0.05*(COUNTIF('T1'!$AB73,"za trudne"))))</f>
        <v>1</v>
      </c>
      <c r="AD73" s="5">
        <f t="shared" si="23"/>
        <v>0</v>
      </c>
    </row>
    <row r="74" ht="25.5" hidden="1" customHeight="1" outlineLevel="1">
      <c r="A74" s="18" t="str">
        <f>IF('T1'!$A74="","",'T1'!$A74)</f>
        <v>C1.</v>
      </c>
      <c r="B74" s="30"/>
      <c r="C74" s="31" t="str">
        <f>IF('T1'!$C74="","",'T1'!$C74)</f>
        <v/>
      </c>
      <c r="D74" s="32">
        <v>3.0</v>
      </c>
      <c r="E74" s="39">
        <f>IF($C74="",0,MIN(15,MAX(1,IF(N($O74)&gt;=1,6,IF(N($O74)&gt;=0.75,IF(PRZEL_CZESC="część 1 (objętość)",8,6),IF(PRZEL_CZESC="część 1 (objętość)",10,8)))+1+$AD74)))</f>
        <v>0</v>
      </c>
      <c r="F74" s="33">
        <v>8.0</v>
      </c>
      <c r="G74" s="34" t="str">
        <f>IF($C74="","",IF(OR($Q74="masa ciała",$Q74="czas",$Q74="dystans",$Q74="ręczne ustawienie"),$Q74,IF($C74='T1'!$C74,IF(AND(LEFT($A74,1)&lt;&gt;"A",PRZEL_AKCESORIA="trzymaj z bloku"),IF(NOT(ISNUMBER('T1'!$G74)),'T1'!$G74,MROUND('T1'!$G74*$AC74/(MAX('T1'!$AC74,0.0001)),MAX($P74,0.5))),IF(OR($R74="",$R74=0),"— brak 1RM",MROUND($R74*$S74/100*$AC74,MAX($P74,0.5)))),IF(OR($AA74="",$AA74=0),"— ustaw ręcznie",MROUND($AA74*$S74/100*$AC74,MAX($P74,0.5))))))</f>
        <v/>
      </c>
      <c r="H74" s="35"/>
      <c r="I74" s="36" t="str">
        <f t="array" ref="I74">IFERROR(IF(IFERROR(INDEX(BAZA_FILM,MATCH($C74,BAZA_EX,0)),"")="","",HYPERLINK(IFERROR(INDEX(BAZA_FILM,MATCH($C74,BAZA_EX,0)),""),"film")),"")</f>
        <v/>
      </c>
      <c r="J74" s="37" t="str">
        <f>IF('T1'!$J74="","",'T1'!$J74)</f>
        <v/>
      </c>
      <c r="K74" s="5" t="s">
        <v>123</v>
      </c>
      <c r="L74" s="5" t="str">
        <f t="array" ref="L74">IFERROR(INDEX(BAZA_ID,MATCH($C74,BAZA_EX,0)),"")</f>
        <v/>
      </c>
      <c r="M74" s="5" t="str">
        <f t="array" ref="M74">IFERROR(INDEX(BAZA_PART,MATCH($C74,BAZA_EX,0)),"")</f>
        <v/>
      </c>
      <c r="N74" s="5" t="str">
        <f t="array" ref="N74">IFERROR(INDEX(BAZA_KAT,MATCH($C74,BAZA_EX,0)),"")</f>
        <v/>
      </c>
      <c r="O74" s="5" t="str">
        <f t="array" ref="O74">IFERROR(INDEX(BAZA_COEFF,MATCH($C74,BAZA_EX,0)),"")</f>
        <v/>
      </c>
      <c r="P74" s="5" t="str">
        <f t="array" ref="P74">IFERROR(INDEX(BAZA_SKOK,MATCH($C74,BAZA_EX,0)),"")</f>
        <v/>
      </c>
      <c r="Q74" s="5" t="str">
        <f t="array" ref="Q74">IFERROR(INDEX(BAZA_PROG,MATCH($C74,BAZA_EX,0)),"")</f>
        <v/>
      </c>
      <c r="R74" s="5" t="str">
        <f>IF($C74="","",IF(SUMPRODUCT((START!$B$6:$B$69=$C74)*(START!$M$6:$M$69&gt;0))=0,"",SUMPRODUCT(MAX((START!$B$6:$B$69=$C74)*START!$M$6:$M$69))))</f>
        <v/>
      </c>
      <c r="S74" s="5" t="str">
        <f t="array" ref="S74">IFERROR(INDEX(TABELE!$B$4:$J$18,MATCH($E74,TABELE!$A$4:$A$18,0),MATCH($F74,TABELE!$B$3:$J$3,0)),"")</f>
        <v/>
      </c>
      <c r="T74" s="5">
        <f t="array" ref="T74">IFERROR(IF($C74="",0,$O74*$D74*INDEX(TABELE!$B$23:$P$33,MATCH($F74,TABELE!$A$23:$A$33,0),MATCH($E74,TABELE!$B$22:$P$22,0))),0)</f>
        <v>0</v>
      </c>
      <c r="U74" s="5">
        <f t="array" ref="U74">IFERROR(IF($C74="",0,$O74*$D74*INDEX(TABELE!$B$37:$P$47,MATCH($F74,TABELE!$A$37:$A$47,0),MATCH($E74,TABELE!$B$36:$P$36,0))),0)</f>
        <v>0</v>
      </c>
      <c r="V74" s="5">
        <f t="array" ref="V74">IFERROR(IF($C74="",0,$O74*$D74*INDEX(TABELE!$B$51:$P$61,MATCH($F74,TABELE!$A$51:$A$61,0),MATCH($E74,TABELE!$B$50:$P$50,0))),0)</f>
        <v>0</v>
      </c>
      <c r="W74" s="5" t="str">
        <f t="array" ref="W74">IFERROR(INDEX(BAZA_UWAGI,MATCH($C74,BAZA_EX,0)),"")</f>
        <v/>
      </c>
      <c r="X74" s="5">
        <f t="shared" si="21"/>
        <v>3</v>
      </c>
      <c r="Y74" s="5" t="str">
        <f t="shared" si="24"/>
        <v>C</v>
      </c>
      <c r="Z74" s="5">
        <f t="shared" si="25"/>
        <v>3</v>
      </c>
      <c r="AA74" s="5" t="str">
        <f>IF($C74="","",IF(SUMPRODUCT((START!$B$6:$B$69=$C74)*(START!$M$6:$M$69&gt;0))=0,"",SUMPRODUCT(MAX((START!$B$6:$B$69=$C74)*START!$M$6:$M$69))))</f>
        <v/>
      </c>
      <c r="AB74" s="5" t="str">
        <f t="shared" si="22"/>
        <v/>
      </c>
      <c r="AC74" s="5">
        <f>MAX(0.85,MIN(1.15,1+0.05*(COUNTIF('T1'!$AB74,"za łatwe"))-0.05*(COUNTIF('T1'!$AB74,"za trudne"))))</f>
        <v>1</v>
      </c>
      <c r="AD74" s="5">
        <f t="shared" si="23"/>
        <v>0</v>
      </c>
    </row>
    <row r="75" ht="25.5" hidden="1" customHeight="1" outlineLevel="1">
      <c r="A75" s="18" t="str">
        <f>IF('T1'!$A75="","",'T1'!$A75)</f>
        <v>C2.</v>
      </c>
      <c r="B75" s="30"/>
      <c r="C75" s="31" t="str">
        <f>IF('T1'!$C75="","",'T1'!$C75)</f>
        <v/>
      </c>
      <c r="D75" s="32">
        <v>3.0</v>
      </c>
      <c r="E75" s="39">
        <f>IF($C75="",0,MIN(15,MAX(1,IF(N($O75)&gt;=1,6,IF(N($O75)&gt;=0.75,IF(PRZEL_CZESC="część 1 (objętość)",8,6),IF(PRZEL_CZESC="część 1 (objętość)",10,8)))+1+$AD75)))</f>
        <v>0</v>
      </c>
      <c r="F75" s="33">
        <v>9.0</v>
      </c>
      <c r="G75" s="34" t="str">
        <f>IF($C75="","",IF(OR($Q75="masa ciała",$Q75="czas",$Q75="dystans",$Q75="ręczne ustawienie"),$Q75,IF($C75='T1'!$C75,IF(AND(LEFT($A75,1)&lt;&gt;"A",PRZEL_AKCESORIA="trzymaj z bloku"),IF(NOT(ISNUMBER('T1'!$G75)),'T1'!$G75,MROUND('T1'!$G75*$AC75/(MAX('T1'!$AC75,0.0001)),MAX($P75,0.5))),IF(OR($R75="",$R75=0),"— brak 1RM",MROUND($R75*$S75/100*$AC75,MAX($P75,0.5)))),IF(OR($AA75="",$AA75=0),"— ustaw ręcznie",MROUND($AA75*$S75/100*$AC75,MAX($P75,0.5))))))</f>
        <v/>
      </c>
      <c r="H75" s="35"/>
      <c r="I75" s="36" t="str">
        <f t="array" ref="I75">IFERROR(IF(IFERROR(INDEX(BAZA_FILM,MATCH($C75,BAZA_EX,0)),"")="","",HYPERLINK(IFERROR(INDEX(BAZA_FILM,MATCH($C75,BAZA_EX,0)),""),"film")),"")</f>
        <v/>
      </c>
      <c r="J75" s="37" t="str">
        <f>IF('T1'!$J75="","",'T1'!$J75)</f>
        <v/>
      </c>
      <c r="K75" s="5" t="s">
        <v>124</v>
      </c>
      <c r="L75" s="5" t="str">
        <f t="array" ref="L75">IFERROR(INDEX(BAZA_ID,MATCH($C75,BAZA_EX,0)),"")</f>
        <v/>
      </c>
      <c r="M75" s="5" t="str">
        <f t="array" ref="M75">IFERROR(INDEX(BAZA_PART,MATCH($C75,BAZA_EX,0)),"")</f>
        <v/>
      </c>
      <c r="N75" s="5" t="str">
        <f t="array" ref="N75">IFERROR(INDEX(BAZA_KAT,MATCH($C75,BAZA_EX,0)),"")</f>
        <v/>
      </c>
      <c r="O75" s="5" t="str">
        <f t="array" ref="O75">IFERROR(INDEX(BAZA_COEFF,MATCH($C75,BAZA_EX,0)),"")</f>
        <v/>
      </c>
      <c r="P75" s="5" t="str">
        <f t="array" ref="P75">IFERROR(INDEX(BAZA_SKOK,MATCH($C75,BAZA_EX,0)),"")</f>
        <v/>
      </c>
      <c r="Q75" s="5" t="str">
        <f t="array" ref="Q75">IFERROR(INDEX(BAZA_PROG,MATCH($C75,BAZA_EX,0)),"")</f>
        <v/>
      </c>
      <c r="R75" s="5" t="str">
        <f>IF($C75="","",IF(SUMPRODUCT((START!$B$6:$B$69=$C75)*(START!$M$6:$M$69&gt;0))=0,"",SUMPRODUCT(MAX((START!$B$6:$B$69=$C75)*START!$M$6:$M$69))))</f>
        <v/>
      </c>
      <c r="S75" s="5" t="str">
        <f t="array" ref="S75">IFERROR(INDEX(TABELE!$B$4:$J$18,MATCH($E75,TABELE!$A$4:$A$18,0),MATCH($F75,TABELE!$B$3:$J$3,0)),"")</f>
        <v/>
      </c>
      <c r="T75" s="5">
        <f t="array" ref="T75">IFERROR(IF($C75="",0,$O75*$D75*INDEX(TABELE!$B$23:$P$33,MATCH($F75,TABELE!$A$23:$A$33,0),MATCH($E75,TABELE!$B$22:$P$22,0))),0)</f>
        <v>0</v>
      </c>
      <c r="U75" s="5">
        <f t="array" ref="U75">IFERROR(IF($C75="",0,$O75*$D75*INDEX(TABELE!$B$37:$P$47,MATCH($F75,TABELE!$A$37:$A$47,0),MATCH($E75,TABELE!$B$36:$P$36,0))),0)</f>
        <v>0</v>
      </c>
      <c r="V75" s="5">
        <f t="array" ref="V75">IFERROR(IF($C75="",0,$O75*$D75*INDEX(TABELE!$B$51:$P$61,MATCH($F75,TABELE!$A$51:$A$61,0),MATCH($E75,TABELE!$B$50:$P$50,0))),0)</f>
        <v>0</v>
      </c>
      <c r="W75" s="5" t="str">
        <f t="array" ref="W75">IFERROR(INDEX(BAZA_UWAGI,MATCH($C75,BAZA_EX,0)),"")</f>
        <v/>
      </c>
      <c r="X75" s="5">
        <f t="shared" si="21"/>
        <v>3</v>
      </c>
      <c r="Y75" s="5" t="str">
        <f t="shared" si="24"/>
        <v>C</v>
      </c>
      <c r="Z75" s="5">
        <f t="shared" si="25"/>
        <v>3</v>
      </c>
      <c r="AA75" s="5" t="str">
        <f>IF($C75="","",IF(SUMPRODUCT((START!$B$6:$B$69=$C75)*(START!$M$6:$M$69&gt;0))=0,"",SUMPRODUCT(MAX((START!$B$6:$B$69=$C75)*START!$M$6:$M$69))))</f>
        <v/>
      </c>
      <c r="AB75" s="5" t="str">
        <f t="shared" si="22"/>
        <v/>
      </c>
      <c r="AC75" s="5">
        <f>MAX(0.85,MIN(1.15,1+0.05*(COUNTIF('T1'!$AB75,"za łatwe"))-0.05*(COUNTIF('T1'!$AB75,"za trudne"))))</f>
        <v>1</v>
      </c>
      <c r="AD75" s="5">
        <f t="shared" si="23"/>
        <v>0</v>
      </c>
    </row>
    <row r="76" ht="25.5" hidden="1" customHeight="1" outlineLevel="1">
      <c r="A76" s="18" t="str">
        <f>IF('T1'!$A76="","",'T1'!$A76)</f>
        <v>D1.</v>
      </c>
      <c r="B76" s="30"/>
      <c r="C76" s="31" t="str">
        <f>IF('T1'!$C76="","",'T1'!$C76)</f>
        <v/>
      </c>
      <c r="D76" s="32">
        <v>3.0</v>
      </c>
      <c r="E76" s="39">
        <f>IF($C76="",0,MIN(15,MAX(1,IF(N($O76)&gt;=1,6,IF(N($O76)&gt;=0.75,IF(PRZEL_CZESC="część 1 (objętość)",8,6),IF(PRZEL_CZESC="część 1 (objętość)",10,8)))+1+$AD76)))</f>
        <v>0</v>
      </c>
      <c r="F76" s="33">
        <v>8.0</v>
      </c>
      <c r="G76" s="34" t="str">
        <f>IF($C76="","",IF(OR($Q76="masa ciała",$Q76="czas",$Q76="dystans",$Q76="ręczne ustawienie"),$Q76,IF($C76='T1'!$C76,IF(AND(LEFT($A76,1)&lt;&gt;"A",PRZEL_AKCESORIA="trzymaj z bloku"),IF(NOT(ISNUMBER('T1'!$G76)),'T1'!$G76,MROUND('T1'!$G76*$AC76/(MAX('T1'!$AC76,0.0001)),MAX($P76,0.5))),IF(OR($R76="",$R76=0),"— brak 1RM",MROUND($R76*$S76/100*$AC76,MAX($P76,0.5)))),IF(OR($AA76="",$AA76=0),"— ustaw ręcznie",MROUND($AA76*$S76/100*$AC76,MAX($P76,0.5))))))</f>
        <v/>
      </c>
      <c r="H76" s="35"/>
      <c r="I76" s="36" t="str">
        <f t="array" ref="I76">IFERROR(IF(IFERROR(INDEX(BAZA_FILM,MATCH($C76,BAZA_EX,0)),"")="","",HYPERLINK(IFERROR(INDEX(BAZA_FILM,MATCH($C76,BAZA_EX,0)),""),"film")),"")</f>
        <v/>
      </c>
      <c r="J76" s="37" t="str">
        <f>IF('T1'!$J76="","",'T1'!$J76)</f>
        <v/>
      </c>
      <c r="K76" s="5" t="s">
        <v>125</v>
      </c>
      <c r="L76" s="5" t="str">
        <f t="array" ref="L76">IFERROR(INDEX(BAZA_ID,MATCH($C76,BAZA_EX,0)),"")</f>
        <v/>
      </c>
      <c r="M76" s="5" t="str">
        <f t="array" ref="M76">IFERROR(INDEX(BAZA_PART,MATCH($C76,BAZA_EX,0)),"")</f>
        <v/>
      </c>
      <c r="N76" s="5" t="str">
        <f t="array" ref="N76">IFERROR(INDEX(BAZA_KAT,MATCH($C76,BAZA_EX,0)),"")</f>
        <v/>
      </c>
      <c r="O76" s="5" t="str">
        <f t="array" ref="O76">IFERROR(INDEX(BAZA_COEFF,MATCH($C76,BAZA_EX,0)),"")</f>
        <v/>
      </c>
      <c r="P76" s="5" t="str">
        <f t="array" ref="P76">IFERROR(INDEX(BAZA_SKOK,MATCH($C76,BAZA_EX,0)),"")</f>
        <v/>
      </c>
      <c r="Q76" s="5" t="str">
        <f t="array" ref="Q76">IFERROR(INDEX(BAZA_PROG,MATCH($C76,BAZA_EX,0)),"")</f>
        <v/>
      </c>
      <c r="R76" s="5" t="str">
        <f>IF($C76="","",IF(SUMPRODUCT((START!$B$6:$B$69=$C76)*(START!$M$6:$M$69&gt;0))=0,"",SUMPRODUCT(MAX((START!$B$6:$B$69=$C76)*START!$M$6:$M$69))))</f>
        <v/>
      </c>
      <c r="S76" s="5" t="str">
        <f t="array" ref="S76">IFERROR(INDEX(TABELE!$B$4:$J$18,MATCH($E76,TABELE!$A$4:$A$18,0),MATCH($F76,TABELE!$B$3:$J$3,0)),"")</f>
        <v/>
      </c>
      <c r="T76" s="5">
        <f t="array" ref="T76">IFERROR(IF($C76="",0,$O76*$D76*INDEX(TABELE!$B$23:$P$33,MATCH($F76,TABELE!$A$23:$A$33,0),MATCH($E76,TABELE!$B$22:$P$22,0))),0)</f>
        <v>0</v>
      </c>
      <c r="U76" s="5">
        <f t="array" ref="U76">IFERROR(IF($C76="",0,$O76*$D76*INDEX(TABELE!$B$37:$P$47,MATCH($F76,TABELE!$A$37:$A$47,0),MATCH($E76,TABELE!$B$36:$P$36,0))),0)</f>
        <v>0</v>
      </c>
      <c r="V76" s="5">
        <f t="array" ref="V76">IFERROR(IF($C76="",0,$O76*$D76*INDEX(TABELE!$B$51:$P$61,MATCH($F76,TABELE!$A$51:$A$61,0),MATCH($E76,TABELE!$B$50:$P$50,0))),0)</f>
        <v>0</v>
      </c>
      <c r="W76" s="5" t="str">
        <f t="array" ref="W76">IFERROR(INDEX(BAZA_UWAGI,MATCH($C76,BAZA_EX,0)),"")</f>
        <v/>
      </c>
      <c r="X76" s="5">
        <f t="shared" si="21"/>
        <v>4</v>
      </c>
      <c r="Y76" s="5" t="str">
        <f t="shared" si="24"/>
        <v>D</v>
      </c>
      <c r="Z76" s="5">
        <f t="shared" si="25"/>
        <v>4</v>
      </c>
      <c r="AA76" s="5" t="str">
        <f>IF($C76="","",IF(SUMPRODUCT((START!$B$6:$B$69=$C76)*(START!$M$6:$M$69&gt;0))=0,"",SUMPRODUCT(MAX((START!$B$6:$B$69=$C76)*START!$M$6:$M$69))))</f>
        <v/>
      </c>
      <c r="AB76" s="5" t="str">
        <f t="shared" si="22"/>
        <v/>
      </c>
      <c r="AC76" s="5">
        <f>MAX(0.85,MIN(1.15,1+0.05*(COUNTIF('T1'!$AB76,"za łatwe"))-0.05*(COUNTIF('T1'!$AB76,"za trudne"))))</f>
        <v>1</v>
      </c>
      <c r="AD76" s="5">
        <f t="shared" si="23"/>
        <v>0</v>
      </c>
    </row>
    <row r="77" ht="25.5" hidden="1" customHeight="1" outlineLevel="1">
      <c r="A77" s="18" t="str">
        <f>IF('T1'!$A77="","",'T1'!$A77)</f>
        <v>D2.</v>
      </c>
      <c r="B77" s="30"/>
      <c r="C77" s="31" t="str">
        <f>IF('T1'!$C77="","",'T1'!$C77)</f>
        <v/>
      </c>
      <c r="D77" s="32">
        <v>3.0</v>
      </c>
      <c r="E77" s="39">
        <f>IF($C77="",0,MIN(15,MAX(1,IF(N($O77)&gt;=1,6,IF(N($O77)&gt;=0.75,IF(PRZEL_CZESC="część 1 (objętość)",8,6),IF(PRZEL_CZESC="część 1 (objętość)",10,8)))+1+$AD77)))</f>
        <v>0</v>
      </c>
      <c r="F77" s="33">
        <v>9.0</v>
      </c>
      <c r="G77" s="34" t="str">
        <f>IF($C77="","",IF(OR($Q77="masa ciała",$Q77="czas",$Q77="dystans",$Q77="ręczne ustawienie"),$Q77,IF($C77='T1'!$C77,IF(AND(LEFT($A77,1)&lt;&gt;"A",PRZEL_AKCESORIA="trzymaj z bloku"),IF(NOT(ISNUMBER('T1'!$G77)),'T1'!$G77,MROUND('T1'!$G77*$AC77/(MAX('T1'!$AC77,0.0001)),MAX($P77,0.5))),IF(OR($R77="",$R77=0),"— brak 1RM",MROUND($R77*$S77/100*$AC77,MAX($P77,0.5)))),IF(OR($AA77="",$AA77=0),"— ustaw ręcznie",MROUND($AA77*$S77/100*$AC77,MAX($P77,0.5))))))</f>
        <v/>
      </c>
      <c r="H77" s="35"/>
      <c r="I77" s="36" t="str">
        <f t="array" ref="I77">IFERROR(IF(IFERROR(INDEX(BAZA_FILM,MATCH($C77,BAZA_EX,0)),"")="","",HYPERLINK(IFERROR(INDEX(BAZA_FILM,MATCH($C77,BAZA_EX,0)),""),"film")),"")</f>
        <v/>
      </c>
      <c r="J77" s="37" t="str">
        <f>IF('T1'!$J77="","",'T1'!$J77)</f>
        <v/>
      </c>
      <c r="K77" s="5" t="s">
        <v>126</v>
      </c>
      <c r="L77" s="5" t="str">
        <f t="array" ref="L77">IFERROR(INDEX(BAZA_ID,MATCH($C77,BAZA_EX,0)),"")</f>
        <v/>
      </c>
      <c r="M77" s="5" t="str">
        <f t="array" ref="M77">IFERROR(INDEX(BAZA_PART,MATCH($C77,BAZA_EX,0)),"")</f>
        <v/>
      </c>
      <c r="N77" s="5" t="str">
        <f t="array" ref="N77">IFERROR(INDEX(BAZA_KAT,MATCH($C77,BAZA_EX,0)),"")</f>
        <v/>
      </c>
      <c r="O77" s="5" t="str">
        <f t="array" ref="O77">IFERROR(INDEX(BAZA_COEFF,MATCH($C77,BAZA_EX,0)),"")</f>
        <v/>
      </c>
      <c r="P77" s="5" t="str">
        <f t="array" ref="P77">IFERROR(INDEX(BAZA_SKOK,MATCH($C77,BAZA_EX,0)),"")</f>
        <v/>
      </c>
      <c r="Q77" s="5" t="str">
        <f t="array" ref="Q77">IFERROR(INDEX(BAZA_PROG,MATCH($C77,BAZA_EX,0)),"")</f>
        <v/>
      </c>
      <c r="R77" s="5" t="str">
        <f>IF($C77="","",IF(SUMPRODUCT((START!$B$6:$B$69=$C77)*(START!$M$6:$M$69&gt;0))=0,"",SUMPRODUCT(MAX((START!$B$6:$B$69=$C77)*START!$M$6:$M$69))))</f>
        <v/>
      </c>
      <c r="S77" s="5" t="str">
        <f t="array" ref="S77">IFERROR(INDEX(TABELE!$B$4:$J$18,MATCH($E77,TABELE!$A$4:$A$18,0),MATCH($F77,TABELE!$B$3:$J$3,0)),"")</f>
        <v/>
      </c>
      <c r="T77" s="5">
        <f t="array" ref="T77">IFERROR(IF($C77="",0,$O77*$D77*INDEX(TABELE!$B$23:$P$33,MATCH($F77,TABELE!$A$23:$A$33,0),MATCH($E77,TABELE!$B$22:$P$22,0))),0)</f>
        <v>0</v>
      </c>
      <c r="U77" s="5">
        <f t="array" ref="U77">IFERROR(IF($C77="",0,$O77*$D77*INDEX(TABELE!$B$37:$P$47,MATCH($F77,TABELE!$A$37:$A$47,0),MATCH($E77,TABELE!$B$36:$P$36,0))),0)</f>
        <v>0</v>
      </c>
      <c r="V77" s="5">
        <f t="array" ref="V77">IFERROR(IF($C77="",0,$O77*$D77*INDEX(TABELE!$B$51:$P$61,MATCH($F77,TABELE!$A$51:$A$61,0),MATCH($E77,TABELE!$B$50:$P$50,0))),0)</f>
        <v>0</v>
      </c>
      <c r="W77" s="5" t="str">
        <f t="array" ref="W77">IFERROR(INDEX(BAZA_UWAGI,MATCH($C77,BAZA_EX,0)),"")</f>
        <v/>
      </c>
      <c r="X77" s="5">
        <f t="shared" si="21"/>
        <v>4</v>
      </c>
      <c r="Y77" s="5" t="str">
        <f t="shared" si="24"/>
        <v>D</v>
      </c>
      <c r="Z77" s="5">
        <f t="shared" si="25"/>
        <v>4</v>
      </c>
      <c r="AA77" s="5" t="str">
        <f>IF($C77="","",IF(SUMPRODUCT((START!$B$6:$B$69=$C77)*(START!$M$6:$M$69&gt;0))=0,"",SUMPRODUCT(MAX((START!$B$6:$B$69=$C77)*START!$M$6:$M$69))))</f>
        <v/>
      </c>
      <c r="AB77" s="5" t="str">
        <f t="shared" si="22"/>
        <v/>
      </c>
      <c r="AC77" s="5">
        <f>MAX(0.85,MIN(1.15,1+0.05*(COUNTIF('T1'!$AB77,"za łatwe"))-0.05*(COUNTIF('T1'!$AB77,"za trudne"))))</f>
        <v>1</v>
      </c>
      <c r="AD77" s="5">
        <f t="shared" si="23"/>
        <v>0</v>
      </c>
    </row>
    <row r="78" ht="25.5" hidden="1" customHeight="1" outlineLevel="1">
      <c r="A78" s="18" t="str">
        <f>IF('T1'!$A78="","",'T1'!$A78)</f>
        <v>E1.</v>
      </c>
      <c r="B78" s="30"/>
      <c r="C78" s="31" t="str">
        <f>IF('T1'!$C78="","",'T1'!$C78)</f>
        <v/>
      </c>
      <c r="D78" s="32"/>
      <c r="E78" s="39">
        <f>IF($C78="",0,MIN(15,MAX(1,IF(N($O78)&gt;=1,6,IF(N($O78)&gt;=0.75,IF(PRZEL_CZESC="część 1 (objętość)",8,6),IF(PRZEL_CZESC="część 1 (objętość)",10,8)))+1+$AD78)))</f>
        <v>0</v>
      </c>
      <c r="F78" s="33"/>
      <c r="G78" s="34" t="str">
        <f>IF($C78="","",IF(OR($Q78="masa ciała",$Q78="czas",$Q78="dystans",$Q78="ręczne ustawienie"),$Q78,IF($C78='T1'!$C78,IF(AND(LEFT($A78,1)&lt;&gt;"A",PRZEL_AKCESORIA="trzymaj z bloku"),IF(NOT(ISNUMBER('T1'!$G78)),'T1'!$G78,MROUND('T1'!$G78*$AC78/(MAX('T1'!$AC78,0.0001)),MAX($P78,0.5))),IF(OR($R78="",$R78=0),"— brak 1RM",MROUND($R78*$S78/100*$AC78,MAX($P78,0.5)))),IF(OR($AA78="",$AA78=0),"— ustaw ręcznie",MROUND($AA78*$S78/100*$AC78,MAX($P78,0.5))))))</f>
        <v/>
      </c>
      <c r="H78" s="35"/>
      <c r="I78" s="36" t="str">
        <f t="array" ref="I78">IFERROR(IF(IFERROR(INDEX(BAZA_FILM,MATCH($C78,BAZA_EX,0)),"")="","",HYPERLINK(IFERROR(INDEX(BAZA_FILM,MATCH($C78,BAZA_EX,0)),""),"film")),"")</f>
        <v/>
      </c>
      <c r="J78" s="37" t="str">
        <f>IF('T1'!$J78="","",'T1'!$J78)</f>
        <v/>
      </c>
      <c r="K78" s="5" t="s">
        <v>127</v>
      </c>
      <c r="L78" s="5" t="str">
        <f t="array" ref="L78">IFERROR(INDEX(BAZA_ID,MATCH($C78,BAZA_EX,0)),"")</f>
        <v/>
      </c>
      <c r="M78" s="5" t="str">
        <f t="array" ref="M78">IFERROR(INDEX(BAZA_PART,MATCH($C78,BAZA_EX,0)),"")</f>
        <v/>
      </c>
      <c r="N78" s="5" t="str">
        <f t="array" ref="N78">IFERROR(INDEX(BAZA_KAT,MATCH($C78,BAZA_EX,0)),"")</f>
        <v/>
      </c>
      <c r="O78" s="5" t="str">
        <f t="array" ref="O78">IFERROR(INDEX(BAZA_COEFF,MATCH($C78,BAZA_EX,0)),"")</f>
        <v/>
      </c>
      <c r="P78" s="5" t="str">
        <f t="array" ref="P78">IFERROR(INDEX(BAZA_SKOK,MATCH($C78,BAZA_EX,0)),"")</f>
        <v/>
      </c>
      <c r="Q78" s="5" t="str">
        <f t="array" ref="Q78">IFERROR(INDEX(BAZA_PROG,MATCH($C78,BAZA_EX,0)),"")</f>
        <v/>
      </c>
      <c r="R78" s="5" t="str">
        <f>IF($C78="","",IF(SUMPRODUCT((START!$B$6:$B$69=$C78)*(START!$M$6:$M$69&gt;0))=0,"",SUMPRODUCT(MAX((START!$B$6:$B$69=$C78)*START!$M$6:$M$69))))</f>
        <v/>
      </c>
      <c r="S78" s="5" t="str">
        <f t="array" ref="S78">IFERROR(INDEX(TABELE!$B$4:$J$18,MATCH($E78,TABELE!$A$4:$A$18,0),MATCH($F78,TABELE!$B$3:$J$3,0)),"")</f>
        <v/>
      </c>
      <c r="T78" s="5">
        <f t="array" ref="T78">IFERROR(IF($C78="",0,$O78*$D78*INDEX(TABELE!$B$23:$P$33,MATCH($F78,TABELE!$A$23:$A$33,0),MATCH($E78,TABELE!$B$22:$P$22,0))),0)</f>
        <v>0</v>
      </c>
      <c r="U78" s="5">
        <f t="array" ref="U78">IFERROR(IF($C78="",0,$O78*$D78*INDEX(TABELE!$B$37:$P$47,MATCH($F78,TABELE!$A$37:$A$47,0),MATCH($E78,TABELE!$B$36:$P$36,0))),0)</f>
        <v>0</v>
      </c>
      <c r="V78" s="5">
        <f t="array" ref="V78">IFERROR(IF($C78="",0,$O78*$D78*INDEX(TABELE!$B$51:$P$61,MATCH($F78,TABELE!$A$51:$A$61,0),MATCH($E78,TABELE!$B$50:$P$50,0))),0)</f>
        <v>0</v>
      </c>
      <c r="W78" s="5" t="str">
        <f t="array" ref="W78">IFERROR(INDEX(BAZA_UWAGI,MATCH($C78,BAZA_EX,0)),"")</f>
        <v/>
      </c>
      <c r="X78" s="5">
        <f t="shared" si="21"/>
        <v>5</v>
      </c>
      <c r="Y78" s="5" t="str">
        <f t="shared" si="24"/>
        <v>E</v>
      </c>
      <c r="Z78" s="5">
        <f t="shared" si="25"/>
        <v>5</v>
      </c>
      <c r="AA78" s="5" t="str">
        <f>IF($C78="","",IF(SUMPRODUCT((START!$B$6:$B$69=$C78)*(START!$M$6:$M$69&gt;0))=0,"",SUMPRODUCT(MAX((START!$B$6:$B$69=$C78)*START!$M$6:$M$69))))</f>
        <v/>
      </c>
      <c r="AB78" s="5" t="str">
        <f t="shared" si="22"/>
        <v/>
      </c>
      <c r="AC78" s="5">
        <f>MAX(0.85,MIN(1.15,1+0.05*(COUNTIF('T1'!$AB78,"za łatwe"))-0.05*(COUNTIF('T1'!$AB78,"za trudne"))))</f>
        <v>1</v>
      </c>
      <c r="AD78" s="5">
        <f t="shared" si="23"/>
        <v>0</v>
      </c>
    </row>
    <row r="79" ht="25.5" hidden="1" customHeight="1" outlineLevel="1">
      <c r="A79" s="18" t="str">
        <f>IF('T1'!$A79="","",'T1'!$A79)</f>
        <v>E2.</v>
      </c>
      <c r="B79" s="30"/>
      <c r="C79" s="31" t="str">
        <f>IF('T1'!$C79="","",'T1'!$C79)</f>
        <v/>
      </c>
      <c r="D79" s="32"/>
      <c r="E79" s="39">
        <f>IF($C79="",0,MIN(15,MAX(1,IF(N($O79)&gt;=1,6,IF(N($O79)&gt;=0.75,IF(PRZEL_CZESC="część 1 (objętość)",8,6),IF(PRZEL_CZESC="część 1 (objętość)",10,8)))+1+$AD79)))</f>
        <v>0</v>
      </c>
      <c r="F79" s="33"/>
      <c r="G79" s="34" t="str">
        <f>IF($C79="","",IF(OR($Q79="masa ciała",$Q79="czas",$Q79="dystans",$Q79="ręczne ustawienie"),$Q79,IF($C79='T1'!$C79,IF(AND(LEFT($A79,1)&lt;&gt;"A",PRZEL_AKCESORIA="trzymaj z bloku"),IF(NOT(ISNUMBER('T1'!$G79)),'T1'!$G79,MROUND('T1'!$G79*$AC79/(MAX('T1'!$AC79,0.0001)),MAX($P79,0.5))),IF(OR($R79="",$R79=0),"— brak 1RM",MROUND($R79*$S79/100*$AC79,MAX($P79,0.5)))),IF(OR($AA79="",$AA79=0),"— ustaw ręcznie",MROUND($AA79*$S79/100*$AC79,MAX($P79,0.5))))))</f>
        <v/>
      </c>
      <c r="H79" s="35"/>
      <c r="I79" s="36" t="str">
        <f t="array" ref="I79">IFERROR(IF(IFERROR(INDEX(BAZA_FILM,MATCH($C79,BAZA_EX,0)),"")="","",HYPERLINK(IFERROR(INDEX(BAZA_FILM,MATCH($C79,BAZA_EX,0)),""),"film")),"")</f>
        <v/>
      </c>
      <c r="J79" s="37" t="str">
        <f>IF('T1'!$J79="","",'T1'!$J79)</f>
        <v/>
      </c>
      <c r="K79" s="5" t="s">
        <v>128</v>
      </c>
      <c r="L79" s="5" t="str">
        <f t="array" ref="L79">IFERROR(INDEX(BAZA_ID,MATCH($C79,BAZA_EX,0)),"")</f>
        <v/>
      </c>
      <c r="M79" s="5" t="str">
        <f t="array" ref="M79">IFERROR(INDEX(BAZA_PART,MATCH($C79,BAZA_EX,0)),"")</f>
        <v/>
      </c>
      <c r="N79" s="5" t="str">
        <f t="array" ref="N79">IFERROR(INDEX(BAZA_KAT,MATCH($C79,BAZA_EX,0)),"")</f>
        <v/>
      </c>
      <c r="O79" s="5" t="str">
        <f t="array" ref="O79">IFERROR(INDEX(BAZA_COEFF,MATCH($C79,BAZA_EX,0)),"")</f>
        <v/>
      </c>
      <c r="P79" s="5" t="str">
        <f t="array" ref="P79">IFERROR(INDEX(BAZA_SKOK,MATCH($C79,BAZA_EX,0)),"")</f>
        <v/>
      </c>
      <c r="Q79" s="5" t="str">
        <f t="array" ref="Q79">IFERROR(INDEX(BAZA_PROG,MATCH($C79,BAZA_EX,0)),"")</f>
        <v/>
      </c>
      <c r="R79" s="5" t="str">
        <f>IF($C79="","",IF(SUMPRODUCT((START!$B$6:$B$69=$C79)*(START!$M$6:$M$69&gt;0))=0,"",SUMPRODUCT(MAX((START!$B$6:$B$69=$C79)*START!$M$6:$M$69))))</f>
        <v/>
      </c>
      <c r="S79" s="5" t="str">
        <f t="array" ref="S79">IFERROR(INDEX(TABELE!$B$4:$J$18,MATCH($E79,TABELE!$A$4:$A$18,0),MATCH($F79,TABELE!$B$3:$J$3,0)),"")</f>
        <v/>
      </c>
      <c r="T79" s="5">
        <f t="array" ref="T79">IFERROR(IF($C79="",0,$O79*$D79*INDEX(TABELE!$B$23:$P$33,MATCH($F79,TABELE!$A$23:$A$33,0),MATCH($E79,TABELE!$B$22:$P$22,0))),0)</f>
        <v>0</v>
      </c>
      <c r="U79" s="5">
        <f t="array" ref="U79">IFERROR(IF($C79="",0,$O79*$D79*INDEX(TABELE!$B$37:$P$47,MATCH($F79,TABELE!$A$37:$A$47,0),MATCH($E79,TABELE!$B$36:$P$36,0))),0)</f>
        <v>0</v>
      </c>
      <c r="V79" s="5">
        <f t="array" ref="V79">IFERROR(IF($C79="",0,$O79*$D79*INDEX(TABELE!$B$51:$P$61,MATCH($F79,TABELE!$A$51:$A$61,0),MATCH($E79,TABELE!$B$50:$P$50,0))),0)</f>
        <v>0</v>
      </c>
      <c r="W79" s="5" t="str">
        <f t="array" ref="W79">IFERROR(INDEX(BAZA_UWAGI,MATCH($C79,BAZA_EX,0)),"")</f>
        <v/>
      </c>
      <c r="X79" s="5">
        <f t="shared" si="21"/>
        <v>5</v>
      </c>
      <c r="Y79" s="5" t="str">
        <f t="shared" si="24"/>
        <v>E</v>
      </c>
      <c r="Z79" s="5">
        <f t="shared" si="25"/>
        <v>5</v>
      </c>
      <c r="AA79" s="5" t="str">
        <f>IF($C79="","",IF(SUMPRODUCT((START!$B$6:$B$69=$C79)*(START!$M$6:$M$69&gt;0))=0,"",SUMPRODUCT(MAX((START!$B$6:$B$69=$C79)*START!$M$6:$M$69))))</f>
        <v/>
      </c>
      <c r="AB79" s="5" t="str">
        <f t="shared" si="22"/>
        <v/>
      </c>
      <c r="AC79" s="5">
        <f>MAX(0.85,MIN(1.15,1+0.05*(COUNTIF('T1'!$AB79,"za łatwe"))-0.05*(COUNTIF('T1'!$AB79,"za trudne"))))</f>
        <v>1</v>
      </c>
      <c r="AD79" s="5">
        <f t="shared" si="23"/>
        <v>0</v>
      </c>
    </row>
    <row r="80" ht="25.5" hidden="1" customHeight="1" outlineLevel="1">
      <c r="A80" s="18" t="str">
        <f>IF('T1'!$A80="","",'T1'!$A80)</f>
        <v/>
      </c>
      <c r="B80" s="30"/>
      <c r="C80" s="31" t="str">
        <f>IF('T1'!$C80="","",'T1'!$C80)</f>
        <v/>
      </c>
      <c r="D80" s="32"/>
      <c r="E80" s="39">
        <f>IF($C80="",0,MIN(15,MAX(1,IF(N($O80)&gt;=1,6,IF(N($O80)&gt;=0.75,IF(PRZEL_CZESC="część 1 (objętość)",8,6),IF(PRZEL_CZESC="część 1 (objętość)",10,8)))+1+$AD80)))</f>
        <v>0</v>
      </c>
      <c r="F80" s="33"/>
      <c r="G80" s="34" t="str">
        <f>IF($C80="","",IF(OR($Q80="masa ciała",$Q80="czas",$Q80="dystans",$Q80="ręczne ustawienie"),$Q80,IF($C80='T1'!$C80,IF(AND(LEFT($A80,1)&lt;&gt;"A",PRZEL_AKCESORIA="trzymaj z bloku"),IF(NOT(ISNUMBER('T1'!$G80)),'T1'!$G80,MROUND('T1'!$G80*$AC80/(MAX('T1'!$AC80,0.0001)),MAX($P80,0.5))),IF(OR($R80="",$R80=0),"— brak 1RM",MROUND($R80*$S80/100*$AC80,MAX($P80,0.5)))),IF(OR($AA80="",$AA80=0),"— ustaw ręcznie",MROUND($AA80*$S80/100*$AC80,MAX($P80,0.5))))))</f>
        <v/>
      </c>
      <c r="H80" s="35"/>
      <c r="I80" s="36" t="str">
        <f t="array" ref="I80">IFERROR(IF(IFERROR(INDEX(BAZA_FILM,MATCH($C80,BAZA_EX,0)),"")="","",HYPERLINK(IFERROR(INDEX(BAZA_FILM,MATCH($C80,BAZA_EX,0)),""),"film")),"")</f>
        <v/>
      </c>
      <c r="J80" s="37" t="str">
        <f>IF('T1'!$J80="","",'T1'!$J80)</f>
        <v/>
      </c>
      <c r="K80" s="5" t="s">
        <v>129</v>
      </c>
      <c r="L80" s="5" t="str">
        <f t="array" ref="L80">IFERROR(INDEX(BAZA_ID,MATCH($C80,BAZA_EX,0)),"")</f>
        <v/>
      </c>
      <c r="M80" s="5" t="str">
        <f t="array" ref="M80">IFERROR(INDEX(BAZA_PART,MATCH($C80,BAZA_EX,0)),"")</f>
        <v/>
      </c>
      <c r="N80" s="5" t="str">
        <f t="array" ref="N80">IFERROR(INDEX(BAZA_KAT,MATCH($C80,BAZA_EX,0)),"")</f>
        <v/>
      </c>
      <c r="O80" s="5" t="str">
        <f t="array" ref="O80">IFERROR(INDEX(BAZA_COEFF,MATCH($C80,BAZA_EX,0)),"")</f>
        <v/>
      </c>
      <c r="P80" s="5" t="str">
        <f t="array" ref="P80">IFERROR(INDEX(BAZA_SKOK,MATCH($C80,BAZA_EX,0)),"")</f>
        <v/>
      </c>
      <c r="Q80" s="5" t="str">
        <f t="array" ref="Q80">IFERROR(INDEX(BAZA_PROG,MATCH($C80,BAZA_EX,0)),"")</f>
        <v/>
      </c>
      <c r="R80" s="5" t="str">
        <f>IF($C80="","",IF(SUMPRODUCT((START!$B$6:$B$69=$C80)*(START!$M$6:$M$69&gt;0))=0,"",SUMPRODUCT(MAX((START!$B$6:$B$69=$C80)*START!$M$6:$M$69))))</f>
        <v/>
      </c>
      <c r="S80" s="5" t="str">
        <f t="array" ref="S80">IFERROR(INDEX(TABELE!$B$4:$J$18,MATCH($E80,TABELE!$A$4:$A$18,0),MATCH($F80,TABELE!$B$3:$J$3,0)),"")</f>
        <v/>
      </c>
      <c r="T80" s="5">
        <f t="array" ref="T80">IFERROR(IF($C80="",0,$O80*$D80*INDEX(TABELE!$B$23:$P$33,MATCH($F80,TABELE!$A$23:$A$33,0),MATCH($E80,TABELE!$B$22:$P$22,0))),0)</f>
        <v>0</v>
      </c>
      <c r="U80" s="5">
        <f t="array" ref="U80">IFERROR(IF($C80="",0,$O80*$D80*INDEX(TABELE!$B$37:$P$47,MATCH($F80,TABELE!$A$37:$A$47,0),MATCH($E80,TABELE!$B$36:$P$36,0))),0)</f>
        <v>0</v>
      </c>
      <c r="V80" s="5">
        <f t="array" ref="V80">IFERROR(IF($C80="",0,$O80*$D80*INDEX(TABELE!$B$51:$P$61,MATCH($F80,TABELE!$A$51:$A$61,0),MATCH($E80,TABELE!$B$50:$P$50,0))),0)</f>
        <v>0</v>
      </c>
      <c r="W80" s="5" t="str">
        <f t="array" ref="W80">IFERROR(INDEX(BAZA_UWAGI,MATCH($C80,BAZA_EX,0)),"")</f>
        <v/>
      </c>
      <c r="X80" s="5" t="str">
        <f t="shared" si="21"/>
        <v/>
      </c>
      <c r="Y80" s="5" t="str">
        <f t="shared" si="24"/>
        <v>E</v>
      </c>
      <c r="Z80" s="5">
        <f t="shared" si="25"/>
        <v>5</v>
      </c>
      <c r="AA80" s="5" t="str">
        <f>IF($C80="","",IF(SUMPRODUCT((START!$B$6:$B$69=$C80)*(START!$M$6:$M$69&gt;0))=0,"",SUMPRODUCT(MAX((START!$B$6:$B$69=$C80)*START!$M$6:$M$69))))</f>
        <v/>
      </c>
      <c r="AB80" s="5" t="str">
        <f t="shared" si="22"/>
        <v/>
      </c>
      <c r="AC80" s="5">
        <f>MAX(0.85,MIN(1.15,1+0.05*(COUNTIF('T1'!$AB80,"za łatwe"))-0.05*(COUNTIF('T1'!$AB80,"za trudne"))))</f>
        <v>1</v>
      </c>
      <c r="AD80" s="5">
        <f t="shared" si="23"/>
        <v>0</v>
      </c>
    </row>
    <row r="81" ht="25.5" hidden="1" customHeight="1" outlineLevel="1">
      <c r="A81" s="18" t="str">
        <f>IF('T1'!$A81="","",'T1'!$A81)</f>
        <v/>
      </c>
      <c r="B81" s="30"/>
      <c r="C81" s="31" t="str">
        <f>IF('T1'!$C81="","",'T1'!$C81)</f>
        <v/>
      </c>
      <c r="D81" s="32"/>
      <c r="E81" s="39">
        <f>IF($C81="",0,MIN(15,MAX(1,IF(N($O81)&gt;=1,6,IF(N($O81)&gt;=0.75,IF(PRZEL_CZESC="część 1 (objętość)",8,6),IF(PRZEL_CZESC="część 1 (objętość)",10,8)))+1+$AD81)))</f>
        <v>0</v>
      </c>
      <c r="F81" s="33"/>
      <c r="G81" s="34" t="str">
        <f>IF($C81="","",IF(OR($Q81="masa ciała",$Q81="czas",$Q81="dystans",$Q81="ręczne ustawienie"),$Q81,IF($C81='T1'!$C81,IF(AND(LEFT($A81,1)&lt;&gt;"A",PRZEL_AKCESORIA="trzymaj z bloku"),IF(NOT(ISNUMBER('T1'!$G81)),'T1'!$G81,MROUND('T1'!$G81*$AC81/(MAX('T1'!$AC81,0.0001)),MAX($P81,0.5))),IF(OR($R81="",$R81=0),"— brak 1RM",MROUND($R81*$S81/100*$AC81,MAX($P81,0.5)))),IF(OR($AA81="",$AA81=0),"— ustaw ręcznie",MROUND($AA81*$S81/100*$AC81,MAX($P81,0.5))))))</f>
        <v/>
      </c>
      <c r="H81" s="35"/>
      <c r="I81" s="36" t="str">
        <f t="array" ref="I81">IFERROR(IF(IFERROR(INDEX(BAZA_FILM,MATCH($C81,BAZA_EX,0)),"")="","",HYPERLINK(IFERROR(INDEX(BAZA_FILM,MATCH($C81,BAZA_EX,0)),""),"film")),"")</f>
        <v/>
      </c>
      <c r="J81" s="37" t="str">
        <f>IF('T1'!$J81="","",'T1'!$J81)</f>
        <v/>
      </c>
      <c r="K81" s="5" t="s">
        <v>130</v>
      </c>
      <c r="L81" s="5" t="str">
        <f t="array" ref="L81">IFERROR(INDEX(BAZA_ID,MATCH($C81,BAZA_EX,0)),"")</f>
        <v/>
      </c>
      <c r="M81" s="5" t="str">
        <f t="array" ref="M81">IFERROR(INDEX(BAZA_PART,MATCH($C81,BAZA_EX,0)),"")</f>
        <v/>
      </c>
      <c r="N81" s="5" t="str">
        <f t="array" ref="N81">IFERROR(INDEX(BAZA_KAT,MATCH($C81,BAZA_EX,0)),"")</f>
        <v/>
      </c>
      <c r="O81" s="5" t="str">
        <f t="array" ref="O81">IFERROR(INDEX(BAZA_COEFF,MATCH($C81,BAZA_EX,0)),"")</f>
        <v/>
      </c>
      <c r="P81" s="5" t="str">
        <f t="array" ref="P81">IFERROR(INDEX(BAZA_SKOK,MATCH($C81,BAZA_EX,0)),"")</f>
        <v/>
      </c>
      <c r="Q81" s="5" t="str">
        <f t="array" ref="Q81">IFERROR(INDEX(BAZA_PROG,MATCH($C81,BAZA_EX,0)),"")</f>
        <v/>
      </c>
      <c r="R81" s="5" t="str">
        <f>IF($C81="","",IF(SUMPRODUCT((START!$B$6:$B$69=$C81)*(START!$M$6:$M$69&gt;0))=0,"",SUMPRODUCT(MAX((START!$B$6:$B$69=$C81)*START!$M$6:$M$69))))</f>
        <v/>
      </c>
      <c r="S81" s="5" t="str">
        <f t="array" ref="S81">IFERROR(INDEX(TABELE!$B$4:$J$18,MATCH($E81,TABELE!$A$4:$A$18,0),MATCH($F81,TABELE!$B$3:$J$3,0)),"")</f>
        <v/>
      </c>
      <c r="T81" s="5">
        <f t="array" ref="T81">IFERROR(IF($C81="",0,$O81*$D81*INDEX(TABELE!$B$23:$P$33,MATCH($F81,TABELE!$A$23:$A$33,0),MATCH($E81,TABELE!$B$22:$P$22,0))),0)</f>
        <v>0</v>
      </c>
      <c r="U81" s="5">
        <f t="array" ref="U81">IFERROR(IF($C81="",0,$O81*$D81*INDEX(TABELE!$B$37:$P$47,MATCH($F81,TABELE!$A$37:$A$47,0),MATCH($E81,TABELE!$B$36:$P$36,0))),0)</f>
        <v>0</v>
      </c>
      <c r="V81" s="5">
        <f t="array" ref="V81">IFERROR(IF($C81="",0,$O81*$D81*INDEX(TABELE!$B$51:$P$61,MATCH($F81,TABELE!$A$51:$A$61,0),MATCH($E81,TABELE!$B$50:$P$50,0))),0)</f>
        <v>0</v>
      </c>
      <c r="W81" s="5" t="str">
        <f t="array" ref="W81">IFERROR(INDEX(BAZA_UWAGI,MATCH($C81,BAZA_EX,0)),"")</f>
        <v/>
      </c>
      <c r="X81" s="5" t="str">
        <f t="shared" si="21"/>
        <v/>
      </c>
      <c r="Y81" s="5" t="str">
        <f t="shared" si="24"/>
        <v>E</v>
      </c>
      <c r="Z81" s="5">
        <f t="shared" si="25"/>
        <v>5</v>
      </c>
      <c r="AA81" s="5" t="str">
        <f>IF($C81="","",IF(SUMPRODUCT((START!$B$6:$B$69=$C81)*(START!$M$6:$M$69&gt;0))=0,"",SUMPRODUCT(MAX((START!$B$6:$B$69=$C81)*START!$M$6:$M$69))))</f>
        <v/>
      </c>
      <c r="AB81" s="5" t="str">
        <f t="shared" si="22"/>
        <v/>
      </c>
      <c r="AC81" s="5">
        <f>MAX(0.85,MIN(1.15,1+0.05*(COUNTIF('T1'!$AB81,"za łatwe"))-0.05*(COUNTIF('T1'!$AB81,"za trudne"))))</f>
        <v>1</v>
      </c>
      <c r="AD81" s="5">
        <f t="shared" si="23"/>
        <v>0</v>
      </c>
    </row>
    <row r="82" ht="25.5" hidden="1" customHeight="1" outlineLevel="1">
      <c r="A82" s="18" t="str">
        <f>IF('T1'!$A82="","",'T1'!$A82)</f>
        <v/>
      </c>
      <c r="B82" s="30"/>
      <c r="C82" s="31" t="str">
        <f>IF('T1'!$C82="","",'T1'!$C82)</f>
        <v/>
      </c>
      <c r="D82" s="32"/>
      <c r="E82" s="39">
        <f>IF($C82="",0,MIN(15,MAX(1,IF(N($O82)&gt;=1,6,IF(N($O82)&gt;=0.75,IF(PRZEL_CZESC="część 1 (objętość)",8,6),IF(PRZEL_CZESC="część 1 (objętość)",10,8)))+1+$AD82)))</f>
        <v>0</v>
      </c>
      <c r="F82" s="33"/>
      <c r="G82" s="34" t="str">
        <f>IF($C82="","",IF(OR($Q82="masa ciała",$Q82="czas",$Q82="dystans",$Q82="ręczne ustawienie"),$Q82,IF($C82='T1'!$C82,IF(AND(LEFT($A82,1)&lt;&gt;"A",PRZEL_AKCESORIA="trzymaj z bloku"),IF(NOT(ISNUMBER('T1'!$G82)),'T1'!$G82,MROUND('T1'!$G82*$AC82/(MAX('T1'!$AC82,0.0001)),MAX($P82,0.5))),IF(OR($R82="",$R82=0),"— brak 1RM",MROUND($R82*$S82/100*$AC82,MAX($P82,0.5)))),IF(OR($AA82="",$AA82=0),"— ustaw ręcznie",MROUND($AA82*$S82/100*$AC82,MAX($P82,0.5))))))</f>
        <v/>
      </c>
      <c r="H82" s="35"/>
      <c r="I82" s="36" t="str">
        <f t="array" ref="I82">IFERROR(IF(IFERROR(INDEX(BAZA_FILM,MATCH($C82,BAZA_EX,0)),"")="","",HYPERLINK(IFERROR(INDEX(BAZA_FILM,MATCH($C82,BAZA_EX,0)),""),"film")),"")</f>
        <v/>
      </c>
      <c r="J82" s="37" t="str">
        <f>IF('T1'!$J82="","",'T1'!$J82)</f>
        <v/>
      </c>
      <c r="K82" s="5" t="s">
        <v>131</v>
      </c>
      <c r="L82" s="5" t="str">
        <f t="array" ref="L82">IFERROR(INDEX(BAZA_ID,MATCH($C82,BAZA_EX,0)),"")</f>
        <v/>
      </c>
      <c r="M82" s="5" t="str">
        <f t="array" ref="M82">IFERROR(INDEX(BAZA_PART,MATCH($C82,BAZA_EX,0)),"")</f>
        <v/>
      </c>
      <c r="N82" s="5" t="str">
        <f t="array" ref="N82">IFERROR(INDEX(BAZA_KAT,MATCH($C82,BAZA_EX,0)),"")</f>
        <v/>
      </c>
      <c r="O82" s="5" t="str">
        <f t="array" ref="O82">IFERROR(INDEX(BAZA_COEFF,MATCH($C82,BAZA_EX,0)),"")</f>
        <v/>
      </c>
      <c r="P82" s="5" t="str">
        <f t="array" ref="P82">IFERROR(INDEX(BAZA_SKOK,MATCH($C82,BAZA_EX,0)),"")</f>
        <v/>
      </c>
      <c r="Q82" s="5" t="str">
        <f t="array" ref="Q82">IFERROR(INDEX(BAZA_PROG,MATCH($C82,BAZA_EX,0)),"")</f>
        <v/>
      </c>
      <c r="R82" s="5" t="str">
        <f>IF($C82="","",IF(SUMPRODUCT((START!$B$6:$B$69=$C82)*(START!$M$6:$M$69&gt;0))=0,"",SUMPRODUCT(MAX((START!$B$6:$B$69=$C82)*START!$M$6:$M$69))))</f>
        <v/>
      </c>
      <c r="S82" s="5" t="str">
        <f t="array" ref="S82">IFERROR(INDEX(TABELE!$B$4:$J$18,MATCH($E82,TABELE!$A$4:$A$18,0),MATCH($F82,TABELE!$B$3:$J$3,0)),"")</f>
        <v/>
      </c>
      <c r="T82" s="5">
        <f t="array" ref="T82">IFERROR(IF($C82="",0,$O82*$D82*INDEX(TABELE!$B$23:$P$33,MATCH($F82,TABELE!$A$23:$A$33,0),MATCH($E82,TABELE!$B$22:$P$22,0))),0)</f>
        <v>0</v>
      </c>
      <c r="U82" s="5">
        <f t="array" ref="U82">IFERROR(IF($C82="",0,$O82*$D82*INDEX(TABELE!$B$37:$P$47,MATCH($F82,TABELE!$A$37:$A$47,0),MATCH($E82,TABELE!$B$36:$P$36,0))),0)</f>
        <v>0</v>
      </c>
      <c r="V82" s="5">
        <f t="array" ref="V82">IFERROR(IF($C82="",0,$O82*$D82*INDEX(TABELE!$B$51:$P$61,MATCH($F82,TABELE!$A$51:$A$61,0),MATCH($E82,TABELE!$B$50:$P$50,0))),0)</f>
        <v>0</v>
      </c>
      <c r="W82" s="5" t="str">
        <f t="array" ref="W82">IFERROR(INDEX(BAZA_UWAGI,MATCH($C82,BAZA_EX,0)),"")</f>
        <v/>
      </c>
      <c r="X82" s="5" t="str">
        <f t="shared" si="21"/>
        <v/>
      </c>
      <c r="Y82" s="5" t="str">
        <f t="shared" si="24"/>
        <v>E</v>
      </c>
      <c r="Z82" s="5">
        <f t="shared" si="25"/>
        <v>5</v>
      </c>
      <c r="AA82" s="5" t="str">
        <f>IF($C82="","",IF(SUMPRODUCT((START!$B$6:$B$69=$C82)*(START!$M$6:$M$69&gt;0))=0,"",SUMPRODUCT(MAX((START!$B$6:$B$69=$C82)*START!$M$6:$M$69))))</f>
        <v/>
      </c>
      <c r="AB82" s="5" t="str">
        <f t="shared" si="22"/>
        <v/>
      </c>
      <c r="AC82" s="5">
        <f>MAX(0.85,MIN(1.15,1+0.05*(COUNTIF('T1'!$AB82,"za łatwe"))-0.05*(COUNTIF('T1'!$AB82,"za trudne"))))</f>
        <v>1</v>
      </c>
      <c r="AD82" s="5">
        <f t="shared" si="23"/>
        <v>0</v>
      </c>
    </row>
    <row r="83" ht="19.5" hidden="1" customHeight="1" outlineLevel="1">
      <c r="A83" s="43"/>
      <c r="B83" s="43"/>
      <c r="C83" s="44" t="s">
        <v>139</v>
      </c>
      <c r="D83" s="45">
        <f>SUMPRODUCT((C71:C82&lt;&gt;"")*D71:D82)+IF(AND($B$70="TOP SET",$C$70&lt;&gt;""),1,0)</f>
      </c>
      <c r="E83" s="46" t="str">
        <f>SUMPRODUCT((C71:C82&lt;&gt;"")*D71:D82*E71:E82)&amp;" powt."</f>
        <v>0 powt.</v>
      </c>
      <c r="F83" s="43"/>
      <c r="G83" s="47" t="str">
        <f>"stres t "&amp;TEXT(SUM(T71:T82),"0.0")</f>
        <v>stres t 0,0</v>
      </c>
      <c r="H83" s="48"/>
      <c r="I83" s="43"/>
      <c r="J83" s="43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21.75" customHeight="1">
      <c r="A85" s="49" t="s">
        <v>170</v>
      </c>
      <c r="B85" s="3"/>
      <c r="C85" s="3"/>
      <c r="D85" s="3"/>
      <c r="E85" s="3"/>
      <c r="F85" s="3"/>
      <c r="G85" s="3"/>
      <c r="H85" s="3"/>
      <c r="I85" s="3"/>
      <c r="J85" s="4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8.0" customHeight="1">
      <c r="A86" s="50"/>
      <c r="B86" s="51" t="s">
        <v>141</v>
      </c>
      <c r="C86" s="50"/>
      <c r="D86" s="51" t="s">
        <v>142</v>
      </c>
      <c r="E86" s="51" t="s">
        <v>143</v>
      </c>
      <c r="F86" s="51" t="s">
        <v>144</v>
      </c>
      <c r="G86" s="51" t="s">
        <v>145</v>
      </c>
      <c r="H86" s="51" t="s">
        <v>146</v>
      </c>
      <c r="I86" s="51" t="s">
        <v>147</v>
      </c>
      <c r="J86" s="50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9.5" customHeight="1">
      <c r="A87" s="52"/>
      <c r="B87" s="20" t="s">
        <v>148</v>
      </c>
      <c r="C87" s="53" t="str">
        <f t="shared" ref="C87:C91" si="26">IF(MAX($D$87:$D$91)=0,"",REPT("█",ROUND($D87/MAX($D$87:$D$91)*14,0))&amp;REPT("░",14-ROUND($D87/MAX($D$87:$D$91)*14,0)))</f>
        <v>░░░░░░░░░░░░░░</v>
      </c>
      <c r="D87" s="54">
        <f>SUMIF(M7:M18,$K87,T7:T18)+SUMIF(M23:M34,$K87,T23:T34)+SUMIF(M39:M50,$K87,T39:T50)+SUMIF(M55:M66,$K87,T55:T66)+SUMIF(M71:M82,$K87,T71:T82)</f>
        <v>0</v>
      </c>
      <c r="E87" s="55" t="str">
        <f t="shared" ref="E87:E91" si="27">IF(SUM($D$87:$D$91)=0,"",TEXT($D87/SUM($D$87:$D$91),"0%"))</f>
        <v>0%</v>
      </c>
      <c r="F87" s="33">
        <f>SUMIF(M7:M18,$K87,U7:U18)+SUMIF(M23:M34,$K87,U23:U34)+SUMIF(M39:M50,$K87,U39:U50)+SUMIF(M55:M66,$K87,U55:U66)+SUMIF(M71:M82,$K87,U71:U82)</f>
        <v>0</v>
      </c>
      <c r="G87" s="33">
        <f>SUMIF(M7:M18,$K87,V7:V18)+SUMIF(M23:M34,$K87,V23:V34)+SUMIF(M39:M50,$K87,V39:V50)+SUMIF(M55:M66,$K87,V55:V66)+SUMIF(M71:M82,$K87,V71:V82)</f>
        <v>0</v>
      </c>
      <c r="H87" s="56">
        <f t="shared" ref="H87:H91" si="28">SUMIF($M$7:$M$18,$K87,$D$7:$D$18)+SUMIF($M$23:$M$34,$K87,$D$23:$D$34)+SUMIF($M$39:$M$50,$K87,$D$39:$D$50)+SUMIF($M$55:$M$66,$K87,$D$55:$D$66)+SUMIF($M$71:$M$82,$K87,$D$71:$D$82)</f>
        <v>0</v>
      </c>
      <c r="I87" s="56">
        <f t="shared" ref="I87:I91" si="29">SUMPRODUCT(($M$7:$M$18=$K87)*$D$7:$D$18*$E$7:$E$18)+SUMPRODUCT(($M$23:$M$34=$K87)*$D$23:$D$34*$E$23:$E$34)+SUMPRODUCT(($M$39:$M$50=$K87)*$D$39:$D$50*$E$39:$E$50)+SUMPRODUCT(($M$55:$M$66=$K87)*$D$55:$D$66*$E$55:$E$66)+SUMPRODUCT(($M$71:$M$82=$K87)*$D$71:$D$82*$E$71:$E$82)</f>
        <v>0</v>
      </c>
      <c r="J87" s="52"/>
      <c r="K87" s="5" t="s">
        <v>149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9.5" customHeight="1">
      <c r="A88" s="52"/>
      <c r="B88" s="20" t="s">
        <v>150</v>
      </c>
      <c r="C88" s="53" t="str">
        <f t="shared" si="26"/>
        <v>░░░░░░░░░░░░░░</v>
      </c>
      <c r="D88" s="54">
        <f>SUMIF(M7:M18,$K88,T7:T18)+SUMIF(M23:M34,$K88,T23:T34)+SUMIF(M39:M50,$K88,T39:T50)+SUMIF(M55:M66,$K88,T55:T66)+SUMIF(M71:M82,$K88,T71:T82)</f>
        <v>0</v>
      </c>
      <c r="E88" s="55" t="str">
        <f t="shared" si="27"/>
        <v>0%</v>
      </c>
      <c r="F88" s="33">
        <f>SUMIF(M7:M18,$K88,U7:U18)+SUMIF(M23:M34,$K88,U23:U34)+SUMIF(M39:M50,$K88,U39:U50)+SUMIF(M55:M66,$K88,U55:U66)+SUMIF(M71:M82,$K88,U71:U82)</f>
        <v>0</v>
      </c>
      <c r="G88" s="33">
        <f>SUMIF(M7:M18,$K88,V7:V18)+SUMIF(M23:M34,$K88,V23:V34)+SUMIF(M39:M50,$K88,V39:V50)+SUMIF(M55:M66,$K88,V55:V66)+SUMIF(M71:M82,$K88,V71:V82)</f>
        <v>0</v>
      </c>
      <c r="H88" s="56">
        <f t="shared" si="28"/>
        <v>0</v>
      </c>
      <c r="I88" s="56">
        <f t="shared" si="29"/>
        <v>0</v>
      </c>
      <c r="J88" s="52"/>
      <c r="K88" s="5" t="s">
        <v>151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9.5" customHeight="1">
      <c r="A89" s="52"/>
      <c r="B89" s="20" t="s">
        <v>152</v>
      </c>
      <c r="C89" s="53" t="str">
        <f t="shared" si="26"/>
        <v>░░░░░░░░░░░░░░</v>
      </c>
      <c r="D89" s="54">
        <f>SUMIF(M7:M18,$K89,T7:T18)+SUMIF(M23:M34,$K89,T23:T34)+SUMIF(M39:M50,$K89,T39:T50)+SUMIF(M55:M66,$K89,T55:T66)+SUMIF(M71:M82,$K89,T71:T82)</f>
        <v>0</v>
      </c>
      <c r="E89" s="55" t="str">
        <f t="shared" si="27"/>
        <v>0%</v>
      </c>
      <c r="F89" s="33">
        <f>SUMIF(M7:M18,$K89,U7:U18)+SUMIF(M23:M34,$K89,U23:U34)+SUMIF(M39:M50,$K89,U39:U50)+SUMIF(M55:M66,$K89,U55:U66)+SUMIF(M71:M82,$K89,U71:U82)</f>
        <v>0</v>
      </c>
      <c r="G89" s="33">
        <f>SUMIF(M7:M18,$K89,V7:V18)+SUMIF(M23:M34,$K89,V23:V34)+SUMIF(M39:M50,$K89,V39:V50)+SUMIF(M55:M66,$K89,V55:V66)+SUMIF(M71:M82,$K89,V71:V82)</f>
        <v>0</v>
      </c>
      <c r="H89" s="56">
        <f t="shared" si="28"/>
        <v>0</v>
      </c>
      <c r="I89" s="56">
        <f t="shared" si="29"/>
        <v>0</v>
      </c>
      <c r="J89" s="52"/>
      <c r="K89" s="5" t="s">
        <v>153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9.5" customHeight="1">
      <c r="A90" s="52"/>
      <c r="B90" s="20" t="s">
        <v>154</v>
      </c>
      <c r="C90" s="53" t="str">
        <f t="shared" si="26"/>
        <v>░░░░░░░░░░░░░░</v>
      </c>
      <c r="D90" s="54">
        <f>SUMIF(M7:M18,$K90,T7:T18)+SUMIF(M23:M34,$K90,T23:T34)+SUMIF(M39:M50,$K90,T39:T50)+SUMIF(M55:M66,$K90,T55:T66)+SUMIF(M71:M82,$K90,T71:T82)</f>
        <v>0</v>
      </c>
      <c r="E90" s="55" t="str">
        <f t="shared" si="27"/>
        <v>0%</v>
      </c>
      <c r="F90" s="33">
        <f>SUMIF(M7:M18,$K90,U7:U18)+SUMIF(M23:M34,$K90,U23:U34)+SUMIF(M39:M50,$K90,U39:U50)+SUMIF(M55:M66,$K90,U55:U66)+SUMIF(M71:M82,$K90,U71:U82)</f>
        <v>0</v>
      </c>
      <c r="G90" s="33">
        <f>SUMIF(M7:M18,$K90,V7:V18)+SUMIF(M23:M34,$K90,V23:V34)+SUMIF(M39:M50,$K90,V39:V50)+SUMIF(M55:M66,$K90,V55:V66)+SUMIF(M71:M82,$K90,V71:V82)</f>
        <v>0</v>
      </c>
      <c r="H90" s="56">
        <f t="shared" si="28"/>
        <v>0</v>
      </c>
      <c r="I90" s="56">
        <f t="shared" si="29"/>
        <v>0</v>
      </c>
      <c r="J90" s="52"/>
      <c r="K90" s="5" t="s">
        <v>155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9.5" customHeight="1">
      <c r="A91" s="52"/>
      <c r="B91" s="20" t="s">
        <v>156</v>
      </c>
      <c r="C91" s="53" t="str">
        <f t="shared" si="26"/>
        <v>██████████████</v>
      </c>
      <c r="D91" s="54">
        <f>SUMIF(M7:M18,$K91,T7:T18)+SUMIF(M23:M34,$K91,T23:T34)+SUMIF(M39:M50,$K91,T39:T50)+SUMIF(M55:M66,$K91,T55:T66)+SUMIF(M71:M82,$K91,T71:T82)</f>
        <v>1.05</v>
      </c>
      <c r="E91" s="55" t="str">
        <f t="shared" si="27"/>
        <v>100%</v>
      </c>
      <c r="F91" s="33">
        <f>SUMIF(M7:M18,$K91,U7:U18)+SUMIF(M23:M34,$K91,U23:U34)+SUMIF(M39:M50,$K91,U39:U50)+SUMIF(M55:M66,$K91,U55:U66)+SUMIF(M71:M82,$K91,U71:U82)</f>
        <v>0.45</v>
      </c>
      <c r="G91" s="33">
        <f>SUMIF(M7:M18,$K91,V7:V18)+SUMIF(M23:M34,$K91,V23:V34)+SUMIF(M39:M50,$K91,V39:V50)+SUMIF(M55:M66,$K91,V55:V66)+SUMIF(M71:M82,$K91,V71:V82)</f>
        <v>1.65</v>
      </c>
      <c r="H91" s="56">
        <f t="shared" si="28"/>
        <v>3</v>
      </c>
      <c r="I91" s="56">
        <f t="shared" si="29"/>
        <v>33</v>
      </c>
      <c r="J91" s="52"/>
      <c r="K91" s="5" t="s">
        <v>157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2"/>
      <c r="B92" s="57" t="s">
        <v>158</v>
      </c>
      <c r="C92" s="52"/>
      <c r="D92" s="58">
        <f>$D$87+$D$88</f>
        <v>0</v>
      </c>
      <c r="E92" s="18" t="str">
        <f t="shared" ref="E92:E93" si="30">IF(($D92+$N92)=0,"",TEXT($D92/($D92+$N92),"0%")&amp;" / "&amp;TEXT($N92/($D92+$N92),"0%"))</f>
        <v/>
      </c>
      <c r="F92" s="52"/>
      <c r="G92" s="52"/>
      <c r="H92" s="52"/>
      <c r="I92" s="52"/>
      <c r="J92" s="52"/>
      <c r="K92" s="5"/>
      <c r="L92" s="5"/>
      <c r="M92" s="5"/>
      <c r="N92" s="59">
        <f>$D$89+$D$90</f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2"/>
      <c r="B93" s="57" t="s">
        <v>159</v>
      </c>
      <c r="C93" s="52"/>
      <c r="D93" s="58">
        <f>SUM($F$87:$F$91)</f>
        <v>0.45</v>
      </c>
      <c r="E93" s="18" t="str">
        <f t="shared" si="30"/>
        <v>21% / 79%</v>
      </c>
      <c r="F93" s="52"/>
      <c r="G93" s="52"/>
      <c r="H93" s="52"/>
      <c r="I93" s="52"/>
      <c r="J93" s="52"/>
      <c r="K93" s="5"/>
      <c r="L93" s="5"/>
      <c r="M93" s="5"/>
      <c r="N93" s="59">
        <f>SUM($G$87:$G$91)</f>
        <v>1.65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21.75" customHeight="1">
      <c r="A94" s="29"/>
      <c r="B94" s="60" t="s">
        <v>160</v>
      </c>
      <c r="C94" s="29"/>
      <c r="D94" s="61">
        <f>SUM($D$87:$D$91)</f>
        <v>1.05</v>
      </c>
      <c r="E94" s="29"/>
      <c r="F94" s="29"/>
      <c r="G94" s="29"/>
      <c r="H94" s="62">
        <f>SUM($H$87:$H$91)</f>
        <v>3</v>
      </c>
      <c r="I94" s="62">
        <f>SUM($I$87:$I$91)</f>
        <v>33</v>
      </c>
      <c r="J94" s="29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21.75" hidden="1" customHeight="1" outlineLevel="1">
      <c r="A96" s="49" t="s">
        <v>171</v>
      </c>
      <c r="B96" s="3"/>
      <c r="C96" s="3"/>
      <c r="D96" s="3"/>
      <c r="E96" s="3"/>
      <c r="F96" s="3"/>
      <c r="G96" s="3"/>
      <c r="H96" s="3"/>
      <c r="I96" s="3"/>
      <c r="J96" s="4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25.5" hidden="1" customHeight="1" outlineLevel="1">
      <c r="A97" s="5"/>
      <c r="B97" s="10" t="s">
        <v>162</v>
      </c>
      <c r="C97" s="63" t="str">
        <f>IF(ODDECH!$B$5="","— wpisz wynik TWOT w zakładce ODDECH",ODDECH!$B$8)</f>
        <v>— wpisz wynik TWOT w zakładce ODDECH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25.5" hidden="1" customHeight="1" outlineLevel="1">
      <c r="A98" s="5"/>
      <c r="B98" s="10" t="s">
        <v>163</v>
      </c>
      <c r="C98" s="63" t="str">
        <f>IF(ODDECH!$B$5="","",ODDECH!$B$9)</f>
        <v/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25.5" hidden="1" customHeight="1" outlineLevel="1">
      <c r="A99" s="5"/>
      <c r="B99" s="10" t="s">
        <v>164</v>
      </c>
      <c r="C99" s="63" t="str">
        <f>IF(ODDECH!$B$5="","",ODDECH!$B$10)</f>
        <v/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25.5" hidden="1" customHeight="1" outlineLevel="1">
      <c r="A100" s="5"/>
      <c r="B100" s="10" t="s">
        <v>165</v>
      </c>
      <c r="C100" s="63" t="str">
        <f>IF(ODDECH!$B$5="","",ODDECH!$B$11)</f>
        <v/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25.5" hidden="1" customHeight="1" outlineLevel="1">
      <c r="A101" s="5"/>
      <c r="B101" s="10" t="s">
        <v>166</v>
      </c>
      <c r="C101" s="63" t="str">
        <f>IF(ODDECH!$B$5="","",ODDECH!$B$12)</f>
        <v/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33.75" hidden="1" customHeight="1" outlineLevel="1">
      <c r="A102" s="5"/>
      <c r="B102" s="10" t="s">
        <v>167</v>
      </c>
      <c r="C102" s="63" t="str">
        <f>IF(ODDECH!$B$5="","",ODDECH!$A$14)</f>
        <v/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21.75" hidden="1" customHeight="1" outlineLevel="1">
      <c r="A104" s="49" t="s">
        <v>173</v>
      </c>
      <c r="B104" s="3"/>
      <c r="C104" s="3"/>
      <c r="D104" s="3"/>
      <c r="E104" s="3"/>
      <c r="F104" s="3"/>
      <c r="G104" s="3"/>
      <c r="H104" s="3"/>
      <c r="I104" s="3"/>
      <c r="J104" s="4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25.5" hidden="1" customHeight="1" outlineLevel="1">
      <c r="A105" s="5"/>
      <c r="B105" s="10" t="s">
        <v>169</v>
      </c>
      <c r="C105" s="63" t="str">
        <f>IF(OR(BIEG!$B$7="",BIEG!$B$8=""),"— uzupełnij dane w zakładce BIEG","łącznie "&amp;TEXT(SUM(BIEG!$O$37:$O$41),"0.0")&amp;" km  ·  "&amp;SUM(BIEG!$N$37:$N$41)&amp;" min")</f>
        <v>— uzupełnij dane w zakładce BIEG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25.5" hidden="1" customHeight="1" outlineLevel="1">
      <c r="A106" s="5"/>
      <c r="B106" s="10" t="str">
        <f>IF(N(BIEG!$B$9)&gt;=1,"jednostka 1","")</f>
        <v/>
      </c>
      <c r="C106" s="63" t="str">
        <f>IF(OR(BIEG!$B$7="",BIEG!$B$8=""),"",BIEG!$I$37)</f>
        <v/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25.5" hidden="1" customHeight="1" outlineLevel="1">
      <c r="A107" s="5"/>
      <c r="B107" s="10" t="str">
        <f>IF(N(BIEG!$B$9)&gt;=2,"jednostka 2","")</f>
        <v/>
      </c>
      <c r="C107" s="63" t="str">
        <f>IF(OR(BIEG!$B$7="",BIEG!$B$8=""),"",BIEG!$I$38)</f>
        <v/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25.5" hidden="1" customHeight="1" outlineLevel="1">
      <c r="A108" s="5"/>
      <c r="B108" s="10" t="str">
        <f>IF(N(BIEG!$B$9)&gt;=3,"jednostka 3","")</f>
        <v/>
      </c>
      <c r="C108" s="63" t="str">
        <f>IF(OR(BIEG!$B$7="",BIEG!$B$8=""),"",BIEG!$I$39)</f>
        <v/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25.5" hidden="1" customHeight="1" outlineLevel="1">
      <c r="A109" s="5"/>
      <c r="B109" s="10" t="str">
        <f>IF(N(BIEG!$B$9)&gt;=4,"jednostka 4","")</f>
        <v/>
      </c>
      <c r="C109" s="63" t="str">
        <f>IF(OR(BIEG!$B$7="",BIEG!$B$8=""),"",BIEG!$I$40)</f>
        <v/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25.5" hidden="1" customHeight="1" outlineLevel="1">
      <c r="A110" s="5"/>
      <c r="B110" s="10" t="str">
        <f>IF(N(BIEG!$B$9)&gt;=5,"jednostka 5","")</f>
        <v/>
      </c>
      <c r="C110" s="63" t="str">
        <f>IF(OR(BIEG!$B$7="",BIEG!$B$8=""),"",BIEG!$I$41)</f>
        <v/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J1"/>
    <mergeCell ref="A5:J5"/>
    <mergeCell ref="A21:J21"/>
    <mergeCell ref="A37:J37"/>
    <mergeCell ref="A53:J53"/>
    <mergeCell ref="A69:J69"/>
    <mergeCell ref="A85:J85"/>
    <mergeCell ref="A104:J104"/>
    <mergeCell ref="C105:J105"/>
    <mergeCell ref="C106:J106"/>
    <mergeCell ref="C107:J107"/>
    <mergeCell ref="C108:J108"/>
    <mergeCell ref="C109:J109"/>
    <mergeCell ref="C110:J110"/>
    <mergeCell ref="A96:J96"/>
    <mergeCell ref="C97:J97"/>
    <mergeCell ref="C98:J98"/>
    <mergeCell ref="C99:J99"/>
    <mergeCell ref="C100:J100"/>
    <mergeCell ref="C101:J101"/>
    <mergeCell ref="C102:J102"/>
  </mergeCells>
  <conditionalFormatting sqref="A7:J18">
    <cfRule type="expression" dxfId="2" priority="1">
      <formula>AND($A7&lt;&gt;"",N($X7)&lt;&gt;N($X6))</formula>
    </cfRule>
  </conditionalFormatting>
  <conditionalFormatting sqref="A7:J18">
    <cfRule type="expression" dxfId="3" priority="2">
      <formula>AND($A7&lt;&gt;"",MOD(N($X7),2)=0)</formula>
    </cfRule>
  </conditionalFormatting>
  <conditionalFormatting sqref="C7:C18">
    <cfRule type="expression" dxfId="4" priority="3">
      <formula>AND($C7&lt;&gt;"",$J7&lt;&gt;"",$N7&lt;&gt;$J7)</formula>
    </cfRule>
  </conditionalFormatting>
  <conditionalFormatting sqref="A23:J34">
    <cfRule type="expression" dxfId="2" priority="4">
      <formula>AND($A23&lt;&gt;"",N($X23)&lt;&gt;N($X22))</formula>
    </cfRule>
  </conditionalFormatting>
  <conditionalFormatting sqref="A23:J34">
    <cfRule type="expression" dxfId="3" priority="5">
      <formula>AND($A23&lt;&gt;"",MOD(N($X23),2)=0)</formula>
    </cfRule>
  </conditionalFormatting>
  <conditionalFormatting sqref="C23:C34">
    <cfRule type="expression" dxfId="4" priority="6">
      <formula>AND($C23&lt;&gt;"",$J23&lt;&gt;"",$N23&lt;&gt;$J23)</formula>
    </cfRule>
  </conditionalFormatting>
  <conditionalFormatting sqref="A39:J50">
    <cfRule type="expression" dxfId="2" priority="7">
      <formula>AND($A39&lt;&gt;"",N($X39)&lt;&gt;N($X38))</formula>
    </cfRule>
  </conditionalFormatting>
  <conditionalFormatting sqref="A39:J50">
    <cfRule type="expression" dxfId="3" priority="8">
      <formula>AND($A39&lt;&gt;"",MOD(N($X39),2)=0)</formula>
    </cfRule>
  </conditionalFormatting>
  <conditionalFormatting sqref="C39:C50">
    <cfRule type="expression" dxfId="4" priority="9">
      <formula>AND($C39&lt;&gt;"",$J39&lt;&gt;"",$N39&lt;&gt;$J39)</formula>
    </cfRule>
  </conditionalFormatting>
  <conditionalFormatting sqref="G6:G18">
    <cfRule type="expression" dxfId="0" priority="10">
      <formula>$G6="— ustaw ręcznie"</formula>
    </cfRule>
  </conditionalFormatting>
  <conditionalFormatting sqref="G22:G34">
    <cfRule type="expression" dxfId="0" priority="11">
      <formula>$G22="— ustaw ręcznie"</formula>
    </cfRule>
  </conditionalFormatting>
  <conditionalFormatting sqref="G38:G50">
    <cfRule type="expression" dxfId="0" priority="12">
      <formula>$G38="— ustaw ręcznie"</formula>
    </cfRule>
  </conditionalFormatting>
  <conditionalFormatting sqref="A55:J66">
    <cfRule type="expression" dxfId="3" priority="13">
      <formula>AND($A55&lt;&gt;"",MOD(N($X55),2)=0)</formula>
    </cfRule>
  </conditionalFormatting>
  <conditionalFormatting sqref="C55:C66">
    <cfRule type="expression" dxfId="5" priority="14">
      <formula>AND($C55&lt;&gt;"",$J55&lt;&gt;"",$N55&lt;&gt;$J55)</formula>
    </cfRule>
  </conditionalFormatting>
  <conditionalFormatting sqref="G54:G66">
    <cfRule type="expression" dxfId="0" priority="15">
      <formula>$G54="— ustaw ręcznie"</formula>
    </cfRule>
  </conditionalFormatting>
  <conditionalFormatting sqref="A71:J82">
    <cfRule type="expression" dxfId="3" priority="16">
      <formula>AND($A71&lt;&gt;"",MOD(N($X71),2)=0)</formula>
    </cfRule>
  </conditionalFormatting>
  <conditionalFormatting sqref="C71:C82">
    <cfRule type="expression" dxfId="5" priority="17">
      <formula>AND($C71&lt;&gt;"",$J71&lt;&gt;"",$N71&lt;&gt;$J71)</formula>
    </cfRule>
  </conditionalFormatting>
  <conditionalFormatting sqref="G70:G82">
    <cfRule type="expression" dxfId="0" priority="18">
      <formula>$G70="— ustaw ręcznie"</formula>
    </cfRule>
  </conditionalFormatting>
  <conditionalFormatting sqref="E7:E18">
    <cfRule type="expression" dxfId="6" priority="19">
      <formula>AND($C7&lt;&gt;"",N($E7)&gt;15)</formula>
    </cfRule>
  </conditionalFormatting>
  <conditionalFormatting sqref="E23:E34">
    <cfRule type="expression" dxfId="6" priority="20">
      <formula>AND($C23&lt;&gt;"",N($E23)&gt;15)</formula>
    </cfRule>
  </conditionalFormatting>
  <conditionalFormatting sqref="E39:E50">
    <cfRule type="expression" dxfId="6" priority="21">
      <formula>AND($C39&lt;&gt;"",N($E39)&gt;15)</formula>
    </cfRule>
  </conditionalFormatting>
  <conditionalFormatting sqref="E55:E66">
    <cfRule type="expression" dxfId="6" priority="22">
      <formula>AND($C55&lt;&gt;"",N($E55)&gt;15)</formula>
    </cfRule>
  </conditionalFormatting>
  <conditionalFormatting sqref="E71:E82">
    <cfRule type="expression" dxfId="6" priority="23">
      <formula>AND($C71&lt;&gt;"",N($E71)&gt;15)</formula>
    </cfRule>
  </conditionalFormatting>
  <dataValidations>
    <dataValidation type="list" allowBlank="1" sqref="C75">
      <formula1>LISTY!$C$75:$GT$75</formula1>
    </dataValidation>
    <dataValidation type="list" allowBlank="1" sqref="C41">
      <formula1>LISTY!$C$41:$GT$41</formula1>
    </dataValidation>
    <dataValidation type="list" allowBlank="1" sqref="C32">
      <formula1>LISTY!$C$32:$GT$32</formula1>
    </dataValidation>
    <dataValidation type="list" allowBlank="1" sqref="C12">
      <formula1>LISTY!$C$12:$GT$12</formula1>
    </dataValidation>
    <dataValidation type="list" allowBlank="1" sqref="C17">
      <formula1>LISTY!$C$17:$GT$17</formula1>
    </dataValidation>
    <dataValidation type="list" allowBlank="1" sqref="C61">
      <formula1>LISTY!$C$61:$GT$61</formula1>
    </dataValidation>
    <dataValidation type="list" allowBlank="1" sqref="C55">
      <formula1>LISTY!$C$55:$GT$55</formula1>
    </dataValidation>
    <dataValidation type="list" allowBlank="1" sqref="C57">
      <formula1>LISTY!$C$57:$GT$57</formula1>
    </dataValidation>
    <dataValidation type="list" allowBlank="1" sqref="C26">
      <formula1>LISTY!$C$26:$GT$26</formula1>
    </dataValidation>
    <dataValidation type="list" allowBlank="1" sqref="C23">
      <formula1>LISTY!$C$23:$GT$23</formula1>
    </dataValidation>
    <dataValidation type="list" allowBlank="1" sqref="C66">
      <formula1>LISTY!$C$66:$GT$66</formula1>
    </dataValidation>
    <dataValidation type="list" allowBlank="1" sqref="C46">
      <formula1>LISTY!$C$46:$GT$46</formula1>
    </dataValidation>
    <dataValidation type="list" allowBlank="1" sqref="C72">
      <formula1>LISTY!$C$72:$GT$72</formula1>
    </dataValidation>
    <dataValidation type="list" allowBlank="1" sqref="C34">
      <formula1>LISTY!$C$34:$GT$34</formula1>
    </dataValidation>
    <dataValidation type="list" allowBlank="1" sqref="C25">
      <formula1>LISTY!$C$25:$GT$25</formula1>
    </dataValidation>
    <dataValidation type="list" allowBlank="1" sqref="C59">
      <formula1>LISTY!$C$59:$GT$59</formula1>
    </dataValidation>
    <dataValidation type="list" allowBlank="1" sqref="C77">
      <formula1>LISTY!$C$77:$GT$77</formula1>
    </dataValidation>
    <dataValidation type="list" allowBlank="1" sqref="C43">
      <formula1>LISTY!$C$43:$GT$43</formula1>
    </dataValidation>
    <dataValidation type="list" allowBlank="1" sqref="C39">
      <formula1>LISTY!$C$39:$GT$39</formula1>
    </dataValidation>
    <dataValidation type="list" allowBlank="1" sqref="C63">
      <formula1>LISTY!$C$63:$GT$63</formula1>
    </dataValidation>
    <dataValidation type="list" allowBlank="1" sqref="C45">
      <formula1>LISTY!$C$45:$GT$45</formula1>
    </dataValidation>
    <dataValidation type="list" allowBlank="1" sqref="C40">
      <formula1>LISTY!$C$40:$GT$40</formula1>
    </dataValidation>
    <dataValidation type="list" allowBlank="1" sqref="C11">
      <formula1>LISTY!$C$11:$GT$11</formula1>
    </dataValidation>
    <dataValidation type="list" allowBlank="1" sqref="C14">
      <formula1>LISTY!$C$14:$GT$14</formula1>
    </dataValidation>
    <dataValidation type="list" allowBlank="1" sqref="C80">
      <formula1>LISTY!$C$80:$GT$80</formula1>
    </dataValidation>
    <dataValidation type="list" allowBlank="1" sqref="H6:H18 H22:H34 H38:H50 H54:H66 H70:H82">
      <formula1>"OK,za łatwe,za trudne"</formula1>
    </dataValidation>
    <dataValidation type="list" allowBlank="1" sqref="C28">
      <formula1>LISTY!$C$28:$GT$28</formula1>
    </dataValidation>
    <dataValidation type="list" allowBlank="1" sqref="C74">
      <formula1>LISTY!$C$74:$GT$74</formula1>
    </dataValidation>
    <dataValidation type="list" allowBlank="1" sqref="H19 H35 H51 H67 H83">
      <formula1>"✓ ukończony"</formula1>
    </dataValidation>
    <dataValidation type="list" allowBlank="1" sqref="C60">
      <formula1>LISTY!$C$60:$GT$60</formula1>
    </dataValidation>
    <dataValidation type="list" allowBlank="1" sqref="C48">
      <formula1>LISTY!$C$48:$GT$48</formula1>
    </dataValidation>
    <dataValidation type="list" allowBlank="1" sqref="C27">
      <formula1>LISTY!$C$27:$GT$27</formula1>
    </dataValidation>
    <dataValidation type="list" allowBlank="1" sqref="C13">
      <formula1>LISTY!$C$13:$GT$13</formula1>
    </dataValidation>
    <dataValidation type="list" allowBlank="1" sqref="C31">
      <formula1>LISTY!$C$31:$GT$31</formula1>
    </dataValidation>
    <dataValidation type="list" allowBlank="1" sqref="C47">
      <formula1>LISTY!$C$47:$GT$47</formula1>
    </dataValidation>
    <dataValidation type="list" allowBlank="1" sqref="C65">
      <formula1>LISTY!$C$65:$GT$65</formula1>
    </dataValidation>
    <dataValidation type="list" allowBlank="1" sqref="C71">
      <formula1>LISTY!$C$71:$GT$71</formula1>
    </dataValidation>
    <dataValidation type="list" allowBlank="1" sqref="C7">
      <formula1>LISTY!$C$7:$GT$7</formula1>
    </dataValidation>
    <dataValidation type="list" allowBlank="1" sqref="C33">
      <formula1>LISTY!$C$33:$GT$33</formula1>
    </dataValidation>
    <dataValidation type="list" allowBlank="1" sqref="C76">
      <formula1>LISTY!$C$76:$GT$76</formula1>
    </dataValidation>
    <dataValidation type="list" allowBlank="1" sqref="C79">
      <formula1>LISTY!$C$79:$GT$79</formula1>
    </dataValidation>
    <dataValidation type="list" allowBlank="1" sqref="C16">
      <formula1>LISTY!$C$16:$GT$16</formula1>
    </dataValidation>
    <dataValidation type="list" allowBlank="1" sqref="C42">
      <formula1>LISTY!$C$42:$GT$42</formula1>
    </dataValidation>
    <dataValidation type="list" allowBlank="1" sqref="C62">
      <formula1>LISTY!$C$62:$GT$62</formula1>
    </dataValidation>
    <dataValidation type="list" allowBlank="1" sqref="C56">
      <formula1>LISTY!$C$56:$GT$56</formula1>
    </dataValidation>
    <dataValidation type="list" allowBlank="1" sqref="C15">
      <formula1>LISTY!$C$15:$GT$15</formula1>
    </dataValidation>
    <dataValidation type="list" allowBlank="1" sqref="C10">
      <formula1>LISTY!$C$10:$GT$10</formula1>
    </dataValidation>
    <dataValidation type="list" allowBlank="1" sqref="C82">
      <formula1>LISTY!$C$82:$GT$82</formula1>
    </dataValidation>
    <dataValidation type="list" allowBlank="1" sqref="C9">
      <formula1>LISTY!$C$9:$GT$9</formula1>
    </dataValidation>
    <dataValidation type="list" allowBlank="1" sqref="C29">
      <formula1>LISTY!$C$29:$GT$29</formula1>
    </dataValidation>
    <dataValidation type="list" allowBlank="1" sqref="C73">
      <formula1>LISTY!$C$73:$GT$73</formula1>
    </dataValidation>
    <dataValidation type="list" allowBlank="1" sqref="C81">
      <formula1>LISTY!$C$81:$GT$81</formula1>
    </dataValidation>
    <dataValidation type="list" allowBlank="1" sqref="C49">
      <formula1>LISTY!$C$49:$GT$49</formula1>
    </dataValidation>
    <dataValidation type="list" allowBlank="1" sqref="C30">
      <formula1>LISTY!$C$30:$GT$30</formula1>
    </dataValidation>
    <dataValidation type="list" allowBlank="1" sqref="J7:J18 J23:J34 J39:J50 J55:J66 J71:J82">
      <formula1>"Lower push,Lower pull,Upper push horizontal,Upper push vertical,Upper pull horizontal,Upper pull vertical,Core,Bicep,Tricep"</formula1>
    </dataValidation>
    <dataValidation type="list" allowBlank="1" sqref="C8">
      <formula1>LISTY!$C$8:$GT$8</formula1>
    </dataValidation>
    <dataValidation type="list" allowBlank="1" sqref="C24">
      <formula1>LISTY!$C$24:$GT$24</formula1>
    </dataValidation>
    <dataValidation type="list" allowBlank="1" sqref="C18">
      <formula1>LISTY!$C$18:$GT$18</formula1>
    </dataValidation>
    <dataValidation type="list" allowBlank="1" sqref="C50">
      <formula1>LISTY!$C$50:$GT$50</formula1>
    </dataValidation>
    <dataValidation type="list" allowBlank="1" sqref="C78">
      <formula1>LISTY!$C$78:$GT$78</formula1>
    </dataValidation>
    <dataValidation type="list" allowBlank="1" sqref="C44">
      <formula1>LISTY!$C$44:$GT$44</formula1>
    </dataValidation>
    <dataValidation type="list" allowBlank="1" sqref="C58">
      <formula1>LISTY!$C$58:$GT$58</formula1>
    </dataValidation>
    <dataValidation type="list" allowBlank="1" sqref="C64">
      <formula1>LISTY!$C$64:$GT$64</formula1>
    </dataValidation>
  </dataValidations>
  <printOptions/>
  <pageMargins bottom="1.0" footer="0.0" header="0.0" left="0.75" right="0.75" top="1.0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6B78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2"/>
  <cols>
    <col customWidth="1" min="1" max="1" width="7.0"/>
    <col customWidth="1" min="2" max="2" width="16.0"/>
    <col customWidth="1" min="3" max="3" width="32.0"/>
    <col customWidth="1" min="4" max="4" width="7.0"/>
    <col customWidth="1" min="5" max="5" width="13.0"/>
    <col customWidth="1" min="6" max="6" width="6.0"/>
    <col customWidth="1" min="7" max="7" width="12.0"/>
    <col customWidth="1" min="8" max="8" width="5.0"/>
    <col customWidth="1" min="9" max="9" width="7.0"/>
    <col customWidth="1" hidden="1" min="10" max="10" width="17.0"/>
    <col customWidth="1" hidden="1" min="11" max="26" width="11.0"/>
    <col customWidth="1" hidden="1" min="27" max="27" width="13.0"/>
  </cols>
  <sheetData>
    <row r="1" ht="30.0" customHeight="1">
      <c r="A1" s="2" t="s">
        <v>111</v>
      </c>
      <c r="B1" s="3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9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9.5" customHeight="1">
      <c r="A4" s="13" t="s">
        <v>8</v>
      </c>
      <c r="B4" s="13"/>
      <c r="C4" s="13" t="s">
        <v>10</v>
      </c>
      <c r="D4" s="13" t="s">
        <v>11</v>
      </c>
      <c r="E4" s="13" t="s">
        <v>12</v>
      </c>
      <c r="F4" s="13" t="s">
        <v>13</v>
      </c>
      <c r="G4" s="13" t="s">
        <v>14</v>
      </c>
      <c r="H4" s="13" t="s">
        <v>15</v>
      </c>
      <c r="I4" s="13" t="s">
        <v>17</v>
      </c>
      <c r="J4" s="14" t="s">
        <v>18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 t="s">
        <v>25</v>
      </c>
    </row>
    <row r="5" ht="25.5" customHeight="1" outlineLevel="1">
      <c r="A5" s="15" t="s">
        <v>23</v>
      </c>
      <c r="B5" s="3"/>
      <c r="C5" s="3"/>
      <c r="D5" s="3"/>
      <c r="E5" s="3"/>
      <c r="F5" s="3"/>
      <c r="G5" s="3"/>
      <c r="H5" s="3"/>
      <c r="I5" s="3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33.75" customHeight="1" outlineLevel="2">
      <c r="A6" s="17" t="str">
        <f>IF($B6="TOP SET","▲","")</f>
        <v>▲</v>
      </c>
      <c r="B6" s="19" t="str">
        <f>IF('T1'!$B6="TOP SET","TOP SET","—")</f>
        <v>TOP SET</v>
      </c>
      <c r="C6" s="22" t="str">
        <f>IF(OR($B6&lt;&gt;"TOP SET",$F6=""),"",IF(N($K6)=0,"",IF(INDEX($C$7:$C$18,$K6)="","",INDEX($C$7:$C$18,$K6))))</f>
      </c>
      <c r="D6" s="23">
        <f>IF(AND($B6="TOP SET",$F6&lt;&gt;""),1,"")</f>
      </c>
      <c r="E6" s="24" t="str">
        <f>IF(AND($B6="TOP SET",$F6&lt;&gt;""),"1 powtórzenie","")</f>
      </c>
      <c r="F6" s="25">
        <v>6.5</v>
      </c>
      <c r="G6" s="27" t="str">
        <f t="array" ref="G6">IF($B6&lt;&gt;"TOP SET","",IF($C6="","",IF(OR($Q6="masa ciała",$Q6="czas",$Q6="dystans",$Q6="ręczne ustawienie"),"—",IF($C6='T1'!$C6,IF(OR($R6="",$R6=0),"— brak 1RM",MROUND($R6*IFERROR(INDEX(TABELE!$B$4:$J$18,MATCH(1,TABELE!$A$4:$A$18,0),MATCH($F6,TABELE!$B$3:$J$3,0)),0)/100,MAX($P6,0.5))),IF(OR($AA6="",$AA6=0),"— ustaw ręcznie",MROUND($AA6*IFERROR(INDEX(TABELE!$B$4:$J$18,MATCH(1,TABELE!$A$4:$A$18,0),MATCH($F6,TABELE!$B$3:$J$3,0)),0)/100,MAX($P6,0.5)))))))</f>
      </c>
      <c r="H6" s="28"/>
      <c r="I6" s="29"/>
      <c r="J6" s="29"/>
      <c r="K6" s="5">
        <f>IFERROR(MATCH("A*",$A$7:$A$18,0),0)</f>
      </c>
      <c r="L6" s="5"/>
      <c r="M6" s="5"/>
      <c r="N6" s="5"/>
      <c r="O6" s="5"/>
      <c r="P6" s="5">
        <f>IF(N($K6)=0,"",INDEX($P$7:$P$18,$K6))</f>
      </c>
      <c r="Q6" s="5">
        <f>IF(N($K6)=0,"",INDEX($Q$7:$Q$18,$K6))</f>
      </c>
      <c r="R6" s="5">
        <f>IF(N($K6)=0,"",INDEX($R$7:$R$18,$K6))</f>
      </c>
      <c r="S6" s="5"/>
      <c r="T6" s="5"/>
      <c r="U6" s="5"/>
      <c r="V6" s="5"/>
      <c r="W6" s="5"/>
      <c r="X6" s="5"/>
      <c r="Y6" s="5"/>
      <c r="Z6" s="5"/>
      <c r="AA6" s="5">
        <f>IF(N($K6)=0,"",INDEX($AA$7:$AA$18,$K6))</f>
      </c>
    </row>
    <row r="7" ht="25.5" customHeight="1" outlineLevel="1">
      <c r="A7" s="18" t="str">
        <f>IF('T1'!$A7="","",'T1'!$A7)</f>
        <v>A1.</v>
      </c>
      <c r="B7" s="30"/>
      <c r="C7" s="31" t="str">
        <f>IF('T1'!$C7="","",'T1'!$C7)</f>
        <v/>
      </c>
      <c r="D7" s="32">
        <v>5.0</v>
      </c>
      <c r="E7" s="32">
        <v>5.0</v>
      </c>
      <c r="F7" s="33">
        <v>7.0</v>
      </c>
      <c r="G7" s="34" t="str">
        <f>IF($C7="","",IF(OR($Q7="masa ciała",$Q7="czas",$Q7="dystans",$Q7="ręczne ustawienie"),$Q7,IF($C7='T1'!$C7,IF(AND(LEFT($A7,1)&lt;&gt;"A",PRZEL_AKCESORIA="trzymaj z bloku"),IF(NOT(ISNUMBER('T1'!$G7)),'T1'!$G7,MROUND('T1'!$G7*$AC7/(MAX('T1'!$AC7,0.0001)),MAX($P7,0.5))),IF(OR($R7="",$R7=0),"— brak 1RM",MROUND($R7*$S7/100*$AC7,MAX($P7,0.5)))),IF(OR($AA7="",$AA7=0),"— ustaw ręcznie",MROUND($AA7*$S7/100*$AC7,MAX($P7,0.5))))))</f>
        <v/>
      </c>
      <c r="H7" s="35"/>
      <c r="I7" s="36" t="str">
        <f t="array" ref="I7">IFERROR(IF(IFERROR(INDEX(BAZA_FILM,MATCH($C7,BAZA_EX,0)),"")="","",HYPERLINK(IFERROR(INDEX(BAZA_FILM,MATCH($C7,BAZA_EX,0)),""),"film")),"")</f>
        <v/>
      </c>
      <c r="J7" s="37" t="str">
        <f>IF('T1'!$J7="","",'T1'!$J7)</f>
        <v/>
      </c>
      <c r="K7" s="5" t="s">
        <v>33</v>
      </c>
      <c r="L7" s="5" t="str">
        <f t="array" ref="L7">IFERROR(INDEX(BAZA_ID,MATCH($C7,BAZA_EX,0)),"")</f>
        <v/>
      </c>
      <c r="M7" s="5" t="str">
        <f t="array" ref="M7">IFERROR(INDEX(BAZA_PART,MATCH($C7,BAZA_EX,0)),"")</f>
        <v/>
      </c>
      <c r="N7" s="5" t="str">
        <f t="array" ref="N7">IFERROR(INDEX(BAZA_KAT,MATCH($C7,BAZA_EX,0)),"")</f>
        <v/>
      </c>
      <c r="O7" s="5" t="str">
        <f t="array" ref="O7">IFERROR(INDEX(BAZA_COEFF,MATCH($C7,BAZA_EX,0)),"")</f>
        <v/>
      </c>
      <c r="P7" s="5" t="str">
        <f t="array" ref="P7">IFERROR(INDEX(BAZA_SKOK,MATCH($C7,BAZA_EX,0)),"")</f>
        <v/>
      </c>
      <c r="Q7" s="5" t="str">
        <f t="array" ref="Q7">IFERROR(INDEX(BAZA_PROG,MATCH($C7,BAZA_EX,0)),"")</f>
        <v/>
      </c>
      <c r="R7" s="5" t="str">
        <f>IF($C7="","",IF(SUMPRODUCT((START!$B$6:$B$69=$C7)*(START!$M$6:$M$69&gt;0))=0,"",SUMPRODUCT(MAX((START!$B$6:$B$69=$C7)*START!$M$6:$M$69))))</f>
        <v/>
      </c>
      <c r="S7" s="5">
        <f t="array" ref="S7">IFERROR(INDEX(TABELE!$B$4:$J$18,MATCH($E7,TABELE!$A$4:$A$18,0),MATCH($F7,TABELE!$B$3:$J$3,0)),"")</f>
        <v>74.5</v>
      </c>
      <c r="T7" s="5">
        <f t="array" ref="T7">IFERROR(IF($C7="",0,$O7*$D7*INDEX(TABELE!$B$23:$P$33,MATCH($F7,TABELE!$A$23:$A$33,0),MATCH($E7,TABELE!$B$22:$P$22,0))),0)</f>
        <v>0</v>
      </c>
      <c r="U7" s="5">
        <f t="array" ref="U7">IFERROR(IF($C7="",0,$O7*$D7*INDEX(TABELE!$B$37:$P$47,MATCH($F7,TABELE!$A$37:$A$47,0),MATCH($E7,TABELE!$B$36:$P$36,0))),0)</f>
        <v>0</v>
      </c>
      <c r="V7" s="5">
        <f t="array" ref="V7">IFERROR(IF($C7="",0,$O7*$D7*INDEX(TABELE!$B$51:$P$61,MATCH($F7,TABELE!$A$51:$A$61,0),MATCH($E7,TABELE!$B$50:$P$50,0))),0)</f>
        <v>0</v>
      </c>
      <c r="W7" s="5" t="str">
        <f t="array" ref="W7">IFERROR(INDEX(BAZA_UWAGI,MATCH($C7,BAZA_EX,0)),"")</f>
        <v/>
      </c>
      <c r="X7" s="5">
        <f t="shared" ref="X7:X18" si="1">IF($A7="","",$Z7)</f>
        <v>1</v>
      </c>
      <c r="Y7" s="5" t="str">
        <f>IF($A7="","",LEFT($A7,1))</f>
        <v>A</v>
      </c>
      <c r="Z7" s="5">
        <f>IF($A7="",0,1)</f>
        <v>1</v>
      </c>
      <c r="AA7" s="5" t="str">
        <f>IF($C7="","",IF(SUMPRODUCT((START!$B$6:$B$69=$C7)*(START!$M$6:$M$69&gt;0))=0,"",SUMPRODUCT(MAX((START!$B$6:$B$69=$C7)*START!$M$6:$M$69))))</f>
        <v/>
      </c>
      <c r="AB7" s="5" t="str">
        <f t="shared" ref="AB7:AB18" si="2">IF($C7="","",IF($H7&lt;&gt;"",$H7,IF($H$19="✓ ukończony","OK","")))</f>
        <v/>
      </c>
      <c r="AC7" s="5">
        <f>MAX(0.85,MIN(1.15,1+0.05*(COUNTIF('T1'!$AB7,"za łatwe")+COUNTIF('T2'!$AB7,"za łatwe"))-0.05*(COUNTIF('T1'!$AB7,"za trudne")+COUNTIF('T2'!$AB7,"za trudne"))))</f>
        <v>1</v>
      </c>
      <c r="AD7" s="5">
        <f t="shared" ref="AD7:AD18" si="3">IF(OR($Q7="masa ciała",$Q7="czas",$Q7="dystans",$Q7="ręczne ustawienie"),MAX(-3,MIN(3,ROUND(($AC7-1)/0.05,0))),0)</f>
        <v>0</v>
      </c>
    </row>
    <row r="8" ht="25.5" customHeight="1" outlineLevel="1">
      <c r="A8" s="18" t="str">
        <f>IF('T1'!$A8="","",'T1'!$A8)</f>
        <v>B1.</v>
      </c>
      <c r="B8" s="30"/>
      <c r="C8" s="31" t="str">
        <f>IF('T1'!$C8="","",'T1'!$C8)</f>
        <v>Allah</v>
      </c>
      <c r="D8" s="32">
        <v>3.0</v>
      </c>
      <c r="E8" s="39">
        <f>IF($C8="",0,MIN(15,MAX(1,IF(N($O8)&gt;=1,6,IF(N($O8)&gt;=0.75,IF(PRZEL_CZESC="część 1 (objętość)",8,6),IF(PRZEL_CZESC="część 1 (objętość)",10,8)))+2+$AD8)))</f>
        <v>12</v>
      </c>
      <c r="F8" s="33">
        <v>8.0</v>
      </c>
      <c r="G8" s="34" t="str">
        <f>IF($C8="","",IF(OR($Q8="masa ciała",$Q8="czas",$Q8="dystans",$Q8="ręczne ustawienie"),$Q8,IF($C8='T1'!$C8,IF(AND(LEFT($A8,1)&lt;&gt;"A",PRZEL_AKCESORIA="trzymaj z bloku"),IF(NOT(ISNUMBER('T1'!$G8)),'T1'!$G8,MROUND('T1'!$G8*$AC8/(MAX('T1'!$AC8,0.0001)),MAX($P8,0.5))),IF(OR($R8="",$R8=0),"— brak 1RM",MROUND($R8*$S8/100*$AC8,MAX($P8,0.5)))),IF(OR($AA8="",$AA8=0),"— ustaw ręcznie",MROUND($AA8*$S8/100*$AC8,MAX($P8,0.5))))))</f>
        <v/>
      </c>
      <c r="H8" s="35"/>
      <c r="I8" s="40" t="str">
        <f t="array" ref="I8">IFERROR(IF(IFERROR(INDEX(BAZA_FILM,MATCH($C8,BAZA_EX,0)),"")="","",HYPERLINK(IFERROR(INDEX(BAZA_FILM,MATCH($C8,BAZA_EX,0)),""),"film")),"")</f>
        <v>film</v>
      </c>
      <c r="J8" s="37" t="str">
        <f>IF('T1'!$J8="","",'T1'!$J8)</f>
        <v/>
      </c>
      <c r="K8" s="5" t="s">
        <v>46</v>
      </c>
      <c r="L8" s="5" t="str">
        <f t="array" ref="L8">IFERROR(INDEX(BAZA_ID,MATCH($C8,BAZA_EX,0)),"")</f>
        <v>EX-0003</v>
      </c>
      <c r="M8" s="5" t="str">
        <f t="array" ref="M8">IFERROR(INDEX(BAZA_PART,MATCH($C8,BAZA_EX,0)),"")</f>
        <v>c</v>
      </c>
      <c r="N8" s="5" t="str">
        <f t="array" ref="N8">IFERROR(INDEX(BAZA_KAT,MATCH($C8,BAZA_EX,0)),"")</f>
        <v>Core</v>
      </c>
      <c r="O8" s="5">
        <f t="array" ref="O8">IFERROR(INDEX(BAZA_COEFF,MATCH($C8,BAZA_EX,0)),"")</f>
        <v>0.5</v>
      </c>
      <c r="P8" s="5">
        <f t="array" ref="P8">IFERROR(INDEX(BAZA_SKOK,MATCH($C8,BAZA_EX,0)),"")</f>
        <v>2.5</v>
      </c>
      <c r="Q8" s="5" t="str">
        <f t="array" ref="Q8">IFERROR(INDEX(BAZA_PROG,MATCH($C8,BAZA_EX,0)),"")</f>
        <v>kg</v>
      </c>
      <c r="R8" s="5" t="str">
        <f>IF($C8="","",IF(SUMPRODUCT((START!$B$6:$B$69=$C8)*(START!$M$6:$M$69&gt;0))=0,"",SUMPRODUCT(MAX((START!$B$6:$B$69=$C8)*START!$M$6:$M$69))))</f>
        <v/>
      </c>
      <c r="S8" s="5">
        <f t="array" ref="S8">IFERROR(INDEX(TABELE!$B$4:$J$18,MATCH($E8,TABELE!$A$4:$A$18,0),MATCH($F8,TABELE!$B$3:$J$3,0)),"")</f>
        <v>62.5</v>
      </c>
      <c r="T8" s="5">
        <f t="array" ref="T8">IFERROR(IF($C8="",0,$O8*$D8*INDEX(TABELE!$B$23:$P$33,MATCH($F8,TABELE!$A$23:$A$33,0),MATCH($E8,TABELE!$B$22:$P$22,0))),0)</f>
        <v>1.05</v>
      </c>
      <c r="U8" s="5">
        <f t="array" ref="U8">IFERROR(IF($C8="",0,$O8*$D8*INDEX(TABELE!$B$37:$P$47,MATCH($F8,TABELE!$A$37:$A$47,0),MATCH($E8,TABELE!$B$36:$P$36,0))),0)</f>
        <v>0.45</v>
      </c>
      <c r="V8" s="5">
        <f t="array" ref="V8">IFERROR(IF($C8="",0,$O8*$D8*INDEX(TABELE!$B$51:$P$61,MATCH($F8,TABELE!$A$51:$A$61,0),MATCH($E8,TABELE!$B$50:$P$50,0))),0)</f>
        <v>1.5</v>
      </c>
      <c r="W8" s="5" t="str">
        <f t="array" ref="W8">IFERROR(INDEX(BAZA_UWAGI,MATCH($C8,BAZA_EX,0)),"")</f>
        <v/>
      </c>
      <c r="X8" s="5">
        <f t="shared" si="1"/>
        <v>2</v>
      </c>
      <c r="Y8" s="5" t="str">
        <f t="shared" ref="Y8:Y18" si="4">IF($A8="",$Y7,LEFT($A8,1))</f>
        <v>B</v>
      </c>
      <c r="Z8" s="5">
        <f t="shared" ref="Z8:Z18" si="5">IF($A8="",$Z7,IF(LEFT($A8,1)=$Y7,$Z7,$Z7+1))</f>
        <v>2</v>
      </c>
      <c r="AA8" s="5" t="str">
        <f>IF($C8="","",IF(SUMPRODUCT((START!$B$6:$B$69=$C8)*(START!$M$6:$M$69&gt;0))=0,"",SUMPRODUCT(MAX((START!$B$6:$B$69=$C8)*START!$M$6:$M$69))))</f>
        <v/>
      </c>
      <c r="AB8" s="5" t="str">
        <f t="shared" si="2"/>
        <v/>
      </c>
      <c r="AC8" s="5">
        <f>MAX(0.85,MIN(1.15,1+0.05*(COUNTIF('T1'!$AB8,"za łatwe")+COUNTIF('T2'!$AB8,"za łatwe"))-0.05*(COUNTIF('T1'!$AB8,"za trudne")+COUNTIF('T2'!$AB8,"za trudne"))))</f>
        <v>1</v>
      </c>
      <c r="AD8" s="5">
        <f t="shared" si="3"/>
        <v>0</v>
      </c>
    </row>
    <row r="9" ht="25.5" customHeight="1" outlineLevel="1">
      <c r="A9" s="18" t="str">
        <f>IF('T1'!$A9="","",'T1'!$A9)</f>
        <v>B2.</v>
      </c>
      <c r="B9" s="30"/>
      <c r="C9" s="31" t="str">
        <f>IF('T1'!$C9="","",'T1'!$C9)</f>
        <v/>
      </c>
      <c r="D9" s="32">
        <v>3.0</v>
      </c>
      <c r="E9" s="39">
        <f>IF($C9="",0,MIN(15,MAX(1,IF(N($O9)&gt;=1,6,IF(N($O9)&gt;=0.75,IF(PRZEL_CZESC="część 1 (objętość)",8,6),IF(PRZEL_CZESC="część 1 (objętość)",10,8)))+2+$AD9)))</f>
        <v>0</v>
      </c>
      <c r="F9" s="33">
        <v>8.0</v>
      </c>
      <c r="G9" s="34" t="str">
        <f>IF($C9="","",IF(OR($Q9="masa ciała",$Q9="czas",$Q9="dystans",$Q9="ręczne ustawienie"),$Q9,IF($C9='T1'!$C9,IF(AND(LEFT($A9,1)&lt;&gt;"A",PRZEL_AKCESORIA="trzymaj z bloku"),IF(NOT(ISNUMBER('T1'!$G9)),'T1'!$G9,MROUND('T1'!$G9*$AC9/(MAX('T1'!$AC9,0.0001)),MAX($P9,0.5))),IF(OR($R9="",$R9=0),"— brak 1RM",MROUND($R9*$S9/100*$AC9,MAX($P9,0.5)))),IF(OR($AA9="",$AA9=0),"— ustaw ręcznie",MROUND($AA9*$S9/100*$AC9,MAX($P9,0.5))))))</f>
        <v/>
      </c>
      <c r="H9" s="35"/>
      <c r="I9" s="36" t="str">
        <f t="array" ref="I9">IFERROR(IF(IFERROR(INDEX(BAZA_FILM,MATCH($C9,BAZA_EX,0)),"")="","",HYPERLINK(IFERROR(INDEX(BAZA_FILM,MATCH($C9,BAZA_EX,0)),""),"film")),"")</f>
        <v/>
      </c>
      <c r="J9" s="37" t="str">
        <f>IF('T1'!$J9="","",'T1'!$J9)</f>
        <v/>
      </c>
      <c r="K9" s="5" t="s">
        <v>51</v>
      </c>
      <c r="L9" s="5" t="str">
        <f t="array" ref="L9">IFERROR(INDEX(BAZA_ID,MATCH($C9,BAZA_EX,0)),"")</f>
        <v/>
      </c>
      <c r="M9" s="5" t="str">
        <f t="array" ref="M9">IFERROR(INDEX(BAZA_PART,MATCH($C9,BAZA_EX,0)),"")</f>
        <v/>
      </c>
      <c r="N9" s="5" t="str">
        <f t="array" ref="N9">IFERROR(INDEX(BAZA_KAT,MATCH($C9,BAZA_EX,0)),"")</f>
        <v/>
      </c>
      <c r="O9" s="5" t="str">
        <f t="array" ref="O9">IFERROR(INDEX(BAZA_COEFF,MATCH($C9,BAZA_EX,0)),"")</f>
        <v/>
      </c>
      <c r="P9" s="5" t="str">
        <f t="array" ref="P9">IFERROR(INDEX(BAZA_SKOK,MATCH($C9,BAZA_EX,0)),"")</f>
        <v/>
      </c>
      <c r="Q9" s="5" t="str">
        <f t="array" ref="Q9">IFERROR(INDEX(BAZA_PROG,MATCH($C9,BAZA_EX,0)),"")</f>
        <v/>
      </c>
      <c r="R9" s="5" t="str">
        <f>IF($C9="","",IF(SUMPRODUCT((START!$B$6:$B$69=$C9)*(START!$M$6:$M$69&gt;0))=0,"",SUMPRODUCT(MAX((START!$B$6:$B$69=$C9)*START!$M$6:$M$69))))</f>
        <v/>
      </c>
      <c r="S9" s="5" t="str">
        <f t="array" ref="S9">IFERROR(INDEX(TABELE!$B$4:$J$18,MATCH($E9,TABELE!$A$4:$A$18,0),MATCH($F9,TABELE!$B$3:$J$3,0)),"")</f>
        <v/>
      </c>
      <c r="T9" s="5">
        <f t="array" ref="T9">IFERROR(IF($C9="",0,$O9*$D9*INDEX(TABELE!$B$23:$P$33,MATCH($F9,TABELE!$A$23:$A$33,0),MATCH($E9,TABELE!$B$22:$P$22,0))),0)</f>
        <v>0</v>
      </c>
      <c r="U9" s="5">
        <f t="array" ref="U9">IFERROR(IF($C9="",0,$O9*$D9*INDEX(TABELE!$B$37:$P$47,MATCH($F9,TABELE!$A$37:$A$47,0),MATCH($E9,TABELE!$B$36:$P$36,0))),0)</f>
        <v>0</v>
      </c>
      <c r="V9" s="5">
        <f t="array" ref="V9">IFERROR(IF($C9="",0,$O9*$D9*INDEX(TABELE!$B$51:$P$61,MATCH($F9,TABELE!$A$51:$A$61,0),MATCH($E9,TABELE!$B$50:$P$50,0))),0)</f>
        <v>0</v>
      </c>
      <c r="W9" s="5" t="str">
        <f t="array" ref="W9">IFERROR(INDEX(BAZA_UWAGI,MATCH($C9,BAZA_EX,0)),"")</f>
        <v/>
      </c>
      <c r="X9" s="5">
        <f t="shared" si="1"/>
        <v>2</v>
      </c>
      <c r="Y9" s="5" t="str">
        <f t="shared" si="4"/>
        <v>B</v>
      </c>
      <c r="Z9" s="5">
        <f t="shared" si="5"/>
        <v>2</v>
      </c>
      <c r="AA9" s="5" t="str">
        <f>IF($C9="","",IF(SUMPRODUCT((START!$B$6:$B$69=$C9)*(START!$M$6:$M$69&gt;0))=0,"",SUMPRODUCT(MAX((START!$B$6:$B$69=$C9)*START!$M$6:$M$69))))</f>
        <v/>
      </c>
      <c r="AB9" s="5" t="str">
        <f t="shared" si="2"/>
        <v/>
      </c>
      <c r="AC9" s="5">
        <f>MAX(0.85,MIN(1.15,1+0.05*(COUNTIF('T1'!$AB9,"za łatwe")+COUNTIF('T2'!$AB9,"za łatwe"))-0.05*(COUNTIF('T1'!$AB9,"za trudne")+COUNTIF('T2'!$AB9,"za trudne"))))</f>
        <v>1</v>
      </c>
      <c r="AD9" s="5">
        <f t="shared" si="3"/>
        <v>0</v>
      </c>
    </row>
    <row r="10" ht="25.5" customHeight="1" outlineLevel="1">
      <c r="A10" s="18" t="str">
        <f>IF('T1'!$A10="","",'T1'!$A10)</f>
        <v>C1.</v>
      </c>
      <c r="B10" s="30"/>
      <c r="C10" s="31" t="str">
        <f>IF('T1'!$C10="","",'T1'!$C10)</f>
        <v/>
      </c>
      <c r="D10" s="32">
        <v>3.0</v>
      </c>
      <c r="E10" s="39">
        <f>IF($C10="",0,MIN(15,MAX(1,IF(N($O10)&gt;=1,6,IF(N($O10)&gt;=0.75,IF(PRZEL_CZESC="część 1 (objętość)",8,6),IF(PRZEL_CZESC="część 1 (objętość)",10,8)))+2+$AD10)))</f>
        <v>0</v>
      </c>
      <c r="F10" s="33">
        <v>8.0</v>
      </c>
      <c r="G10" s="34" t="str">
        <f>IF($C10="","",IF(OR($Q10="masa ciała",$Q10="czas",$Q10="dystans",$Q10="ręczne ustawienie"),$Q10,IF($C10='T1'!$C10,IF(AND(LEFT($A10,1)&lt;&gt;"A",PRZEL_AKCESORIA="trzymaj z bloku"),IF(NOT(ISNUMBER('T1'!$G10)),'T1'!$G10,MROUND('T1'!$G10*$AC10/(MAX('T1'!$AC10,0.0001)),MAX($P10,0.5))),IF(OR($R10="",$R10=0),"— brak 1RM",MROUND($R10*$S10/100*$AC10,MAX($P10,0.5)))),IF(OR($AA10="",$AA10=0),"— ustaw ręcznie",MROUND($AA10*$S10/100*$AC10,MAX($P10,0.5))))))</f>
        <v/>
      </c>
      <c r="H10" s="35"/>
      <c r="I10" s="36" t="str">
        <f t="array" ref="I10">IFERROR(IF(IFERROR(INDEX(BAZA_FILM,MATCH($C10,BAZA_EX,0)),"")="","",HYPERLINK(IFERROR(INDEX(BAZA_FILM,MATCH($C10,BAZA_EX,0)),""),"film")),"")</f>
        <v/>
      </c>
      <c r="J10" s="37" t="str">
        <f>IF('T1'!$J10="","",'T1'!$J10)</f>
        <v/>
      </c>
      <c r="K10" s="5" t="s">
        <v>57</v>
      </c>
      <c r="L10" s="5" t="str">
        <f t="array" ref="L10">IFERROR(INDEX(BAZA_ID,MATCH($C10,BAZA_EX,0)),"")</f>
        <v/>
      </c>
      <c r="M10" s="5" t="str">
        <f t="array" ref="M10">IFERROR(INDEX(BAZA_PART,MATCH($C10,BAZA_EX,0)),"")</f>
        <v/>
      </c>
      <c r="N10" s="5" t="str">
        <f t="array" ref="N10">IFERROR(INDEX(BAZA_KAT,MATCH($C10,BAZA_EX,0)),"")</f>
        <v/>
      </c>
      <c r="O10" s="5" t="str">
        <f t="array" ref="O10">IFERROR(INDEX(BAZA_COEFF,MATCH($C10,BAZA_EX,0)),"")</f>
        <v/>
      </c>
      <c r="P10" s="5" t="str">
        <f t="array" ref="P10">IFERROR(INDEX(BAZA_SKOK,MATCH($C10,BAZA_EX,0)),"")</f>
        <v/>
      </c>
      <c r="Q10" s="5" t="str">
        <f t="array" ref="Q10">IFERROR(INDEX(BAZA_PROG,MATCH($C10,BAZA_EX,0)),"")</f>
        <v/>
      </c>
      <c r="R10" s="5" t="str">
        <f>IF($C10="","",IF(SUMPRODUCT((START!$B$6:$B$69=$C10)*(START!$M$6:$M$69&gt;0))=0,"",SUMPRODUCT(MAX((START!$B$6:$B$69=$C10)*START!$M$6:$M$69))))</f>
        <v/>
      </c>
      <c r="S10" s="5" t="str">
        <f t="array" ref="S10">IFERROR(INDEX(TABELE!$B$4:$J$18,MATCH($E10,TABELE!$A$4:$A$18,0),MATCH($F10,TABELE!$B$3:$J$3,0)),"")</f>
        <v/>
      </c>
      <c r="T10" s="5">
        <f t="array" ref="T10">IFERROR(IF($C10="",0,$O10*$D10*INDEX(TABELE!$B$23:$P$33,MATCH($F10,TABELE!$A$23:$A$33,0),MATCH($E10,TABELE!$B$22:$P$22,0))),0)</f>
        <v>0</v>
      </c>
      <c r="U10" s="5">
        <f t="array" ref="U10">IFERROR(IF($C10="",0,$O10*$D10*INDEX(TABELE!$B$37:$P$47,MATCH($F10,TABELE!$A$37:$A$47,0),MATCH($E10,TABELE!$B$36:$P$36,0))),0)</f>
        <v>0</v>
      </c>
      <c r="V10" s="5">
        <f t="array" ref="V10">IFERROR(IF($C10="",0,$O10*$D10*INDEX(TABELE!$B$51:$P$61,MATCH($F10,TABELE!$A$51:$A$61,0),MATCH($E10,TABELE!$B$50:$P$50,0))),0)</f>
        <v>0</v>
      </c>
      <c r="W10" s="5" t="str">
        <f t="array" ref="W10">IFERROR(INDEX(BAZA_UWAGI,MATCH($C10,BAZA_EX,0)),"")</f>
        <v/>
      </c>
      <c r="X10" s="5">
        <f t="shared" si="1"/>
        <v>3</v>
      </c>
      <c r="Y10" s="5" t="str">
        <f t="shared" si="4"/>
        <v>C</v>
      </c>
      <c r="Z10" s="5">
        <f t="shared" si="5"/>
        <v>3</v>
      </c>
      <c r="AA10" s="5" t="str">
        <f>IF($C10="","",IF(SUMPRODUCT((START!$B$6:$B$69=$C10)*(START!$M$6:$M$69&gt;0))=0,"",SUMPRODUCT(MAX((START!$B$6:$B$69=$C10)*START!$M$6:$M$69))))</f>
        <v/>
      </c>
      <c r="AB10" s="5" t="str">
        <f t="shared" si="2"/>
        <v/>
      </c>
      <c r="AC10" s="5">
        <f>MAX(0.85,MIN(1.15,1+0.05*(COUNTIF('T1'!$AB10,"za łatwe")+COUNTIF('T2'!$AB10,"za łatwe"))-0.05*(COUNTIF('T1'!$AB10,"za trudne")+COUNTIF('T2'!$AB10,"za trudne"))))</f>
        <v>1</v>
      </c>
      <c r="AD10" s="5">
        <f t="shared" si="3"/>
        <v>0</v>
      </c>
    </row>
    <row r="11" ht="25.5" customHeight="1" outlineLevel="1">
      <c r="A11" s="18" t="str">
        <f>IF('T1'!$A11="","",'T1'!$A11)</f>
        <v>C2.</v>
      </c>
      <c r="B11" s="30"/>
      <c r="C11" s="31" t="str">
        <f>IF('T1'!$C11="","",'T1'!$C11)</f>
        <v/>
      </c>
      <c r="D11" s="32">
        <v>3.0</v>
      </c>
      <c r="E11" s="39">
        <f>IF($C11="",0,MIN(15,MAX(1,IF(N($O11)&gt;=1,6,IF(N($O11)&gt;=0.75,IF(PRZEL_CZESC="część 1 (objętość)",8,6),IF(PRZEL_CZESC="część 1 (objętość)",10,8)))+2+$AD11)))</f>
        <v>0</v>
      </c>
      <c r="F11" s="33">
        <v>9.0</v>
      </c>
      <c r="G11" s="34" t="str">
        <f>IF($C11="","",IF(OR($Q11="masa ciała",$Q11="czas",$Q11="dystans",$Q11="ręczne ustawienie"),$Q11,IF($C11='T1'!$C11,IF(AND(LEFT($A11,1)&lt;&gt;"A",PRZEL_AKCESORIA="trzymaj z bloku"),IF(NOT(ISNUMBER('T1'!$G11)),'T1'!$G11,MROUND('T1'!$G11*$AC11/(MAX('T1'!$AC11,0.0001)),MAX($P11,0.5))),IF(OR($R11="",$R11=0),"— brak 1RM",MROUND($R11*$S11/100*$AC11,MAX($P11,0.5)))),IF(OR($AA11="",$AA11=0),"— ustaw ręcznie",MROUND($AA11*$S11/100*$AC11,MAX($P11,0.5))))))</f>
        <v/>
      </c>
      <c r="H11" s="35"/>
      <c r="I11" s="36" t="str">
        <f t="array" ref="I11">IFERROR(IF(IFERROR(INDEX(BAZA_FILM,MATCH($C11,BAZA_EX,0)),"")="","",HYPERLINK(IFERROR(INDEX(BAZA_FILM,MATCH($C11,BAZA_EX,0)),""),"film")),"")</f>
        <v/>
      </c>
      <c r="J11" s="37" t="str">
        <f>IF('T1'!$J11="","",'T1'!$J11)</f>
        <v/>
      </c>
      <c r="K11" s="5" t="s">
        <v>62</v>
      </c>
      <c r="L11" s="5" t="str">
        <f t="array" ref="L11">IFERROR(INDEX(BAZA_ID,MATCH($C11,BAZA_EX,0)),"")</f>
        <v/>
      </c>
      <c r="M11" s="5" t="str">
        <f t="array" ref="M11">IFERROR(INDEX(BAZA_PART,MATCH($C11,BAZA_EX,0)),"")</f>
        <v/>
      </c>
      <c r="N11" s="5" t="str">
        <f t="array" ref="N11">IFERROR(INDEX(BAZA_KAT,MATCH($C11,BAZA_EX,0)),"")</f>
        <v/>
      </c>
      <c r="O11" s="5" t="str">
        <f t="array" ref="O11">IFERROR(INDEX(BAZA_COEFF,MATCH($C11,BAZA_EX,0)),"")</f>
        <v/>
      </c>
      <c r="P11" s="5" t="str">
        <f t="array" ref="P11">IFERROR(INDEX(BAZA_SKOK,MATCH($C11,BAZA_EX,0)),"")</f>
        <v/>
      </c>
      <c r="Q11" s="5" t="str">
        <f t="array" ref="Q11">IFERROR(INDEX(BAZA_PROG,MATCH($C11,BAZA_EX,0)),"")</f>
        <v/>
      </c>
      <c r="R11" s="5" t="str">
        <f>IF($C11="","",IF(SUMPRODUCT((START!$B$6:$B$69=$C11)*(START!$M$6:$M$69&gt;0))=0,"",SUMPRODUCT(MAX((START!$B$6:$B$69=$C11)*START!$M$6:$M$69))))</f>
        <v/>
      </c>
      <c r="S11" s="5" t="str">
        <f t="array" ref="S11">IFERROR(INDEX(TABELE!$B$4:$J$18,MATCH($E11,TABELE!$A$4:$A$18,0),MATCH($F11,TABELE!$B$3:$J$3,0)),"")</f>
        <v/>
      </c>
      <c r="T11" s="5">
        <f t="array" ref="T11">IFERROR(IF($C11="",0,$O11*$D11*INDEX(TABELE!$B$23:$P$33,MATCH($F11,TABELE!$A$23:$A$33,0),MATCH($E11,TABELE!$B$22:$P$22,0))),0)</f>
        <v>0</v>
      </c>
      <c r="U11" s="5">
        <f t="array" ref="U11">IFERROR(IF($C11="",0,$O11*$D11*INDEX(TABELE!$B$37:$P$47,MATCH($F11,TABELE!$A$37:$A$47,0),MATCH($E11,TABELE!$B$36:$P$36,0))),0)</f>
        <v>0</v>
      </c>
      <c r="V11" s="5">
        <f t="array" ref="V11">IFERROR(IF($C11="",0,$O11*$D11*INDEX(TABELE!$B$51:$P$61,MATCH($F11,TABELE!$A$51:$A$61,0),MATCH($E11,TABELE!$B$50:$P$50,0))),0)</f>
        <v>0</v>
      </c>
      <c r="W11" s="5" t="str">
        <f t="array" ref="W11">IFERROR(INDEX(BAZA_UWAGI,MATCH($C11,BAZA_EX,0)),"")</f>
        <v/>
      </c>
      <c r="X11" s="5">
        <f t="shared" si="1"/>
        <v>3</v>
      </c>
      <c r="Y11" s="5" t="str">
        <f t="shared" si="4"/>
        <v>C</v>
      </c>
      <c r="Z11" s="5">
        <f t="shared" si="5"/>
        <v>3</v>
      </c>
      <c r="AA11" s="5" t="str">
        <f>IF($C11="","",IF(SUMPRODUCT((START!$B$6:$B$69=$C11)*(START!$M$6:$M$69&gt;0))=0,"",SUMPRODUCT(MAX((START!$B$6:$B$69=$C11)*START!$M$6:$M$69))))</f>
        <v/>
      </c>
      <c r="AB11" s="5" t="str">
        <f t="shared" si="2"/>
        <v/>
      </c>
      <c r="AC11" s="5">
        <f>MAX(0.85,MIN(1.15,1+0.05*(COUNTIF('T1'!$AB11,"za łatwe")+COUNTIF('T2'!$AB11,"za łatwe"))-0.05*(COUNTIF('T1'!$AB11,"za trudne")+COUNTIF('T2'!$AB11,"za trudne"))))</f>
        <v>1</v>
      </c>
      <c r="AD11" s="5">
        <f t="shared" si="3"/>
        <v>0</v>
      </c>
    </row>
    <row r="12" ht="25.5" customHeight="1" outlineLevel="1">
      <c r="A12" s="18" t="str">
        <f>IF('T1'!$A12="","",'T1'!$A12)</f>
        <v>D1.</v>
      </c>
      <c r="B12" s="30"/>
      <c r="C12" s="31" t="str">
        <f>IF('T1'!$C12="","",'T1'!$C12)</f>
        <v/>
      </c>
      <c r="D12" s="32">
        <v>3.0</v>
      </c>
      <c r="E12" s="39">
        <f>IF($C12="",0,MIN(15,MAX(1,IF(N($O12)&gt;=1,6,IF(N($O12)&gt;=0.75,IF(PRZEL_CZESC="część 1 (objętość)",8,6),IF(PRZEL_CZESC="część 1 (objętość)",10,8)))+2+$AD12)))</f>
        <v>0</v>
      </c>
      <c r="F12" s="33">
        <v>8.0</v>
      </c>
      <c r="G12" s="34" t="str">
        <f>IF($C12="","",IF(OR($Q12="masa ciała",$Q12="czas",$Q12="dystans",$Q12="ręczne ustawienie"),$Q12,IF($C12='T1'!$C12,IF(AND(LEFT($A12,1)&lt;&gt;"A",PRZEL_AKCESORIA="trzymaj z bloku"),IF(NOT(ISNUMBER('T1'!$G12)),'T1'!$G12,MROUND('T1'!$G12*$AC12/(MAX('T1'!$AC12,0.0001)),MAX($P12,0.5))),IF(OR($R12="",$R12=0),"— brak 1RM",MROUND($R12*$S12/100*$AC12,MAX($P12,0.5)))),IF(OR($AA12="",$AA12=0),"— ustaw ręcznie",MROUND($AA12*$S12/100*$AC12,MAX($P12,0.5))))))</f>
        <v/>
      </c>
      <c r="H12" s="35"/>
      <c r="I12" s="36" t="str">
        <f t="array" ref="I12">IFERROR(IF(IFERROR(INDEX(BAZA_FILM,MATCH($C12,BAZA_EX,0)),"")="","",HYPERLINK(IFERROR(INDEX(BAZA_FILM,MATCH($C12,BAZA_EX,0)),""),"film")),"")</f>
        <v/>
      </c>
      <c r="J12" s="37" t="str">
        <f>IF('T1'!$J12="","",'T1'!$J12)</f>
        <v/>
      </c>
      <c r="K12" s="5" t="s">
        <v>63</v>
      </c>
      <c r="L12" s="5" t="str">
        <f t="array" ref="L12">IFERROR(INDEX(BAZA_ID,MATCH($C12,BAZA_EX,0)),"")</f>
        <v/>
      </c>
      <c r="M12" s="5" t="str">
        <f t="array" ref="M12">IFERROR(INDEX(BAZA_PART,MATCH($C12,BAZA_EX,0)),"")</f>
        <v/>
      </c>
      <c r="N12" s="5" t="str">
        <f t="array" ref="N12">IFERROR(INDEX(BAZA_KAT,MATCH($C12,BAZA_EX,0)),"")</f>
        <v/>
      </c>
      <c r="O12" s="5" t="str">
        <f t="array" ref="O12">IFERROR(INDEX(BAZA_COEFF,MATCH($C12,BAZA_EX,0)),"")</f>
        <v/>
      </c>
      <c r="P12" s="5" t="str">
        <f t="array" ref="P12">IFERROR(INDEX(BAZA_SKOK,MATCH($C12,BAZA_EX,0)),"")</f>
        <v/>
      </c>
      <c r="Q12" s="5" t="str">
        <f t="array" ref="Q12">IFERROR(INDEX(BAZA_PROG,MATCH($C12,BAZA_EX,0)),"")</f>
        <v/>
      </c>
      <c r="R12" s="5" t="str">
        <f>IF($C12="","",IF(SUMPRODUCT((START!$B$6:$B$69=$C12)*(START!$M$6:$M$69&gt;0))=0,"",SUMPRODUCT(MAX((START!$B$6:$B$69=$C12)*START!$M$6:$M$69))))</f>
        <v/>
      </c>
      <c r="S12" s="5" t="str">
        <f t="array" ref="S12">IFERROR(INDEX(TABELE!$B$4:$J$18,MATCH($E12,TABELE!$A$4:$A$18,0),MATCH($F12,TABELE!$B$3:$J$3,0)),"")</f>
        <v/>
      </c>
      <c r="T12" s="5">
        <f t="array" ref="T12">IFERROR(IF($C12="",0,$O12*$D12*INDEX(TABELE!$B$23:$P$33,MATCH($F12,TABELE!$A$23:$A$33,0),MATCH($E12,TABELE!$B$22:$P$22,0))),0)</f>
        <v>0</v>
      </c>
      <c r="U12" s="5">
        <f t="array" ref="U12">IFERROR(IF($C12="",0,$O12*$D12*INDEX(TABELE!$B$37:$P$47,MATCH($F12,TABELE!$A$37:$A$47,0),MATCH($E12,TABELE!$B$36:$P$36,0))),0)</f>
        <v>0</v>
      </c>
      <c r="V12" s="5">
        <f t="array" ref="V12">IFERROR(IF($C12="",0,$O12*$D12*INDEX(TABELE!$B$51:$P$61,MATCH($F12,TABELE!$A$51:$A$61,0),MATCH($E12,TABELE!$B$50:$P$50,0))),0)</f>
        <v>0</v>
      </c>
      <c r="W12" s="5" t="str">
        <f t="array" ref="W12">IFERROR(INDEX(BAZA_UWAGI,MATCH($C12,BAZA_EX,0)),"")</f>
        <v/>
      </c>
      <c r="X12" s="5">
        <f t="shared" si="1"/>
        <v>4</v>
      </c>
      <c r="Y12" s="5" t="str">
        <f t="shared" si="4"/>
        <v>D</v>
      </c>
      <c r="Z12" s="5">
        <f t="shared" si="5"/>
        <v>4</v>
      </c>
      <c r="AA12" s="5" t="str">
        <f>IF($C12="","",IF(SUMPRODUCT((START!$B$6:$B$69=$C12)*(START!$M$6:$M$69&gt;0))=0,"",SUMPRODUCT(MAX((START!$B$6:$B$69=$C12)*START!$M$6:$M$69))))</f>
        <v/>
      </c>
      <c r="AB12" s="5" t="str">
        <f t="shared" si="2"/>
        <v/>
      </c>
      <c r="AC12" s="5">
        <f>MAX(0.85,MIN(1.15,1+0.05*(COUNTIF('T1'!$AB12,"za łatwe")+COUNTIF('T2'!$AB12,"za łatwe"))-0.05*(COUNTIF('T1'!$AB12,"za trudne")+COUNTIF('T2'!$AB12,"za trudne"))))</f>
        <v>1</v>
      </c>
      <c r="AD12" s="5">
        <f t="shared" si="3"/>
        <v>0</v>
      </c>
    </row>
    <row r="13" ht="25.5" customHeight="1" outlineLevel="1">
      <c r="A13" s="18" t="str">
        <f>IF('T1'!$A13="","",'T1'!$A13)</f>
        <v>D2.</v>
      </c>
      <c r="B13" s="30"/>
      <c r="C13" s="31" t="str">
        <f>IF('T1'!$C13="","",'T1'!$C13)</f>
        <v/>
      </c>
      <c r="D13" s="32">
        <v>3.0</v>
      </c>
      <c r="E13" s="39">
        <f>IF($C13="",0,MIN(15,MAX(1,IF(N($O13)&gt;=1,6,IF(N($O13)&gt;=0.75,IF(PRZEL_CZESC="część 1 (objętość)",8,6),IF(PRZEL_CZESC="część 1 (objętość)",10,8)))+2+$AD13)))</f>
        <v>0</v>
      </c>
      <c r="F13" s="33">
        <v>9.0</v>
      </c>
      <c r="G13" s="34" t="str">
        <f>IF($C13="","",IF(OR($Q13="masa ciała",$Q13="czas",$Q13="dystans",$Q13="ręczne ustawienie"),$Q13,IF($C13='T1'!$C13,IF(AND(LEFT($A13,1)&lt;&gt;"A",PRZEL_AKCESORIA="trzymaj z bloku"),IF(NOT(ISNUMBER('T1'!$G13)),'T1'!$G13,MROUND('T1'!$G13*$AC13/(MAX('T1'!$AC13,0.0001)),MAX($P13,0.5))),IF(OR($R13="",$R13=0),"— brak 1RM",MROUND($R13*$S13/100*$AC13,MAX($P13,0.5)))),IF(OR($AA13="",$AA13=0),"— ustaw ręcznie",MROUND($AA13*$S13/100*$AC13,MAX($P13,0.5))))))</f>
        <v/>
      </c>
      <c r="H13" s="35"/>
      <c r="I13" s="36" t="str">
        <f t="array" ref="I13">IFERROR(IF(IFERROR(INDEX(BAZA_FILM,MATCH($C13,BAZA_EX,0)),"")="","",HYPERLINK(IFERROR(INDEX(BAZA_FILM,MATCH($C13,BAZA_EX,0)),""),"film")),"")</f>
        <v/>
      </c>
      <c r="J13" s="37" t="str">
        <f>IF('T1'!$J13="","",'T1'!$J13)</f>
        <v/>
      </c>
      <c r="K13" s="5" t="s">
        <v>66</v>
      </c>
      <c r="L13" s="5" t="str">
        <f t="array" ref="L13">IFERROR(INDEX(BAZA_ID,MATCH($C13,BAZA_EX,0)),"")</f>
        <v/>
      </c>
      <c r="M13" s="5" t="str">
        <f t="array" ref="M13">IFERROR(INDEX(BAZA_PART,MATCH($C13,BAZA_EX,0)),"")</f>
        <v/>
      </c>
      <c r="N13" s="5" t="str">
        <f t="array" ref="N13">IFERROR(INDEX(BAZA_KAT,MATCH($C13,BAZA_EX,0)),"")</f>
        <v/>
      </c>
      <c r="O13" s="5" t="str">
        <f t="array" ref="O13">IFERROR(INDEX(BAZA_COEFF,MATCH($C13,BAZA_EX,0)),"")</f>
        <v/>
      </c>
      <c r="P13" s="5" t="str">
        <f t="array" ref="P13">IFERROR(INDEX(BAZA_SKOK,MATCH($C13,BAZA_EX,0)),"")</f>
        <v/>
      </c>
      <c r="Q13" s="5" t="str">
        <f t="array" ref="Q13">IFERROR(INDEX(BAZA_PROG,MATCH($C13,BAZA_EX,0)),"")</f>
        <v/>
      </c>
      <c r="R13" s="5" t="str">
        <f>IF($C13="","",IF(SUMPRODUCT((START!$B$6:$B$69=$C13)*(START!$M$6:$M$69&gt;0))=0,"",SUMPRODUCT(MAX((START!$B$6:$B$69=$C13)*START!$M$6:$M$69))))</f>
        <v/>
      </c>
      <c r="S13" s="5" t="str">
        <f t="array" ref="S13">IFERROR(INDEX(TABELE!$B$4:$J$18,MATCH($E13,TABELE!$A$4:$A$18,0),MATCH($F13,TABELE!$B$3:$J$3,0)),"")</f>
        <v/>
      </c>
      <c r="T13" s="5">
        <f t="array" ref="T13">IFERROR(IF($C13="",0,$O13*$D13*INDEX(TABELE!$B$23:$P$33,MATCH($F13,TABELE!$A$23:$A$33,0),MATCH($E13,TABELE!$B$22:$P$22,0))),0)</f>
        <v>0</v>
      </c>
      <c r="U13" s="5">
        <f t="array" ref="U13">IFERROR(IF($C13="",0,$O13*$D13*INDEX(TABELE!$B$37:$P$47,MATCH($F13,TABELE!$A$37:$A$47,0),MATCH($E13,TABELE!$B$36:$P$36,0))),0)</f>
        <v>0</v>
      </c>
      <c r="V13" s="5">
        <f t="array" ref="V13">IFERROR(IF($C13="",0,$O13*$D13*INDEX(TABELE!$B$51:$P$61,MATCH($F13,TABELE!$A$51:$A$61,0),MATCH($E13,TABELE!$B$50:$P$50,0))),0)</f>
        <v>0</v>
      </c>
      <c r="W13" s="5" t="str">
        <f t="array" ref="W13">IFERROR(INDEX(BAZA_UWAGI,MATCH($C13,BAZA_EX,0)),"")</f>
        <v/>
      </c>
      <c r="X13" s="5">
        <f t="shared" si="1"/>
        <v>4</v>
      </c>
      <c r="Y13" s="5" t="str">
        <f t="shared" si="4"/>
        <v>D</v>
      </c>
      <c r="Z13" s="5">
        <f t="shared" si="5"/>
        <v>4</v>
      </c>
      <c r="AA13" s="5" t="str">
        <f>IF($C13="","",IF(SUMPRODUCT((START!$B$6:$B$69=$C13)*(START!$M$6:$M$69&gt;0))=0,"",SUMPRODUCT(MAX((START!$B$6:$B$69=$C13)*START!$M$6:$M$69))))</f>
        <v/>
      </c>
      <c r="AB13" s="5" t="str">
        <f t="shared" si="2"/>
        <v/>
      </c>
      <c r="AC13" s="5">
        <f>MAX(0.85,MIN(1.15,1+0.05*(COUNTIF('T1'!$AB13,"za łatwe")+COUNTIF('T2'!$AB13,"za łatwe"))-0.05*(COUNTIF('T1'!$AB13,"za trudne")+COUNTIF('T2'!$AB13,"za trudne"))))</f>
        <v>1</v>
      </c>
      <c r="AD13" s="5">
        <f t="shared" si="3"/>
        <v>0</v>
      </c>
    </row>
    <row r="14" ht="25.5" customHeight="1" outlineLevel="1">
      <c r="A14" s="18" t="str">
        <f>IF('T1'!$A14="","",'T1'!$A14)</f>
        <v>E1.</v>
      </c>
      <c r="B14" s="30"/>
      <c r="C14" s="31" t="str">
        <f>IF('T1'!$C14="","",'T1'!$C14)</f>
        <v/>
      </c>
      <c r="D14" s="32"/>
      <c r="E14" s="39">
        <f>IF($C14="",0,MIN(15,MAX(1,IF(N($O14)&gt;=1,6,IF(N($O14)&gt;=0.75,IF(PRZEL_CZESC="część 1 (objętość)",8,6),IF(PRZEL_CZESC="część 1 (objętość)",10,8)))+2+$AD14)))</f>
        <v>0</v>
      </c>
      <c r="F14" s="33"/>
      <c r="G14" s="34" t="str">
        <f>IF($C14="","",IF(OR($Q14="masa ciała",$Q14="czas",$Q14="dystans",$Q14="ręczne ustawienie"),$Q14,IF($C14='T1'!$C14,IF(AND(LEFT($A14,1)&lt;&gt;"A",PRZEL_AKCESORIA="trzymaj z bloku"),IF(NOT(ISNUMBER('T1'!$G14)),'T1'!$G14,MROUND('T1'!$G14*$AC14/(MAX('T1'!$AC14,0.0001)),MAX($P14,0.5))),IF(OR($R14="",$R14=0),"— brak 1RM",MROUND($R14*$S14/100*$AC14,MAX($P14,0.5)))),IF(OR($AA14="",$AA14=0),"— ustaw ręcznie",MROUND($AA14*$S14/100*$AC14,MAX($P14,0.5))))))</f>
        <v/>
      </c>
      <c r="H14" s="35"/>
      <c r="I14" s="36" t="str">
        <f t="array" ref="I14">IFERROR(IF(IFERROR(INDEX(BAZA_FILM,MATCH($C14,BAZA_EX,0)),"")="","",HYPERLINK(IFERROR(INDEX(BAZA_FILM,MATCH($C14,BAZA_EX,0)),""),"film")),"")</f>
        <v/>
      </c>
      <c r="J14" s="37" t="str">
        <f>IF('T1'!$J14="","",'T1'!$J14)</f>
        <v/>
      </c>
      <c r="K14" s="5" t="s">
        <v>67</v>
      </c>
      <c r="L14" s="5" t="str">
        <f t="array" ref="L14">IFERROR(INDEX(BAZA_ID,MATCH($C14,BAZA_EX,0)),"")</f>
        <v/>
      </c>
      <c r="M14" s="5" t="str">
        <f t="array" ref="M14">IFERROR(INDEX(BAZA_PART,MATCH($C14,BAZA_EX,0)),"")</f>
        <v/>
      </c>
      <c r="N14" s="5" t="str">
        <f t="array" ref="N14">IFERROR(INDEX(BAZA_KAT,MATCH($C14,BAZA_EX,0)),"")</f>
        <v/>
      </c>
      <c r="O14" s="5" t="str">
        <f t="array" ref="O14">IFERROR(INDEX(BAZA_COEFF,MATCH($C14,BAZA_EX,0)),"")</f>
        <v/>
      </c>
      <c r="P14" s="5" t="str">
        <f t="array" ref="P14">IFERROR(INDEX(BAZA_SKOK,MATCH($C14,BAZA_EX,0)),"")</f>
        <v/>
      </c>
      <c r="Q14" s="5" t="str">
        <f t="array" ref="Q14">IFERROR(INDEX(BAZA_PROG,MATCH($C14,BAZA_EX,0)),"")</f>
        <v/>
      </c>
      <c r="R14" s="5" t="str">
        <f>IF($C14="","",IF(SUMPRODUCT((START!$B$6:$B$69=$C14)*(START!$M$6:$M$69&gt;0))=0,"",SUMPRODUCT(MAX((START!$B$6:$B$69=$C14)*START!$M$6:$M$69))))</f>
        <v/>
      </c>
      <c r="S14" s="5" t="str">
        <f t="array" ref="S14">IFERROR(INDEX(TABELE!$B$4:$J$18,MATCH($E14,TABELE!$A$4:$A$18,0),MATCH($F14,TABELE!$B$3:$J$3,0)),"")</f>
        <v/>
      </c>
      <c r="T14" s="5">
        <f t="array" ref="T14">IFERROR(IF($C14="",0,$O14*$D14*INDEX(TABELE!$B$23:$P$33,MATCH($F14,TABELE!$A$23:$A$33,0),MATCH($E14,TABELE!$B$22:$P$22,0))),0)</f>
        <v>0</v>
      </c>
      <c r="U14" s="5">
        <f t="array" ref="U14">IFERROR(IF($C14="",0,$O14*$D14*INDEX(TABELE!$B$37:$P$47,MATCH($F14,TABELE!$A$37:$A$47,0),MATCH($E14,TABELE!$B$36:$P$36,0))),0)</f>
        <v>0</v>
      </c>
      <c r="V14" s="5">
        <f t="array" ref="V14">IFERROR(IF($C14="",0,$O14*$D14*INDEX(TABELE!$B$51:$P$61,MATCH($F14,TABELE!$A$51:$A$61,0),MATCH($E14,TABELE!$B$50:$P$50,0))),0)</f>
        <v>0</v>
      </c>
      <c r="W14" s="5" t="str">
        <f t="array" ref="W14">IFERROR(INDEX(BAZA_UWAGI,MATCH($C14,BAZA_EX,0)),"")</f>
        <v/>
      </c>
      <c r="X14" s="5">
        <f t="shared" si="1"/>
        <v>5</v>
      </c>
      <c r="Y14" s="5" t="str">
        <f t="shared" si="4"/>
        <v>E</v>
      </c>
      <c r="Z14" s="5">
        <f t="shared" si="5"/>
        <v>5</v>
      </c>
      <c r="AA14" s="5" t="str">
        <f>IF($C14="","",IF(SUMPRODUCT((START!$B$6:$B$69=$C14)*(START!$M$6:$M$69&gt;0))=0,"",SUMPRODUCT(MAX((START!$B$6:$B$69=$C14)*START!$M$6:$M$69))))</f>
        <v/>
      </c>
      <c r="AB14" s="5" t="str">
        <f t="shared" si="2"/>
        <v/>
      </c>
      <c r="AC14" s="5">
        <f>MAX(0.85,MIN(1.15,1+0.05*(COUNTIF('T1'!$AB14,"za łatwe")+COUNTIF('T2'!$AB14,"za łatwe"))-0.05*(COUNTIF('T1'!$AB14,"za trudne")+COUNTIF('T2'!$AB14,"za trudne"))))</f>
        <v>1</v>
      </c>
      <c r="AD14" s="5">
        <f t="shared" si="3"/>
        <v>0</v>
      </c>
    </row>
    <row r="15" ht="25.5" customHeight="1" outlineLevel="1">
      <c r="A15" s="18" t="str">
        <f>IF('T1'!$A15="","",'T1'!$A15)</f>
        <v>E2.</v>
      </c>
      <c r="B15" s="30"/>
      <c r="C15" s="31" t="str">
        <f>IF('T1'!$C15="","",'T1'!$C15)</f>
        <v/>
      </c>
      <c r="D15" s="32"/>
      <c r="E15" s="39">
        <f>IF($C15="",0,MIN(15,MAX(1,IF(N($O15)&gt;=1,6,IF(N($O15)&gt;=0.75,IF(PRZEL_CZESC="część 1 (objętość)",8,6),IF(PRZEL_CZESC="część 1 (objętość)",10,8)))+2+$AD15)))</f>
        <v>0</v>
      </c>
      <c r="F15" s="33"/>
      <c r="G15" s="34" t="str">
        <f>IF($C15="","",IF(OR($Q15="masa ciała",$Q15="czas",$Q15="dystans",$Q15="ręczne ustawienie"),$Q15,IF($C15='T1'!$C15,IF(AND(LEFT($A15,1)&lt;&gt;"A",PRZEL_AKCESORIA="trzymaj z bloku"),IF(NOT(ISNUMBER('T1'!$G15)),'T1'!$G15,MROUND('T1'!$G15*$AC15/(MAX('T1'!$AC15,0.0001)),MAX($P15,0.5))),IF(OR($R15="",$R15=0),"— brak 1RM",MROUND($R15*$S15/100*$AC15,MAX($P15,0.5)))),IF(OR($AA15="",$AA15=0),"— ustaw ręcznie",MROUND($AA15*$S15/100*$AC15,MAX($P15,0.5))))))</f>
        <v/>
      </c>
      <c r="H15" s="35"/>
      <c r="I15" s="36" t="str">
        <f t="array" ref="I15">IFERROR(IF(IFERROR(INDEX(BAZA_FILM,MATCH($C15,BAZA_EX,0)),"")="","",HYPERLINK(IFERROR(INDEX(BAZA_FILM,MATCH($C15,BAZA_EX,0)),""),"film")),"")</f>
        <v/>
      </c>
      <c r="J15" s="37" t="str">
        <f>IF('T1'!$J15="","",'T1'!$J15)</f>
        <v/>
      </c>
      <c r="K15" s="5" t="s">
        <v>68</v>
      </c>
      <c r="L15" s="5" t="str">
        <f t="array" ref="L15">IFERROR(INDEX(BAZA_ID,MATCH($C15,BAZA_EX,0)),"")</f>
        <v/>
      </c>
      <c r="M15" s="5" t="str">
        <f t="array" ref="M15">IFERROR(INDEX(BAZA_PART,MATCH($C15,BAZA_EX,0)),"")</f>
        <v/>
      </c>
      <c r="N15" s="5" t="str">
        <f t="array" ref="N15">IFERROR(INDEX(BAZA_KAT,MATCH($C15,BAZA_EX,0)),"")</f>
        <v/>
      </c>
      <c r="O15" s="5" t="str">
        <f t="array" ref="O15">IFERROR(INDEX(BAZA_COEFF,MATCH($C15,BAZA_EX,0)),"")</f>
        <v/>
      </c>
      <c r="P15" s="5" t="str">
        <f t="array" ref="P15">IFERROR(INDEX(BAZA_SKOK,MATCH($C15,BAZA_EX,0)),"")</f>
        <v/>
      </c>
      <c r="Q15" s="5" t="str">
        <f t="array" ref="Q15">IFERROR(INDEX(BAZA_PROG,MATCH($C15,BAZA_EX,0)),"")</f>
        <v/>
      </c>
      <c r="R15" s="5" t="str">
        <f>IF($C15="","",IF(SUMPRODUCT((START!$B$6:$B$69=$C15)*(START!$M$6:$M$69&gt;0))=0,"",SUMPRODUCT(MAX((START!$B$6:$B$69=$C15)*START!$M$6:$M$69))))</f>
        <v/>
      </c>
      <c r="S15" s="5" t="str">
        <f t="array" ref="S15">IFERROR(INDEX(TABELE!$B$4:$J$18,MATCH($E15,TABELE!$A$4:$A$18,0),MATCH($F15,TABELE!$B$3:$J$3,0)),"")</f>
        <v/>
      </c>
      <c r="T15" s="5">
        <f t="array" ref="T15">IFERROR(IF($C15="",0,$O15*$D15*INDEX(TABELE!$B$23:$P$33,MATCH($F15,TABELE!$A$23:$A$33,0),MATCH($E15,TABELE!$B$22:$P$22,0))),0)</f>
        <v>0</v>
      </c>
      <c r="U15" s="5">
        <f t="array" ref="U15">IFERROR(IF($C15="",0,$O15*$D15*INDEX(TABELE!$B$37:$P$47,MATCH($F15,TABELE!$A$37:$A$47,0),MATCH($E15,TABELE!$B$36:$P$36,0))),0)</f>
        <v>0</v>
      </c>
      <c r="V15" s="5">
        <f t="array" ref="V15">IFERROR(IF($C15="",0,$O15*$D15*INDEX(TABELE!$B$51:$P$61,MATCH($F15,TABELE!$A$51:$A$61,0),MATCH($E15,TABELE!$B$50:$P$50,0))),0)</f>
        <v>0</v>
      </c>
      <c r="W15" s="5" t="str">
        <f t="array" ref="W15">IFERROR(INDEX(BAZA_UWAGI,MATCH($C15,BAZA_EX,0)),"")</f>
        <v/>
      </c>
      <c r="X15" s="5">
        <f t="shared" si="1"/>
        <v>5</v>
      </c>
      <c r="Y15" s="5" t="str">
        <f t="shared" si="4"/>
        <v>E</v>
      </c>
      <c r="Z15" s="5">
        <f t="shared" si="5"/>
        <v>5</v>
      </c>
      <c r="AA15" s="5" t="str">
        <f>IF($C15="","",IF(SUMPRODUCT((START!$B$6:$B$69=$C15)*(START!$M$6:$M$69&gt;0))=0,"",SUMPRODUCT(MAX((START!$B$6:$B$69=$C15)*START!$M$6:$M$69))))</f>
        <v/>
      </c>
      <c r="AB15" s="5" t="str">
        <f t="shared" si="2"/>
        <v/>
      </c>
      <c r="AC15" s="5">
        <f>MAX(0.85,MIN(1.15,1+0.05*(COUNTIF('T1'!$AB15,"za łatwe")+COUNTIF('T2'!$AB15,"za łatwe"))-0.05*(COUNTIF('T1'!$AB15,"za trudne")+COUNTIF('T2'!$AB15,"za trudne"))))</f>
        <v>1</v>
      </c>
      <c r="AD15" s="5">
        <f t="shared" si="3"/>
        <v>0</v>
      </c>
    </row>
    <row r="16" ht="25.5" customHeight="1" outlineLevel="1">
      <c r="A16" s="18" t="str">
        <f>IF('T1'!$A16="","",'T1'!$A16)</f>
        <v/>
      </c>
      <c r="B16" s="30"/>
      <c r="C16" s="31" t="str">
        <f>IF('T1'!$C16="","",'T1'!$C16)</f>
        <v/>
      </c>
      <c r="D16" s="32"/>
      <c r="E16" s="39">
        <f>IF($C16="",0,MIN(15,MAX(1,IF(N($O16)&gt;=1,6,IF(N($O16)&gt;=0.75,IF(PRZEL_CZESC="część 1 (objętość)",8,6),IF(PRZEL_CZESC="część 1 (objętość)",10,8)))+2+$AD16)))</f>
        <v>0</v>
      </c>
      <c r="F16" s="33"/>
      <c r="G16" s="34" t="str">
        <f>IF($C16="","",IF(OR($Q16="masa ciała",$Q16="czas",$Q16="dystans",$Q16="ręczne ustawienie"),$Q16,IF($C16='T1'!$C16,IF(AND(LEFT($A16,1)&lt;&gt;"A",PRZEL_AKCESORIA="trzymaj z bloku"),IF(NOT(ISNUMBER('T1'!$G16)),'T1'!$G16,MROUND('T1'!$G16*$AC16/(MAX('T1'!$AC16,0.0001)),MAX($P16,0.5))),IF(OR($R16="",$R16=0),"— brak 1RM",MROUND($R16*$S16/100*$AC16,MAX($P16,0.5)))),IF(OR($AA16="",$AA16=0),"— ustaw ręcznie",MROUND($AA16*$S16/100*$AC16,MAX($P16,0.5))))))</f>
        <v/>
      </c>
      <c r="H16" s="35"/>
      <c r="I16" s="36" t="str">
        <f t="array" ref="I16">IFERROR(IF(IFERROR(INDEX(BAZA_FILM,MATCH($C16,BAZA_EX,0)),"")="","",HYPERLINK(IFERROR(INDEX(BAZA_FILM,MATCH($C16,BAZA_EX,0)),""),"film")),"")</f>
        <v/>
      </c>
      <c r="J16" s="37" t="str">
        <f>IF('T1'!$J16="","",'T1'!$J16)</f>
        <v/>
      </c>
      <c r="K16" s="5" t="s">
        <v>69</v>
      </c>
      <c r="L16" s="5" t="str">
        <f t="array" ref="L16">IFERROR(INDEX(BAZA_ID,MATCH($C16,BAZA_EX,0)),"")</f>
        <v/>
      </c>
      <c r="M16" s="5" t="str">
        <f t="array" ref="M16">IFERROR(INDEX(BAZA_PART,MATCH($C16,BAZA_EX,0)),"")</f>
        <v/>
      </c>
      <c r="N16" s="5" t="str">
        <f t="array" ref="N16">IFERROR(INDEX(BAZA_KAT,MATCH($C16,BAZA_EX,0)),"")</f>
        <v/>
      </c>
      <c r="O16" s="5" t="str">
        <f t="array" ref="O16">IFERROR(INDEX(BAZA_COEFF,MATCH($C16,BAZA_EX,0)),"")</f>
        <v/>
      </c>
      <c r="P16" s="5" t="str">
        <f t="array" ref="P16">IFERROR(INDEX(BAZA_SKOK,MATCH($C16,BAZA_EX,0)),"")</f>
        <v/>
      </c>
      <c r="Q16" s="5" t="str">
        <f t="array" ref="Q16">IFERROR(INDEX(BAZA_PROG,MATCH($C16,BAZA_EX,0)),"")</f>
        <v/>
      </c>
      <c r="R16" s="5" t="str">
        <f>IF($C16="","",IF(SUMPRODUCT((START!$B$6:$B$69=$C16)*(START!$M$6:$M$69&gt;0))=0,"",SUMPRODUCT(MAX((START!$B$6:$B$69=$C16)*START!$M$6:$M$69))))</f>
        <v/>
      </c>
      <c r="S16" s="5" t="str">
        <f t="array" ref="S16">IFERROR(INDEX(TABELE!$B$4:$J$18,MATCH($E16,TABELE!$A$4:$A$18,0),MATCH($F16,TABELE!$B$3:$J$3,0)),"")</f>
        <v/>
      </c>
      <c r="T16" s="5">
        <f t="array" ref="T16">IFERROR(IF($C16="",0,$O16*$D16*INDEX(TABELE!$B$23:$P$33,MATCH($F16,TABELE!$A$23:$A$33,0),MATCH($E16,TABELE!$B$22:$P$22,0))),0)</f>
        <v>0</v>
      </c>
      <c r="U16" s="5">
        <f t="array" ref="U16">IFERROR(IF($C16="",0,$O16*$D16*INDEX(TABELE!$B$37:$P$47,MATCH($F16,TABELE!$A$37:$A$47,0),MATCH($E16,TABELE!$B$36:$P$36,0))),0)</f>
        <v>0</v>
      </c>
      <c r="V16" s="5">
        <f t="array" ref="V16">IFERROR(IF($C16="",0,$O16*$D16*INDEX(TABELE!$B$51:$P$61,MATCH($F16,TABELE!$A$51:$A$61,0),MATCH($E16,TABELE!$B$50:$P$50,0))),0)</f>
        <v>0</v>
      </c>
      <c r="W16" s="5" t="str">
        <f t="array" ref="W16">IFERROR(INDEX(BAZA_UWAGI,MATCH($C16,BAZA_EX,0)),"")</f>
        <v/>
      </c>
      <c r="X16" s="5" t="str">
        <f t="shared" si="1"/>
        <v/>
      </c>
      <c r="Y16" s="5" t="str">
        <f t="shared" si="4"/>
        <v>E</v>
      </c>
      <c r="Z16" s="5">
        <f t="shared" si="5"/>
        <v>5</v>
      </c>
      <c r="AA16" s="5" t="str">
        <f>IF($C16="","",IF(SUMPRODUCT((START!$B$6:$B$69=$C16)*(START!$M$6:$M$69&gt;0))=0,"",SUMPRODUCT(MAX((START!$B$6:$B$69=$C16)*START!$M$6:$M$69))))</f>
        <v/>
      </c>
      <c r="AB16" s="5" t="str">
        <f t="shared" si="2"/>
        <v/>
      </c>
      <c r="AC16" s="5">
        <f>MAX(0.85,MIN(1.15,1+0.05*(COUNTIF('T1'!$AB16,"za łatwe")+COUNTIF('T2'!$AB16,"za łatwe"))-0.05*(COUNTIF('T1'!$AB16,"za trudne")+COUNTIF('T2'!$AB16,"za trudne"))))</f>
        <v>1</v>
      </c>
      <c r="AD16" s="5">
        <f t="shared" si="3"/>
        <v>0</v>
      </c>
    </row>
    <row r="17" ht="25.5" customHeight="1" outlineLevel="1">
      <c r="A17" s="18" t="str">
        <f>IF('T1'!$A17="","",'T1'!$A17)</f>
        <v/>
      </c>
      <c r="B17" s="30"/>
      <c r="C17" s="31" t="str">
        <f>IF('T1'!$C17="","",'T1'!$C17)</f>
        <v/>
      </c>
      <c r="D17" s="32"/>
      <c r="E17" s="39">
        <f>IF($C17="",0,MIN(15,MAX(1,IF(N($O17)&gt;=1,6,IF(N($O17)&gt;=0.75,IF(PRZEL_CZESC="część 1 (objętość)",8,6),IF(PRZEL_CZESC="część 1 (objętość)",10,8)))+2+$AD17)))</f>
        <v>0</v>
      </c>
      <c r="F17" s="33"/>
      <c r="G17" s="34" t="str">
        <f>IF($C17="","",IF(OR($Q17="masa ciała",$Q17="czas",$Q17="dystans",$Q17="ręczne ustawienie"),$Q17,IF($C17='T1'!$C17,IF(AND(LEFT($A17,1)&lt;&gt;"A",PRZEL_AKCESORIA="trzymaj z bloku"),IF(NOT(ISNUMBER('T1'!$G17)),'T1'!$G17,MROUND('T1'!$G17*$AC17/(MAX('T1'!$AC17,0.0001)),MAX($P17,0.5))),IF(OR($R17="",$R17=0),"— brak 1RM",MROUND($R17*$S17/100*$AC17,MAX($P17,0.5)))),IF(OR($AA17="",$AA17=0),"— ustaw ręcznie",MROUND($AA17*$S17/100*$AC17,MAX($P17,0.5))))))</f>
        <v/>
      </c>
      <c r="H17" s="35"/>
      <c r="I17" s="36" t="str">
        <f t="array" ref="I17">IFERROR(IF(IFERROR(INDEX(BAZA_FILM,MATCH($C17,BAZA_EX,0)),"")="","",HYPERLINK(IFERROR(INDEX(BAZA_FILM,MATCH($C17,BAZA_EX,0)),""),"film")),"")</f>
        <v/>
      </c>
      <c r="J17" s="37" t="str">
        <f>IF('T1'!$J17="","",'T1'!$J17)</f>
        <v/>
      </c>
      <c r="K17" s="5" t="s">
        <v>70</v>
      </c>
      <c r="L17" s="5" t="str">
        <f t="array" ref="L17">IFERROR(INDEX(BAZA_ID,MATCH($C17,BAZA_EX,0)),"")</f>
        <v/>
      </c>
      <c r="M17" s="5" t="str">
        <f t="array" ref="M17">IFERROR(INDEX(BAZA_PART,MATCH($C17,BAZA_EX,0)),"")</f>
        <v/>
      </c>
      <c r="N17" s="5" t="str">
        <f t="array" ref="N17">IFERROR(INDEX(BAZA_KAT,MATCH($C17,BAZA_EX,0)),"")</f>
        <v/>
      </c>
      <c r="O17" s="5" t="str">
        <f t="array" ref="O17">IFERROR(INDEX(BAZA_COEFF,MATCH($C17,BAZA_EX,0)),"")</f>
        <v/>
      </c>
      <c r="P17" s="5" t="str">
        <f t="array" ref="P17">IFERROR(INDEX(BAZA_SKOK,MATCH($C17,BAZA_EX,0)),"")</f>
        <v/>
      </c>
      <c r="Q17" s="5" t="str">
        <f t="array" ref="Q17">IFERROR(INDEX(BAZA_PROG,MATCH($C17,BAZA_EX,0)),"")</f>
        <v/>
      </c>
      <c r="R17" s="5" t="str">
        <f>IF($C17="","",IF(SUMPRODUCT((START!$B$6:$B$69=$C17)*(START!$M$6:$M$69&gt;0))=0,"",SUMPRODUCT(MAX((START!$B$6:$B$69=$C17)*START!$M$6:$M$69))))</f>
        <v/>
      </c>
      <c r="S17" s="5" t="str">
        <f t="array" ref="S17">IFERROR(INDEX(TABELE!$B$4:$J$18,MATCH($E17,TABELE!$A$4:$A$18,0),MATCH($F17,TABELE!$B$3:$J$3,0)),"")</f>
        <v/>
      </c>
      <c r="T17" s="5">
        <f t="array" ref="T17">IFERROR(IF($C17="",0,$O17*$D17*INDEX(TABELE!$B$23:$P$33,MATCH($F17,TABELE!$A$23:$A$33,0),MATCH($E17,TABELE!$B$22:$P$22,0))),0)</f>
        <v>0</v>
      </c>
      <c r="U17" s="5">
        <f t="array" ref="U17">IFERROR(IF($C17="",0,$O17*$D17*INDEX(TABELE!$B$37:$P$47,MATCH($F17,TABELE!$A$37:$A$47,0),MATCH($E17,TABELE!$B$36:$P$36,0))),0)</f>
        <v>0</v>
      </c>
      <c r="V17" s="5">
        <f t="array" ref="V17">IFERROR(IF($C17="",0,$O17*$D17*INDEX(TABELE!$B$51:$P$61,MATCH($F17,TABELE!$A$51:$A$61,0),MATCH($E17,TABELE!$B$50:$P$50,0))),0)</f>
        <v>0</v>
      </c>
      <c r="W17" s="5" t="str">
        <f t="array" ref="W17">IFERROR(INDEX(BAZA_UWAGI,MATCH($C17,BAZA_EX,0)),"")</f>
        <v/>
      </c>
      <c r="X17" s="5" t="str">
        <f t="shared" si="1"/>
        <v/>
      </c>
      <c r="Y17" s="5" t="str">
        <f t="shared" si="4"/>
        <v>E</v>
      </c>
      <c r="Z17" s="5">
        <f t="shared" si="5"/>
        <v>5</v>
      </c>
      <c r="AA17" s="5" t="str">
        <f>IF($C17="","",IF(SUMPRODUCT((START!$B$6:$B$69=$C17)*(START!$M$6:$M$69&gt;0))=0,"",SUMPRODUCT(MAX((START!$B$6:$B$69=$C17)*START!$M$6:$M$69))))</f>
        <v/>
      </c>
      <c r="AB17" s="5" t="str">
        <f t="shared" si="2"/>
        <v/>
      </c>
      <c r="AC17" s="5">
        <f>MAX(0.85,MIN(1.15,1+0.05*(COUNTIF('T1'!$AB17,"za łatwe")+COUNTIF('T2'!$AB17,"za łatwe"))-0.05*(COUNTIF('T1'!$AB17,"za trudne")+COUNTIF('T2'!$AB17,"za trudne"))))</f>
        <v>1</v>
      </c>
      <c r="AD17" s="5">
        <f t="shared" si="3"/>
        <v>0</v>
      </c>
    </row>
    <row r="18" ht="25.5" customHeight="1" outlineLevel="1">
      <c r="A18" s="18" t="str">
        <f>IF('T1'!$A18="","",'T1'!$A18)</f>
        <v/>
      </c>
      <c r="B18" s="30"/>
      <c r="C18" s="31" t="str">
        <f>IF('T1'!$C18="","",'T1'!$C18)</f>
        <v/>
      </c>
      <c r="D18" s="32"/>
      <c r="E18" s="39">
        <f>IF($C18="",0,MIN(15,MAX(1,IF(N($O18)&gt;=1,6,IF(N($O18)&gt;=0.75,IF(PRZEL_CZESC="część 1 (objętość)",8,6),IF(PRZEL_CZESC="część 1 (objętość)",10,8)))+2+$AD18)))</f>
        <v>0</v>
      </c>
      <c r="F18" s="33"/>
      <c r="G18" s="34" t="str">
        <f>IF($C18="","",IF(OR($Q18="masa ciała",$Q18="czas",$Q18="dystans",$Q18="ręczne ustawienie"),$Q18,IF($C18='T1'!$C18,IF(AND(LEFT($A18,1)&lt;&gt;"A",PRZEL_AKCESORIA="trzymaj z bloku"),IF(NOT(ISNUMBER('T1'!$G18)),'T1'!$G18,MROUND('T1'!$G18*$AC18/(MAX('T1'!$AC18,0.0001)),MAX($P18,0.5))),IF(OR($R18="",$R18=0),"— brak 1RM",MROUND($R18*$S18/100*$AC18,MAX($P18,0.5)))),IF(OR($AA18="",$AA18=0),"— ustaw ręcznie",MROUND($AA18*$S18/100*$AC18,MAX($P18,0.5))))))</f>
        <v/>
      </c>
      <c r="H18" s="35"/>
      <c r="I18" s="36" t="str">
        <f t="array" ref="I18">IFERROR(IF(IFERROR(INDEX(BAZA_FILM,MATCH($C18,BAZA_EX,0)),"")="","",HYPERLINK(IFERROR(INDEX(BAZA_FILM,MATCH($C18,BAZA_EX,0)),""),"film")),"")</f>
        <v/>
      </c>
      <c r="J18" s="37" t="str">
        <f>IF('T1'!$J18="","",'T1'!$J18)</f>
        <v/>
      </c>
      <c r="K18" s="5" t="s">
        <v>72</v>
      </c>
      <c r="L18" s="5" t="str">
        <f t="array" ref="L18">IFERROR(INDEX(BAZA_ID,MATCH($C18,BAZA_EX,0)),"")</f>
        <v/>
      </c>
      <c r="M18" s="5" t="str">
        <f t="array" ref="M18">IFERROR(INDEX(BAZA_PART,MATCH($C18,BAZA_EX,0)),"")</f>
        <v/>
      </c>
      <c r="N18" s="5" t="str">
        <f t="array" ref="N18">IFERROR(INDEX(BAZA_KAT,MATCH($C18,BAZA_EX,0)),"")</f>
        <v/>
      </c>
      <c r="O18" s="5" t="str">
        <f t="array" ref="O18">IFERROR(INDEX(BAZA_COEFF,MATCH($C18,BAZA_EX,0)),"")</f>
        <v/>
      </c>
      <c r="P18" s="5" t="str">
        <f t="array" ref="P18">IFERROR(INDEX(BAZA_SKOK,MATCH($C18,BAZA_EX,0)),"")</f>
        <v/>
      </c>
      <c r="Q18" s="5" t="str">
        <f t="array" ref="Q18">IFERROR(INDEX(BAZA_PROG,MATCH($C18,BAZA_EX,0)),"")</f>
        <v/>
      </c>
      <c r="R18" s="5" t="str">
        <f>IF($C18="","",IF(SUMPRODUCT((START!$B$6:$B$69=$C18)*(START!$M$6:$M$69&gt;0))=0,"",SUMPRODUCT(MAX((START!$B$6:$B$69=$C18)*START!$M$6:$M$69))))</f>
        <v/>
      </c>
      <c r="S18" s="5" t="str">
        <f t="array" ref="S18">IFERROR(INDEX(TABELE!$B$4:$J$18,MATCH($E18,TABELE!$A$4:$A$18,0),MATCH($F18,TABELE!$B$3:$J$3,0)),"")</f>
        <v/>
      </c>
      <c r="T18" s="5">
        <f t="array" ref="T18">IFERROR(IF($C18="",0,$O18*$D18*INDEX(TABELE!$B$23:$P$33,MATCH($F18,TABELE!$A$23:$A$33,0),MATCH($E18,TABELE!$B$22:$P$22,0))),0)</f>
        <v>0</v>
      </c>
      <c r="U18" s="5">
        <f t="array" ref="U18">IFERROR(IF($C18="",0,$O18*$D18*INDEX(TABELE!$B$37:$P$47,MATCH($F18,TABELE!$A$37:$A$47,0),MATCH($E18,TABELE!$B$36:$P$36,0))),0)</f>
        <v>0</v>
      </c>
      <c r="V18" s="5">
        <f t="array" ref="V18">IFERROR(IF($C18="",0,$O18*$D18*INDEX(TABELE!$B$51:$P$61,MATCH($F18,TABELE!$A$51:$A$61,0),MATCH($E18,TABELE!$B$50:$P$50,0))),0)</f>
        <v>0</v>
      </c>
      <c r="W18" s="5" t="str">
        <f t="array" ref="W18">IFERROR(INDEX(BAZA_UWAGI,MATCH($C18,BAZA_EX,0)),"")</f>
        <v/>
      </c>
      <c r="X18" s="5" t="str">
        <f t="shared" si="1"/>
        <v/>
      </c>
      <c r="Y18" s="5" t="str">
        <f t="shared" si="4"/>
        <v>E</v>
      </c>
      <c r="Z18" s="5">
        <f t="shared" si="5"/>
        <v>5</v>
      </c>
      <c r="AA18" s="5" t="str">
        <f>IF($C18="","",IF(SUMPRODUCT((START!$B$6:$B$69=$C18)*(START!$M$6:$M$69&gt;0))=0,"",SUMPRODUCT(MAX((START!$B$6:$B$69=$C18)*START!$M$6:$M$69))))</f>
        <v/>
      </c>
      <c r="AB18" s="5" t="str">
        <f t="shared" si="2"/>
        <v/>
      </c>
      <c r="AC18" s="5">
        <f>MAX(0.85,MIN(1.15,1+0.05*(COUNTIF('T1'!$AB18,"za łatwe")+COUNTIF('T2'!$AB18,"za łatwe"))-0.05*(COUNTIF('T1'!$AB18,"za trudne")+COUNTIF('T2'!$AB18,"za trudne"))))</f>
        <v>1</v>
      </c>
      <c r="AD18" s="5">
        <f t="shared" si="3"/>
        <v>0</v>
      </c>
    </row>
    <row r="19" ht="19.5" customHeight="1" outlineLevel="1">
      <c r="A19" s="43"/>
      <c r="B19" s="43"/>
      <c r="C19" s="44" t="s">
        <v>134</v>
      </c>
      <c r="D19" s="45">
        <f>SUMPRODUCT((C7:C18&lt;&gt;"")*D7:D18)+IF(AND($B$6="TOP SET",$C$6&lt;&gt;""),1,0)</f>
      </c>
      <c r="E19" s="46" t="str">
        <f>SUMPRODUCT((C7:C18&lt;&gt;"")*D7:D18*E7:E18)&amp;" powt."</f>
        <v>36 powt.</v>
      </c>
      <c r="F19" s="43"/>
      <c r="G19" s="47" t="str">
        <f>"stres t "&amp;TEXT(SUM(T7:T18),"0.0")</f>
        <v>stres t 1,1</v>
      </c>
      <c r="H19" s="48"/>
      <c r="I19" s="43"/>
      <c r="J19" s="4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25.5" customHeight="1" outlineLevel="1">
      <c r="A21" s="15" t="s">
        <v>73</v>
      </c>
      <c r="B21" s="3"/>
      <c r="C21" s="3"/>
      <c r="D21" s="3"/>
      <c r="E21" s="3"/>
      <c r="F21" s="3"/>
      <c r="G21" s="3"/>
      <c r="H21" s="3"/>
      <c r="I21" s="3"/>
      <c r="J21" s="4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33.75" customHeight="1" outlineLevel="2">
      <c r="A22" s="17" t="str">
        <f>IF($B22="TOP SET","▲","")</f>
        <v>▲</v>
      </c>
      <c r="B22" s="19" t="str">
        <f>IF('T1'!$B22="TOP SET","TOP SET","—")</f>
        <v>TOP SET</v>
      </c>
      <c r="C22" s="22" t="str">
        <f>IF(OR($B22&lt;&gt;"TOP SET",$F22=""),"",IF(N($K22)=0,"",IF(INDEX($C$23:$C$34,$K22)="","",INDEX($C$23:$C$34,$K22))))</f>
      </c>
      <c r="D22" s="23">
        <f>IF(AND($B22="TOP SET",$F22&lt;&gt;""),1,"")</f>
      </c>
      <c r="E22" s="24" t="str">
        <f>IF(AND($B22="TOP SET",$F22&lt;&gt;""),"1 powtórzenie","")</f>
      </c>
      <c r="F22" s="25">
        <v>6.5</v>
      </c>
      <c r="G22" s="27" t="str">
        <f t="array" ref="G22">IF($B22&lt;&gt;"TOP SET","",IF($C22="","",IF(OR($Q22="masa ciała",$Q22="czas",$Q22="dystans",$Q22="ręczne ustawienie"),"—",IF($C22='T1'!$C22,IF(OR($R22="",$R22=0),"— brak 1RM",MROUND($R22*IFERROR(INDEX(TABELE!$B$4:$J$18,MATCH(1,TABELE!$A$4:$A$18,0),MATCH($F22,TABELE!$B$3:$J$3,0)),0)/100,MAX($P22,0.5))),IF(OR($AA22="",$AA22=0),"— ustaw ręcznie",MROUND($AA22*IFERROR(INDEX(TABELE!$B$4:$J$18,MATCH(1,TABELE!$A$4:$A$18,0),MATCH($F22,TABELE!$B$3:$J$3,0)),0)/100,MAX($P22,0.5)))))))</f>
      </c>
      <c r="H22" s="28"/>
      <c r="I22" s="29"/>
      <c r="J22" s="29"/>
      <c r="K22" s="5">
        <f>IFERROR(MATCH("A*",$A$23:$A$34,0),0)</f>
      </c>
      <c r="L22" s="5"/>
      <c r="M22" s="5"/>
      <c r="N22" s="5"/>
      <c r="O22" s="5"/>
      <c r="P22" s="5">
        <f>IF(N($K22)=0,"",INDEX($P$23:$P$34,$K22))</f>
      </c>
      <c r="Q22" s="5">
        <f>IF(N($K22)=0,"",INDEX($Q$23:$Q$34,$K22))</f>
      </c>
      <c r="R22" s="5">
        <f>IF(N($K22)=0,"",INDEX($R$23:$R$34,$K22))</f>
      </c>
      <c r="S22" s="5"/>
      <c r="T22" s="5"/>
      <c r="U22" s="5"/>
      <c r="V22" s="5"/>
      <c r="W22" s="5"/>
      <c r="X22" s="5"/>
      <c r="Y22" s="5"/>
      <c r="Z22" s="5"/>
      <c r="AA22" s="5">
        <f>IF(N($K22)=0,"",INDEX($AA$23:$AA$34,$K22))</f>
      </c>
    </row>
    <row r="23" ht="25.5" customHeight="1" outlineLevel="1">
      <c r="A23" s="18" t="str">
        <f>IF('T1'!$A23="","",'T1'!$A23)</f>
        <v>A1.</v>
      </c>
      <c r="B23" s="30"/>
      <c r="C23" s="31" t="str">
        <f>IF('T1'!$C23="","",'T1'!$C23)</f>
        <v/>
      </c>
      <c r="D23" s="32">
        <v>5.0</v>
      </c>
      <c r="E23" s="32">
        <v>5.0</v>
      </c>
      <c r="F23" s="33">
        <v>7.0</v>
      </c>
      <c r="G23" s="34" t="str">
        <f>IF($C23="","",IF(OR($Q23="masa ciała",$Q23="czas",$Q23="dystans",$Q23="ręczne ustawienie"),$Q23,IF($C23='T1'!$C23,IF(AND(LEFT($A23,1)&lt;&gt;"A",PRZEL_AKCESORIA="trzymaj z bloku"),IF(NOT(ISNUMBER('T1'!$G23)),'T1'!$G23,MROUND('T1'!$G23*$AC23/(MAX('T1'!$AC23,0.0001)),MAX($P23,0.5))),IF(OR($R23="",$R23=0),"— brak 1RM",MROUND($R23*$S23/100*$AC23,MAX($P23,0.5)))),IF(OR($AA23="",$AA23=0),"— ustaw ręcznie",MROUND($AA23*$S23/100*$AC23,MAX($P23,0.5))))))</f>
        <v/>
      </c>
      <c r="H23" s="35"/>
      <c r="I23" s="36" t="str">
        <f t="array" ref="I23">IFERROR(IF(IFERROR(INDEX(BAZA_FILM,MATCH($C23,BAZA_EX,0)),"")="","",HYPERLINK(IFERROR(INDEX(BAZA_FILM,MATCH($C23,BAZA_EX,0)),""),"film")),"")</f>
        <v/>
      </c>
      <c r="J23" s="37" t="str">
        <f>IF('T1'!$J23="","",'T1'!$J23)</f>
        <v/>
      </c>
      <c r="K23" s="5" t="s">
        <v>74</v>
      </c>
      <c r="L23" s="5" t="str">
        <f t="array" ref="L23">IFERROR(INDEX(BAZA_ID,MATCH($C23,BAZA_EX,0)),"")</f>
        <v/>
      </c>
      <c r="M23" s="5" t="str">
        <f t="array" ref="M23">IFERROR(INDEX(BAZA_PART,MATCH($C23,BAZA_EX,0)),"")</f>
        <v/>
      </c>
      <c r="N23" s="5" t="str">
        <f t="array" ref="N23">IFERROR(INDEX(BAZA_KAT,MATCH($C23,BAZA_EX,0)),"")</f>
        <v/>
      </c>
      <c r="O23" s="5" t="str">
        <f t="array" ref="O23">IFERROR(INDEX(BAZA_COEFF,MATCH($C23,BAZA_EX,0)),"")</f>
        <v/>
      </c>
      <c r="P23" s="5" t="str">
        <f t="array" ref="P23">IFERROR(INDEX(BAZA_SKOK,MATCH($C23,BAZA_EX,0)),"")</f>
        <v/>
      </c>
      <c r="Q23" s="5" t="str">
        <f t="array" ref="Q23">IFERROR(INDEX(BAZA_PROG,MATCH($C23,BAZA_EX,0)),"")</f>
        <v/>
      </c>
      <c r="R23" s="5" t="str">
        <f>IF($C23="","",IF(SUMPRODUCT((START!$B$6:$B$69=$C23)*(START!$M$6:$M$69&gt;0))=0,"",SUMPRODUCT(MAX((START!$B$6:$B$69=$C23)*START!$M$6:$M$69))))</f>
        <v/>
      </c>
      <c r="S23" s="5">
        <f t="array" ref="S23">IFERROR(INDEX(TABELE!$B$4:$J$18,MATCH($E23,TABELE!$A$4:$A$18,0),MATCH($F23,TABELE!$B$3:$J$3,0)),"")</f>
        <v>74.5</v>
      </c>
      <c r="T23" s="5">
        <f t="array" ref="T23">IFERROR(IF($C23="",0,$O23*$D23*INDEX(TABELE!$B$23:$P$33,MATCH($F23,TABELE!$A$23:$A$33,0),MATCH($E23,TABELE!$B$22:$P$22,0))),0)</f>
        <v>0</v>
      </c>
      <c r="U23" s="5">
        <f t="array" ref="U23">IFERROR(IF($C23="",0,$O23*$D23*INDEX(TABELE!$B$37:$P$47,MATCH($F23,TABELE!$A$37:$A$47,0),MATCH($E23,TABELE!$B$36:$P$36,0))),0)</f>
        <v>0</v>
      </c>
      <c r="V23" s="5">
        <f t="array" ref="V23">IFERROR(IF($C23="",0,$O23*$D23*INDEX(TABELE!$B$51:$P$61,MATCH($F23,TABELE!$A$51:$A$61,0),MATCH($E23,TABELE!$B$50:$P$50,0))),0)</f>
        <v>0</v>
      </c>
      <c r="W23" s="5" t="str">
        <f t="array" ref="W23">IFERROR(INDEX(BAZA_UWAGI,MATCH($C23,BAZA_EX,0)),"")</f>
        <v/>
      </c>
      <c r="X23" s="5">
        <f t="shared" ref="X23:X34" si="6">IF($A23="","",$Z23)</f>
        <v>1</v>
      </c>
      <c r="Y23" s="5" t="str">
        <f>IF($A23="","",LEFT($A23,1))</f>
        <v>A</v>
      </c>
      <c r="Z23" s="5">
        <f>IF($A23="",0,1)</f>
        <v>1</v>
      </c>
      <c r="AA23" s="5" t="str">
        <f>IF($C23="","",IF(SUMPRODUCT((START!$B$6:$B$69=$C23)*(START!$M$6:$M$69&gt;0))=0,"",SUMPRODUCT(MAX((START!$B$6:$B$69=$C23)*START!$M$6:$M$69))))</f>
        <v/>
      </c>
      <c r="AB23" s="5" t="str">
        <f t="shared" ref="AB23:AB34" si="7">IF($C23="","",IF($H23&lt;&gt;"",$H23,IF($H$35="✓ ukończony","OK","")))</f>
        <v/>
      </c>
      <c r="AC23" s="5">
        <f>MAX(0.85,MIN(1.15,1+0.05*(COUNTIF('T1'!$AB23,"za łatwe")+COUNTIF('T2'!$AB23,"za łatwe"))-0.05*(COUNTIF('T1'!$AB23,"za trudne")+COUNTIF('T2'!$AB23,"za trudne"))))</f>
        <v>1</v>
      </c>
      <c r="AD23" s="5">
        <f t="shared" ref="AD23:AD34" si="8">IF(OR($Q23="masa ciała",$Q23="czas",$Q23="dystans",$Q23="ręczne ustawienie"),MAX(-3,MIN(3,ROUND(($AC23-1)/0.05,0))),0)</f>
        <v>0</v>
      </c>
    </row>
    <row r="24" ht="25.5" customHeight="1" outlineLevel="1">
      <c r="A24" s="18" t="str">
        <f>IF('T1'!$A24="","",'T1'!$A24)</f>
        <v>B1.</v>
      </c>
      <c r="B24" s="30"/>
      <c r="C24" s="31" t="str">
        <f>IF('T1'!$C24="","",'T1'!$C24)</f>
        <v/>
      </c>
      <c r="D24" s="32">
        <v>3.0</v>
      </c>
      <c r="E24" s="39">
        <f>IF($C24="",0,MIN(15,MAX(1,IF(N($O24)&gt;=1,6,IF(N($O24)&gt;=0.75,IF(PRZEL_CZESC="część 1 (objętość)",8,6),IF(PRZEL_CZESC="część 1 (objętość)",10,8)))+2+$AD24)))</f>
        <v>0</v>
      </c>
      <c r="F24" s="33">
        <v>8.0</v>
      </c>
      <c r="G24" s="34" t="str">
        <f>IF($C24="","",IF(OR($Q24="masa ciała",$Q24="czas",$Q24="dystans",$Q24="ręczne ustawienie"),$Q24,IF($C24='T1'!$C24,IF(AND(LEFT($A24,1)&lt;&gt;"A",PRZEL_AKCESORIA="trzymaj z bloku"),IF(NOT(ISNUMBER('T1'!$G24)),'T1'!$G24,MROUND('T1'!$G24*$AC24/(MAX('T1'!$AC24,0.0001)),MAX($P24,0.5))),IF(OR($R24="",$R24=0),"— brak 1RM",MROUND($R24*$S24/100*$AC24,MAX($P24,0.5)))),IF(OR($AA24="",$AA24=0),"— ustaw ręcznie",MROUND($AA24*$S24/100*$AC24,MAX($P24,0.5))))))</f>
        <v/>
      </c>
      <c r="H24" s="35"/>
      <c r="I24" s="36" t="str">
        <f t="array" ref="I24">IFERROR(IF(IFERROR(INDEX(BAZA_FILM,MATCH($C24,BAZA_EX,0)),"")="","",HYPERLINK(IFERROR(INDEX(BAZA_FILM,MATCH($C24,BAZA_EX,0)),""),"film")),"")</f>
        <v/>
      </c>
      <c r="J24" s="37" t="str">
        <f>IF('T1'!$J24="","",'T1'!$J24)</f>
        <v/>
      </c>
      <c r="K24" s="5" t="s">
        <v>75</v>
      </c>
      <c r="L24" s="5" t="str">
        <f t="array" ref="L24">IFERROR(INDEX(BAZA_ID,MATCH($C24,BAZA_EX,0)),"")</f>
        <v/>
      </c>
      <c r="M24" s="5" t="str">
        <f t="array" ref="M24">IFERROR(INDEX(BAZA_PART,MATCH($C24,BAZA_EX,0)),"")</f>
        <v/>
      </c>
      <c r="N24" s="5" t="str">
        <f t="array" ref="N24">IFERROR(INDEX(BAZA_KAT,MATCH($C24,BAZA_EX,0)),"")</f>
        <v/>
      </c>
      <c r="O24" s="5" t="str">
        <f t="array" ref="O24">IFERROR(INDEX(BAZA_COEFF,MATCH($C24,BAZA_EX,0)),"")</f>
        <v/>
      </c>
      <c r="P24" s="5" t="str">
        <f t="array" ref="P24">IFERROR(INDEX(BAZA_SKOK,MATCH($C24,BAZA_EX,0)),"")</f>
        <v/>
      </c>
      <c r="Q24" s="5" t="str">
        <f t="array" ref="Q24">IFERROR(INDEX(BAZA_PROG,MATCH($C24,BAZA_EX,0)),"")</f>
        <v/>
      </c>
      <c r="R24" s="5" t="str">
        <f>IF($C24="","",IF(SUMPRODUCT((START!$B$6:$B$69=$C24)*(START!$M$6:$M$69&gt;0))=0,"",SUMPRODUCT(MAX((START!$B$6:$B$69=$C24)*START!$M$6:$M$69))))</f>
        <v/>
      </c>
      <c r="S24" s="5" t="str">
        <f t="array" ref="S24">IFERROR(INDEX(TABELE!$B$4:$J$18,MATCH($E24,TABELE!$A$4:$A$18,0),MATCH($F24,TABELE!$B$3:$J$3,0)),"")</f>
        <v/>
      </c>
      <c r="T24" s="5">
        <f t="array" ref="T24">IFERROR(IF($C24="",0,$O24*$D24*INDEX(TABELE!$B$23:$P$33,MATCH($F24,TABELE!$A$23:$A$33,0),MATCH($E24,TABELE!$B$22:$P$22,0))),0)</f>
        <v>0</v>
      </c>
      <c r="U24" s="5">
        <f t="array" ref="U24">IFERROR(IF($C24="",0,$O24*$D24*INDEX(TABELE!$B$37:$P$47,MATCH($F24,TABELE!$A$37:$A$47,0),MATCH($E24,TABELE!$B$36:$P$36,0))),0)</f>
        <v>0</v>
      </c>
      <c r="V24" s="5">
        <f t="array" ref="V24">IFERROR(IF($C24="",0,$O24*$D24*INDEX(TABELE!$B$51:$P$61,MATCH($F24,TABELE!$A$51:$A$61,0),MATCH($E24,TABELE!$B$50:$P$50,0))),0)</f>
        <v>0</v>
      </c>
      <c r="W24" s="5" t="str">
        <f t="array" ref="W24">IFERROR(INDEX(BAZA_UWAGI,MATCH($C24,BAZA_EX,0)),"")</f>
        <v/>
      </c>
      <c r="X24" s="5">
        <f t="shared" si="6"/>
        <v>2</v>
      </c>
      <c r="Y24" s="5" t="str">
        <f t="shared" ref="Y24:Y34" si="9">IF($A24="",$Y23,LEFT($A24,1))</f>
        <v>B</v>
      </c>
      <c r="Z24" s="5">
        <f t="shared" ref="Z24:Z34" si="10">IF($A24="",$Z23,IF(LEFT($A24,1)=$Y23,$Z23,$Z23+1))</f>
        <v>2</v>
      </c>
      <c r="AA24" s="5" t="str">
        <f>IF($C24="","",IF(SUMPRODUCT((START!$B$6:$B$69=$C24)*(START!$M$6:$M$69&gt;0))=0,"",SUMPRODUCT(MAX((START!$B$6:$B$69=$C24)*START!$M$6:$M$69))))</f>
        <v/>
      </c>
      <c r="AB24" s="5" t="str">
        <f t="shared" si="7"/>
        <v/>
      </c>
      <c r="AC24" s="5">
        <f>MAX(0.85,MIN(1.15,1+0.05*(COUNTIF('T1'!$AB24,"za łatwe")+COUNTIF('T2'!$AB24,"za łatwe"))-0.05*(COUNTIF('T1'!$AB24,"za trudne")+COUNTIF('T2'!$AB24,"za trudne"))))</f>
        <v>1</v>
      </c>
      <c r="AD24" s="5">
        <f t="shared" si="8"/>
        <v>0</v>
      </c>
    </row>
    <row r="25" ht="25.5" customHeight="1" outlineLevel="1">
      <c r="A25" s="18" t="str">
        <f>IF('T1'!$A25="","",'T1'!$A25)</f>
        <v>B2.</v>
      </c>
      <c r="B25" s="30"/>
      <c r="C25" s="31" t="str">
        <f>IF('T1'!$C25="","",'T1'!$C25)</f>
        <v/>
      </c>
      <c r="D25" s="32">
        <v>3.0</v>
      </c>
      <c r="E25" s="39">
        <f>IF($C25="",0,MIN(15,MAX(1,IF(N($O25)&gt;=1,6,IF(N($O25)&gt;=0.75,IF(PRZEL_CZESC="część 1 (objętość)",8,6),IF(PRZEL_CZESC="część 1 (objętość)",10,8)))+2+$AD25)))</f>
        <v>0</v>
      </c>
      <c r="F25" s="33">
        <v>8.0</v>
      </c>
      <c r="G25" s="34" t="str">
        <f>IF($C25="","",IF(OR($Q25="masa ciała",$Q25="czas",$Q25="dystans",$Q25="ręczne ustawienie"),$Q25,IF($C25='T1'!$C25,IF(AND(LEFT($A25,1)&lt;&gt;"A",PRZEL_AKCESORIA="trzymaj z bloku"),IF(NOT(ISNUMBER('T1'!$G25)),'T1'!$G25,MROUND('T1'!$G25*$AC25/(MAX('T1'!$AC25,0.0001)),MAX($P25,0.5))),IF(OR($R25="",$R25=0),"— brak 1RM",MROUND($R25*$S25/100*$AC25,MAX($P25,0.5)))),IF(OR($AA25="",$AA25=0),"— ustaw ręcznie",MROUND($AA25*$S25/100*$AC25,MAX($P25,0.5))))))</f>
        <v/>
      </c>
      <c r="H25" s="35"/>
      <c r="I25" s="36" t="str">
        <f t="array" ref="I25">IFERROR(IF(IFERROR(INDEX(BAZA_FILM,MATCH($C25,BAZA_EX,0)),"")="","",HYPERLINK(IFERROR(INDEX(BAZA_FILM,MATCH($C25,BAZA_EX,0)),""),"film")),"")</f>
        <v/>
      </c>
      <c r="J25" s="37" t="str">
        <f>IF('T1'!$J25="","",'T1'!$J25)</f>
        <v/>
      </c>
      <c r="K25" s="5" t="s">
        <v>76</v>
      </c>
      <c r="L25" s="5" t="str">
        <f t="array" ref="L25">IFERROR(INDEX(BAZA_ID,MATCH($C25,BAZA_EX,0)),"")</f>
        <v/>
      </c>
      <c r="M25" s="5" t="str">
        <f t="array" ref="M25">IFERROR(INDEX(BAZA_PART,MATCH($C25,BAZA_EX,0)),"")</f>
        <v/>
      </c>
      <c r="N25" s="5" t="str">
        <f t="array" ref="N25">IFERROR(INDEX(BAZA_KAT,MATCH($C25,BAZA_EX,0)),"")</f>
        <v/>
      </c>
      <c r="O25" s="5" t="str">
        <f t="array" ref="O25">IFERROR(INDEX(BAZA_COEFF,MATCH($C25,BAZA_EX,0)),"")</f>
        <v/>
      </c>
      <c r="P25" s="5" t="str">
        <f t="array" ref="P25">IFERROR(INDEX(BAZA_SKOK,MATCH($C25,BAZA_EX,0)),"")</f>
        <v/>
      </c>
      <c r="Q25" s="5" t="str">
        <f t="array" ref="Q25">IFERROR(INDEX(BAZA_PROG,MATCH($C25,BAZA_EX,0)),"")</f>
        <v/>
      </c>
      <c r="R25" s="5" t="str">
        <f>IF($C25="","",IF(SUMPRODUCT((START!$B$6:$B$69=$C25)*(START!$M$6:$M$69&gt;0))=0,"",SUMPRODUCT(MAX((START!$B$6:$B$69=$C25)*START!$M$6:$M$69))))</f>
        <v/>
      </c>
      <c r="S25" s="5" t="str">
        <f t="array" ref="S25">IFERROR(INDEX(TABELE!$B$4:$J$18,MATCH($E25,TABELE!$A$4:$A$18,0),MATCH($F25,TABELE!$B$3:$J$3,0)),"")</f>
        <v/>
      </c>
      <c r="T25" s="5">
        <f t="array" ref="T25">IFERROR(IF($C25="",0,$O25*$D25*INDEX(TABELE!$B$23:$P$33,MATCH($F25,TABELE!$A$23:$A$33,0),MATCH($E25,TABELE!$B$22:$P$22,0))),0)</f>
        <v>0</v>
      </c>
      <c r="U25" s="5">
        <f t="array" ref="U25">IFERROR(IF($C25="",0,$O25*$D25*INDEX(TABELE!$B$37:$P$47,MATCH($F25,TABELE!$A$37:$A$47,0),MATCH($E25,TABELE!$B$36:$P$36,0))),0)</f>
        <v>0</v>
      </c>
      <c r="V25" s="5">
        <f t="array" ref="V25">IFERROR(IF($C25="",0,$O25*$D25*INDEX(TABELE!$B$51:$P$61,MATCH($F25,TABELE!$A$51:$A$61,0),MATCH($E25,TABELE!$B$50:$P$50,0))),0)</f>
        <v>0</v>
      </c>
      <c r="W25" s="5" t="str">
        <f t="array" ref="W25">IFERROR(INDEX(BAZA_UWAGI,MATCH($C25,BAZA_EX,0)),"")</f>
        <v/>
      </c>
      <c r="X25" s="5">
        <f t="shared" si="6"/>
        <v>2</v>
      </c>
      <c r="Y25" s="5" t="str">
        <f t="shared" si="9"/>
        <v>B</v>
      </c>
      <c r="Z25" s="5">
        <f t="shared" si="10"/>
        <v>2</v>
      </c>
      <c r="AA25" s="5" t="str">
        <f>IF($C25="","",IF(SUMPRODUCT((START!$B$6:$B$69=$C25)*(START!$M$6:$M$69&gt;0))=0,"",SUMPRODUCT(MAX((START!$B$6:$B$69=$C25)*START!$M$6:$M$69))))</f>
        <v/>
      </c>
      <c r="AB25" s="5" t="str">
        <f t="shared" si="7"/>
        <v/>
      </c>
      <c r="AC25" s="5">
        <f>MAX(0.85,MIN(1.15,1+0.05*(COUNTIF('T1'!$AB25,"za łatwe")+COUNTIF('T2'!$AB25,"za łatwe"))-0.05*(COUNTIF('T1'!$AB25,"za trudne")+COUNTIF('T2'!$AB25,"za trudne"))))</f>
        <v>1</v>
      </c>
      <c r="AD25" s="5">
        <f t="shared" si="8"/>
        <v>0</v>
      </c>
    </row>
    <row r="26" ht="25.5" customHeight="1" outlineLevel="1">
      <c r="A26" s="18" t="str">
        <f>IF('T1'!$A26="","",'T1'!$A26)</f>
        <v>C1.</v>
      </c>
      <c r="B26" s="30"/>
      <c r="C26" s="31" t="str">
        <f>IF('T1'!$C26="","",'T1'!$C26)</f>
        <v/>
      </c>
      <c r="D26" s="32">
        <v>3.0</v>
      </c>
      <c r="E26" s="39">
        <f>IF($C26="",0,MIN(15,MAX(1,IF(N($O26)&gt;=1,6,IF(N($O26)&gt;=0.75,IF(PRZEL_CZESC="część 1 (objętość)",8,6),IF(PRZEL_CZESC="część 1 (objętość)",10,8)))+2+$AD26)))</f>
        <v>0</v>
      </c>
      <c r="F26" s="33">
        <v>8.0</v>
      </c>
      <c r="G26" s="34" t="str">
        <f>IF($C26="","",IF(OR($Q26="masa ciała",$Q26="czas",$Q26="dystans",$Q26="ręczne ustawienie"),$Q26,IF($C26='T1'!$C26,IF(AND(LEFT($A26,1)&lt;&gt;"A",PRZEL_AKCESORIA="trzymaj z bloku"),IF(NOT(ISNUMBER('T1'!$G26)),'T1'!$G26,MROUND('T1'!$G26*$AC26/(MAX('T1'!$AC26,0.0001)),MAX($P26,0.5))),IF(OR($R26="",$R26=0),"— brak 1RM",MROUND($R26*$S26/100*$AC26,MAX($P26,0.5)))),IF(OR($AA26="",$AA26=0),"— ustaw ręcznie",MROUND($AA26*$S26/100*$AC26,MAX($P26,0.5))))))</f>
        <v/>
      </c>
      <c r="H26" s="35"/>
      <c r="I26" s="36" t="str">
        <f t="array" ref="I26">IFERROR(IF(IFERROR(INDEX(BAZA_FILM,MATCH($C26,BAZA_EX,0)),"")="","",HYPERLINK(IFERROR(INDEX(BAZA_FILM,MATCH($C26,BAZA_EX,0)),""),"film")),"")</f>
        <v/>
      </c>
      <c r="J26" s="37" t="str">
        <f>IF('T1'!$J26="","",'T1'!$J26)</f>
        <v/>
      </c>
      <c r="K26" s="5" t="s">
        <v>77</v>
      </c>
      <c r="L26" s="5" t="str">
        <f t="array" ref="L26">IFERROR(INDEX(BAZA_ID,MATCH($C26,BAZA_EX,0)),"")</f>
        <v/>
      </c>
      <c r="M26" s="5" t="str">
        <f t="array" ref="M26">IFERROR(INDEX(BAZA_PART,MATCH($C26,BAZA_EX,0)),"")</f>
        <v/>
      </c>
      <c r="N26" s="5" t="str">
        <f t="array" ref="N26">IFERROR(INDEX(BAZA_KAT,MATCH($C26,BAZA_EX,0)),"")</f>
        <v/>
      </c>
      <c r="O26" s="5" t="str">
        <f t="array" ref="O26">IFERROR(INDEX(BAZA_COEFF,MATCH($C26,BAZA_EX,0)),"")</f>
        <v/>
      </c>
      <c r="P26" s="5" t="str">
        <f t="array" ref="P26">IFERROR(INDEX(BAZA_SKOK,MATCH($C26,BAZA_EX,0)),"")</f>
        <v/>
      </c>
      <c r="Q26" s="5" t="str">
        <f t="array" ref="Q26">IFERROR(INDEX(BAZA_PROG,MATCH($C26,BAZA_EX,0)),"")</f>
        <v/>
      </c>
      <c r="R26" s="5" t="str">
        <f>IF($C26="","",IF(SUMPRODUCT((START!$B$6:$B$69=$C26)*(START!$M$6:$M$69&gt;0))=0,"",SUMPRODUCT(MAX((START!$B$6:$B$69=$C26)*START!$M$6:$M$69))))</f>
        <v/>
      </c>
      <c r="S26" s="5" t="str">
        <f t="array" ref="S26">IFERROR(INDEX(TABELE!$B$4:$J$18,MATCH($E26,TABELE!$A$4:$A$18,0),MATCH($F26,TABELE!$B$3:$J$3,0)),"")</f>
        <v/>
      </c>
      <c r="T26" s="5">
        <f t="array" ref="T26">IFERROR(IF($C26="",0,$O26*$D26*INDEX(TABELE!$B$23:$P$33,MATCH($F26,TABELE!$A$23:$A$33,0),MATCH($E26,TABELE!$B$22:$P$22,0))),0)</f>
        <v>0</v>
      </c>
      <c r="U26" s="5">
        <f t="array" ref="U26">IFERROR(IF($C26="",0,$O26*$D26*INDEX(TABELE!$B$37:$P$47,MATCH($F26,TABELE!$A$37:$A$47,0),MATCH($E26,TABELE!$B$36:$P$36,0))),0)</f>
        <v>0</v>
      </c>
      <c r="V26" s="5">
        <f t="array" ref="V26">IFERROR(IF($C26="",0,$O26*$D26*INDEX(TABELE!$B$51:$P$61,MATCH($F26,TABELE!$A$51:$A$61,0),MATCH($E26,TABELE!$B$50:$P$50,0))),0)</f>
        <v>0</v>
      </c>
      <c r="W26" s="5" t="str">
        <f t="array" ref="W26">IFERROR(INDEX(BAZA_UWAGI,MATCH($C26,BAZA_EX,0)),"")</f>
        <v/>
      </c>
      <c r="X26" s="5">
        <f t="shared" si="6"/>
        <v>3</v>
      </c>
      <c r="Y26" s="5" t="str">
        <f t="shared" si="9"/>
        <v>C</v>
      </c>
      <c r="Z26" s="5">
        <f t="shared" si="10"/>
        <v>3</v>
      </c>
      <c r="AA26" s="5" t="str">
        <f>IF($C26="","",IF(SUMPRODUCT((START!$B$6:$B$69=$C26)*(START!$M$6:$M$69&gt;0))=0,"",SUMPRODUCT(MAX((START!$B$6:$B$69=$C26)*START!$M$6:$M$69))))</f>
        <v/>
      </c>
      <c r="AB26" s="5" t="str">
        <f t="shared" si="7"/>
        <v/>
      </c>
      <c r="AC26" s="5">
        <f>MAX(0.85,MIN(1.15,1+0.05*(COUNTIF('T1'!$AB26,"za łatwe")+COUNTIF('T2'!$AB26,"za łatwe"))-0.05*(COUNTIF('T1'!$AB26,"za trudne")+COUNTIF('T2'!$AB26,"za trudne"))))</f>
        <v>1</v>
      </c>
      <c r="AD26" s="5">
        <f t="shared" si="8"/>
        <v>0</v>
      </c>
    </row>
    <row r="27" ht="25.5" customHeight="1" outlineLevel="1">
      <c r="A27" s="18" t="str">
        <f>IF('T1'!$A27="","",'T1'!$A27)</f>
        <v>C2.</v>
      </c>
      <c r="B27" s="30"/>
      <c r="C27" s="31" t="str">
        <f>IF('T1'!$C27="","",'T1'!$C27)</f>
        <v/>
      </c>
      <c r="D27" s="32">
        <v>3.0</v>
      </c>
      <c r="E27" s="39">
        <f>IF($C27="",0,MIN(15,MAX(1,IF(N($O27)&gt;=1,6,IF(N($O27)&gt;=0.75,IF(PRZEL_CZESC="część 1 (objętość)",8,6),IF(PRZEL_CZESC="część 1 (objętość)",10,8)))+2+$AD27)))</f>
        <v>0</v>
      </c>
      <c r="F27" s="33">
        <v>9.0</v>
      </c>
      <c r="G27" s="34" t="str">
        <f>IF($C27="","",IF(OR($Q27="masa ciała",$Q27="czas",$Q27="dystans",$Q27="ręczne ustawienie"),$Q27,IF($C27='T1'!$C27,IF(AND(LEFT($A27,1)&lt;&gt;"A",PRZEL_AKCESORIA="trzymaj z bloku"),IF(NOT(ISNUMBER('T1'!$G27)),'T1'!$G27,MROUND('T1'!$G27*$AC27/(MAX('T1'!$AC27,0.0001)),MAX($P27,0.5))),IF(OR($R27="",$R27=0),"— brak 1RM",MROUND($R27*$S27/100*$AC27,MAX($P27,0.5)))),IF(OR($AA27="",$AA27=0),"— ustaw ręcznie",MROUND($AA27*$S27/100*$AC27,MAX($P27,0.5))))))</f>
        <v/>
      </c>
      <c r="H27" s="35"/>
      <c r="I27" s="36" t="str">
        <f t="array" ref="I27">IFERROR(IF(IFERROR(INDEX(BAZA_FILM,MATCH($C27,BAZA_EX,0)),"")="","",HYPERLINK(IFERROR(INDEX(BAZA_FILM,MATCH($C27,BAZA_EX,0)),""),"film")),"")</f>
        <v/>
      </c>
      <c r="J27" s="37" t="str">
        <f>IF('T1'!$J27="","",'T1'!$J27)</f>
        <v/>
      </c>
      <c r="K27" s="5" t="s">
        <v>79</v>
      </c>
      <c r="L27" s="5" t="str">
        <f t="array" ref="L27">IFERROR(INDEX(BAZA_ID,MATCH($C27,BAZA_EX,0)),"")</f>
        <v/>
      </c>
      <c r="M27" s="5" t="str">
        <f t="array" ref="M27">IFERROR(INDEX(BAZA_PART,MATCH($C27,BAZA_EX,0)),"")</f>
        <v/>
      </c>
      <c r="N27" s="5" t="str">
        <f t="array" ref="N27">IFERROR(INDEX(BAZA_KAT,MATCH($C27,BAZA_EX,0)),"")</f>
        <v/>
      </c>
      <c r="O27" s="5" t="str">
        <f t="array" ref="O27">IFERROR(INDEX(BAZA_COEFF,MATCH($C27,BAZA_EX,0)),"")</f>
        <v/>
      </c>
      <c r="P27" s="5" t="str">
        <f t="array" ref="P27">IFERROR(INDEX(BAZA_SKOK,MATCH($C27,BAZA_EX,0)),"")</f>
        <v/>
      </c>
      <c r="Q27" s="5" t="str">
        <f t="array" ref="Q27">IFERROR(INDEX(BAZA_PROG,MATCH($C27,BAZA_EX,0)),"")</f>
        <v/>
      </c>
      <c r="R27" s="5" t="str">
        <f>IF($C27="","",IF(SUMPRODUCT((START!$B$6:$B$69=$C27)*(START!$M$6:$M$69&gt;0))=0,"",SUMPRODUCT(MAX((START!$B$6:$B$69=$C27)*START!$M$6:$M$69))))</f>
        <v/>
      </c>
      <c r="S27" s="5" t="str">
        <f t="array" ref="S27">IFERROR(INDEX(TABELE!$B$4:$J$18,MATCH($E27,TABELE!$A$4:$A$18,0),MATCH($F27,TABELE!$B$3:$J$3,0)),"")</f>
        <v/>
      </c>
      <c r="T27" s="5">
        <f t="array" ref="T27">IFERROR(IF($C27="",0,$O27*$D27*INDEX(TABELE!$B$23:$P$33,MATCH($F27,TABELE!$A$23:$A$33,0),MATCH($E27,TABELE!$B$22:$P$22,0))),0)</f>
        <v>0</v>
      </c>
      <c r="U27" s="5">
        <f t="array" ref="U27">IFERROR(IF($C27="",0,$O27*$D27*INDEX(TABELE!$B$37:$P$47,MATCH($F27,TABELE!$A$37:$A$47,0),MATCH($E27,TABELE!$B$36:$P$36,0))),0)</f>
        <v>0</v>
      </c>
      <c r="V27" s="5">
        <f t="array" ref="V27">IFERROR(IF($C27="",0,$O27*$D27*INDEX(TABELE!$B$51:$P$61,MATCH($F27,TABELE!$A$51:$A$61,0),MATCH($E27,TABELE!$B$50:$P$50,0))),0)</f>
        <v>0</v>
      </c>
      <c r="W27" s="5" t="str">
        <f t="array" ref="W27">IFERROR(INDEX(BAZA_UWAGI,MATCH($C27,BAZA_EX,0)),"")</f>
        <v/>
      </c>
      <c r="X27" s="5">
        <f t="shared" si="6"/>
        <v>3</v>
      </c>
      <c r="Y27" s="5" t="str">
        <f t="shared" si="9"/>
        <v>C</v>
      </c>
      <c r="Z27" s="5">
        <f t="shared" si="10"/>
        <v>3</v>
      </c>
      <c r="AA27" s="5" t="str">
        <f>IF($C27="","",IF(SUMPRODUCT((START!$B$6:$B$69=$C27)*(START!$M$6:$M$69&gt;0))=0,"",SUMPRODUCT(MAX((START!$B$6:$B$69=$C27)*START!$M$6:$M$69))))</f>
        <v/>
      </c>
      <c r="AB27" s="5" t="str">
        <f t="shared" si="7"/>
        <v/>
      </c>
      <c r="AC27" s="5">
        <f>MAX(0.85,MIN(1.15,1+0.05*(COUNTIF('T1'!$AB27,"za łatwe")+COUNTIF('T2'!$AB27,"za łatwe"))-0.05*(COUNTIF('T1'!$AB27,"za trudne")+COUNTIF('T2'!$AB27,"za trudne"))))</f>
        <v>1</v>
      </c>
      <c r="AD27" s="5">
        <f t="shared" si="8"/>
        <v>0</v>
      </c>
    </row>
    <row r="28" ht="25.5" customHeight="1" outlineLevel="1">
      <c r="A28" s="18" t="str">
        <f>IF('T1'!$A28="","",'T1'!$A28)</f>
        <v>D1.</v>
      </c>
      <c r="B28" s="30"/>
      <c r="C28" s="31" t="str">
        <f>IF('T1'!$C28="","",'T1'!$C28)</f>
        <v/>
      </c>
      <c r="D28" s="32">
        <v>3.0</v>
      </c>
      <c r="E28" s="39">
        <f>IF($C28="",0,MIN(15,MAX(1,IF(N($O28)&gt;=1,6,IF(N($O28)&gt;=0.75,IF(PRZEL_CZESC="część 1 (objętość)",8,6),IF(PRZEL_CZESC="część 1 (objętość)",10,8)))+2+$AD28)))</f>
        <v>0</v>
      </c>
      <c r="F28" s="33">
        <v>8.0</v>
      </c>
      <c r="G28" s="34" t="str">
        <f>IF($C28="","",IF(OR($Q28="masa ciała",$Q28="czas",$Q28="dystans",$Q28="ręczne ustawienie"),$Q28,IF($C28='T1'!$C28,IF(AND(LEFT($A28,1)&lt;&gt;"A",PRZEL_AKCESORIA="trzymaj z bloku"),IF(NOT(ISNUMBER('T1'!$G28)),'T1'!$G28,MROUND('T1'!$G28*$AC28/(MAX('T1'!$AC28,0.0001)),MAX($P28,0.5))),IF(OR($R28="",$R28=0),"— brak 1RM",MROUND($R28*$S28/100*$AC28,MAX($P28,0.5)))),IF(OR($AA28="",$AA28=0),"— ustaw ręcznie",MROUND($AA28*$S28/100*$AC28,MAX($P28,0.5))))))</f>
        <v/>
      </c>
      <c r="H28" s="35"/>
      <c r="I28" s="36" t="str">
        <f t="array" ref="I28">IFERROR(IF(IFERROR(INDEX(BAZA_FILM,MATCH($C28,BAZA_EX,0)),"")="","",HYPERLINK(IFERROR(INDEX(BAZA_FILM,MATCH($C28,BAZA_EX,0)),""),"film")),"")</f>
        <v/>
      </c>
      <c r="J28" s="37" t="str">
        <f>IF('T1'!$J28="","",'T1'!$J28)</f>
        <v/>
      </c>
      <c r="K28" s="5" t="s">
        <v>80</v>
      </c>
      <c r="L28" s="5" t="str">
        <f t="array" ref="L28">IFERROR(INDEX(BAZA_ID,MATCH($C28,BAZA_EX,0)),"")</f>
        <v/>
      </c>
      <c r="M28" s="5" t="str">
        <f t="array" ref="M28">IFERROR(INDEX(BAZA_PART,MATCH($C28,BAZA_EX,0)),"")</f>
        <v/>
      </c>
      <c r="N28" s="5" t="str">
        <f t="array" ref="N28">IFERROR(INDEX(BAZA_KAT,MATCH($C28,BAZA_EX,0)),"")</f>
        <v/>
      </c>
      <c r="O28" s="5" t="str">
        <f t="array" ref="O28">IFERROR(INDEX(BAZA_COEFF,MATCH($C28,BAZA_EX,0)),"")</f>
        <v/>
      </c>
      <c r="P28" s="5" t="str">
        <f t="array" ref="P28">IFERROR(INDEX(BAZA_SKOK,MATCH($C28,BAZA_EX,0)),"")</f>
        <v/>
      </c>
      <c r="Q28" s="5" t="str">
        <f t="array" ref="Q28">IFERROR(INDEX(BAZA_PROG,MATCH($C28,BAZA_EX,0)),"")</f>
        <v/>
      </c>
      <c r="R28" s="5" t="str">
        <f>IF($C28="","",IF(SUMPRODUCT((START!$B$6:$B$69=$C28)*(START!$M$6:$M$69&gt;0))=0,"",SUMPRODUCT(MAX((START!$B$6:$B$69=$C28)*START!$M$6:$M$69))))</f>
        <v/>
      </c>
      <c r="S28" s="5" t="str">
        <f t="array" ref="S28">IFERROR(INDEX(TABELE!$B$4:$J$18,MATCH($E28,TABELE!$A$4:$A$18,0),MATCH($F28,TABELE!$B$3:$J$3,0)),"")</f>
        <v/>
      </c>
      <c r="T28" s="5">
        <f t="array" ref="T28">IFERROR(IF($C28="",0,$O28*$D28*INDEX(TABELE!$B$23:$P$33,MATCH($F28,TABELE!$A$23:$A$33,0),MATCH($E28,TABELE!$B$22:$P$22,0))),0)</f>
        <v>0</v>
      </c>
      <c r="U28" s="5">
        <f t="array" ref="U28">IFERROR(IF($C28="",0,$O28*$D28*INDEX(TABELE!$B$37:$P$47,MATCH($F28,TABELE!$A$37:$A$47,0),MATCH($E28,TABELE!$B$36:$P$36,0))),0)</f>
        <v>0</v>
      </c>
      <c r="V28" s="5">
        <f t="array" ref="V28">IFERROR(IF($C28="",0,$O28*$D28*INDEX(TABELE!$B$51:$P$61,MATCH($F28,TABELE!$A$51:$A$61,0),MATCH($E28,TABELE!$B$50:$P$50,0))),0)</f>
        <v>0</v>
      </c>
      <c r="W28" s="5" t="str">
        <f t="array" ref="W28">IFERROR(INDEX(BAZA_UWAGI,MATCH($C28,BAZA_EX,0)),"")</f>
        <v/>
      </c>
      <c r="X28" s="5">
        <f t="shared" si="6"/>
        <v>4</v>
      </c>
      <c r="Y28" s="5" t="str">
        <f t="shared" si="9"/>
        <v>D</v>
      </c>
      <c r="Z28" s="5">
        <f t="shared" si="10"/>
        <v>4</v>
      </c>
      <c r="AA28" s="5" t="str">
        <f>IF($C28="","",IF(SUMPRODUCT((START!$B$6:$B$69=$C28)*(START!$M$6:$M$69&gt;0))=0,"",SUMPRODUCT(MAX((START!$B$6:$B$69=$C28)*START!$M$6:$M$69))))</f>
        <v/>
      </c>
      <c r="AB28" s="5" t="str">
        <f t="shared" si="7"/>
        <v/>
      </c>
      <c r="AC28" s="5">
        <f>MAX(0.85,MIN(1.15,1+0.05*(COUNTIF('T1'!$AB28,"za łatwe")+COUNTIF('T2'!$AB28,"za łatwe"))-0.05*(COUNTIF('T1'!$AB28,"za trudne")+COUNTIF('T2'!$AB28,"za trudne"))))</f>
        <v>1</v>
      </c>
      <c r="AD28" s="5">
        <f t="shared" si="8"/>
        <v>0</v>
      </c>
    </row>
    <row r="29" ht="25.5" customHeight="1" outlineLevel="1">
      <c r="A29" s="18" t="str">
        <f>IF('T1'!$A29="","",'T1'!$A29)</f>
        <v>D2.</v>
      </c>
      <c r="B29" s="30"/>
      <c r="C29" s="31" t="str">
        <f>IF('T1'!$C29="","",'T1'!$C29)</f>
        <v/>
      </c>
      <c r="D29" s="32">
        <v>3.0</v>
      </c>
      <c r="E29" s="39">
        <f>IF($C29="",0,MIN(15,MAX(1,IF(N($O29)&gt;=1,6,IF(N($O29)&gt;=0.75,IF(PRZEL_CZESC="część 1 (objętość)",8,6),IF(PRZEL_CZESC="część 1 (objętość)",10,8)))+2+$AD29)))</f>
        <v>0</v>
      </c>
      <c r="F29" s="33">
        <v>9.0</v>
      </c>
      <c r="G29" s="34" t="str">
        <f>IF($C29="","",IF(OR($Q29="masa ciała",$Q29="czas",$Q29="dystans",$Q29="ręczne ustawienie"),$Q29,IF($C29='T1'!$C29,IF(AND(LEFT($A29,1)&lt;&gt;"A",PRZEL_AKCESORIA="trzymaj z bloku"),IF(NOT(ISNUMBER('T1'!$G29)),'T1'!$G29,MROUND('T1'!$G29*$AC29/(MAX('T1'!$AC29,0.0001)),MAX($P29,0.5))),IF(OR($R29="",$R29=0),"— brak 1RM",MROUND($R29*$S29/100*$AC29,MAX($P29,0.5)))),IF(OR($AA29="",$AA29=0),"— ustaw ręcznie",MROUND($AA29*$S29/100*$AC29,MAX($P29,0.5))))))</f>
        <v/>
      </c>
      <c r="H29" s="35"/>
      <c r="I29" s="36" t="str">
        <f t="array" ref="I29">IFERROR(IF(IFERROR(INDEX(BAZA_FILM,MATCH($C29,BAZA_EX,0)),"")="","",HYPERLINK(IFERROR(INDEX(BAZA_FILM,MATCH($C29,BAZA_EX,0)),""),"film")),"")</f>
        <v/>
      </c>
      <c r="J29" s="37" t="str">
        <f>IF('T1'!$J29="","",'T1'!$J29)</f>
        <v/>
      </c>
      <c r="K29" s="5" t="s">
        <v>81</v>
      </c>
      <c r="L29" s="5" t="str">
        <f t="array" ref="L29">IFERROR(INDEX(BAZA_ID,MATCH($C29,BAZA_EX,0)),"")</f>
        <v/>
      </c>
      <c r="M29" s="5" t="str">
        <f t="array" ref="M29">IFERROR(INDEX(BAZA_PART,MATCH($C29,BAZA_EX,0)),"")</f>
        <v/>
      </c>
      <c r="N29" s="5" t="str">
        <f t="array" ref="N29">IFERROR(INDEX(BAZA_KAT,MATCH($C29,BAZA_EX,0)),"")</f>
        <v/>
      </c>
      <c r="O29" s="5" t="str">
        <f t="array" ref="O29">IFERROR(INDEX(BAZA_COEFF,MATCH($C29,BAZA_EX,0)),"")</f>
        <v/>
      </c>
      <c r="P29" s="5" t="str">
        <f t="array" ref="P29">IFERROR(INDEX(BAZA_SKOK,MATCH($C29,BAZA_EX,0)),"")</f>
        <v/>
      </c>
      <c r="Q29" s="5" t="str">
        <f t="array" ref="Q29">IFERROR(INDEX(BAZA_PROG,MATCH($C29,BAZA_EX,0)),"")</f>
        <v/>
      </c>
      <c r="R29" s="5" t="str">
        <f>IF($C29="","",IF(SUMPRODUCT((START!$B$6:$B$69=$C29)*(START!$M$6:$M$69&gt;0))=0,"",SUMPRODUCT(MAX((START!$B$6:$B$69=$C29)*START!$M$6:$M$69))))</f>
        <v/>
      </c>
      <c r="S29" s="5" t="str">
        <f t="array" ref="S29">IFERROR(INDEX(TABELE!$B$4:$J$18,MATCH($E29,TABELE!$A$4:$A$18,0),MATCH($F29,TABELE!$B$3:$J$3,0)),"")</f>
        <v/>
      </c>
      <c r="T29" s="5">
        <f t="array" ref="T29">IFERROR(IF($C29="",0,$O29*$D29*INDEX(TABELE!$B$23:$P$33,MATCH($F29,TABELE!$A$23:$A$33,0),MATCH($E29,TABELE!$B$22:$P$22,0))),0)</f>
        <v>0</v>
      </c>
      <c r="U29" s="5">
        <f t="array" ref="U29">IFERROR(IF($C29="",0,$O29*$D29*INDEX(TABELE!$B$37:$P$47,MATCH($F29,TABELE!$A$37:$A$47,0),MATCH($E29,TABELE!$B$36:$P$36,0))),0)</f>
        <v>0</v>
      </c>
      <c r="V29" s="5">
        <f t="array" ref="V29">IFERROR(IF($C29="",0,$O29*$D29*INDEX(TABELE!$B$51:$P$61,MATCH($F29,TABELE!$A$51:$A$61,0),MATCH($E29,TABELE!$B$50:$P$50,0))),0)</f>
        <v>0</v>
      </c>
      <c r="W29" s="5" t="str">
        <f t="array" ref="W29">IFERROR(INDEX(BAZA_UWAGI,MATCH($C29,BAZA_EX,0)),"")</f>
        <v/>
      </c>
      <c r="X29" s="5">
        <f t="shared" si="6"/>
        <v>4</v>
      </c>
      <c r="Y29" s="5" t="str">
        <f t="shared" si="9"/>
        <v>D</v>
      </c>
      <c r="Z29" s="5">
        <f t="shared" si="10"/>
        <v>4</v>
      </c>
      <c r="AA29" s="5" t="str">
        <f>IF($C29="","",IF(SUMPRODUCT((START!$B$6:$B$69=$C29)*(START!$M$6:$M$69&gt;0))=0,"",SUMPRODUCT(MAX((START!$B$6:$B$69=$C29)*START!$M$6:$M$69))))</f>
        <v/>
      </c>
      <c r="AB29" s="5" t="str">
        <f t="shared" si="7"/>
        <v/>
      </c>
      <c r="AC29" s="5">
        <f>MAX(0.85,MIN(1.15,1+0.05*(COUNTIF('T1'!$AB29,"za łatwe")+COUNTIF('T2'!$AB29,"za łatwe"))-0.05*(COUNTIF('T1'!$AB29,"za trudne")+COUNTIF('T2'!$AB29,"za trudne"))))</f>
        <v>1</v>
      </c>
      <c r="AD29" s="5">
        <f t="shared" si="8"/>
        <v>0</v>
      </c>
    </row>
    <row r="30" ht="25.5" customHeight="1" outlineLevel="1">
      <c r="A30" s="18" t="str">
        <f>IF('T1'!$A30="","",'T1'!$A30)</f>
        <v>E1.</v>
      </c>
      <c r="B30" s="30"/>
      <c r="C30" s="31" t="str">
        <f>IF('T1'!$C30="","",'T1'!$C30)</f>
        <v/>
      </c>
      <c r="D30" s="32"/>
      <c r="E30" s="39">
        <f>IF($C30="",0,MIN(15,MAX(1,IF(N($O30)&gt;=1,6,IF(N($O30)&gt;=0.75,IF(PRZEL_CZESC="część 1 (objętość)",8,6),IF(PRZEL_CZESC="część 1 (objętość)",10,8)))+2+$AD30)))</f>
        <v>0</v>
      </c>
      <c r="F30" s="33"/>
      <c r="G30" s="34" t="str">
        <f>IF($C30="","",IF(OR($Q30="masa ciała",$Q30="czas",$Q30="dystans",$Q30="ręczne ustawienie"),$Q30,IF($C30='T1'!$C30,IF(AND(LEFT($A30,1)&lt;&gt;"A",PRZEL_AKCESORIA="trzymaj z bloku"),IF(NOT(ISNUMBER('T1'!$G30)),'T1'!$G30,MROUND('T1'!$G30*$AC30/(MAX('T1'!$AC30,0.0001)),MAX($P30,0.5))),IF(OR($R30="",$R30=0),"— brak 1RM",MROUND($R30*$S30/100*$AC30,MAX($P30,0.5)))),IF(OR($AA30="",$AA30=0),"— ustaw ręcznie",MROUND($AA30*$S30/100*$AC30,MAX($P30,0.5))))))</f>
        <v/>
      </c>
      <c r="H30" s="35"/>
      <c r="I30" s="36" t="str">
        <f t="array" ref="I30">IFERROR(IF(IFERROR(INDEX(BAZA_FILM,MATCH($C30,BAZA_EX,0)),"")="","",HYPERLINK(IFERROR(INDEX(BAZA_FILM,MATCH($C30,BAZA_EX,0)),""),"film")),"")</f>
        <v/>
      </c>
      <c r="J30" s="37" t="str">
        <f>IF('T1'!$J30="","",'T1'!$J30)</f>
        <v/>
      </c>
      <c r="K30" s="5" t="s">
        <v>82</v>
      </c>
      <c r="L30" s="5" t="str">
        <f t="array" ref="L30">IFERROR(INDEX(BAZA_ID,MATCH($C30,BAZA_EX,0)),"")</f>
        <v/>
      </c>
      <c r="M30" s="5" t="str">
        <f t="array" ref="M30">IFERROR(INDEX(BAZA_PART,MATCH($C30,BAZA_EX,0)),"")</f>
        <v/>
      </c>
      <c r="N30" s="5" t="str">
        <f t="array" ref="N30">IFERROR(INDEX(BAZA_KAT,MATCH($C30,BAZA_EX,0)),"")</f>
        <v/>
      </c>
      <c r="O30" s="5" t="str">
        <f t="array" ref="O30">IFERROR(INDEX(BAZA_COEFF,MATCH($C30,BAZA_EX,0)),"")</f>
        <v/>
      </c>
      <c r="P30" s="5" t="str">
        <f t="array" ref="P30">IFERROR(INDEX(BAZA_SKOK,MATCH($C30,BAZA_EX,0)),"")</f>
        <v/>
      </c>
      <c r="Q30" s="5" t="str">
        <f t="array" ref="Q30">IFERROR(INDEX(BAZA_PROG,MATCH($C30,BAZA_EX,0)),"")</f>
        <v/>
      </c>
      <c r="R30" s="5" t="str">
        <f>IF($C30="","",IF(SUMPRODUCT((START!$B$6:$B$69=$C30)*(START!$M$6:$M$69&gt;0))=0,"",SUMPRODUCT(MAX((START!$B$6:$B$69=$C30)*START!$M$6:$M$69))))</f>
        <v/>
      </c>
      <c r="S30" s="5" t="str">
        <f t="array" ref="S30">IFERROR(INDEX(TABELE!$B$4:$J$18,MATCH($E30,TABELE!$A$4:$A$18,0),MATCH($F30,TABELE!$B$3:$J$3,0)),"")</f>
        <v/>
      </c>
      <c r="T30" s="5">
        <f t="array" ref="T30">IFERROR(IF($C30="",0,$O30*$D30*INDEX(TABELE!$B$23:$P$33,MATCH($F30,TABELE!$A$23:$A$33,0),MATCH($E30,TABELE!$B$22:$P$22,0))),0)</f>
        <v>0</v>
      </c>
      <c r="U30" s="5">
        <f t="array" ref="U30">IFERROR(IF($C30="",0,$O30*$D30*INDEX(TABELE!$B$37:$P$47,MATCH($F30,TABELE!$A$37:$A$47,0),MATCH($E30,TABELE!$B$36:$P$36,0))),0)</f>
        <v>0</v>
      </c>
      <c r="V30" s="5">
        <f t="array" ref="V30">IFERROR(IF($C30="",0,$O30*$D30*INDEX(TABELE!$B$51:$P$61,MATCH($F30,TABELE!$A$51:$A$61,0),MATCH($E30,TABELE!$B$50:$P$50,0))),0)</f>
        <v>0</v>
      </c>
      <c r="W30" s="5" t="str">
        <f t="array" ref="W30">IFERROR(INDEX(BAZA_UWAGI,MATCH($C30,BAZA_EX,0)),"")</f>
        <v/>
      </c>
      <c r="X30" s="5">
        <f t="shared" si="6"/>
        <v>5</v>
      </c>
      <c r="Y30" s="5" t="str">
        <f t="shared" si="9"/>
        <v>E</v>
      </c>
      <c r="Z30" s="5">
        <f t="shared" si="10"/>
        <v>5</v>
      </c>
      <c r="AA30" s="5" t="str">
        <f>IF($C30="","",IF(SUMPRODUCT((START!$B$6:$B$69=$C30)*(START!$M$6:$M$69&gt;0))=0,"",SUMPRODUCT(MAX((START!$B$6:$B$69=$C30)*START!$M$6:$M$69))))</f>
        <v/>
      </c>
      <c r="AB30" s="5" t="str">
        <f t="shared" si="7"/>
        <v/>
      </c>
      <c r="AC30" s="5">
        <f>MAX(0.85,MIN(1.15,1+0.05*(COUNTIF('T1'!$AB30,"za łatwe")+COUNTIF('T2'!$AB30,"za łatwe"))-0.05*(COUNTIF('T1'!$AB30,"za trudne")+COUNTIF('T2'!$AB30,"za trudne"))))</f>
        <v>1</v>
      </c>
      <c r="AD30" s="5">
        <f t="shared" si="8"/>
        <v>0</v>
      </c>
    </row>
    <row r="31" ht="25.5" customHeight="1" outlineLevel="1">
      <c r="A31" s="18" t="str">
        <f>IF('T1'!$A31="","",'T1'!$A31)</f>
        <v>E2.</v>
      </c>
      <c r="B31" s="30"/>
      <c r="C31" s="31" t="str">
        <f>IF('T1'!$C31="","",'T1'!$C31)</f>
        <v/>
      </c>
      <c r="D31" s="32"/>
      <c r="E31" s="39">
        <f>IF($C31="",0,MIN(15,MAX(1,IF(N($O31)&gt;=1,6,IF(N($O31)&gt;=0.75,IF(PRZEL_CZESC="część 1 (objętość)",8,6),IF(PRZEL_CZESC="część 1 (objętość)",10,8)))+2+$AD31)))</f>
        <v>0</v>
      </c>
      <c r="F31" s="33"/>
      <c r="G31" s="34" t="str">
        <f>IF($C31="","",IF(OR($Q31="masa ciała",$Q31="czas",$Q31="dystans",$Q31="ręczne ustawienie"),$Q31,IF($C31='T1'!$C31,IF(AND(LEFT($A31,1)&lt;&gt;"A",PRZEL_AKCESORIA="trzymaj z bloku"),IF(NOT(ISNUMBER('T1'!$G31)),'T1'!$G31,MROUND('T1'!$G31*$AC31/(MAX('T1'!$AC31,0.0001)),MAX($P31,0.5))),IF(OR($R31="",$R31=0),"— brak 1RM",MROUND($R31*$S31/100*$AC31,MAX($P31,0.5)))),IF(OR($AA31="",$AA31=0),"— ustaw ręcznie",MROUND($AA31*$S31/100*$AC31,MAX($P31,0.5))))))</f>
        <v/>
      </c>
      <c r="H31" s="35"/>
      <c r="I31" s="36" t="str">
        <f t="array" ref="I31">IFERROR(IF(IFERROR(INDEX(BAZA_FILM,MATCH($C31,BAZA_EX,0)),"")="","",HYPERLINK(IFERROR(INDEX(BAZA_FILM,MATCH($C31,BAZA_EX,0)),""),"film")),"")</f>
        <v/>
      </c>
      <c r="J31" s="37" t="str">
        <f>IF('T1'!$J31="","",'T1'!$J31)</f>
        <v/>
      </c>
      <c r="K31" s="5" t="s">
        <v>83</v>
      </c>
      <c r="L31" s="5" t="str">
        <f t="array" ref="L31">IFERROR(INDEX(BAZA_ID,MATCH($C31,BAZA_EX,0)),"")</f>
        <v/>
      </c>
      <c r="M31" s="5" t="str">
        <f t="array" ref="M31">IFERROR(INDEX(BAZA_PART,MATCH($C31,BAZA_EX,0)),"")</f>
        <v/>
      </c>
      <c r="N31" s="5" t="str">
        <f t="array" ref="N31">IFERROR(INDEX(BAZA_KAT,MATCH($C31,BAZA_EX,0)),"")</f>
        <v/>
      </c>
      <c r="O31" s="5" t="str">
        <f t="array" ref="O31">IFERROR(INDEX(BAZA_COEFF,MATCH($C31,BAZA_EX,0)),"")</f>
        <v/>
      </c>
      <c r="P31" s="5" t="str">
        <f t="array" ref="P31">IFERROR(INDEX(BAZA_SKOK,MATCH($C31,BAZA_EX,0)),"")</f>
        <v/>
      </c>
      <c r="Q31" s="5" t="str">
        <f t="array" ref="Q31">IFERROR(INDEX(BAZA_PROG,MATCH($C31,BAZA_EX,0)),"")</f>
        <v/>
      </c>
      <c r="R31" s="5" t="str">
        <f>IF($C31="","",IF(SUMPRODUCT((START!$B$6:$B$69=$C31)*(START!$M$6:$M$69&gt;0))=0,"",SUMPRODUCT(MAX((START!$B$6:$B$69=$C31)*START!$M$6:$M$69))))</f>
        <v/>
      </c>
      <c r="S31" s="5" t="str">
        <f t="array" ref="S31">IFERROR(INDEX(TABELE!$B$4:$J$18,MATCH($E31,TABELE!$A$4:$A$18,0),MATCH($F31,TABELE!$B$3:$J$3,0)),"")</f>
        <v/>
      </c>
      <c r="T31" s="5">
        <f t="array" ref="T31">IFERROR(IF($C31="",0,$O31*$D31*INDEX(TABELE!$B$23:$P$33,MATCH($F31,TABELE!$A$23:$A$33,0),MATCH($E31,TABELE!$B$22:$P$22,0))),0)</f>
        <v>0</v>
      </c>
      <c r="U31" s="5">
        <f t="array" ref="U31">IFERROR(IF($C31="",0,$O31*$D31*INDEX(TABELE!$B$37:$P$47,MATCH($F31,TABELE!$A$37:$A$47,0),MATCH($E31,TABELE!$B$36:$P$36,0))),0)</f>
        <v>0</v>
      </c>
      <c r="V31" s="5">
        <f t="array" ref="V31">IFERROR(IF($C31="",0,$O31*$D31*INDEX(TABELE!$B$51:$P$61,MATCH($F31,TABELE!$A$51:$A$61,0),MATCH($E31,TABELE!$B$50:$P$50,0))),0)</f>
        <v>0</v>
      </c>
      <c r="W31" s="5" t="str">
        <f t="array" ref="W31">IFERROR(INDEX(BAZA_UWAGI,MATCH($C31,BAZA_EX,0)),"")</f>
        <v/>
      </c>
      <c r="X31" s="5">
        <f t="shared" si="6"/>
        <v>5</v>
      </c>
      <c r="Y31" s="5" t="str">
        <f t="shared" si="9"/>
        <v>E</v>
      </c>
      <c r="Z31" s="5">
        <f t="shared" si="10"/>
        <v>5</v>
      </c>
      <c r="AA31" s="5" t="str">
        <f>IF($C31="","",IF(SUMPRODUCT((START!$B$6:$B$69=$C31)*(START!$M$6:$M$69&gt;0))=0,"",SUMPRODUCT(MAX((START!$B$6:$B$69=$C31)*START!$M$6:$M$69))))</f>
        <v/>
      </c>
      <c r="AB31" s="5" t="str">
        <f t="shared" si="7"/>
        <v/>
      </c>
      <c r="AC31" s="5">
        <f>MAX(0.85,MIN(1.15,1+0.05*(COUNTIF('T1'!$AB31,"za łatwe")+COUNTIF('T2'!$AB31,"za łatwe"))-0.05*(COUNTIF('T1'!$AB31,"za trudne")+COUNTIF('T2'!$AB31,"za trudne"))))</f>
        <v>1</v>
      </c>
      <c r="AD31" s="5">
        <f t="shared" si="8"/>
        <v>0</v>
      </c>
    </row>
    <row r="32" ht="25.5" customHeight="1" outlineLevel="1">
      <c r="A32" s="18" t="str">
        <f>IF('T1'!$A32="","",'T1'!$A32)</f>
        <v/>
      </c>
      <c r="B32" s="30"/>
      <c r="C32" s="31" t="str">
        <f>IF('T1'!$C32="","",'T1'!$C32)</f>
        <v/>
      </c>
      <c r="D32" s="32"/>
      <c r="E32" s="39">
        <f>IF($C32="",0,MIN(15,MAX(1,IF(N($O32)&gt;=1,6,IF(N($O32)&gt;=0.75,IF(PRZEL_CZESC="część 1 (objętość)",8,6),IF(PRZEL_CZESC="część 1 (objętość)",10,8)))+2+$AD32)))</f>
        <v>0</v>
      </c>
      <c r="F32" s="33"/>
      <c r="G32" s="34" t="str">
        <f>IF($C32="","",IF(OR($Q32="masa ciała",$Q32="czas",$Q32="dystans",$Q32="ręczne ustawienie"),$Q32,IF($C32='T1'!$C32,IF(AND(LEFT($A32,1)&lt;&gt;"A",PRZEL_AKCESORIA="trzymaj z bloku"),IF(NOT(ISNUMBER('T1'!$G32)),'T1'!$G32,MROUND('T1'!$G32*$AC32/(MAX('T1'!$AC32,0.0001)),MAX($P32,0.5))),IF(OR($R32="",$R32=0),"— brak 1RM",MROUND($R32*$S32/100*$AC32,MAX($P32,0.5)))),IF(OR($AA32="",$AA32=0),"— ustaw ręcznie",MROUND($AA32*$S32/100*$AC32,MAX($P32,0.5))))))</f>
        <v/>
      </c>
      <c r="H32" s="35"/>
      <c r="I32" s="36" t="str">
        <f t="array" ref="I32">IFERROR(IF(IFERROR(INDEX(BAZA_FILM,MATCH($C32,BAZA_EX,0)),"")="","",HYPERLINK(IFERROR(INDEX(BAZA_FILM,MATCH($C32,BAZA_EX,0)),""),"film")),"")</f>
        <v/>
      </c>
      <c r="J32" s="37" t="str">
        <f>IF('T1'!$J32="","",'T1'!$J32)</f>
        <v/>
      </c>
      <c r="K32" s="5" t="s">
        <v>85</v>
      </c>
      <c r="L32" s="5" t="str">
        <f t="array" ref="L32">IFERROR(INDEX(BAZA_ID,MATCH($C32,BAZA_EX,0)),"")</f>
        <v/>
      </c>
      <c r="M32" s="5" t="str">
        <f t="array" ref="M32">IFERROR(INDEX(BAZA_PART,MATCH($C32,BAZA_EX,0)),"")</f>
        <v/>
      </c>
      <c r="N32" s="5" t="str">
        <f t="array" ref="N32">IFERROR(INDEX(BAZA_KAT,MATCH($C32,BAZA_EX,0)),"")</f>
        <v/>
      </c>
      <c r="O32" s="5" t="str">
        <f t="array" ref="O32">IFERROR(INDEX(BAZA_COEFF,MATCH($C32,BAZA_EX,0)),"")</f>
        <v/>
      </c>
      <c r="P32" s="5" t="str">
        <f t="array" ref="P32">IFERROR(INDEX(BAZA_SKOK,MATCH($C32,BAZA_EX,0)),"")</f>
        <v/>
      </c>
      <c r="Q32" s="5" t="str">
        <f t="array" ref="Q32">IFERROR(INDEX(BAZA_PROG,MATCH($C32,BAZA_EX,0)),"")</f>
        <v/>
      </c>
      <c r="R32" s="5" t="str">
        <f>IF($C32="","",IF(SUMPRODUCT((START!$B$6:$B$69=$C32)*(START!$M$6:$M$69&gt;0))=0,"",SUMPRODUCT(MAX((START!$B$6:$B$69=$C32)*START!$M$6:$M$69))))</f>
        <v/>
      </c>
      <c r="S32" s="5" t="str">
        <f t="array" ref="S32">IFERROR(INDEX(TABELE!$B$4:$J$18,MATCH($E32,TABELE!$A$4:$A$18,0),MATCH($F32,TABELE!$B$3:$J$3,0)),"")</f>
        <v/>
      </c>
      <c r="T32" s="5">
        <f t="array" ref="T32">IFERROR(IF($C32="",0,$O32*$D32*INDEX(TABELE!$B$23:$P$33,MATCH($F32,TABELE!$A$23:$A$33,0),MATCH($E32,TABELE!$B$22:$P$22,0))),0)</f>
        <v>0</v>
      </c>
      <c r="U32" s="5">
        <f t="array" ref="U32">IFERROR(IF($C32="",0,$O32*$D32*INDEX(TABELE!$B$37:$P$47,MATCH($F32,TABELE!$A$37:$A$47,0),MATCH($E32,TABELE!$B$36:$P$36,0))),0)</f>
        <v>0</v>
      </c>
      <c r="V32" s="5">
        <f t="array" ref="V32">IFERROR(IF($C32="",0,$O32*$D32*INDEX(TABELE!$B$51:$P$61,MATCH($F32,TABELE!$A$51:$A$61,0),MATCH($E32,TABELE!$B$50:$P$50,0))),0)</f>
        <v>0</v>
      </c>
      <c r="W32" s="5" t="str">
        <f t="array" ref="W32">IFERROR(INDEX(BAZA_UWAGI,MATCH($C32,BAZA_EX,0)),"")</f>
        <v/>
      </c>
      <c r="X32" s="5" t="str">
        <f t="shared" si="6"/>
        <v/>
      </c>
      <c r="Y32" s="5" t="str">
        <f t="shared" si="9"/>
        <v>E</v>
      </c>
      <c r="Z32" s="5">
        <f t="shared" si="10"/>
        <v>5</v>
      </c>
      <c r="AA32" s="5" t="str">
        <f>IF($C32="","",IF(SUMPRODUCT((START!$B$6:$B$69=$C32)*(START!$M$6:$M$69&gt;0))=0,"",SUMPRODUCT(MAX((START!$B$6:$B$69=$C32)*START!$M$6:$M$69))))</f>
        <v/>
      </c>
      <c r="AB32" s="5" t="str">
        <f t="shared" si="7"/>
        <v/>
      </c>
      <c r="AC32" s="5">
        <f>MAX(0.85,MIN(1.15,1+0.05*(COUNTIF('T1'!$AB32,"za łatwe")+COUNTIF('T2'!$AB32,"za łatwe"))-0.05*(COUNTIF('T1'!$AB32,"za trudne")+COUNTIF('T2'!$AB32,"za trudne"))))</f>
        <v>1</v>
      </c>
      <c r="AD32" s="5">
        <f t="shared" si="8"/>
        <v>0</v>
      </c>
    </row>
    <row r="33" ht="25.5" customHeight="1" outlineLevel="1">
      <c r="A33" s="18" t="str">
        <f>IF('T1'!$A33="","",'T1'!$A33)</f>
        <v/>
      </c>
      <c r="B33" s="30"/>
      <c r="C33" s="31" t="str">
        <f>IF('T1'!$C33="","",'T1'!$C33)</f>
        <v/>
      </c>
      <c r="D33" s="32"/>
      <c r="E33" s="39">
        <f>IF($C33="",0,MIN(15,MAX(1,IF(N($O33)&gt;=1,6,IF(N($O33)&gt;=0.75,IF(PRZEL_CZESC="część 1 (objętość)",8,6),IF(PRZEL_CZESC="część 1 (objętość)",10,8)))+2+$AD33)))</f>
        <v>0</v>
      </c>
      <c r="F33" s="33"/>
      <c r="G33" s="34" t="str">
        <f>IF($C33="","",IF(OR($Q33="masa ciała",$Q33="czas",$Q33="dystans",$Q33="ręczne ustawienie"),$Q33,IF($C33='T1'!$C33,IF(AND(LEFT($A33,1)&lt;&gt;"A",PRZEL_AKCESORIA="trzymaj z bloku"),IF(NOT(ISNUMBER('T1'!$G33)),'T1'!$G33,MROUND('T1'!$G33*$AC33/(MAX('T1'!$AC33,0.0001)),MAX($P33,0.5))),IF(OR($R33="",$R33=0),"— brak 1RM",MROUND($R33*$S33/100*$AC33,MAX($P33,0.5)))),IF(OR($AA33="",$AA33=0),"— ustaw ręcznie",MROUND($AA33*$S33/100*$AC33,MAX($P33,0.5))))))</f>
        <v/>
      </c>
      <c r="H33" s="35"/>
      <c r="I33" s="36" t="str">
        <f t="array" ref="I33">IFERROR(IF(IFERROR(INDEX(BAZA_FILM,MATCH($C33,BAZA_EX,0)),"")="","",HYPERLINK(IFERROR(INDEX(BAZA_FILM,MATCH($C33,BAZA_EX,0)),""),"film")),"")</f>
        <v/>
      </c>
      <c r="J33" s="37" t="str">
        <f>IF('T1'!$J33="","",'T1'!$J33)</f>
        <v/>
      </c>
      <c r="K33" s="5" t="s">
        <v>86</v>
      </c>
      <c r="L33" s="5" t="str">
        <f t="array" ref="L33">IFERROR(INDEX(BAZA_ID,MATCH($C33,BAZA_EX,0)),"")</f>
        <v/>
      </c>
      <c r="M33" s="5" t="str">
        <f t="array" ref="M33">IFERROR(INDEX(BAZA_PART,MATCH($C33,BAZA_EX,0)),"")</f>
        <v/>
      </c>
      <c r="N33" s="5" t="str">
        <f t="array" ref="N33">IFERROR(INDEX(BAZA_KAT,MATCH($C33,BAZA_EX,0)),"")</f>
        <v/>
      </c>
      <c r="O33" s="5" t="str">
        <f t="array" ref="O33">IFERROR(INDEX(BAZA_COEFF,MATCH($C33,BAZA_EX,0)),"")</f>
        <v/>
      </c>
      <c r="P33" s="5" t="str">
        <f t="array" ref="P33">IFERROR(INDEX(BAZA_SKOK,MATCH($C33,BAZA_EX,0)),"")</f>
        <v/>
      </c>
      <c r="Q33" s="5" t="str">
        <f t="array" ref="Q33">IFERROR(INDEX(BAZA_PROG,MATCH($C33,BAZA_EX,0)),"")</f>
        <v/>
      </c>
      <c r="R33" s="5" t="str">
        <f>IF($C33="","",IF(SUMPRODUCT((START!$B$6:$B$69=$C33)*(START!$M$6:$M$69&gt;0))=0,"",SUMPRODUCT(MAX((START!$B$6:$B$69=$C33)*START!$M$6:$M$69))))</f>
        <v/>
      </c>
      <c r="S33" s="5" t="str">
        <f t="array" ref="S33">IFERROR(INDEX(TABELE!$B$4:$J$18,MATCH($E33,TABELE!$A$4:$A$18,0),MATCH($F33,TABELE!$B$3:$J$3,0)),"")</f>
        <v/>
      </c>
      <c r="T33" s="5">
        <f t="array" ref="T33">IFERROR(IF($C33="",0,$O33*$D33*INDEX(TABELE!$B$23:$P$33,MATCH($F33,TABELE!$A$23:$A$33,0),MATCH($E33,TABELE!$B$22:$P$22,0))),0)</f>
        <v>0</v>
      </c>
      <c r="U33" s="5">
        <f t="array" ref="U33">IFERROR(IF($C33="",0,$O33*$D33*INDEX(TABELE!$B$37:$P$47,MATCH($F33,TABELE!$A$37:$A$47,0),MATCH($E33,TABELE!$B$36:$P$36,0))),0)</f>
        <v>0</v>
      </c>
      <c r="V33" s="5">
        <f t="array" ref="V33">IFERROR(IF($C33="",0,$O33*$D33*INDEX(TABELE!$B$51:$P$61,MATCH($F33,TABELE!$A$51:$A$61,0),MATCH($E33,TABELE!$B$50:$P$50,0))),0)</f>
        <v>0</v>
      </c>
      <c r="W33" s="5" t="str">
        <f t="array" ref="W33">IFERROR(INDEX(BAZA_UWAGI,MATCH($C33,BAZA_EX,0)),"")</f>
        <v/>
      </c>
      <c r="X33" s="5" t="str">
        <f t="shared" si="6"/>
        <v/>
      </c>
      <c r="Y33" s="5" t="str">
        <f t="shared" si="9"/>
        <v>E</v>
      </c>
      <c r="Z33" s="5">
        <f t="shared" si="10"/>
        <v>5</v>
      </c>
      <c r="AA33" s="5" t="str">
        <f>IF($C33="","",IF(SUMPRODUCT((START!$B$6:$B$69=$C33)*(START!$M$6:$M$69&gt;0))=0,"",SUMPRODUCT(MAX((START!$B$6:$B$69=$C33)*START!$M$6:$M$69))))</f>
        <v/>
      </c>
      <c r="AB33" s="5" t="str">
        <f t="shared" si="7"/>
        <v/>
      </c>
      <c r="AC33" s="5">
        <f>MAX(0.85,MIN(1.15,1+0.05*(COUNTIF('T1'!$AB33,"za łatwe")+COUNTIF('T2'!$AB33,"za łatwe"))-0.05*(COUNTIF('T1'!$AB33,"za trudne")+COUNTIF('T2'!$AB33,"za trudne"))))</f>
        <v>1</v>
      </c>
      <c r="AD33" s="5">
        <f t="shared" si="8"/>
        <v>0</v>
      </c>
    </row>
    <row r="34" ht="25.5" customHeight="1" outlineLevel="1">
      <c r="A34" s="18" t="str">
        <f>IF('T1'!$A34="","",'T1'!$A34)</f>
        <v/>
      </c>
      <c r="B34" s="30"/>
      <c r="C34" s="31" t="str">
        <f>IF('T1'!$C34="","",'T1'!$C34)</f>
        <v/>
      </c>
      <c r="D34" s="32"/>
      <c r="E34" s="39">
        <f>IF($C34="",0,MIN(15,MAX(1,IF(N($O34)&gt;=1,6,IF(N($O34)&gt;=0.75,IF(PRZEL_CZESC="część 1 (objętość)",8,6),IF(PRZEL_CZESC="część 1 (objętość)",10,8)))+2+$AD34)))</f>
        <v>0</v>
      </c>
      <c r="F34" s="33"/>
      <c r="G34" s="34" t="str">
        <f>IF($C34="","",IF(OR($Q34="masa ciała",$Q34="czas",$Q34="dystans",$Q34="ręczne ustawienie"),$Q34,IF($C34='T1'!$C34,IF(AND(LEFT($A34,1)&lt;&gt;"A",PRZEL_AKCESORIA="trzymaj z bloku"),IF(NOT(ISNUMBER('T1'!$G34)),'T1'!$G34,MROUND('T1'!$G34*$AC34/(MAX('T1'!$AC34,0.0001)),MAX($P34,0.5))),IF(OR($R34="",$R34=0),"— brak 1RM",MROUND($R34*$S34/100*$AC34,MAX($P34,0.5)))),IF(OR($AA34="",$AA34=0),"— ustaw ręcznie",MROUND($AA34*$S34/100*$AC34,MAX($P34,0.5))))))</f>
        <v/>
      </c>
      <c r="H34" s="35"/>
      <c r="I34" s="36" t="str">
        <f t="array" ref="I34">IFERROR(IF(IFERROR(INDEX(BAZA_FILM,MATCH($C34,BAZA_EX,0)),"")="","",HYPERLINK(IFERROR(INDEX(BAZA_FILM,MATCH($C34,BAZA_EX,0)),""),"film")),"")</f>
        <v/>
      </c>
      <c r="J34" s="37" t="str">
        <f>IF('T1'!$J34="","",'T1'!$J34)</f>
        <v/>
      </c>
      <c r="K34" s="5" t="s">
        <v>87</v>
      </c>
      <c r="L34" s="5" t="str">
        <f t="array" ref="L34">IFERROR(INDEX(BAZA_ID,MATCH($C34,BAZA_EX,0)),"")</f>
        <v/>
      </c>
      <c r="M34" s="5" t="str">
        <f t="array" ref="M34">IFERROR(INDEX(BAZA_PART,MATCH($C34,BAZA_EX,0)),"")</f>
        <v/>
      </c>
      <c r="N34" s="5" t="str">
        <f t="array" ref="N34">IFERROR(INDEX(BAZA_KAT,MATCH($C34,BAZA_EX,0)),"")</f>
        <v/>
      </c>
      <c r="O34" s="5" t="str">
        <f t="array" ref="O34">IFERROR(INDEX(BAZA_COEFF,MATCH($C34,BAZA_EX,0)),"")</f>
        <v/>
      </c>
      <c r="P34" s="5" t="str">
        <f t="array" ref="P34">IFERROR(INDEX(BAZA_SKOK,MATCH($C34,BAZA_EX,0)),"")</f>
        <v/>
      </c>
      <c r="Q34" s="5" t="str">
        <f t="array" ref="Q34">IFERROR(INDEX(BAZA_PROG,MATCH($C34,BAZA_EX,0)),"")</f>
        <v/>
      </c>
      <c r="R34" s="5" t="str">
        <f>IF($C34="","",IF(SUMPRODUCT((START!$B$6:$B$69=$C34)*(START!$M$6:$M$69&gt;0))=0,"",SUMPRODUCT(MAX((START!$B$6:$B$69=$C34)*START!$M$6:$M$69))))</f>
        <v/>
      </c>
      <c r="S34" s="5" t="str">
        <f t="array" ref="S34">IFERROR(INDEX(TABELE!$B$4:$J$18,MATCH($E34,TABELE!$A$4:$A$18,0),MATCH($F34,TABELE!$B$3:$J$3,0)),"")</f>
        <v/>
      </c>
      <c r="T34" s="5">
        <f t="array" ref="T34">IFERROR(IF($C34="",0,$O34*$D34*INDEX(TABELE!$B$23:$P$33,MATCH($F34,TABELE!$A$23:$A$33,0),MATCH($E34,TABELE!$B$22:$P$22,0))),0)</f>
        <v>0</v>
      </c>
      <c r="U34" s="5">
        <f t="array" ref="U34">IFERROR(IF($C34="",0,$O34*$D34*INDEX(TABELE!$B$37:$P$47,MATCH($F34,TABELE!$A$37:$A$47,0),MATCH($E34,TABELE!$B$36:$P$36,0))),0)</f>
        <v>0</v>
      </c>
      <c r="V34" s="5">
        <f t="array" ref="V34">IFERROR(IF($C34="",0,$O34*$D34*INDEX(TABELE!$B$51:$P$61,MATCH($F34,TABELE!$A$51:$A$61,0),MATCH($E34,TABELE!$B$50:$P$50,0))),0)</f>
        <v>0</v>
      </c>
      <c r="W34" s="5" t="str">
        <f t="array" ref="W34">IFERROR(INDEX(BAZA_UWAGI,MATCH($C34,BAZA_EX,0)),"")</f>
        <v/>
      </c>
      <c r="X34" s="5" t="str">
        <f t="shared" si="6"/>
        <v/>
      </c>
      <c r="Y34" s="5" t="str">
        <f t="shared" si="9"/>
        <v>E</v>
      </c>
      <c r="Z34" s="5">
        <f t="shared" si="10"/>
        <v>5</v>
      </c>
      <c r="AA34" s="5" t="str">
        <f>IF($C34="","",IF(SUMPRODUCT((START!$B$6:$B$69=$C34)*(START!$M$6:$M$69&gt;0))=0,"",SUMPRODUCT(MAX((START!$B$6:$B$69=$C34)*START!$M$6:$M$69))))</f>
        <v/>
      </c>
      <c r="AB34" s="5" t="str">
        <f t="shared" si="7"/>
        <v/>
      </c>
      <c r="AC34" s="5">
        <f>MAX(0.85,MIN(1.15,1+0.05*(COUNTIF('T1'!$AB34,"za łatwe")+COUNTIF('T2'!$AB34,"za łatwe"))-0.05*(COUNTIF('T1'!$AB34,"za trudne")+COUNTIF('T2'!$AB34,"za trudne"))))</f>
        <v>1</v>
      </c>
      <c r="AD34" s="5">
        <f t="shared" si="8"/>
        <v>0</v>
      </c>
    </row>
    <row r="35" ht="19.5" customHeight="1" outlineLevel="1">
      <c r="A35" s="43"/>
      <c r="B35" s="43"/>
      <c r="C35" s="44" t="s">
        <v>136</v>
      </c>
      <c r="D35" s="45">
        <f>SUMPRODUCT((C23:C34&lt;&gt;"")*D23:D34)+IF(AND($B$22="TOP SET",$C$22&lt;&gt;""),1,0)</f>
      </c>
      <c r="E35" s="46" t="str">
        <f>SUMPRODUCT((C23:C34&lt;&gt;"")*D23:D34*E23:E34)&amp;" powt."</f>
        <v>0 powt.</v>
      </c>
      <c r="F35" s="43"/>
      <c r="G35" s="47" t="str">
        <f>"stres t "&amp;TEXT(SUM(T23:T34),"0.0")</f>
        <v>stres t 0,0</v>
      </c>
      <c r="H35" s="48"/>
      <c r="I35" s="43"/>
      <c r="J35" s="43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25.5" customHeight="1" outlineLevel="1">
      <c r="A37" s="15" t="s">
        <v>88</v>
      </c>
      <c r="B37" s="3"/>
      <c r="C37" s="3"/>
      <c r="D37" s="3"/>
      <c r="E37" s="3"/>
      <c r="F37" s="3"/>
      <c r="G37" s="3"/>
      <c r="H37" s="3"/>
      <c r="I37" s="3"/>
      <c r="J37" s="4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33.75" customHeight="1" outlineLevel="2">
      <c r="A38" s="17" t="str">
        <f>IF($B38="TOP SET","▲","")</f>
        <v>▲</v>
      </c>
      <c r="B38" s="19" t="str">
        <f>IF('T1'!$B38="TOP SET","TOP SET","—")</f>
        <v>TOP SET</v>
      </c>
      <c r="C38" s="22" t="str">
        <f>IF(OR($B38&lt;&gt;"TOP SET",$F38=""),"",IF(N($K38)=0,"",IF(INDEX($C$39:$C$50,$K38)="","",INDEX($C$39:$C$50,$K38))))</f>
      </c>
      <c r="D38" s="23">
        <f>IF(AND($B38="TOP SET",$F38&lt;&gt;""),1,"")</f>
      </c>
      <c r="E38" s="24" t="str">
        <f>IF(AND($B38="TOP SET",$F38&lt;&gt;""),"1 powtórzenie","")</f>
      </c>
      <c r="F38" s="25">
        <v>6.5</v>
      </c>
      <c r="G38" s="27" t="str">
        <f t="array" ref="G38">IF($B38&lt;&gt;"TOP SET","",IF($C38="","",IF(OR($Q38="masa ciała",$Q38="czas",$Q38="dystans",$Q38="ręczne ustawienie"),"—",IF($C38='T1'!$C38,IF(OR($R38="",$R38=0),"— brak 1RM",MROUND($R38*IFERROR(INDEX(TABELE!$B$4:$J$18,MATCH(1,TABELE!$A$4:$A$18,0),MATCH($F38,TABELE!$B$3:$J$3,0)),0)/100,MAX($P38,0.5))),IF(OR($AA38="",$AA38=0),"— ustaw ręcznie",MROUND($AA38*IFERROR(INDEX(TABELE!$B$4:$J$18,MATCH(1,TABELE!$A$4:$A$18,0),MATCH($F38,TABELE!$B$3:$J$3,0)),0)/100,MAX($P38,0.5)))))))</f>
      </c>
      <c r="H38" s="28"/>
      <c r="I38" s="29"/>
      <c r="J38" s="29"/>
      <c r="K38" s="5">
        <f>IFERROR(MATCH("A*",$A$39:$A$50,0),0)</f>
      </c>
      <c r="L38" s="5"/>
      <c r="M38" s="5"/>
      <c r="N38" s="5"/>
      <c r="O38" s="5"/>
      <c r="P38" s="5">
        <f>IF(N($K38)=0,"",INDEX($P$39:$P$50,$K38))</f>
      </c>
      <c r="Q38" s="5">
        <f>IF(N($K38)=0,"",INDEX($Q$39:$Q$50,$K38))</f>
      </c>
      <c r="R38" s="5">
        <f>IF(N($K38)=0,"",INDEX($R$39:$R$50,$K38))</f>
      </c>
      <c r="S38" s="5"/>
      <c r="T38" s="5"/>
      <c r="U38" s="5"/>
      <c r="V38" s="5"/>
      <c r="W38" s="5"/>
      <c r="X38" s="5"/>
      <c r="Y38" s="5"/>
      <c r="Z38" s="5"/>
      <c r="AA38" s="5">
        <f>IF(N($K38)=0,"",INDEX($AA$39:$AA$50,$K38))</f>
      </c>
    </row>
    <row r="39" ht="25.5" customHeight="1" outlineLevel="1">
      <c r="A39" s="18" t="str">
        <f>IF('T1'!$A39="","",'T1'!$A39)</f>
        <v>A1.</v>
      </c>
      <c r="B39" s="30"/>
      <c r="C39" s="31" t="str">
        <f>IF('T1'!$C39="","",'T1'!$C39)</f>
        <v/>
      </c>
      <c r="D39" s="32">
        <v>5.0</v>
      </c>
      <c r="E39" s="32">
        <v>5.0</v>
      </c>
      <c r="F39" s="33">
        <v>7.0</v>
      </c>
      <c r="G39" s="34" t="str">
        <f>IF($C39="","",IF(OR($Q39="masa ciała",$Q39="czas",$Q39="dystans",$Q39="ręczne ustawienie"),$Q39,IF($C39='T1'!$C39,IF(AND(LEFT($A39,1)&lt;&gt;"A",PRZEL_AKCESORIA="trzymaj z bloku"),IF(NOT(ISNUMBER('T1'!$G39)),'T1'!$G39,MROUND('T1'!$G39*$AC39/(MAX('T1'!$AC39,0.0001)),MAX($P39,0.5))),IF(OR($R39="",$R39=0),"— brak 1RM",MROUND($R39*$S39/100*$AC39,MAX($P39,0.5)))),IF(OR($AA39="",$AA39=0),"— ustaw ręcznie",MROUND($AA39*$S39/100*$AC39,MAX($P39,0.5))))))</f>
        <v/>
      </c>
      <c r="H39" s="35"/>
      <c r="I39" s="36" t="str">
        <f t="array" ref="I39">IFERROR(IF(IFERROR(INDEX(BAZA_FILM,MATCH($C39,BAZA_EX,0)),"")="","",HYPERLINK(IFERROR(INDEX(BAZA_FILM,MATCH($C39,BAZA_EX,0)),""),"film")),"")</f>
        <v/>
      </c>
      <c r="J39" s="37" t="str">
        <f>IF('T1'!$J39="","",'T1'!$J39)</f>
        <v/>
      </c>
      <c r="K39" s="5" t="s">
        <v>89</v>
      </c>
      <c r="L39" s="5" t="str">
        <f t="array" ref="L39">IFERROR(INDEX(BAZA_ID,MATCH($C39,BAZA_EX,0)),"")</f>
        <v/>
      </c>
      <c r="M39" s="5" t="str">
        <f t="array" ref="M39">IFERROR(INDEX(BAZA_PART,MATCH($C39,BAZA_EX,0)),"")</f>
        <v/>
      </c>
      <c r="N39" s="5" t="str">
        <f t="array" ref="N39">IFERROR(INDEX(BAZA_KAT,MATCH($C39,BAZA_EX,0)),"")</f>
        <v/>
      </c>
      <c r="O39" s="5" t="str">
        <f t="array" ref="O39">IFERROR(INDEX(BAZA_COEFF,MATCH($C39,BAZA_EX,0)),"")</f>
        <v/>
      </c>
      <c r="P39" s="5" t="str">
        <f t="array" ref="P39">IFERROR(INDEX(BAZA_SKOK,MATCH($C39,BAZA_EX,0)),"")</f>
        <v/>
      </c>
      <c r="Q39" s="5" t="str">
        <f t="array" ref="Q39">IFERROR(INDEX(BAZA_PROG,MATCH($C39,BAZA_EX,0)),"")</f>
        <v/>
      </c>
      <c r="R39" s="5" t="str">
        <f>IF($C39="","",IF(SUMPRODUCT((START!$B$6:$B$69=$C39)*(START!$M$6:$M$69&gt;0))=0,"",SUMPRODUCT(MAX((START!$B$6:$B$69=$C39)*START!$M$6:$M$69))))</f>
        <v/>
      </c>
      <c r="S39" s="5">
        <f t="array" ref="S39">IFERROR(INDEX(TABELE!$B$4:$J$18,MATCH($E39,TABELE!$A$4:$A$18,0),MATCH($F39,TABELE!$B$3:$J$3,0)),"")</f>
        <v>74.5</v>
      </c>
      <c r="T39" s="5">
        <f t="array" ref="T39">IFERROR(IF($C39="",0,$O39*$D39*INDEX(TABELE!$B$23:$P$33,MATCH($F39,TABELE!$A$23:$A$33,0),MATCH($E39,TABELE!$B$22:$P$22,0))),0)</f>
        <v>0</v>
      </c>
      <c r="U39" s="5">
        <f t="array" ref="U39">IFERROR(IF($C39="",0,$O39*$D39*INDEX(TABELE!$B$37:$P$47,MATCH($F39,TABELE!$A$37:$A$47,0),MATCH($E39,TABELE!$B$36:$P$36,0))),0)</f>
        <v>0</v>
      </c>
      <c r="V39" s="5">
        <f t="array" ref="V39">IFERROR(IF($C39="",0,$O39*$D39*INDEX(TABELE!$B$51:$P$61,MATCH($F39,TABELE!$A$51:$A$61,0),MATCH($E39,TABELE!$B$50:$P$50,0))),0)</f>
        <v>0</v>
      </c>
      <c r="W39" s="5" t="str">
        <f t="array" ref="W39">IFERROR(INDEX(BAZA_UWAGI,MATCH($C39,BAZA_EX,0)),"")</f>
        <v/>
      </c>
      <c r="X39" s="5">
        <f t="shared" ref="X39:X50" si="11">IF($A39="","",$Z39)</f>
        <v>1</v>
      </c>
      <c r="Y39" s="5" t="str">
        <f>IF($A39="","",LEFT($A39,1))</f>
        <v>A</v>
      </c>
      <c r="Z39" s="5">
        <f>IF($A39="",0,1)</f>
        <v>1</v>
      </c>
      <c r="AA39" s="5" t="str">
        <f>IF($C39="","",IF(SUMPRODUCT((START!$B$6:$B$69=$C39)*(START!$M$6:$M$69&gt;0))=0,"",SUMPRODUCT(MAX((START!$B$6:$B$69=$C39)*START!$M$6:$M$69))))</f>
        <v/>
      </c>
      <c r="AB39" s="5" t="str">
        <f t="shared" ref="AB39:AB50" si="12">IF($C39="","",IF($H39&lt;&gt;"",$H39,IF($H$51="✓ ukończony","OK","")))</f>
        <v/>
      </c>
      <c r="AC39" s="5">
        <f>MAX(0.85,MIN(1.15,1+0.05*(COUNTIF('T1'!$AB39,"za łatwe")+COUNTIF('T2'!$AB39,"za łatwe"))-0.05*(COUNTIF('T1'!$AB39,"za trudne")+COUNTIF('T2'!$AB39,"za trudne"))))</f>
        <v>1</v>
      </c>
      <c r="AD39" s="5">
        <f t="shared" ref="AD39:AD50" si="13">IF(OR($Q39="masa ciała",$Q39="czas",$Q39="dystans",$Q39="ręczne ustawienie"),MAX(-3,MIN(3,ROUND(($AC39-1)/0.05,0))),0)</f>
        <v>0</v>
      </c>
    </row>
    <row r="40" ht="25.5" customHeight="1" outlineLevel="1">
      <c r="A40" s="18" t="str">
        <f>IF('T1'!$A40="","",'T1'!$A40)</f>
        <v>B1.</v>
      </c>
      <c r="B40" s="30"/>
      <c r="C40" s="31" t="str">
        <f>IF('T1'!$C40="","",'T1'!$C40)</f>
        <v/>
      </c>
      <c r="D40" s="32">
        <v>3.0</v>
      </c>
      <c r="E40" s="39">
        <f>IF($C40="",0,MIN(15,MAX(1,IF(N($O40)&gt;=1,6,IF(N($O40)&gt;=0.75,IF(PRZEL_CZESC="część 1 (objętość)",8,6),IF(PRZEL_CZESC="część 1 (objętość)",10,8)))+2+$AD40)))</f>
        <v>0</v>
      </c>
      <c r="F40" s="33">
        <v>8.0</v>
      </c>
      <c r="G40" s="34" t="str">
        <f>IF($C40="","",IF(OR($Q40="masa ciała",$Q40="czas",$Q40="dystans",$Q40="ręczne ustawienie"),$Q40,IF($C40='T1'!$C40,IF(AND(LEFT($A40,1)&lt;&gt;"A",PRZEL_AKCESORIA="trzymaj z bloku"),IF(NOT(ISNUMBER('T1'!$G40)),'T1'!$G40,MROUND('T1'!$G40*$AC40/(MAX('T1'!$AC40,0.0001)),MAX($P40,0.5))),IF(OR($R40="",$R40=0),"— brak 1RM",MROUND($R40*$S40/100*$AC40,MAX($P40,0.5)))),IF(OR($AA40="",$AA40=0),"— ustaw ręcznie",MROUND($AA40*$S40/100*$AC40,MAX($P40,0.5))))))</f>
        <v/>
      </c>
      <c r="H40" s="35"/>
      <c r="I40" s="36" t="str">
        <f t="array" ref="I40">IFERROR(IF(IFERROR(INDEX(BAZA_FILM,MATCH($C40,BAZA_EX,0)),"")="","",HYPERLINK(IFERROR(INDEX(BAZA_FILM,MATCH($C40,BAZA_EX,0)),""),"film")),"")</f>
        <v/>
      </c>
      <c r="J40" s="37" t="str">
        <f>IF('T1'!$J40="","",'T1'!$J40)</f>
        <v/>
      </c>
      <c r="K40" s="5" t="s">
        <v>90</v>
      </c>
      <c r="L40" s="5" t="str">
        <f t="array" ref="L40">IFERROR(INDEX(BAZA_ID,MATCH($C40,BAZA_EX,0)),"")</f>
        <v/>
      </c>
      <c r="M40" s="5" t="str">
        <f t="array" ref="M40">IFERROR(INDEX(BAZA_PART,MATCH($C40,BAZA_EX,0)),"")</f>
        <v/>
      </c>
      <c r="N40" s="5" t="str">
        <f t="array" ref="N40">IFERROR(INDEX(BAZA_KAT,MATCH($C40,BAZA_EX,0)),"")</f>
        <v/>
      </c>
      <c r="O40" s="5" t="str">
        <f t="array" ref="O40">IFERROR(INDEX(BAZA_COEFF,MATCH($C40,BAZA_EX,0)),"")</f>
        <v/>
      </c>
      <c r="P40" s="5" t="str">
        <f t="array" ref="P40">IFERROR(INDEX(BAZA_SKOK,MATCH($C40,BAZA_EX,0)),"")</f>
        <v/>
      </c>
      <c r="Q40" s="5" t="str">
        <f t="array" ref="Q40">IFERROR(INDEX(BAZA_PROG,MATCH($C40,BAZA_EX,0)),"")</f>
        <v/>
      </c>
      <c r="R40" s="5" t="str">
        <f>IF($C40="","",IF(SUMPRODUCT((START!$B$6:$B$69=$C40)*(START!$M$6:$M$69&gt;0))=0,"",SUMPRODUCT(MAX((START!$B$6:$B$69=$C40)*START!$M$6:$M$69))))</f>
        <v/>
      </c>
      <c r="S40" s="5" t="str">
        <f t="array" ref="S40">IFERROR(INDEX(TABELE!$B$4:$J$18,MATCH($E40,TABELE!$A$4:$A$18,0),MATCH($F40,TABELE!$B$3:$J$3,0)),"")</f>
        <v/>
      </c>
      <c r="T40" s="5">
        <f t="array" ref="T40">IFERROR(IF($C40="",0,$O40*$D40*INDEX(TABELE!$B$23:$P$33,MATCH($F40,TABELE!$A$23:$A$33,0),MATCH($E40,TABELE!$B$22:$P$22,0))),0)</f>
        <v>0</v>
      </c>
      <c r="U40" s="5">
        <f t="array" ref="U40">IFERROR(IF($C40="",0,$O40*$D40*INDEX(TABELE!$B$37:$P$47,MATCH($F40,TABELE!$A$37:$A$47,0),MATCH($E40,TABELE!$B$36:$P$36,0))),0)</f>
        <v>0</v>
      </c>
      <c r="V40" s="5">
        <f t="array" ref="V40">IFERROR(IF($C40="",0,$O40*$D40*INDEX(TABELE!$B$51:$P$61,MATCH($F40,TABELE!$A$51:$A$61,0),MATCH($E40,TABELE!$B$50:$P$50,0))),0)</f>
        <v>0</v>
      </c>
      <c r="W40" s="5" t="str">
        <f t="array" ref="W40">IFERROR(INDEX(BAZA_UWAGI,MATCH($C40,BAZA_EX,0)),"")</f>
        <v/>
      </c>
      <c r="X40" s="5">
        <f t="shared" si="11"/>
        <v>2</v>
      </c>
      <c r="Y40" s="5" t="str">
        <f t="shared" ref="Y40:Y50" si="14">IF($A40="",$Y39,LEFT($A40,1))</f>
        <v>B</v>
      </c>
      <c r="Z40" s="5">
        <f t="shared" ref="Z40:Z50" si="15">IF($A40="",$Z39,IF(LEFT($A40,1)=$Y39,$Z39,$Z39+1))</f>
        <v>2</v>
      </c>
      <c r="AA40" s="5" t="str">
        <f>IF($C40="","",IF(SUMPRODUCT((START!$B$6:$B$69=$C40)*(START!$M$6:$M$69&gt;0))=0,"",SUMPRODUCT(MAX((START!$B$6:$B$69=$C40)*START!$M$6:$M$69))))</f>
        <v/>
      </c>
      <c r="AB40" s="5" t="str">
        <f t="shared" si="12"/>
        <v/>
      </c>
      <c r="AC40" s="5">
        <f>MAX(0.85,MIN(1.15,1+0.05*(COUNTIF('T1'!$AB40,"za łatwe")+COUNTIF('T2'!$AB40,"za łatwe"))-0.05*(COUNTIF('T1'!$AB40,"za trudne")+COUNTIF('T2'!$AB40,"za trudne"))))</f>
        <v>1</v>
      </c>
      <c r="AD40" s="5">
        <f t="shared" si="13"/>
        <v>0</v>
      </c>
    </row>
    <row r="41" ht="25.5" customHeight="1" outlineLevel="1">
      <c r="A41" s="18" t="str">
        <f>IF('T1'!$A41="","",'T1'!$A41)</f>
        <v>B2.</v>
      </c>
      <c r="B41" s="30"/>
      <c r="C41" s="31" t="str">
        <f>IF('T1'!$C41="","",'T1'!$C41)</f>
        <v/>
      </c>
      <c r="D41" s="32">
        <v>3.0</v>
      </c>
      <c r="E41" s="39">
        <f>IF($C41="",0,MIN(15,MAX(1,IF(N($O41)&gt;=1,6,IF(N($O41)&gt;=0.75,IF(PRZEL_CZESC="część 1 (objętość)",8,6),IF(PRZEL_CZESC="część 1 (objętość)",10,8)))+2+$AD41)))</f>
        <v>0</v>
      </c>
      <c r="F41" s="33">
        <v>8.0</v>
      </c>
      <c r="G41" s="34" t="str">
        <f>IF($C41="","",IF(OR($Q41="masa ciała",$Q41="czas",$Q41="dystans",$Q41="ręczne ustawienie"),$Q41,IF($C41='T1'!$C41,IF(AND(LEFT($A41,1)&lt;&gt;"A",PRZEL_AKCESORIA="trzymaj z bloku"),IF(NOT(ISNUMBER('T1'!$G41)),'T1'!$G41,MROUND('T1'!$G41*$AC41/(MAX('T1'!$AC41,0.0001)),MAX($P41,0.5))),IF(OR($R41="",$R41=0),"— brak 1RM",MROUND($R41*$S41/100*$AC41,MAX($P41,0.5)))),IF(OR($AA41="",$AA41=0),"— ustaw ręcznie",MROUND($AA41*$S41/100*$AC41,MAX($P41,0.5))))))</f>
        <v/>
      </c>
      <c r="H41" s="35"/>
      <c r="I41" s="36" t="str">
        <f t="array" ref="I41">IFERROR(IF(IFERROR(INDEX(BAZA_FILM,MATCH($C41,BAZA_EX,0)),"")="","",HYPERLINK(IFERROR(INDEX(BAZA_FILM,MATCH($C41,BAZA_EX,0)),""),"film")),"")</f>
        <v/>
      </c>
      <c r="J41" s="37" t="str">
        <f>IF('T1'!$J41="","",'T1'!$J41)</f>
        <v/>
      </c>
      <c r="K41" s="5" t="s">
        <v>91</v>
      </c>
      <c r="L41" s="5" t="str">
        <f t="array" ref="L41">IFERROR(INDEX(BAZA_ID,MATCH($C41,BAZA_EX,0)),"")</f>
        <v/>
      </c>
      <c r="M41" s="5" t="str">
        <f t="array" ref="M41">IFERROR(INDEX(BAZA_PART,MATCH($C41,BAZA_EX,0)),"")</f>
        <v/>
      </c>
      <c r="N41" s="5" t="str">
        <f t="array" ref="N41">IFERROR(INDEX(BAZA_KAT,MATCH($C41,BAZA_EX,0)),"")</f>
        <v/>
      </c>
      <c r="O41" s="5" t="str">
        <f t="array" ref="O41">IFERROR(INDEX(BAZA_COEFF,MATCH($C41,BAZA_EX,0)),"")</f>
        <v/>
      </c>
      <c r="P41" s="5" t="str">
        <f t="array" ref="P41">IFERROR(INDEX(BAZA_SKOK,MATCH($C41,BAZA_EX,0)),"")</f>
        <v/>
      </c>
      <c r="Q41" s="5" t="str">
        <f t="array" ref="Q41">IFERROR(INDEX(BAZA_PROG,MATCH($C41,BAZA_EX,0)),"")</f>
        <v/>
      </c>
      <c r="R41" s="5" t="str">
        <f>IF($C41="","",IF(SUMPRODUCT((START!$B$6:$B$69=$C41)*(START!$M$6:$M$69&gt;0))=0,"",SUMPRODUCT(MAX((START!$B$6:$B$69=$C41)*START!$M$6:$M$69))))</f>
        <v/>
      </c>
      <c r="S41" s="5" t="str">
        <f t="array" ref="S41">IFERROR(INDEX(TABELE!$B$4:$J$18,MATCH($E41,TABELE!$A$4:$A$18,0),MATCH($F41,TABELE!$B$3:$J$3,0)),"")</f>
        <v/>
      </c>
      <c r="T41" s="5">
        <f t="array" ref="T41">IFERROR(IF($C41="",0,$O41*$D41*INDEX(TABELE!$B$23:$P$33,MATCH($F41,TABELE!$A$23:$A$33,0),MATCH($E41,TABELE!$B$22:$P$22,0))),0)</f>
        <v>0</v>
      </c>
      <c r="U41" s="5">
        <f t="array" ref="U41">IFERROR(IF($C41="",0,$O41*$D41*INDEX(TABELE!$B$37:$P$47,MATCH($F41,TABELE!$A$37:$A$47,0),MATCH($E41,TABELE!$B$36:$P$36,0))),0)</f>
        <v>0</v>
      </c>
      <c r="V41" s="5">
        <f t="array" ref="V41">IFERROR(IF($C41="",0,$O41*$D41*INDEX(TABELE!$B$51:$P$61,MATCH($F41,TABELE!$A$51:$A$61,0),MATCH($E41,TABELE!$B$50:$P$50,0))),0)</f>
        <v>0</v>
      </c>
      <c r="W41" s="5" t="str">
        <f t="array" ref="W41">IFERROR(INDEX(BAZA_UWAGI,MATCH($C41,BAZA_EX,0)),"")</f>
        <v/>
      </c>
      <c r="X41" s="5">
        <f t="shared" si="11"/>
        <v>2</v>
      </c>
      <c r="Y41" s="5" t="str">
        <f t="shared" si="14"/>
        <v>B</v>
      </c>
      <c r="Z41" s="5">
        <f t="shared" si="15"/>
        <v>2</v>
      </c>
      <c r="AA41" s="5" t="str">
        <f>IF($C41="","",IF(SUMPRODUCT((START!$B$6:$B$69=$C41)*(START!$M$6:$M$69&gt;0))=0,"",SUMPRODUCT(MAX((START!$B$6:$B$69=$C41)*START!$M$6:$M$69))))</f>
        <v/>
      </c>
      <c r="AB41" s="5" t="str">
        <f t="shared" si="12"/>
        <v/>
      </c>
      <c r="AC41" s="5">
        <f>MAX(0.85,MIN(1.15,1+0.05*(COUNTIF('T1'!$AB41,"za łatwe")+COUNTIF('T2'!$AB41,"za łatwe"))-0.05*(COUNTIF('T1'!$AB41,"za trudne")+COUNTIF('T2'!$AB41,"za trudne"))))</f>
        <v>1</v>
      </c>
      <c r="AD41" s="5">
        <f t="shared" si="13"/>
        <v>0</v>
      </c>
    </row>
    <row r="42" ht="25.5" customHeight="1" outlineLevel="1">
      <c r="A42" s="18" t="str">
        <f>IF('T1'!$A42="","",'T1'!$A42)</f>
        <v>C1.</v>
      </c>
      <c r="B42" s="30"/>
      <c r="C42" s="31" t="str">
        <f>IF('T1'!$C42="","",'T1'!$C42)</f>
        <v/>
      </c>
      <c r="D42" s="32">
        <v>3.0</v>
      </c>
      <c r="E42" s="39">
        <f>IF($C42="",0,MIN(15,MAX(1,IF(N($O42)&gt;=1,6,IF(N($O42)&gt;=0.75,IF(PRZEL_CZESC="część 1 (objętość)",8,6),IF(PRZEL_CZESC="część 1 (objętość)",10,8)))+2+$AD42)))</f>
        <v>0</v>
      </c>
      <c r="F42" s="33">
        <v>8.0</v>
      </c>
      <c r="G42" s="34" t="str">
        <f>IF($C42="","",IF(OR($Q42="masa ciała",$Q42="czas",$Q42="dystans",$Q42="ręczne ustawienie"),$Q42,IF($C42='T1'!$C42,IF(AND(LEFT($A42,1)&lt;&gt;"A",PRZEL_AKCESORIA="trzymaj z bloku"),IF(NOT(ISNUMBER('T1'!$G42)),'T1'!$G42,MROUND('T1'!$G42*$AC42/(MAX('T1'!$AC42,0.0001)),MAX($P42,0.5))),IF(OR($R42="",$R42=0),"— brak 1RM",MROUND($R42*$S42/100*$AC42,MAX($P42,0.5)))),IF(OR($AA42="",$AA42=0),"— ustaw ręcznie",MROUND($AA42*$S42/100*$AC42,MAX($P42,0.5))))))</f>
        <v/>
      </c>
      <c r="H42" s="35"/>
      <c r="I42" s="36" t="str">
        <f t="array" ref="I42">IFERROR(IF(IFERROR(INDEX(BAZA_FILM,MATCH($C42,BAZA_EX,0)),"")="","",HYPERLINK(IFERROR(INDEX(BAZA_FILM,MATCH($C42,BAZA_EX,0)),""),"film")),"")</f>
        <v/>
      </c>
      <c r="J42" s="37" t="str">
        <f>IF('T1'!$J42="","",'T1'!$J42)</f>
        <v/>
      </c>
      <c r="K42" s="5" t="s">
        <v>92</v>
      </c>
      <c r="L42" s="5" t="str">
        <f t="array" ref="L42">IFERROR(INDEX(BAZA_ID,MATCH($C42,BAZA_EX,0)),"")</f>
        <v/>
      </c>
      <c r="M42" s="5" t="str">
        <f t="array" ref="M42">IFERROR(INDEX(BAZA_PART,MATCH($C42,BAZA_EX,0)),"")</f>
        <v/>
      </c>
      <c r="N42" s="5" t="str">
        <f t="array" ref="N42">IFERROR(INDEX(BAZA_KAT,MATCH($C42,BAZA_EX,0)),"")</f>
        <v/>
      </c>
      <c r="O42" s="5" t="str">
        <f t="array" ref="O42">IFERROR(INDEX(BAZA_COEFF,MATCH($C42,BAZA_EX,0)),"")</f>
        <v/>
      </c>
      <c r="P42" s="5" t="str">
        <f t="array" ref="P42">IFERROR(INDEX(BAZA_SKOK,MATCH($C42,BAZA_EX,0)),"")</f>
        <v/>
      </c>
      <c r="Q42" s="5" t="str">
        <f t="array" ref="Q42">IFERROR(INDEX(BAZA_PROG,MATCH($C42,BAZA_EX,0)),"")</f>
        <v/>
      </c>
      <c r="R42" s="5" t="str">
        <f>IF($C42="","",IF(SUMPRODUCT((START!$B$6:$B$69=$C42)*(START!$M$6:$M$69&gt;0))=0,"",SUMPRODUCT(MAX((START!$B$6:$B$69=$C42)*START!$M$6:$M$69))))</f>
        <v/>
      </c>
      <c r="S42" s="5" t="str">
        <f t="array" ref="S42">IFERROR(INDEX(TABELE!$B$4:$J$18,MATCH($E42,TABELE!$A$4:$A$18,0),MATCH($F42,TABELE!$B$3:$J$3,0)),"")</f>
        <v/>
      </c>
      <c r="T42" s="5">
        <f t="array" ref="T42">IFERROR(IF($C42="",0,$O42*$D42*INDEX(TABELE!$B$23:$P$33,MATCH($F42,TABELE!$A$23:$A$33,0),MATCH($E42,TABELE!$B$22:$P$22,0))),0)</f>
        <v>0</v>
      </c>
      <c r="U42" s="5">
        <f t="array" ref="U42">IFERROR(IF($C42="",0,$O42*$D42*INDEX(TABELE!$B$37:$P$47,MATCH($F42,TABELE!$A$37:$A$47,0),MATCH($E42,TABELE!$B$36:$P$36,0))),0)</f>
        <v>0</v>
      </c>
      <c r="V42" s="5">
        <f t="array" ref="V42">IFERROR(IF($C42="",0,$O42*$D42*INDEX(TABELE!$B$51:$P$61,MATCH($F42,TABELE!$A$51:$A$61,0),MATCH($E42,TABELE!$B$50:$P$50,0))),0)</f>
        <v>0</v>
      </c>
      <c r="W42" s="5" t="str">
        <f t="array" ref="W42">IFERROR(INDEX(BAZA_UWAGI,MATCH($C42,BAZA_EX,0)),"")</f>
        <v/>
      </c>
      <c r="X42" s="5">
        <f t="shared" si="11"/>
        <v>3</v>
      </c>
      <c r="Y42" s="5" t="str">
        <f t="shared" si="14"/>
        <v>C</v>
      </c>
      <c r="Z42" s="5">
        <f t="shared" si="15"/>
        <v>3</v>
      </c>
      <c r="AA42" s="5" t="str">
        <f>IF($C42="","",IF(SUMPRODUCT((START!$B$6:$B$69=$C42)*(START!$M$6:$M$69&gt;0))=0,"",SUMPRODUCT(MAX((START!$B$6:$B$69=$C42)*START!$M$6:$M$69))))</f>
        <v/>
      </c>
      <c r="AB42" s="5" t="str">
        <f t="shared" si="12"/>
        <v/>
      </c>
      <c r="AC42" s="5">
        <f>MAX(0.85,MIN(1.15,1+0.05*(COUNTIF('T1'!$AB42,"za łatwe")+COUNTIF('T2'!$AB42,"za łatwe"))-0.05*(COUNTIF('T1'!$AB42,"za trudne")+COUNTIF('T2'!$AB42,"za trudne"))))</f>
        <v>1</v>
      </c>
      <c r="AD42" s="5">
        <f t="shared" si="13"/>
        <v>0</v>
      </c>
    </row>
    <row r="43" ht="25.5" customHeight="1" outlineLevel="1">
      <c r="A43" s="18" t="str">
        <f>IF('T1'!$A43="","",'T1'!$A43)</f>
        <v>C2.</v>
      </c>
      <c r="B43" s="30"/>
      <c r="C43" s="31" t="str">
        <f>IF('T1'!$C43="","",'T1'!$C43)</f>
        <v/>
      </c>
      <c r="D43" s="32">
        <v>3.0</v>
      </c>
      <c r="E43" s="39">
        <f>IF($C43="",0,MIN(15,MAX(1,IF(N($O43)&gt;=1,6,IF(N($O43)&gt;=0.75,IF(PRZEL_CZESC="część 1 (objętość)",8,6),IF(PRZEL_CZESC="część 1 (objętość)",10,8)))+2+$AD43)))</f>
        <v>0</v>
      </c>
      <c r="F43" s="33">
        <v>9.0</v>
      </c>
      <c r="G43" s="34" t="str">
        <f>IF($C43="","",IF(OR($Q43="masa ciała",$Q43="czas",$Q43="dystans",$Q43="ręczne ustawienie"),$Q43,IF($C43='T1'!$C43,IF(AND(LEFT($A43,1)&lt;&gt;"A",PRZEL_AKCESORIA="trzymaj z bloku"),IF(NOT(ISNUMBER('T1'!$G43)),'T1'!$G43,MROUND('T1'!$G43*$AC43/(MAX('T1'!$AC43,0.0001)),MAX($P43,0.5))),IF(OR($R43="",$R43=0),"— brak 1RM",MROUND($R43*$S43/100*$AC43,MAX($P43,0.5)))),IF(OR($AA43="",$AA43=0),"— ustaw ręcznie",MROUND($AA43*$S43/100*$AC43,MAX($P43,0.5))))))</f>
        <v/>
      </c>
      <c r="H43" s="35"/>
      <c r="I43" s="36" t="str">
        <f t="array" ref="I43">IFERROR(IF(IFERROR(INDEX(BAZA_FILM,MATCH($C43,BAZA_EX,0)),"")="","",HYPERLINK(IFERROR(INDEX(BAZA_FILM,MATCH($C43,BAZA_EX,0)),""),"film")),"")</f>
        <v/>
      </c>
      <c r="J43" s="37" t="str">
        <f>IF('T1'!$J43="","",'T1'!$J43)</f>
        <v/>
      </c>
      <c r="K43" s="5" t="s">
        <v>94</v>
      </c>
      <c r="L43" s="5" t="str">
        <f t="array" ref="L43">IFERROR(INDEX(BAZA_ID,MATCH($C43,BAZA_EX,0)),"")</f>
        <v/>
      </c>
      <c r="M43" s="5" t="str">
        <f t="array" ref="M43">IFERROR(INDEX(BAZA_PART,MATCH($C43,BAZA_EX,0)),"")</f>
        <v/>
      </c>
      <c r="N43" s="5" t="str">
        <f t="array" ref="N43">IFERROR(INDEX(BAZA_KAT,MATCH($C43,BAZA_EX,0)),"")</f>
        <v/>
      </c>
      <c r="O43" s="5" t="str">
        <f t="array" ref="O43">IFERROR(INDEX(BAZA_COEFF,MATCH($C43,BAZA_EX,0)),"")</f>
        <v/>
      </c>
      <c r="P43" s="5" t="str">
        <f t="array" ref="P43">IFERROR(INDEX(BAZA_SKOK,MATCH($C43,BAZA_EX,0)),"")</f>
        <v/>
      </c>
      <c r="Q43" s="5" t="str">
        <f t="array" ref="Q43">IFERROR(INDEX(BAZA_PROG,MATCH($C43,BAZA_EX,0)),"")</f>
        <v/>
      </c>
      <c r="R43" s="5" t="str">
        <f>IF($C43="","",IF(SUMPRODUCT((START!$B$6:$B$69=$C43)*(START!$M$6:$M$69&gt;0))=0,"",SUMPRODUCT(MAX((START!$B$6:$B$69=$C43)*START!$M$6:$M$69))))</f>
        <v/>
      </c>
      <c r="S43" s="5" t="str">
        <f t="array" ref="S43">IFERROR(INDEX(TABELE!$B$4:$J$18,MATCH($E43,TABELE!$A$4:$A$18,0),MATCH($F43,TABELE!$B$3:$J$3,0)),"")</f>
        <v/>
      </c>
      <c r="T43" s="5">
        <f t="array" ref="T43">IFERROR(IF($C43="",0,$O43*$D43*INDEX(TABELE!$B$23:$P$33,MATCH($F43,TABELE!$A$23:$A$33,0),MATCH($E43,TABELE!$B$22:$P$22,0))),0)</f>
        <v>0</v>
      </c>
      <c r="U43" s="5">
        <f t="array" ref="U43">IFERROR(IF($C43="",0,$O43*$D43*INDEX(TABELE!$B$37:$P$47,MATCH($F43,TABELE!$A$37:$A$47,0),MATCH($E43,TABELE!$B$36:$P$36,0))),0)</f>
        <v>0</v>
      </c>
      <c r="V43" s="5">
        <f t="array" ref="V43">IFERROR(IF($C43="",0,$O43*$D43*INDEX(TABELE!$B$51:$P$61,MATCH($F43,TABELE!$A$51:$A$61,0),MATCH($E43,TABELE!$B$50:$P$50,0))),0)</f>
        <v>0</v>
      </c>
      <c r="W43" s="5" t="str">
        <f t="array" ref="W43">IFERROR(INDEX(BAZA_UWAGI,MATCH($C43,BAZA_EX,0)),"")</f>
        <v/>
      </c>
      <c r="X43" s="5">
        <f t="shared" si="11"/>
        <v>3</v>
      </c>
      <c r="Y43" s="5" t="str">
        <f t="shared" si="14"/>
        <v>C</v>
      </c>
      <c r="Z43" s="5">
        <f t="shared" si="15"/>
        <v>3</v>
      </c>
      <c r="AA43" s="5" t="str">
        <f>IF($C43="","",IF(SUMPRODUCT((START!$B$6:$B$69=$C43)*(START!$M$6:$M$69&gt;0))=0,"",SUMPRODUCT(MAX((START!$B$6:$B$69=$C43)*START!$M$6:$M$69))))</f>
        <v/>
      </c>
      <c r="AB43" s="5" t="str">
        <f t="shared" si="12"/>
        <v/>
      </c>
      <c r="AC43" s="5">
        <f>MAX(0.85,MIN(1.15,1+0.05*(COUNTIF('T1'!$AB43,"za łatwe")+COUNTIF('T2'!$AB43,"za łatwe"))-0.05*(COUNTIF('T1'!$AB43,"za trudne")+COUNTIF('T2'!$AB43,"za trudne"))))</f>
        <v>1</v>
      </c>
      <c r="AD43" s="5">
        <f t="shared" si="13"/>
        <v>0</v>
      </c>
    </row>
    <row r="44" ht="25.5" customHeight="1" outlineLevel="1">
      <c r="A44" s="18" t="str">
        <f>IF('T1'!$A44="","",'T1'!$A44)</f>
        <v>D1.</v>
      </c>
      <c r="B44" s="30"/>
      <c r="C44" s="31" t="str">
        <f>IF('T1'!$C44="","",'T1'!$C44)</f>
        <v/>
      </c>
      <c r="D44" s="32">
        <v>3.0</v>
      </c>
      <c r="E44" s="39">
        <f>IF($C44="",0,MIN(15,MAX(1,IF(N($O44)&gt;=1,6,IF(N($O44)&gt;=0.75,IF(PRZEL_CZESC="część 1 (objętość)",8,6),IF(PRZEL_CZESC="część 1 (objętość)",10,8)))+2+$AD44)))</f>
        <v>0</v>
      </c>
      <c r="F44" s="33">
        <v>8.0</v>
      </c>
      <c r="G44" s="34" t="str">
        <f>IF($C44="","",IF(OR($Q44="masa ciała",$Q44="czas",$Q44="dystans",$Q44="ręczne ustawienie"),$Q44,IF($C44='T1'!$C44,IF(AND(LEFT($A44,1)&lt;&gt;"A",PRZEL_AKCESORIA="trzymaj z bloku"),IF(NOT(ISNUMBER('T1'!$G44)),'T1'!$G44,MROUND('T1'!$G44*$AC44/(MAX('T1'!$AC44,0.0001)),MAX($P44,0.5))),IF(OR($R44="",$R44=0),"— brak 1RM",MROUND($R44*$S44/100*$AC44,MAX($P44,0.5)))),IF(OR($AA44="",$AA44=0),"— ustaw ręcznie",MROUND($AA44*$S44/100*$AC44,MAX($P44,0.5))))))</f>
        <v/>
      </c>
      <c r="H44" s="35"/>
      <c r="I44" s="36" t="str">
        <f t="array" ref="I44">IFERROR(IF(IFERROR(INDEX(BAZA_FILM,MATCH($C44,BAZA_EX,0)),"")="","",HYPERLINK(IFERROR(INDEX(BAZA_FILM,MATCH($C44,BAZA_EX,0)),""),"film")),"")</f>
        <v/>
      </c>
      <c r="J44" s="37" t="str">
        <f>IF('T1'!$J44="","",'T1'!$J44)</f>
        <v/>
      </c>
      <c r="K44" s="5" t="s">
        <v>95</v>
      </c>
      <c r="L44" s="5" t="str">
        <f t="array" ref="L44">IFERROR(INDEX(BAZA_ID,MATCH($C44,BAZA_EX,0)),"")</f>
        <v/>
      </c>
      <c r="M44" s="5" t="str">
        <f t="array" ref="M44">IFERROR(INDEX(BAZA_PART,MATCH($C44,BAZA_EX,0)),"")</f>
        <v/>
      </c>
      <c r="N44" s="5" t="str">
        <f t="array" ref="N44">IFERROR(INDEX(BAZA_KAT,MATCH($C44,BAZA_EX,0)),"")</f>
        <v/>
      </c>
      <c r="O44" s="5" t="str">
        <f t="array" ref="O44">IFERROR(INDEX(BAZA_COEFF,MATCH($C44,BAZA_EX,0)),"")</f>
        <v/>
      </c>
      <c r="P44" s="5" t="str">
        <f t="array" ref="P44">IFERROR(INDEX(BAZA_SKOK,MATCH($C44,BAZA_EX,0)),"")</f>
        <v/>
      </c>
      <c r="Q44" s="5" t="str">
        <f t="array" ref="Q44">IFERROR(INDEX(BAZA_PROG,MATCH($C44,BAZA_EX,0)),"")</f>
        <v/>
      </c>
      <c r="R44" s="5" t="str">
        <f>IF($C44="","",IF(SUMPRODUCT((START!$B$6:$B$69=$C44)*(START!$M$6:$M$69&gt;0))=0,"",SUMPRODUCT(MAX((START!$B$6:$B$69=$C44)*START!$M$6:$M$69))))</f>
        <v/>
      </c>
      <c r="S44" s="5" t="str">
        <f t="array" ref="S44">IFERROR(INDEX(TABELE!$B$4:$J$18,MATCH($E44,TABELE!$A$4:$A$18,0),MATCH($F44,TABELE!$B$3:$J$3,0)),"")</f>
        <v/>
      </c>
      <c r="T44" s="5">
        <f t="array" ref="T44">IFERROR(IF($C44="",0,$O44*$D44*INDEX(TABELE!$B$23:$P$33,MATCH($F44,TABELE!$A$23:$A$33,0),MATCH($E44,TABELE!$B$22:$P$22,0))),0)</f>
        <v>0</v>
      </c>
      <c r="U44" s="5">
        <f t="array" ref="U44">IFERROR(IF($C44="",0,$O44*$D44*INDEX(TABELE!$B$37:$P$47,MATCH($F44,TABELE!$A$37:$A$47,0),MATCH($E44,TABELE!$B$36:$P$36,0))),0)</f>
        <v>0</v>
      </c>
      <c r="V44" s="5">
        <f t="array" ref="V44">IFERROR(IF($C44="",0,$O44*$D44*INDEX(TABELE!$B$51:$P$61,MATCH($F44,TABELE!$A$51:$A$61,0),MATCH($E44,TABELE!$B$50:$P$50,0))),0)</f>
        <v>0</v>
      </c>
      <c r="W44" s="5" t="str">
        <f t="array" ref="W44">IFERROR(INDEX(BAZA_UWAGI,MATCH($C44,BAZA_EX,0)),"")</f>
        <v/>
      </c>
      <c r="X44" s="5">
        <f t="shared" si="11"/>
        <v>4</v>
      </c>
      <c r="Y44" s="5" t="str">
        <f t="shared" si="14"/>
        <v>D</v>
      </c>
      <c r="Z44" s="5">
        <f t="shared" si="15"/>
        <v>4</v>
      </c>
      <c r="AA44" s="5" t="str">
        <f>IF($C44="","",IF(SUMPRODUCT((START!$B$6:$B$69=$C44)*(START!$M$6:$M$69&gt;0))=0,"",SUMPRODUCT(MAX((START!$B$6:$B$69=$C44)*START!$M$6:$M$69))))</f>
        <v/>
      </c>
      <c r="AB44" s="5" t="str">
        <f t="shared" si="12"/>
        <v/>
      </c>
      <c r="AC44" s="5">
        <f>MAX(0.85,MIN(1.15,1+0.05*(COUNTIF('T1'!$AB44,"za łatwe")+COUNTIF('T2'!$AB44,"za łatwe"))-0.05*(COUNTIF('T1'!$AB44,"za trudne")+COUNTIF('T2'!$AB44,"za trudne"))))</f>
        <v>1</v>
      </c>
      <c r="AD44" s="5">
        <f t="shared" si="13"/>
        <v>0</v>
      </c>
    </row>
    <row r="45" ht="25.5" customHeight="1" outlineLevel="1">
      <c r="A45" s="18" t="str">
        <f>IF('T1'!$A45="","",'T1'!$A45)</f>
        <v>D2.</v>
      </c>
      <c r="B45" s="30"/>
      <c r="C45" s="31" t="str">
        <f>IF('T1'!$C45="","",'T1'!$C45)</f>
        <v/>
      </c>
      <c r="D45" s="32">
        <v>3.0</v>
      </c>
      <c r="E45" s="39">
        <f>IF($C45="",0,MIN(15,MAX(1,IF(N($O45)&gt;=1,6,IF(N($O45)&gt;=0.75,IF(PRZEL_CZESC="część 1 (objętość)",8,6),IF(PRZEL_CZESC="część 1 (objętość)",10,8)))+2+$AD45)))</f>
        <v>0</v>
      </c>
      <c r="F45" s="33">
        <v>9.0</v>
      </c>
      <c r="G45" s="34" t="str">
        <f>IF($C45="","",IF(OR($Q45="masa ciała",$Q45="czas",$Q45="dystans",$Q45="ręczne ustawienie"),$Q45,IF($C45='T1'!$C45,IF(AND(LEFT($A45,1)&lt;&gt;"A",PRZEL_AKCESORIA="trzymaj z bloku"),IF(NOT(ISNUMBER('T1'!$G45)),'T1'!$G45,MROUND('T1'!$G45*$AC45/(MAX('T1'!$AC45,0.0001)),MAX($P45,0.5))),IF(OR($R45="",$R45=0),"— brak 1RM",MROUND($R45*$S45/100*$AC45,MAX($P45,0.5)))),IF(OR($AA45="",$AA45=0),"— ustaw ręcznie",MROUND($AA45*$S45/100*$AC45,MAX($P45,0.5))))))</f>
        <v/>
      </c>
      <c r="H45" s="35"/>
      <c r="I45" s="36" t="str">
        <f t="array" ref="I45">IFERROR(IF(IFERROR(INDEX(BAZA_FILM,MATCH($C45,BAZA_EX,0)),"")="","",HYPERLINK(IFERROR(INDEX(BAZA_FILM,MATCH($C45,BAZA_EX,0)),""),"film")),"")</f>
        <v/>
      </c>
      <c r="J45" s="37" t="str">
        <f>IF('T1'!$J45="","",'T1'!$J45)</f>
        <v/>
      </c>
      <c r="K45" s="5" t="s">
        <v>96</v>
      </c>
      <c r="L45" s="5" t="str">
        <f t="array" ref="L45">IFERROR(INDEX(BAZA_ID,MATCH($C45,BAZA_EX,0)),"")</f>
        <v/>
      </c>
      <c r="M45" s="5" t="str">
        <f t="array" ref="M45">IFERROR(INDEX(BAZA_PART,MATCH($C45,BAZA_EX,0)),"")</f>
        <v/>
      </c>
      <c r="N45" s="5" t="str">
        <f t="array" ref="N45">IFERROR(INDEX(BAZA_KAT,MATCH($C45,BAZA_EX,0)),"")</f>
        <v/>
      </c>
      <c r="O45" s="5" t="str">
        <f t="array" ref="O45">IFERROR(INDEX(BAZA_COEFF,MATCH($C45,BAZA_EX,0)),"")</f>
        <v/>
      </c>
      <c r="P45" s="5" t="str">
        <f t="array" ref="P45">IFERROR(INDEX(BAZA_SKOK,MATCH($C45,BAZA_EX,0)),"")</f>
        <v/>
      </c>
      <c r="Q45" s="5" t="str">
        <f t="array" ref="Q45">IFERROR(INDEX(BAZA_PROG,MATCH($C45,BAZA_EX,0)),"")</f>
        <v/>
      </c>
      <c r="R45" s="5" t="str">
        <f>IF($C45="","",IF(SUMPRODUCT((START!$B$6:$B$69=$C45)*(START!$M$6:$M$69&gt;0))=0,"",SUMPRODUCT(MAX((START!$B$6:$B$69=$C45)*START!$M$6:$M$69))))</f>
        <v/>
      </c>
      <c r="S45" s="5" t="str">
        <f t="array" ref="S45">IFERROR(INDEX(TABELE!$B$4:$J$18,MATCH($E45,TABELE!$A$4:$A$18,0),MATCH($F45,TABELE!$B$3:$J$3,0)),"")</f>
        <v/>
      </c>
      <c r="T45" s="5">
        <f t="array" ref="T45">IFERROR(IF($C45="",0,$O45*$D45*INDEX(TABELE!$B$23:$P$33,MATCH($F45,TABELE!$A$23:$A$33,0),MATCH($E45,TABELE!$B$22:$P$22,0))),0)</f>
        <v>0</v>
      </c>
      <c r="U45" s="5">
        <f t="array" ref="U45">IFERROR(IF($C45="",0,$O45*$D45*INDEX(TABELE!$B$37:$P$47,MATCH($F45,TABELE!$A$37:$A$47,0),MATCH($E45,TABELE!$B$36:$P$36,0))),0)</f>
        <v>0</v>
      </c>
      <c r="V45" s="5">
        <f t="array" ref="V45">IFERROR(IF($C45="",0,$O45*$D45*INDEX(TABELE!$B$51:$P$61,MATCH($F45,TABELE!$A$51:$A$61,0),MATCH($E45,TABELE!$B$50:$P$50,0))),0)</f>
        <v>0</v>
      </c>
      <c r="W45" s="5" t="str">
        <f t="array" ref="W45">IFERROR(INDEX(BAZA_UWAGI,MATCH($C45,BAZA_EX,0)),"")</f>
        <v/>
      </c>
      <c r="X45" s="5">
        <f t="shared" si="11"/>
        <v>4</v>
      </c>
      <c r="Y45" s="5" t="str">
        <f t="shared" si="14"/>
        <v>D</v>
      </c>
      <c r="Z45" s="5">
        <f t="shared" si="15"/>
        <v>4</v>
      </c>
      <c r="AA45" s="5" t="str">
        <f>IF($C45="","",IF(SUMPRODUCT((START!$B$6:$B$69=$C45)*(START!$M$6:$M$69&gt;0))=0,"",SUMPRODUCT(MAX((START!$B$6:$B$69=$C45)*START!$M$6:$M$69))))</f>
        <v/>
      </c>
      <c r="AB45" s="5" t="str">
        <f t="shared" si="12"/>
        <v/>
      </c>
      <c r="AC45" s="5">
        <f>MAX(0.85,MIN(1.15,1+0.05*(COUNTIF('T1'!$AB45,"za łatwe")+COUNTIF('T2'!$AB45,"za łatwe"))-0.05*(COUNTIF('T1'!$AB45,"za trudne")+COUNTIF('T2'!$AB45,"za trudne"))))</f>
        <v>1</v>
      </c>
      <c r="AD45" s="5">
        <f t="shared" si="13"/>
        <v>0</v>
      </c>
    </row>
    <row r="46" ht="25.5" customHeight="1" outlineLevel="1">
      <c r="A46" s="18" t="str">
        <f>IF('T1'!$A46="","",'T1'!$A46)</f>
        <v>E1.</v>
      </c>
      <c r="B46" s="30"/>
      <c r="C46" s="31" t="str">
        <f>IF('T1'!$C46="","",'T1'!$C46)</f>
        <v/>
      </c>
      <c r="D46" s="32"/>
      <c r="E46" s="39">
        <f>IF($C46="",0,MIN(15,MAX(1,IF(N($O46)&gt;=1,6,IF(N($O46)&gt;=0.75,IF(PRZEL_CZESC="część 1 (objętość)",8,6),IF(PRZEL_CZESC="część 1 (objętość)",10,8)))+2+$AD46)))</f>
        <v>0</v>
      </c>
      <c r="F46" s="33"/>
      <c r="G46" s="34" t="str">
        <f>IF($C46="","",IF(OR($Q46="masa ciała",$Q46="czas",$Q46="dystans",$Q46="ręczne ustawienie"),$Q46,IF($C46='T1'!$C46,IF(AND(LEFT($A46,1)&lt;&gt;"A",PRZEL_AKCESORIA="trzymaj z bloku"),IF(NOT(ISNUMBER('T1'!$G46)),'T1'!$G46,MROUND('T1'!$G46*$AC46/(MAX('T1'!$AC46,0.0001)),MAX($P46,0.5))),IF(OR($R46="",$R46=0),"— brak 1RM",MROUND($R46*$S46/100*$AC46,MAX($P46,0.5)))),IF(OR($AA46="",$AA46=0),"— ustaw ręcznie",MROUND($AA46*$S46/100*$AC46,MAX($P46,0.5))))))</f>
        <v/>
      </c>
      <c r="H46" s="35"/>
      <c r="I46" s="36" t="str">
        <f t="array" ref="I46">IFERROR(IF(IFERROR(INDEX(BAZA_FILM,MATCH($C46,BAZA_EX,0)),"")="","",HYPERLINK(IFERROR(INDEX(BAZA_FILM,MATCH($C46,BAZA_EX,0)),""),"film")),"")</f>
        <v/>
      </c>
      <c r="J46" s="37" t="str">
        <f>IF('T1'!$J46="","",'T1'!$J46)</f>
        <v/>
      </c>
      <c r="K46" s="5" t="s">
        <v>97</v>
      </c>
      <c r="L46" s="5" t="str">
        <f t="array" ref="L46">IFERROR(INDEX(BAZA_ID,MATCH($C46,BAZA_EX,0)),"")</f>
        <v/>
      </c>
      <c r="M46" s="5" t="str">
        <f t="array" ref="M46">IFERROR(INDEX(BAZA_PART,MATCH($C46,BAZA_EX,0)),"")</f>
        <v/>
      </c>
      <c r="N46" s="5" t="str">
        <f t="array" ref="N46">IFERROR(INDEX(BAZA_KAT,MATCH($C46,BAZA_EX,0)),"")</f>
        <v/>
      </c>
      <c r="O46" s="5" t="str">
        <f t="array" ref="O46">IFERROR(INDEX(BAZA_COEFF,MATCH($C46,BAZA_EX,0)),"")</f>
        <v/>
      </c>
      <c r="P46" s="5" t="str">
        <f t="array" ref="P46">IFERROR(INDEX(BAZA_SKOK,MATCH($C46,BAZA_EX,0)),"")</f>
        <v/>
      </c>
      <c r="Q46" s="5" t="str">
        <f t="array" ref="Q46">IFERROR(INDEX(BAZA_PROG,MATCH($C46,BAZA_EX,0)),"")</f>
        <v/>
      </c>
      <c r="R46" s="5" t="str">
        <f>IF($C46="","",IF(SUMPRODUCT((START!$B$6:$B$69=$C46)*(START!$M$6:$M$69&gt;0))=0,"",SUMPRODUCT(MAX((START!$B$6:$B$69=$C46)*START!$M$6:$M$69))))</f>
        <v/>
      </c>
      <c r="S46" s="5" t="str">
        <f t="array" ref="S46">IFERROR(INDEX(TABELE!$B$4:$J$18,MATCH($E46,TABELE!$A$4:$A$18,0),MATCH($F46,TABELE!$B$3:$J$3,0)),"")</f>
        <v/>
      </c>
      <c r="T46" s="5">
        <f t="array" ref="T46">IFERROR(IF($C46="",0,$O46*$D46*INDEX(TABELE!$B$23:$P$33,MATCH($F46,TABELE!$A$23:$A$33,0),MATCH($E46,TABELE!$B$22:$P$22,0))),0)</f>
        <v>0</v>
      </c>
      <c r="U46" s="5">
        <f t="array" ref="U46">IFERROR(IF($C46="",0,$O46*$D46*INDEX(TABELE!$B$37:$P$47,MATCH($F46,TABELE!$A$37:$A$47,0),MATCH($E46,TABELE!$B$36:$P$36,0))),0)</f>
        <v>0</v>
      </c>
      <c r="V46" s="5">
        <f t="array" ref="V46">IFERROR(IF($C46="",0,$O46*$D46*INDEX(TABELE!$B$51:$P$61,MATCH($F46,TABELE!$A$51:$A$61,0),MATCH($E46,TABELE!$B$50:$P$50,0))),0)</f>
        <v>0</v>
      </c>
      <c r="W46" s="5" t="str">
        <f t="array" ref="W46">IFERROR(INDEX(BAZA_UWAGI,MATCH($C46,BAZA_EX,0)),"")</f>
        <v/>
      </c>
      <c r="X46" s="5">
        <f t="shared" si="11"/>
        <v>5</v>
      </c>
      <c r="Y46" s="5" t="str">
        <f t="shared" si="14"/>
        <v>E</v>
      </c>
      <c r="Z46" s="5">
        <f t="shared" si="15"/>
        <v>5</v>
      </c>
      <c r="AA46" s="5" t="str">
        <f>IF($C46="","",IF(SUMPRODUCT((START!$B$6:$B$69=$C46)*(START!$M$6:$M$69&gt;0))=0,"",SUMPRODUCT(MAX((START!$B$6:$B$69=$C46)*START!$M$6:$M$69))))</f>
        <v/>
      </c>
      <c r="AB46" s="5" t="str">
        <f t="shared" si="12"/>
        <v/>
      </c>
      <c r="AC46" s="5">
        <f>MAX(0.85,MIN(1.15,1+0.05*(COUNTIF('T1'!$AB46,"za łatwe")+COUNTIF('T2'!$AB46,"za łatwe"))-0.05*(COUNTIF('T1'!$AB46,"za trudne")+COUNTIF('T2'!$AB46,"za trudne"))))</f>
        <v>1</v>
      </c>
      <c r="AD46" s="5">
        <f t="shared" si="13"/>
        <v>0</v>
      </c>
    </row>
    <row r="47" ht="25.5" customHeight="1" outlineLevel="1">
      <c r="A47" s="18" t="str">
        <f>IF('T1'!$A47="","",'T1'!$A47)</f>
        <v>E2.</v>
      </c>
      <c r="B47" s="30"/>
      <c r="C47" s="31" t="str">
        <f>IF('T1'!$C47="","",'T1'!$C47)</f>
        <v/>
      </c>
      <c r="D47" s="32"/>
      <c r="E47" s="39">
        <f>IF($C47="",0,MIN(15,MAX(1,IF(N($O47)&gt;=1,6,IF(N($O47)&gt;=0.75,IF(PRZEL_CZESC="część 1 (objętość)",8,6),IF(PRZEL_CZESC="część 1 (objętość)",10,8)))+2+$AD47)))</f>
        <v>0</v>
      </c>
      <c r="F47" s="33"/>
      <c r="G47" s="34" t="str">
        <f>IF($C47="","",IF(OR($Q47="masa ciała",$Q47="czas",$Q47="dystans",$Q47="ręczne ustawienie"),$Q47,IF($C47='T1'!$C47,IF(AND(LEFT($A47,1)&lt;&gt;"A",PRZEL_AKCESORIA="trzymaj z bloku"),IF(NOT(ISNUMBER('T1'!$G47)),'T1'!$G47,MROUND('T1'!$G47*$AC47/(MAX('T1'!$AC47,0.0001)),MAX($P47,0.5))),IF(OR($R47="",$R47=0),"— brak 1RM",MROUND($R47*$S47/100*$AC47,MAX($P47,0.5)))),IF(OR($AA47="",$AA47=0),"— ustaw ręcznie",MROUND($AA47*$S47/100*$AC47,MAX($P47,0.5))))))</f>
        <v/>
      </c>
      <c r="H47" s="35"/>
      <c r="I47" s="36" t="str">
        <f t="array" ref="I47">IFERROR(IF(IFERROR(INDEX(BAZA_FILM,MATCH($C47,BAZA_EX,0)),"")="","",HYPERLINK(IFERROR(INDEX(BAZA_FILM,MATCH($C47,BAZA_EX,0)),""),"film")),"")</f>
        <v/>
      </c>
      <c r="J47" s="37" t="str">
        <f>IF('T1'!$J47="","",'T1'!$J47)</f>
        <v/>
      </c>
      <c r="K47" s="5" t="s">
        <v>98</v>
      </c>
      <c r="L47" s="5" t="str">
        <f t="array" ref="L47">IFERROR(INDEX(BAZA_ID,MATCH($C47,BAZA_EX,0)),"")</f>
        <v/>
      </c>
      <c r="M47" s="5" t="str">
        <f t="array" ref="M47">IFERROR(INDEX(BAZA_PART,MATCH($C47,BAZA_EX,0)),"")</f>
        <v/>
      </c>
      <c r="N47" s="5" t="str">
        <f t="array" ref="N47">IFERROR(INDEX(BAZA_KAT,MATCH($C47,BAZA_EX,0)),"")</f>
        <v/>
      </c>
      <c r="O47" s="5" t="str">
        <f t="array" ref="O47">IFERROR(INDEX(BAZA_COEFF,MATCH($C47,BAZA_EX,0)),"")</f>
        <v/>
      </c>
      <c r="P47" s="5" t="str">
        <f t="array" ref="P47">IFERROR(INDEX(BAZA_SKOK,MATCH($C47,BAZA_EX,0)),"")</f>
        <v/>
      </c>
      <c r="Q47" s="5" t="str">
        <f t="array" ref="Q47">IFERROR(INDEX(BAZA_PROG,MATCH($C47,BAZA_EX,0)),"")</f>
        <v/>
      </c>
      <c r="R47" s="5" t="str">
        <f>IF($C47="","",IF(SUMPRODUCT((START!$B$6:$B$69=$C47)*(START!$M$6:$M$69&gt;0))=0,"",SUMPRODUCT(MAX((START!$B$6:$B$69=$C47)*START!$M$6:$M$69))))</f>
        <v/>
      </c>
      <c r="S47" s="5" t="str">
        <f t="array" ref="S47">IFERROR(INDEX(TABELE!$B$4:$J$18,MATCH($E47,TABELE!$A$4:$A$18,0),MATCH($F47,TABELE!$B$3:$J$3,0)),"")</f>
        <v/>
      </c>
      <c r="T47" s="5">
        <f t="array" ref="T47">IFERROR(IF($C47="",0,$O47*$D47*INDEX(TABELE!$B$23:$P$33,MATCH($F47,TABELE!$A$23:$A$33,0),MATCH($E47,TABELE!$B$22:$P$22,0))),0)</f>
        <v>0</v>
      </c>
      <c r="U47" s="5">
        <f t="array" ref="U47">IFERROR(IF($C47="",0,$O47*$D47*INDEX(TABELE!$B$37:$P$47,MATCH($F47,TABELE!$A$37:$A$47,0),MATCH($E47,TABELE!$B$36:$P$36,0))),0)</f>
        <v>0</v>
      </c>
      <c r="V47" s="5">
        <f t="array" ref="V47">IFERROR(IF($C47="",0,$O47*$D47*INDEX(TABELE!$B$51:$P$61,MATCH($F47,TABELE!$A$51:$A$61,0),MATCH($E47,TABELE!$B$50:$P$50,0))),0)</f>
        <v>0</v>
      </c>
      <c r="W47" s="5" t="str">
        <f t="array" ref="W47">IFERROR(INDEX(BAZA_UWAGI,MATCH($C47,BAZA_EX,0)),"")</f>
        <v/>
      </c>
      <c r="X47" s="5">
        <f t="shared" si="11"/>
        <v>5</v>
      </c>
      <c r="Y47" s="5" t="str">
        <f t="shared" si="14"/>
        <v>E</v>
      </c>
      <c r="Z47" s="5">
        <f t="shared" si="15"/>
        <v>5</v>
      </c>
      <c r="AA47" s="5" t="str">
        <f>IF($C47="","",IF(SUMPRODUCT((START!$B$6:$B$69=$C47)*(START!$M$6:$M$69&gt;0))=0,"",SUMPRODUCT(MAX((START!$B$6:$B$69=$C47)*START!$M$6:$M$69))))</f>
        <v/>
      </c>
      <c r="AB47" s="5" t="str">
        <f t="shared" si="12"/>
        <v/>
      </c>
      <c r="AC47" s="5">
        <f>MAX(0.85,MIN(1.15,1+0.05*(COUNTIF('T1'!$AB47,"za łatwe")+COUNTIF('T2'!$AB47,"za łatwe"))-0.05*(COUNTIF('T1'!$AB47,"za trudne")+COUNTIF('T2'!$AB47,"za trudne"))))</f>
        <v>1</v>
      </c>
      <c r="AD47" s="5">
        <f t="shared" si="13"/>
        <v>0</v>
      </c>
    </row>
    <row r="48" ht="25.5" customHeight="1" outlineLevel="1">
      <c r="A48" s="18" t="str">
        <f>IF('T1'!$A48="","",'T1'!$A48)</f>
        <v/>
      </c>
      <c r="B48" s="30"/>
      <c r="C48" s="31" t="str">
        <f>IF('T1'!$C48="","",'T1'!$C48)</f>
        <v/>
      </c>
      <c r="D48" s="32"/>
      <c r="E48" s="39">
        <f>IF($C48="",0,MIN(15,MAX(1,IF(N($O48)&gt;=1,6,IF(N($O48)&gt;=0.75,IF(PRZEL_CZESC="część 1 (objętość)",8,6),IF(PRZEL_CZESC="część 1 (objętość)",10,8)))+2+$AD48)))</f>
        <v>0</v>
      </c>
      <c r="F48" s="33"/>
      <c r="G48" s="34" t="str">
        <f>IF($C48="","",IF(OR($Q48="masa ciała",$Q48="czas",$Q48="dystans",$Q48="ręczne ustawienie"),$Q48,IF($C48='T1'!$C48,IF(AND(LEFT($A48,1)&lt;&gt;"A",PRZEL_AKCESORIA="trzymaj z bloku"),IF(NOT(ISNUMBER('T1'!$G48)),'T1'!$G48,MROUND('T1'!$G48*$AC48/(MAX('T1'!$AC48,0.0001)),MAX($P48,0.5))),IF(OR($R48="",$R48=0),"— brak 1RM",MROUND($R48*$S48/100*$AC48,MAX($P48,0.5)))),IF(OR($AA48="",$AA48=0),"— ustaw ręcznie",MROUND($AA48*$S48/100*$AC48,MAX($P48,0.5))))))</f>
        <v/>
      </c>
      <c r="H48" s="35"/>
      <c r="I48" s="36" t="str">
        <f t="array" ref="I48">IFERROR(IF(IFERROR(INDEX(BAZA_FILM,MATCH($C48,BAZA_EX,0)),"")="","",HYPERLINK(IFERROR(INDEX(BAZA_FILM,MATCH($C48,BAZA_EX,0)),""),"film")),"")</f>
        <v/>
      </c>
      <c r="J48" s="37" t="str">
        <f>IF('T1'!$J48="","",'T1'!$J48)</f>
        <v/>
      </c>
      <c r="K48" s="5" t="s">
        <v>99</v>
      </c>
      <c r="L48" s="5" t="str">
        <f t="array" ref="L48">IFERROR(INDEX(BAZA_ID,MATCH($C48,BAZA_EX,0)),"")</f>
        <v/>
      </c>
      <c r="M48" s="5" t="str">
        <f t="array" ref="M48">IFERROR(INDEX(BAZA_PART,MATCH($C48,BAZA_EX,0)),"")</f>
        <v/>
      </c>
      <c r="N48" s="5" t="str">
        <f t="array" ref="N48">IFERROR(INDEX(BAZA_KAT,MATCH($C48,BAZA_EX,0)),"")</f>
        <v/>
      </c>
      <c r="O48" s="5" t="str">
        <f t="array" ref="O48">IFERROR(INDEX(BAZA_COEFF,MATCH($C48,BAZA_EX,0)),"")</f>
        <v/>
      </c>
      <c r="P48" s="5" t="str">
        <f t="array" ref="P48">IFERROR(INDEX(BAZA_SKOK,MATCH($C48,BAZA_EX,0)),"")</f>
        <v/>
      </c>
      <c r="Q48" s="5" t="str">
        <f t="array" ref="Q48">IFERROR(INDEX(BAZA_PROG,MATCH($C48,BAZA_EX,0)),"")</f>
        <v/>
      </c>
      <c r="R48" s="5" t="str">
        <f>IF($C48="","",IF(SUMPRODUCT((START!$B$6:$B$69=$C48)*(START!$M$6:$M$69&gt;0))=0,"",SUMPRODUCT(MAX((START!$B$6:$B$69=$C48)*START!$M$6:$M$69))))</f>
        <v/>
      </c>
      <c r="S48" s="5" t="str">
        <f t="array" ref="S48">IFERROR(INDEX(TABELE!$B$4:$J$18,MATCH($E48,TABELE!$A$4:$A$18,0),MATCH($F48,TABELE!$B$3:$J$3,0)),"")</f>
        <v/>
      </c>
      <c r="T48" s="5">
        <f t="array" ref="T48">IFERROR(IF($C48="",0,$O48*$D48*INDEX(TABELE!$B$23:$P$33,MATCH($F48,TABELE!$A$23:$A$33,0),MATCH($E48,TABELE!$B$22:$P$22,0))),0)</f>
        <v>0</v>
      </c>
      <c r="U48" s="5">
        <f t="array" ref="U48">IFERROR(IF($C48="",0,$O48*$D48*INDEX(TABELE!$B$37:$P$47,MATCH($F48,TABELE!$A$37:$A$47,0),MATCH($E48,TABELE!$B$36:$P$36,0))),0)</f>
        <v>0</v>
      </c>
      <c r="V48" s="5">
        <f t="array" ref="V48">IFERROR(IF($C48="",0,$O48*$D48*INDEX(TABELE!$B$51:$P$61,MATCH($F48,TABELE!$A$51:$A$61,0),MATCH($E48,TABELE!$B$50:$P$50,0))),0)</f>
        <v>0</v>
      </c>
      <c r="W48" s="5" t="str">
        <f t="array" ref="W48">IFERROR(INDEX(BAZA_UWAGI,MATCH($C48,BAZA_EX,0)),"")</f>
        <v/>
      </c>
      <c r="X48" s="5" t="str">
        <f t="shared" si="11"/>
        <v/>
      </c>
      <c r="Y48" s="5" t="str">
        <f t="shared" si="14"/>
        <v>E</v>
      </c>
      <c r="Z48" s="5">
        <f t="shared" si="15"/>
        <v>5</v>
      </c>
      <c r="AA48" s="5" t="str">
        <f>IF($C48="","",IF(SUMPRODUCT((START!$B$6:$B$69=$C48)*(START!$M$6:$M$69&gt;0))=0,"",SUMPRODUCT(MAX((START!$B$6:$B$69=$C48)*START!$M$6:$M$69))))</f>
        <v/>
      </c>
      <c r="AB48" s="5" t="str">
        <f t="shared" si="12"/>
        <v/>
      </c>
      <c r="AC48" s="5">
        <f>MAX(0.85,MIN(1.15,1+0.05*(COUNTIF('T1'!$AB48,"za łatwe")+COUNTIF('T2'!$AB48,"za łatwe"))-0.05*(COUNTIF('T1'!$AB48,"za trudne")+COUNTIF('T2'!$AB48,"za trudne"))))</f>
        <v>1</v>
      </c>
      <c r="AD48" s="5">
        <f t="shared" si="13"/>
        <v>0</v>
      </c>
    </row>
    <row r="49" ht="25.5" customHeight="1" outlineLevel="1">
      <c r="A49" s="18" t="str">
        <f>IF('T1'!$A49="","",'T1'!$A49)</f>
        <v/>
      </c>
      <c r="B49" s="30"/>
      <c r="C49" s="31" t="str">
        <f>IF('T1'!$C49="","",'T1'!$C49)</f>
        <v/>
      </c>
      <c r="D49" s="32"/>
      <c r="E49" s="39">
        <f>IF($C49="",0,MIN(15,MAX(1,IF(N($O49)&gt;=1,6,IF(N($O49)&gt;=0.75,IF(PRZEL_CZESC="część 1 (objętość)",8,6),IF(PRZEL_CZESC="część 1 (objętość)",10,8)))+2+$AD49)))</f>
        <v>0</v>
      </c>
      <c r="F49" s="33"/>
      <c r="G49" s="34" t="str">
        <f>IF($C49="","",IF(OR($Q49="masa ciała",$Q49="czas",$Q49="dystans",$Q49="ręczne ustawienie"),$Q49,IF($C49='T1'!$C49,IF(AND(LEFT($A49,1)&lt;&gt;"A",PRZEL_AKCESORIA="trzymaj z bloku"),IF(NOT(ISNUMBER('T1'!$G49)),'T1'!$G49,MROUND('T1'!$G49*$AC49/(MAX('T1'!$AC49,0.0001)),MAX($P49,0.5))),IF(OR($R49="",$R49=0),"— brak 1RM",MROUND($R49*$S49/100*$AC49,MAX($P49,0.5)))),IF(OR($AA49="",$AA49=0),"— ustaw ręcznie",MROUND($AA49*$S49/100*$AC49,MAX($P49,0.5))))))</f>
        <v/>
      </c>
      <c r="H49" s="35"/>
      <c r="I49" s="36" t="str">
        <f t="array" ref="I49">IFERROR(IF(IFERROR(INDEX(BAZA_FILM,MATCH($C49,BAZA_EX,0)),"")="","",HYPERLINK(IFERROR(INDEX(BAZA_FILM,MATCH($C49,BAZA_EX,0)),""),"film")),"")</f>
        <v/>
      </c>
      <c r="J49" s="37" t="str">
        <f>IF('T1'!$J49="","",'T1'!$J49)</f>
        <v/>
      </c>
      <c r="K49" s="5" t="s">
        <v>101</v>
      </c>
      <c r="L49" s="5" t="str">
        <f t="array" ref="L49">IFERROR(INDEX(BAZA_ID,MATCH($C49,BAZA_EX,0)),"")</f>
        <v/>
      </c>
      <c r="M49" s="5" t="str">
        <f t="array" ref="M49">IFERROR(INDEX(BAZA_PART,MATCH($C49,BAZA_EX,0)),"")</f>
        <v/>
      </c>
      <c r="N49" s="5" t="str">
        <f t="array" ref="N49">IFERROR(INDEX(BAZA_KAT,MATCH($C49,BAZA_EX,0)),"")</f>
        <v/>
      </c>
      <c r="O49" s="5" t="str">
        <f t="array" ref="O49">IFERROR(INDEX(BAZA_COEFF,MATCH($C49,BAZA_EX,0)),"")</f>
        <v/>
      </c>
      <c r="P49" s="5" t="str">
        <f t="array" ref="P49">IFERROR(INDEX(BAZA_SKOK,MATCH($C49,BAZA_EX,0)),"")</f>
        <v/>
      </c>
      <c r="Q49" s="5" t="str">
        <f t="array" ref="Q49">IFERROR(INDEX(BAZA_PROG,MATCH($C49,BAZA_EX,0)),"")</f>
        <v/>
      </c>
      <c r="R49" s="5" t="str">
        <f>IF($C49="","",IF(SUMPRODUCT((START!$B$6:$B$69=$C49)*(START!$M$6:$M$69&gt;0))=0,"",SUMPRODUCT(MAX((START!$B$6:$B$69=$C49)*START!$M$6:$M$69))))</f>
        <v/>
      </c>
      <c r="S49" s="5" t="str">
        <f t="array" ref="S49">IFERROR(INDEX(TABELE!$B$4:$J$18,MATCH($E49,TABELE!$A$4:$A$18,0),MATCH($F49,TABELE!$B$3:$J$3,0)),"")</f>
        <v/>
      </c>
      <c r="T49" s="5">
        <f t="array" ref="T49">IFERROR(IF($C49="",0,$O49*$D49*INDEX(TABELE!$B$23:$P$33,MATCH($F49,TABELE!$A$23:$A$33,0),MATCH($E49,TABELE!$B$22:$P$22,0))),0)</f>
        <v>0</v>
      </c>
      <c r="U49" s="5">
        <f t="array" ref="U49">IFERROR(IF($C49="",0,$O49*$D49*INDEX(TABELE!$B$37:$P$47,MATCH($F49,TABELE!$A$37:$A$47,0),MATCH($E49,TABELE!$B$36:$P$36,0))),0)</f>
        <v>0</v>
      </c>
      <c r="V49" s="5">
        <f t="array" ref="V49">IFERROR(IF($C49="",0,$O49*$D49*INDEX(TABELE!$B$51:$P$61,MATCH($F49,TABELE!$A$51:$A$61,0),MATCH($E49,TABELE!$B$50:$P$50,0))),0)</f>
        <v>0</v>
      </c>
      <c r="W49" s="5" t="str">
        <f t="array" ref="W49">IFERROR(INDEX(BAZA_UWAGI,MATCH($C49,BAZA_EX,0)),"")</f>
        <v/>
      </c>
      <c r="X49" s="5" t="str">
        <f t="shared" si="11"/>
        <v/>
      </c>
      <c r="Y49" s="5" t="str">
        <f t="shared" si="14"/>
        <v>E</v>
      </c>
      <c r="Z49" s="5">
        <f t="shared" si="15"/>
        <v>5</v>
      </c>
      <c r="AA49" s="5" t="str">
        <f>IF($C49="","",IF(SUMPRODUCT((START!$B$6:$B$69=$C49)*(START!$M$6:$M$69&gt;0))=0,"",SUMPRODUCT(MAX((START!$B$6:$B$69=$C49)*START!$M$6:$M$69))))</f>
        <v/>
      </c>
      <c r="AB49" s="5" t="str">
        <f t="shared" si="12"/>
        <v/>
      </c>
      <c r="AC49" s="5">
        <f>MAX(0.85,MIN(1.15,1+0.05*(COUNTIF('T1'!$AB49,"za łatwe")+COUNTIF('T2'!$AB49,"za łatwe"))-0.05*(COUNTIF('T1'!$AB49,"za trudne")+COUNTIF('T2'!$AB49,"za trudne"))))</f>
        <v>1</v>
      </c>
      <c r="AD49" s="5">
        <f t="shared" si="13"/>
        <v>0</v>
      </c>
    </row>
    <row r="50" ht="25.5" customHeight="1" outlineLevel="1">
      <c r="A50" s="18" t="str">
        <f>IF('T1'!$A50="","",'T1'!$A50)</f>
        <v/>
      </c>
      <c r="B50" s="30"/>
      <c r="C50" s="31" t="str">
        <f>IF('T1'!$C50="","",'T1'!$C50)</f>
        <v/>
      </c>
      <c r="D50" s="32"/>
      <c r="E50" s="39">
        <f>IF($C50="",0,MIN(15,MAX(1,IF(N($O50)&gt;=1,6,IF(N($O50)&gt;=0.75,IF(PRZEL_CZESC="część 1 (objętość)",8,6),IF(PRZEL_CZESC="część 1 (objętość)",10,8)))+2+$AD50)))</f>
        <v>0</v>
      </c>
      <c r="F50" s="33"/>
      <c r="G50" s="34" t="str">
        <f>IF($C50="","",IF(OR($Q50="masa ciała",$Q50="czas",$Q50="dystans",$Q50="ręczne ustawienie"),$Q50,IF($C50='T1'!$C50,IF(AND(LEFT($A50,1)&lt;&gt;"A",PRZEL_AKCESORIA="trzymaj z bloku"),IF(NOT(ISNUMBER('T1'!$G50)),'T1'!$G50,MROUND('T1'!$G50*$AC50/(MAX('T1'!$AC50,0.0001)),MAX($P50,0.5))),IF(OR($R50="",$R50=0),"— brak 1RM",MROUND($R50*$S50/100*$AC50,MAX($P50,0.5)))),IF(OR($AA50="",$AA50=0),"— ustaw ręcznie",MROUND($AA50*$S50/100*$AC50,MAX($P50,0.5))))))</f>
        <v/>
      </c>
      <c r="H50" s="35"/>
      <c r="I50" s="36" t="str">
        <f t="array" ref="I50">IFERROR(IF(IFERROR(INDEX(BAZA_FILM,MATCH($C50,BAZA_EX,0)),"")="","",HYPERLINK(IFERROR(INDEX(BAZA_FILM,MATCH($C50,BAZA_EX,0)),""),"film")),"")</f>
        <v/>
      </c>
      <c r="J50" s="37" t="str">
        <f>IF('T1'!$J50="","",'T1'!$J50)</f>
        <v/>
      </c>
      <c r="K50" s="5" t="s">
        <v>102</v>
      </c>
      <c r="L50" s="5" t="str">
        <f t="array" ref="L50">IFERROR(INDEX(BAZA_ID,MATCH($C50,BAZA_EX,0)),"")</f>
        <v/>
      </c>
      <c r="M50" s="5" t="str">
        <f t="array" ref="M50">IFERROR(INDEX(BAZA_PART,MATCH($C50,BAZA_EX,0)),"")</f>
        <v/>
      </c>
      <c r="N50" s="5" t="str">
        <f t="array" ref="N50">IFERROR(INDEX(BAZA_KAT,MATCH($C50,BAZA_EX,0)),"")</f>
        <v/>
      </c>
      <c r="O50" s="5" t="str">
        <f t="array" ref="O50">IFERROR(INDEX(BAZA_COEFF,MATCH($C50,BAZA_EX,0)),"")</f>
        <v/>
      </c>
      <c r="P50" s="5" t="str">
        <f t="array" ref="P50">IFERROR(INDEX(BAZA_SKOK,MATCH($C50,BAZA_EX,0)),"")</f>
        <v/>
      </c>
      <c r="Q50" s="5" t="str">
        <f t="array" ref="Q50">IFERROR(INDEX(BAZA_PROG,MATCH($C50,BAZA_EX,0)),"")</f>
        <v/>
      </c>
      <c r="R50" s="5" t="str">
        <f>IF($C50="","",IF(SUMPRODUCT((START!$B$6:$B$69=$C50)*(START!$M$6:$M$69&gt;0))=0,"",SUMPRODUCT(MAX((START!$B$6:$B$69=$C50)*START!$M$6:$M$69))))</f>
        <v/>
      </c>
      <c r="S50" s="5" t="str">
        <f t="array" ref="S50">IFERROR(INDEX(TABELE!$B$4:$J$18,MATCH($E50,TABELE!$A$4:$A$18,0),MATCH($F50,TABELE!$B$3:$J$3,0)),"")</f>
        <v/>
      </c>
      <c r="T50" s="5">
        <f t="array" ref="T50">IFERROR(IF($C50="",0,$O50*$D50*INDEX(TABELE!$B$23:$P$33,MATCH($F50,TABELE!$A$23:$A$33,0),MATCH($E50,TABELE!$B$22:$P$22,0))),0)</f>
        <v>0</v>
      </c>
      <c r="U50" s="5">
        <f t="array" ref="U50">IFERROR(IF($C50="",0,$O50*$D50*INDEX(TABELE!$B$37:$P$47,MATCH($F50,TABELE!$A$37:$A$47,0),MATCH($E50,TABELE!$B$36:$P$36,0))),0)</f>
        <v>0</v>
      </c>
      <c r="V50" s="5">
        <f t="array" ref="V50">IFERROR(IF($C50="",0,$O50*$D50*INDEX(TABELE!$B$51:$P$61,MATCH($F50,TABELE!$A$51:$A$61,0),MATCH($E50,TABELE!$B$50:$P$50,0))),0)</f>
        <v>0</v>
      </c>
      <c r="W50" s="5" t="str">
        <f t="array" ref="W50">IFERROR(INDEX(BAZA_UWAGI,MATCH($C50,BAZA_EX,0)),"")</f>
        <v/>
      </c>
      <c r="X50" s="5" t="str">
        <f t="shared" si="11"/>
        <v/>
      </c>
      <c r="Y50" s="5" t="str">
        <f t="shared" si="14"/>
        <v>E</v>
      </c>
      <c r="Z50" s="5">
        <f t="shared" si="15"/>
        <v>5</v>
      </c>
      <c r="AA50" s="5" t="str">
        <f>IF($C50="","",IF(SUMPRODUCT((START!$B$6:$B$69=$C50)*(START!$M$6:$M$69&gt;0))=0,"",SUMPRODUCT(MAX((START!$B$6:$B$69=$C50)*START!$M$6:$M$69))))</f>
        <v/>
      </c>
      <c r="AB50" s="5" t="str">
        <f t="shared" si="12"/>
        <v/>
      </c>
      <c r="AC50" s="5">
        <f>MAX(0.85,MIN(1.15,1+0.05*(COUNTIF('T1'!$AB50,"za łatwe")+COUNTIF('T2'!$AB50,"za łatwe"))-0.05*(COUNTIF('T1'!$AB50,"za trudne")+COUNTIF('T2'!$AB50,"za trudne"))))</f>
        <v>1</v>
      </c>
      <c r="AD50" s="5">
        <f t="shared" si="13"/>
        <v>0</v>
      </c>
    </row>
    <row r="51" ht="19.5" customHeight="1" outlineLevel="1">
      <c r="A51" s="43"/>
      <c r="B51" s="43"/>
      <c r="C51" s="44" t="s">
        <v>137</v>
      </c>
      <c r="D51" s="45">
        <f>SUMPRODUCT((C39:C50&lt;&gt;"")*D39:D50)+IF(AND($B$38="TOP SET",$C$38&lt;&gt;""),1,0)</f>
      </c>
      <c r="E51" s="46" t="str">
        <f>SUMPRODUCT((C39:C50&lt;&gt;"")*D39:D50*E39:E50)&amp;" powt."</f>
        <v>0 powt.</v>
      </c>
      <c r="F51" s="43"/>
      <c r="G51" s="47" t="str">
        <f>"stres t "&amp;TEXT(SUM(T39:T50),"0.0")</f>
        <v>stres t 0,0</v>
      </c>
      <c r="H51" s="48"/>
      <c r="I51" s="43"/>
      <c r="J51" s="4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25.5" hidden="1" customHeight="1" outlineLevel="1">
      <c r="A53" s="15" t="s">
        <v>103</v>
      </c>
      <c r="B53" s="3"/>
      <c r="C53" s="3"/>
      <c r="D53" s="3"/>
      <c r="E53" s="3"/>
      <c r="F53" s="3"/>
      <c r="G53" s="3"/>
      <c r="H53" s="3"/>
      <c r="I53" s="3"/>
      <c r="J53" s="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33.75" hidden="1" customHeight="1" outlineLevel="2">
      <c r="A54" s="17" t="str">
        <f>IF($B54="TOP SET","▲","")</f>
        <v>▲</v>
      </c>
      <c r="B54" s="19" t="str">
        <f>IF('T1'!$B54="TOP SET","TOP SET","—")</f>
        <v>TOP SET</v>
      </c>
      <c r="C54" s="22" t="str">
        <f>IF(OR($B54&lt;&gt;"TOP SET",$F54=""),"",IF(N($K54)=0,"",IF(INDEX($C$55:$C$66,$K54)="","",INDEX($C$55:$C$66,$K54))))</f>
      </c>
      <c r="D54" s="23">
        <f>IF(AND($B54="TOP SET",$F54&lt;&gt;""),1,"")</f>
      </c>
      <c r="E54" s="24" t="str">
        <f>IF(AND($B54="TOP SET",$F54&lt;&gt;""),"1 powtórzenie","")</f>
      </c>
      <c r="F54" s="25">
        <v>6.5</v>
      </c>
      <c r="G54" s="27" t="str">
        <f t="array" ref="G54">IF($B54&lt;&gt;"TOP SET","",IF($C54="","",IF(OR($Q54="masa ciała",$Q54="czas",$Q54="dystans",$Q54="ręczne ustawienie"),"—",IF($C54='T1'!$C54,IF(OR($R54="",$R54=0),"— brak 1RM",MROUND($R54*IFERROR(INDEX(TABELE!$B$4:$J$18,MATCH(1,TABELE!$A$4:$A$18,0),MATCH($F54,TABELE!$B$3:$J$3,0)),0)/100,MAX($P54,0.5))),IF(OR($AA54="",$AA54=0),"— ustaw ręcznie",MROUND($AA54*IFERROR(INDEX(TABELE!$B$4:$J$18,MATCH(1,TABELE!$A$4:$A$18,0),MATCH($F54,TABELE!$B$3:$J$3,0)),0)/100,MAX($P54,0.5)))))))</f>
      </c>
      <c r="H54" s="28"/>
      <c r="I54" s="29"/>
      <c r="J54" s="29"/>
      <c r="K54" s="5">
        <f>IFERROR(MATCH("A*",$A$55:$A$66,0),0)</f>
      </c>
      <c r="L54" s="5"/>
      <c r="M54" s="5"/>
      <c r="N54" s="5"/>
      <c r="O54" s="5"/>
      <c r="P54" s="5">
        <f>IF(N($K54)=0,"",INDEX($P$55:$P$66,$K54))</f>
      </c>
      <c r="Q54" s="5">
        <f>IF(N($K54)=0,"",INDEX($Q$55:$Q$66,$K54))</f>
      </c>
      <c r="R54" s="5">
        <f>IF(N($K54)=0,"",INDEX($R$55:$R$66,$K54))</f>
      </c>
      <c r="S54" s="5"/>
      <c r="T54" s="5"/>
      <c r="U54" s="5"/>
      <c r="V54" s="5"/>
      <c r="W54" s="5"/>
      <c r="X54" s="5"/>
      <c r="Y54" s="5"/>
      <c r="Z54" s="5"/>
      <c r="AA54" s="5">
        <f>IF(N($K54)=0,"",INDEX($AA$55:$AA$66,$K54))</f>
      </c>
    </row>
    <row r="55" ht="25.5" hidden="1" customHeight="1" outlineLevel="1">
      <c r="A55" s="18" t="str">
        <f>IF('T1'!$A55="","",'T1'!$A55)</f>
        <v>A1.</v>
      </c>
      <c r="B55" s="30"/>
      <c r="C55" s="31" t="str">
        <f>IF('T1'!$C55="","",'T1'!$C55)</f>
        <v/>
      </c>
      <c r="D55" s="32">
        <v>5.0</v>
      </c>
      <c r="E55" s="32">
        <v>5.0</v>
      </c>
      <c r="F55" s="33">
        <v>7.0</v>
      </c>
      <c r="G55" s="34" t="str">
        <f>IF($C55="","",IF(OR($Q55="masa ciała",$Q55="czas",$Q55="dystans",$Q55="ręczne ustawienie"),$Q55,IF($C55='T1'!$C55,IF(AND(LEFT($A55,1)&lt;&gt;"A",PRZEL_AKCESORIA="trzymaj z bloku"),IF(NOT(ISNUMBER('T1'!$G55)),'T1'!$G55,MROUND('T1'!$G55*$AC55/(MAX('T1'!$AC55,0.0001)),MAX($P55,0.5))),IF(OR($R55="",$R55=0),"— brak 1RM",MROUND($R55*$S55/100*$AC55,MAX($P55,0.5)))),IF(OR($AA55="",$AA55=0),"— ustaw ręcznie",MROUND($AA55*$S55/100*$AC55,MAX($P55,0.5))))))</f>
        <v/>
      </c>
      <c r="H55" s="35"/>
      <c r="I55" s="36" t="str">
        <f t="array" ref="I55">IFERROR(IF(IFERROR(INDEX(BAZA_FILM,MATCH($C55,BAZA_EX,0)),"")="","",HYPERLINK(IFERROR(INDEX(BAZA_FILM,MATCH($C55,BAZA_EX,0)),""),"film")),"")</f>
        <v/>
      </c>
      <c r="J55" s="37" t="str">
        <f>IF('T1'!$J55="","",'T1'!$J55)</f>
        <v/>
      </c>
      <c r="K55" s="5" t="s">
        <v>104</v>
      </c>
      <c r="L55" s="5" t="str">
        <f t="array" ref="L55">IFERROR(INDEX(BAZA_ID,MATCH($C55,BAZA_EX,0)),"")</f>
        <v/>
      </c>
      <c r="M55" s="5" t="str">
        <f t="array" ref="M55">IFERROR(INDEX(BAZA_PART,MATCH($C55,BAZA_EX,0)),"")</f>
        <v/>
      </c>
      <c r="N55" s="5" t="str">
        <f t="array" ref="N55">IFERROR(INDEX(BAZA_KAT,MATCH($C55,BAZA_EX,0)),"")</f>
        <v/>
      </c>
      <c r="O55" s="5" t="str">
        <f t="array" ref="O55">IFERROR(INDEX(BAZA_COEFF,MATCH($C55,BAZA_EX,0)),"")</f>
        <v/>
      </c>
      <c r="P55" s="5" t="str">
        <f t="array" ref="P55">IFERROR(INDEX(BAZA_SKOK,MATCH($C55,BAZA_EX,0)),"")</f>
        <v/>
      </c>
      <c r="Q55" s="5" t="str">
        <f t="array" ref="Q55">IFERROR(INDEX(BAZA_PROG,MATCH($C55,BAZA_EX,0)),"")</f>
        <v/>
      </c>
      <c r="R55" s="5" t="str">
        <f>IF($C55="","",IF(SUMPRODUCT((START!$B$6:$B$69=$C55)*(START!$M$6:$M$69&gt;0))=0,"",SUMPRODUCT(MAX((START!$B$6:$B$69=$C55)*START!$M$6:$M$69))))</f>
        <v/>
      </c>
      <c r="S55" s="5">
        <f t="array" ref="S55">IFERROR(INDEX(TABELE!$B$4:$J$18,MATCH($E55,TABELE!$A$4:$A$18,0),MATCH($F55,TABELE!$B$3:$J$3,0)),"")</f>
        <v>74.5</v>
      </c>
      <c r="T55" s="5">
        <f t="array" ref="T55">IFERROR(IF($C55="",0,$O55*$D55*INDEX(TABELE!$B$23:$P$33,MATCH($F55,TABELE!$A$23:$A$33,0),MATCH($E55,TABELE!$B$22:$P$22,0))),0)</f>
        <v>0</v>
      </c>
      <c r="U55" s="5">
        <f t="array" ref="U55">IFERROR(IF($C55="",0,$O55*$D55*INDEX(TABELE!$B$37:$P$47,MATCH($F55,TABELE!$A$37:$A$47,0),MATCH($E55,TABELE!$B$36:$P$36,0))),0)</f>
        <v>0</v>
      </c>
      <c r="V55" s="5">
        <f t="array" ref="V55">IFERROR(IF($C55="",0,$O55*$D55*INDEX(TABELE!$B$51:$P$61,MATCH($F55,TABELE!$A$51:$A$61,0),MATCH($E55,TABELE!$B$50:$P$50,0))),0)</f>
        <v>0</v>
      </c>
      <c r="W55" s="5" t="str">
        <f t="array" ref="W55">IFERROR(INDEX(BAZA_UWAGI,MATCH($C55,BAZA_EX,0)),"")</f>
        <v/>
      </c>
      <c r="X55" s="5">
        <f t="shared" ref="X55:X66" si="16">IF($A55="","",$Z55)</f>
        <v>1</v>
      </c>
      <c r="Y55" s="5" t="str">
        <f>IF($A55="","",LEFT($A55,1))</f>
        <v>A</v>
      </c>
      <c r="Z55" s="5">
        <f>IF($A55="",0,1)</f>
        <v>1</v>
      </c>
      <c r="AA55" s="5" t="str">
        <f>IF($C55="","",IF(SUMPRODUCT((START!$B$6:$B$69=$C55)*(START!$M$6:$M$69&gt;0))=0,"",SUMPRODUCT(MAX((START!$B$6:$B$69=$C55)*START!$M$6:$M$69))))</f>
        <v/>
      </c>
      <c r="AB55" s="5" t="str">
        <f t="shared" ref="AB55:AB66" si="17">IF($C55="","",IF($H55&lt;&gt;"",$H55,IF($H$67="✓ ukończony","OK","")))</f>
        <v/>
      </c>
      <c r="AC55" s="5">
        <f>MAX(0.85,MIN(1.15,1+0.05*(COUNTIF('T1'!$AB55,"za łatwe")+COUNTIF('T2'!$AB55,"za łatwe"))-0.05*(COUNTIF('T1'!$AB55,"za trudne")+COUNTIF('T2'!$AB55,"za trudne"))))</f>
        <v>1</v>
      </c>
      <c r="AD55" s="5">
        <f t="shared" ref="AD55:AD66" si="18">IF(OR($Q55="masa ciała",$Q55="czas",$Q55="dystans",$Q55="ręczne ustawienie"),MAX(-3,MIN(3,ROUND(($AC55-1)/0.05,0))),0)</f>
        <v>0</v>
      </c>
    </row>
    <row r="56" ht="25.5" hidden="1" customHeight="1" outlineLevel="1">
      <c r="A56" s="18" t="str">
        <f>IF('T1'!$A56="","",'T1'!$A56)</f>
        <v>B1.</v>
      </c>
      <c r="B56" s="30"/>
      <c r="C56" s="31" t="str">
        <f>IF('T1'!$C56="","",'T1'!$C56)</f>
        <v/>
      </c>
      <c r="D56" s="32">
        <v>3.0</v>
      </c>
      <c r="E56" s="39">
        <f>IF($C56="",0,MIN(15,MAX(1,IF(N($O56)&gt;=1,6,IF(N($O56)&gt;=0.75,IF(PRZEL_CZESC="część 1 (objętość)",8,6),IF(PRZEL_CZESC="część 1 (objętość)",10,8)))+2+$AD56)))</f>
        <v>0</v>
      </c>
      <c r="F56" s="33">
        <v>8.0</v>
      </c>
      <c r="G56" s="34" t="str">
        <f>IF($C56="","",IF(OR($Q56="masa ciała",$Q56="czas",$Q56="dystans",$Q56="ręczne ustawienie"),$Q56,IF($C56='T1'!$C56,IF(AND(LEFT($A56,1)&lt;&gt;"A",PRZEL_AKCESORIA="trzymaj z bloku"),IF(NOT(ISNUMBER('T1'!$G56)),'T1'!$G56,MROUND('T1'!$G56*$AC56/(MAX('T1'!$AC56,0.0001)),MAX($P56,0.5))),IF(OR($R56="",$R56=0),"— brak 1RM",MROUND($R56*$S56/100*$AC56,MAX($P56,0.5)))),IF(OR($AA56="",$AA56=0),"— ustaw ręcznie",MROUND($AA56*$S56/100*$AC56,MAX($P56,0.5))))))</f>
        <v/>
      </c>
      <c r="H56" s="35"/>
      <c r="I56" s="36" t="str">
        <f t="array" ref="I56">IFERROR(IF(IFERROR(INDEX(BAZA_FILM,MATCH($C56,BAZA_EX,0)),"")="","",HYPERLINK(IFERROR(INDEX(BAZA_FILM,MATCH($C56,BAZA_EX,0)),""),"film")),"")</f>
        <v/>
      </c>
      <c r="J56" s="37" t="str">
        <f>IF('T1'!$J56="","",'T1'!$J56)</f>
        <v/>
      </c>
      <c r="K56" s="5" t="s">
        <v>105</v>
      </c>
      <c r="L56" s="5" t="str">
        <f t="array" ref="L56">IFERROR(INDEX(BAZA_ID,MATCH($C56,BAZA_EX,0)),"")</f>
        <v/>
      </c>
      <c r="M56" s="5" t="str">
        <f t="array" ref="M56">IFERROR(INDEX(BAZA_PART,MATCH($C56,BAZA_EX,0)),"")</f>
        <v/>
      </c>
      <c r="N56" s="5" t="str">
        <f t="array" ref="N56">IFERROR(INDEX(BAZA_KAT,MATCH($C56,BAZA_EX,0)),"")</f>
        <v/>
      </c>
      <c r="O56" s="5" t="str">
        <f t="array" ref="O56">IFERROR(INDEX(BAZA_COEFF,MATCH($C56,BAZA_EX,0)),"")</f>
        <v/>
      </c>
      <c r="P56" s="5" t="str">
        <f t="array" ref="P56">IFERROR(INDEX(BAZA_SKOK,MATCH($C56,BAZA_EX,0)),"")</f>
        <v/>
      </c>
      <c r="Q56" s="5" t="str">
        <f t="array" ref="Q56">IFERROR(INDEX(BAZA_PROG,MATCH($C56,BAZA_EX,0)),"")</f>
        <v/>
      </c>
      <c r="R56" s="5" t="str">
        <f>IF($C56="","",IF(SUMPRODUCT((START!$B$6:$B$69=$C56)*(START!$M$6:$M$69&gt;0))=0,"",SUMPRODUCT(MAX((START!$B$6:$B$69=$C56)*START!$M$6:$M$69))))</f>
        <v/>
      </c>
      <c r="S56" s="5" t="str">
        <f t="array" ref="S56">IFERROR(INDEX(TABELE!$B$4:$J$18,MATCH($E56,TABELE!$A$4:$A$18,0),MATCH($F56,TABELE!$B$3:$J$3,0)),"")</f>
        <v/>
      </c>
      <c r="T56" s="5">
        <f t="array" ref="T56">IFERROR(IF($C56="",0,$O56*$D56*INDEX(TABELE!$B$23:$P$33,MATCH($F56,TABELE!$A$23:$A$33,0),MATCH($E56,TABELE!$B$22:$P$22,0))),0)</f>
        <v>0</v>
      </c>
      <c r="U56" s="5">
        <f t="array" ref="U56">IFERROR(IF($C56="",0,$O56*$D56*INDEX(TABELE!$B$37:$P$47,MATCH($F56,TABELE!$A$37:$A$47,0),MATCH($E56,TABELE!$B$36:$P$36,0))),0)</f>
        <v>0</v>
      </c>
      <c r="V56" s="5">
        <f t="array" ref="V56">IFERROR(IF($C56="",0,$O56*$D56*INDEX(TABELE!$B$51:$P$61,MATCH($F56,TABELE!$A$51:$A$61,0),MATCH($E56,TABELE!$B$50:$P$50,0))),0)</f>
        <v>0</v>
      </c>
      <c r="W56" s="5" t="str">
        <f t="array" ref="W56">IFERROR(INDEX(BAZA_UWAGI,MATCH($C56,BAZA_EX,0)),"")</f>
        <v/>
      </c>
      <c r="X56" s="5">
        <f t="shared" si="16"/>
        <v>2</v>
      </c>
      <c r="Y56" s="5" t="str">
        <f t="shared" ref="Y56:Y66" si="19">IF($A56="",$Y55,LEFT($A56,1))</f>
        <v>B</v>
      </c>
      <c r="Z56" s="5">
        <f t="shared" ref="Z56:Z66" si="20">IF($A56="",$Z55,IF(LEFT($A56,1)=$Y55,$Z55,$Z55+1))</f>
        <v>2</v>
      </c>
      <c r="AA56" s="5" t="str">
        <f>IF($C56="","",IF(SUMPRODUCT((START!$B$6:$B$69=$C56)*(START!$M$6:$M$69&gt;0))=0,"",SUMPRODUCT(MAX((START!$B$6:$B$69=$C56)*START!$M$6:$M$69))))</f>
        <v/>
      </c>
      <c r="AB56" s="5" t="str">
        <f t="shared" si="17"/>
        <v/>
      </c>
      <c r="AC56" s="5">
        <f>MAX(0.85,MIN(1.15,1+0.05*(COUNTIF('T1'!$AB56,"za łatwe")+COUNTIF('T2'!$AB56,"za łatwe"))-0.05*(COUNTIF('T1'!$AB56,"za trudne")+COUNTIF('T2'!$AB56,"za trudne"))))</f>
        <v>1</v>
      </c>
      <c r="AD56" s="5">
        <f t="shared" si="18"/>
        <v>0</v>
      </c>
    </row>
    <row r="57" ht="25.5" hidden="1" customHeight="1" outlineLevel="1">
      <c r="A57" s="18" t="str">
        <f>IF('T1'!$A57="","",'T1'!$A57)</f>
        <v>B2.</v>
      </c>
      <c r="B57" s="30"/>
      <c r="C57" s="31" t="str">
        <f>IF('T1'!$C57="","",'T1'!$C57)</f>
        <v/>
      </c>
      <c r="D57" s="32">
        <v>3.0</v>
      </c>
      <c r="E57" s="39">
        <f>IF($C57="",0,MIN(15,MAX(1,IF(N($O57)&gt;=1,6,IF(N($O57)&gt;=0.75,IF(PRZEL_CZESC="część 1 (objętość)",8,6),IF(PRZEL_CZESC="część 1 (objętość)",10,8)))+2+$AD57)))</f>
        <v>0</v>
      </c>
      <c r="F57" s="33">
        <v>8.0</v>
      </c>
      <c r="G57" s="34" t="str">
        <f>IF($C57="","",IF(OR($Q57="masa ciała",$Q57="czas",$Q57="dystans",$Q57="ręczne ustawienie"),$Q57,IF($C57='T1'!$C57,IF(AND(LEFT($A57,1)&lt;&gt;"A",PRZEL_AKCESORIA="trzymaj z bloku"),IF(NOT(ISNUMBER('T1'!$G57)),'T1'!$G57,MROUND('T1'!$G57*$AC57/(MAX('T1'!$AC57,0.0001)),MAX($P57,0.5))),IF(OR($R57="",$R57=0),"— brak 1RM",MROUND($R57*$S57/100*$AC57,MAX($P57,0.5)))),IF(OR($AA57="",$AA57=0),"— ustaw ręcznie",MROUND($AA57*$S57/100*$AC57,MAX($P57,0.5))))))</f>
        <v/>
      </c>
      <c r="H57" s="35"/>
      <c r="I57" s="36" t="str">
        <f t="array" ref="I57">IFERROR(IF(IFERROR(INDEX(BAZA_FILM,MATCH($C57,BAZA_EX,0)),"")="","",HYPERLINK(IFERROR(INDEX(BAZA_FILM,MATCH($C57,BAZA_EX,0)),""),"film")),"")</f>
        <v/>
      </c>
      <c r="J57" s="37" t="str">
        <f>IF('T1'!$J57="","",'T1'!$J57)</f>
        <v/>
      </c>
      <c r="K57" s="5" t="s">
        <v>106</v>
      </c>
      <c r="L57" s="5" t="str">
        <f t="array" ref="L57">IFERROR(INDEX(BAZA_ID,MATCH($C57,BAZA_EX,0)),"")</f>
        <v/>
      </c>
      <c r="M57" s="5" t="str">
        <f t="array" ref="M57">IFERROR(INDEX(BAZA_PART,MATCH($C57,BAZA_EX,0)),"")</f>
        <v/>
      </c>
      <c r="N57" s="5" t="str">
        <f t="array" ref="N57">IFERROR(INDEX(BAZA_KAT,MATCH($C57,BAZA_EX,0)),"")</f>
        <v/>
      </c>
      <c r="O57" s="5" t="str">
        <f t="array" ref="O57">IFERROR(INDEX(BAZA_COEFF,MATCH($C57,BAZA_EX,0)),"")</f>
        <v/>
      </c>
      <c r="P57" s="5" t="str">
        <f t="array" ref="P57">IFERROR(INDEX(BAZA_SKOK,MATCH($C57,BAZA_EX,0)),"")</f>
        <v/>
      </c>
      <c r="Q57" s="5" t="str">
        <f t="array" ref="Q57">IFERROR(INDEX(BAZA_PROG,MATCH($C57,BAZA_EX,0)),"")</f>
        <v/>
      </c>
      <c r="R57" s="5" t="str">
        <f>IF($C57="","",IF(SUMPRODUCT((START!$B$6:$B$69=$C57)*(START!$M$6:$M$69&gt;0))=0,"",SUMPRODUCT(MAX((START!$B$6:$B$69=$C57)*START!$M$6:$M$69))))</f>
        <v/>
      </c>
      <c r="S57" s="5" t="str">
        <f t="array" ref="S57">IFERROR(INDEX(TABELE!$B$4:$J$18,MATCH($E57,TABELE!$A$4:$A$18,0),MATCH($F57,TABELE!$B$3:$J$3,0)),"")</f>
        <v/>
      </c>
      <c r="T57" s="5">
        <f t="array" ref="T57">IFERROR(IF($C57="",0,$O57*$D57*INDEX(TABELE!$B$23:$P$33,MATCH($F57,TABELE!$A$23:$A$33,0),MATCH($E57,TABELE!$B$22:$P$22,0))),0)</f>
        <v>0</v>
      </c>
      <c r="U57" s="5">
        <f t="array" ref="U57">IFERROR(IF($C57="",0,$O57*$D57*INDEX(TABELE!$B$37:$P$47,MATCH($F57,TABELE!$A$37:$A$47,0),MATCH($E57,TABELE!$B$36:$P$36,0))),0)</f>
        <v>0</v>
      </c>
      <c r="V57" s="5">
        <f t="array" ref="V57">IFERROR(IF($C57="",0,$O57*$D57*INDEX(TABELE!$B$51:$P$61,MATCH($F57,TABELE!$A$51:$A$61,0),MATCH($E57,TABELE!$B$50:$P$50,0))),0)</f>
        <v>0</v>
      </c>
      <c r="W57" s="5" t="str">
        <f t="array" ref="W57">IFERROR(INDEX(BAZA_UWAGI,MATCH($C57,BAZA_EX,0)),"")</f>
        <v/>
      </c>
      <c r="X57" s="5">
        <f t="shared" si="16"/>
        <v>2</v>
      </c>
      <c r="Y57" s="5" t="str">
        <f t="shared" si="19"/>
        <v>B</v>
      </c>
      <c r="Z57" s="5">
        <f t="shared" si="20"/>
        <v>2</v>
      </c>
      <c r="AA57" s="5" t="str">
        <f>IF($C57="","",IF(SUMPRODUCT((START!$B$6:$B$69=$C57)*(START!$M$6:$M$69&gt;0))=0,"",SUMPRODUCT(MAX((START!$B$6:$B$69=$C57)*START!$M$6:$M$69))))</f>
        <v/>
      </c>
      <c r="AB57" s="5" t="str">
        <f t="shared" si="17"/>
        <v/>
      </c>
      <c r="AC57" s="5">
        <f>MAX(0.85,MIN(1.15,1+0.05*(COUNTIF('T1'!$AB57,"za łatwe")+COUNTIF('T2'!$AB57,"za łatwe"))-0.05*(COUNTIF('T1'!$AB57,"za trudne")+COUNTIF('T2'!$AB57,"za trudne"))))</f>
        <v>1</v>
      </c>
      <c r="AD57" s="5">
        <f t="shared" si="18"/>
        <v>0</v>
      </c>
    </row>
    <row r="58" ht="25.5" hidden="1" customHeight="1" outlineLevel="1">
      <c r="A58" s="18" t="str">
        <f>IF('T1'!$A58="","",'T1'!$A58)</f>
        <v>C1.</v>
      </c>
      <c r="B58" s="30"/>
      <c r="C58" s="31" t="str">
        <f>IF('T1'!$C58="","",'T1'!$C58)</f>
        <v/>
      </c>
      <c r="D58" s="32">
        <v>3.0</v>
      </c>
      <c r="E58" s="39">
        <f>IF($C58="",0,MIN(15,MAX(1,IF(N($O58)&gt;=1,6,IF(N($O58)&gt;=0.75,IF(PRZEL_CZESC="część 1 (objętość)",8,6),IF(PRZEL_CZESC="część 1 (objętość)",10,8)))+2+$AD58)))</f>
        <v>0</v>
      </c>
      <c r="F58" s="33">
        <v>8.0</v>
      </c>
      <c r="G58" s="34" t="str">
        <f>IF($C58="","",IF(OR($Q58="masa ciała",$Q58="czas",$Q58="dystans",$Q58="ręczne ustawienie"),$Q58,IF($C58='T1'!$C58,IF(AND(LEFT($A58,1)&lt;&gt;"A",PRZEL_AKCESORIA="trzymaj z bloku"),IF(NOT(ISNUMBER('T1'!$G58)),'T1'!$G58,MROUND('T1'!$G58*$AC58/(MAX('T1'!$AC58,0.0001)),MAX($P58,0.5))),IF(OR($R58="",$R58=0),"— brak 1RM",MROUND($R58*$S58/100*$AC58,MAX($P58,0.5)))),IF(OR($AA58="",$AA58=0),"— ustaw ręcznie",MROUND($AA58*$S58/100*$AC58,MAX($P58,0.5))))))</f>
        <v/>
      </c>
      <c r="H58" s="35"/>
      <c r="I58" s="36" t="str">
        <f t="array" ref="I58">IFERROR(IF(IFERROR(INDEX(BAZA_FILM,MATCH($C58,BAZA_EX,0)),"")="","",HYPERLINK(IFERROR(INDEX(BAZA_FILM,MATCH($C58,BAZA_EX,0)),""),"film")),"")</f>
        <v/>
      </c>
      <c r="J58" s="37" t="str">
        <f>IF('T1'!$J58="","",'T1'!$J58)</f>
        <v/>
      </c>
      <c r="K58" s="5" t="s">
        <v>108</v>
      </c>
      <c r="L58" s="5" t="str">
        <f t="array" ref="L58">IFERROR(INDEX(BAZA_ID,MATCH($C58,BAZA_EX,0)),"")</f>
        <v/>
      </c>
      <c r="M58" s="5" t="str">
        <f t="array" ref="M58">IFERROR(INDEX(BAZA_PART,MATCH($C58,BAZA_EX,0)),"")</f>
        <v/>
      </c>
      <c r="N58" s="5" t="str">
        <f t="array" ref="N58">IFERROR(INDEX(BAZA_KAT,MATCH($C58,BAZA_EX,0)),"")</f>
        <v/>
      </c>
      <c r="O58" s="5" t="str">
        <f t="array" ref="O58">IFERROR(INDEX(BAZA_COEFF,MATCH($C58,BAZA_EX,0)),"")</f>
        <v/>
      </c>
      <c r="P58" s="5" t="str">
        <f t="array" ref="P58">IFERROR(INDEX(BAZA_SKOK,MATCH($C58,BAZA_EX,0)),"")</f>
        <v/>
      </c>
      <c r="Q58" s="5" t="str">
        <f t="array" ref="Q58">IFERROR(INDEX(BAZA_PROG,MATCH($C58,BAZA_EX,0)),"")</f>
        <v/>
      </c>
      <c r="R58" s="5" t="str">
        <f>IF($C58="","",IF(SUMPRODUCT((START!$B$6:$B$69=$C58)*(START!$M$6:$M$69&gt;0))=0,"",SUMPRODUCT(MAX((START!$B$6:$B$69=$C58)*START!$M$6:$M$69))))</f>
        <v/>
      </c>
      <c r="S58" s="5" t="str">
        <f t="array" ref="S58">IFERROR(INDEX(TABELE!$B$4:$J$18,MATCH($E58,TABELE!$A$4:$A$18,0),MATCH($F58,TABELE!$B$3:$J$3,0)),"")</f>
        <v/>
      </c>
      <c r="T58" s="5">
        <f t="array" ref="T58">IFERROR(IF($C58="",0,$O58*$D58*INDEX(TABELE!$B$23:$P$33,MATCH($F58,TABELE!$A$23:$A$33,0),MATCH($E58,TABELE!$B$22:$P$22,0))),0)</f>
        <v>0</v>
      </c>
      <c r="U58" s="5">
        <f t="array" ref="U58">IFERROR(IF($C58="",0,$O58*$D58*INDEX(TABELE!$B$37:$P$47,MATCH($F58,TABELE!$A$37:$A$47,0),MATCH($E58,TABELE!$B$36:$P$36,0))),0)</f>
        <v>0</v>
      </c>
      <c r="V58" s="5">
        <f t="array" ref="V58">IFERROR(IF($C58="",0,$O58*$D58*INDEX(TABELE!$B$51:$P$61,MATCH($F58,TABELE!$A$51:$A$61,0),MATCH($E58,TABELE!$B$50:$P$50,0))),0)</f>
        <v>0</v>
      </c>
      <c r="W58" s="5" t="str">
        <f t="array" ref="W58">IFERROR(INDEX(BAZA_UWAGI,MATCH($C58,BAZA_EX,0)),"")</f>
        <v/>
      </c>
      <c r="X58" s="5">
        <f t="shared" si="16"/>
        <v>3</v>
      </c>
      <c r="Y58" s="5" t="str">
        <f t="shared" si="19"/>
        <v>C</v>
      </c>
      <c r="Z58" s="5">
        <f t="shared" si="20"/>
        <v>3</v>
      </c>
      <c r="AA58" s="5" t="str">
        <f>IF($C58="","",IF(SUMPRODUCT((START!$B$6:$B$69=$C58)*(START!$M$6:$M$69&gt;0))=0,"",SUMPRODUCT(MAX((START!$B$6:$B$69=$C58)*START!$M$6:$M$69))))</f>
        <v/>
      </c>
      <c r="AB58" s="5" t="str">
        <f t="shared" si="17"/>
        <v/>
      </c>
      <c r="AC58" s="5">
        <f>MAX(0.85,MIN(1.15,1+0.05*(COUNTIF('T1'!$AB58,"za łatwe")+COUNTIF('T2'!$AB58,"za łatwe"))-0.05*(COUNTIF('T1'!$AB58,"za trudne")+COUNTIF('T2'!$AB58,"za trudne"))))</f>
        <v>1</v>
      </c>
      <c r="AD58" s="5">
        <f t="shared" si="18"/>
        <v>0</v>
      </c>
    </row>
    <row r="59" ht="25.5" hidden="1" customHeight="1" outlineLevel="1">
      <c r="A59" s="18" t="str">
        <f>IF('T1'!$A59="","",'T1'!$A59)</f>
        <v>C2.</v>
      </c>
      <c r="B59" s="30"/>
      <c r="C59" s="31" t="str">
        <f>IF('T1'!$C59="","",'T1'!$C59)</f>
        <v/>
      </c>
      <c r="D59" s="32">
        <v>3.0</v>
      </c>
      <c r="E59" s="39">
        <f>IF($C59="",0,MIN(15,MAX(1,IF(N($O59)&gt;=1,6,IF(N($O59)&gt;=0.75,IF(PRZEL_CZESC="część 1 (objętość)",8,6),IF(PRZEL_CZESC="część 1 (objętość)",10,8)))+2+$AD59)))</f>
        <v>0</v>
      </c>
      <c r="F59" s="33">
        <v>9.0</v>
      </c>
      <c r="G59" s="34" t="str">
        <f>IF($C59="","",IF(OR($Q59="masa ciała",$Q59="czas",$Q59="dystans",$Q59="ręczne ustawienie"),$Q59,IF($C59='T1'!$C59,IF(AND(LEFT($A59,1)&lt;&gt;"A",PRZEL_AKCESORIA="trzymaj z bloku"),IF(NOT(ISNUMBER('T1'!$G59)),'T1'!$G59,MROUND('T1'!$G59*$AC59/(MAX('T1'!$AC59,0.0001)),MAX($P59,0.5))),IF(OR($R59="",$R59=0),"— brak 1RM",MROUND($R59*$S59/100*$AC59,MAX($P59,0.5)))),IF(OR($AA59="",$AA59=0),"— ustaw ręcznie",MROUND($AA59*$S59/100*$AC59,MAX($P59,0.5))))))</f>
        <v/>
      </c>
      <c r="H59" s="35"/>
      <c r="I59" s="36" t="str">
        <f t="array" ref="I59">IFERROR(IF(IFERROR(INDEX(BAZA_FILM,MATCH($C59,BAZA_EX,0)),"")="","",HYPERLINK(IFERROR(INDEX(BAZA_FILM,MATCH($C59,BAZA_EX,0)),""),"film")),"")</f>
        <v/>
      </c>
      <c r="J59" s="37" t="str">
        <f>IF('T1'!$J59="","",'T1'!$J59)</f>
        <v/>
      </c>
      <c r="K59" s="5" t="s">
        <v>109</v>
      </c>
      <c r="L59" s="5" t="str">
        <f t="array" ref="L59">IFERROR(INDEX(BAZA_ID,MATCH($C59,BAZA_EX,0)),"")</f>
        <v/>
      </c>
      <c r="M59" s="5" t="str">
        <f t="array" ref="M59">IFERROR(INDEX(BAZA_PART,MATCH($C59,BAZA_EX,0)),"")</f>
        <v/>
      </c>
      <c r="N59" s="5" t="str">
        <f t="array" ref="N59">IFERROR(INDEX(BAZA_KAT,MATCH($C59,BAZA_EX,0)),"")</f>
        <v/>
      </c>
      <c r="O59" s="5" t="str">
        <f t="array" ref="O59">IFERROR(INDEX(BAZA_COEFF,MATCH($C59,BAZA_EX,0)),"")</f>
        <v/>
      </c>
      <c r="P59" s="5" t="str">
        <f t="array" ref="P59">IFERROR(INDEX(BAZA_SKOK,MATCH($C59,BAZA_EX,0)),"")</f>
        <v/>
      </c>
      <c r="Q59" s="5" t="str">
        <f t="array" ref="Q59">IFERROR(INDEX(BAZA_PROG,MATCH($C59,BAZA_EX,0)),"")</f>
        <v/>
      </c>
      <c r="R59" s="5" t="str">
        <f>IF($C59="","",IF(SUMPRODUCT((START!$B$6:$B$69=$C59)*(START!$M$6:$M$69&gt;0))=0,"",SUMPRODUCT(MAX((START!$B$6:$B$69=$C59)*START!$M$6:$M$69))))</f>
        <v/>
      </c>
      <c r="S59" s="5" t="str">
        <f t="array" ref="S59">IFERROR(INDEX(TABELE!$B$4:$J$18,MATCH($E59,TABELE!$A$4:$A$18,0),MATCH($F59,TABELE!$B$3:$J$3,0)),"")</f>
        <v/>
      </c>
      <c r="T59" s="5">
        <f t="array" ref="T59">IFERROR(IF($C59="",0,$O59*$D59*INDEX(TABELE!$B$23:$P$33,MATCH($F59,TABELE!$A$23:$A$33,0),MATCH($E59,TABELE!$B$22:$P$22,0))),0)</f>
        <v>0</v>
      </c>
      <c r="U59" s="5">
        <f t="array" ref="U59">IFERROR(IF($C59="",0,$O59*$D59*INDEX(TABELE!$B$37:$P$47,MATCH($F59,TABELE!$A$37:$A$47,0),MATCH($E59,TABELE!$B$36:$P$36,0))),0)</f>
        <v>0</v>
      </c>
      <c r="V59" s="5">
        <f t="array" ref="V59">IFERROR(IF($C59="",0,$O59*$D59*INDEX(TABELE!$B$51:$P$61,MATCH($F59,TABELE!$A$51:$A$61,0),MATCH($E59,TABELE!$B$50:$P$50,0))),0)</f>
        <v>0</v>
      </c>
      <c r="W59" s="5" t="str">
        <f t="array" ref="W59">IFERROR(INDEX(BAZA_UWAGI,MATCH($C59,BAZA_EX,0)),"")</f>
        <v/>
      </c>
      <c r="X59" s="5">
        <f t="shared" si="16"/>
        <v>3</v>
      </c>
      <c r="Y59" s="5" t="str">
        <f t="shared" si="19"/>
        <v>C</v>
      </c>
      <c r="Z59" s="5">
        <f t="shared" si="20"/>
        <v>3</v>
      </c>
      <c r="AA59" s="5" t="str">
        <f>IF($C59="","",IF(SUMPRODUCT((START!$B$6:$B$69=$C59)*(START!$M$6:$M$69&gt;0))=0,"",SUMPRODUCT(MAX((START!$B$6:$B$69=$C59)*START!$M$6:$M$69))))</f>
        <v/>
      </c>
      <c r="AB59" s="5" t="str">
        <f t="shared" si="17"/>
        <v/>
      </c>
      <c r="AC59" s="5">
        <f>MAX(0.85,MIN(1.15,1+0.05*(COUNTIF('T1'!$AB59,"za łatwe")+COUNTIF('T2'!$AB59,"za łatwe"))-0.05*(COUNTIF('T1'!$AB59,"za trudne")+COUNTIF('T2'!$AB59,"za trudne"))))</f>
        <v>1</v>
      </c>
      <c r="AD59" s="5">
        <f t="shared" si="18"/>
        <v>0</v>
      </c>
    </row>
    <row r="60" ht="25.5" hidden="1" customHeight="1" outlineLevel="1">
      <c r="A60" s="18" t="str">
        <f>IF('T1'!$A60="","",'T1'!$A60)</f>
        <v>D1.</v>
      </c>
      <c r="B60" s="30"/>
      <c r="C60" s="31" t="str">
        <f>IF('T1'!$C60="","",'T1'!$C60)</f>
        <v/>
      </c>
      <c r="D60" s="32">
        <v>3.0</v>
      </c>
      <c r="E60" s="39">
        <f>IF($C60="",0,MIN(15,MAX(1,IF(N($O60)&gt;=1,6,IF(N($O60)&gt;=0.75,IF(PRZEL_CZESC="część 1 (objętość)",8,6),IF(PRZEL_CZESC="część 1 (objętość)",10,8)))+2+$AD60)))</f>
        <v>0</v>
      </c>
      <c r="F60" s="33">
        <v>8.0</v>
      </c>
      <c r="G60" s="34" t="str">
        <f>IF($C60="","",IF(OR($Q60="masa ciała",$Q60="czas",$Q60="dystans",$Q60="ręczne ustawienie"),$Q60,IF($C60='T1'!$C60,IF(AND(LEFT($A60,1)&lt;&gt;"A",PRZEL_AKCESORIA="trzymaj z bloku"),IF(NOT(ISNUMBER('T1'!$G60)),'T1'!$G60,MROUND('T1'!$G60*$AC60/(MAX('T1'!$AC60,0.0001)),MAX($P60,0.5))),IF(OR($R60="",$R60=0),"— brak 1RM",MROUND($R60*$S60/100*$AC60,MAX($P60,0.5)))),IF(OR($AA60="",$AA60=0),"— ustaw ręcznie",MROUND($AA60*$S60/100*$AC60,MAX($P60,0.5))))))</f>
        <v/>
      </c>
      <c r="H60" s="35"/>
      <c r="I60" s="36" t="str">
        <f t="array" ref="I60">IFERROR(IF(IFERROR(INDEX(BAZA_FILM,MATCH($C60,BAZA_EX,0)),"")="","",HYPERLINK(IFERROR(INDEX(BAZA_FILM,MATCH($C60,BAZA_EX,0)),""),"film")),"")</f>
        <v/>
      </c>
      <c r="J60" s="37" t="str">
        <f>IF('T1'!$J60="","",'T1'!$J60)</f>
        <v/>
      </c>
      <c r="K60" s="5" t="s">
        <v>110</v>
      </c>
      <c r="L60" s="5" t="str">
        <f t="array" ref="L60">IFERROR(INDEX(BAZA_ID,MATCH($C60,BAZA_EX,0)),"")</f>
        <v/>
      </c>
      <c r="M60" s="5" t="str">
        <f t="array" ref="M60">IFERROR(INDEX(BAZA_PART,MATCH($C60,BAZA_EX,0)),"")</f>
        <v/>
      </c>
      <c r="N60" s="5" t="str">
        <f t="array" ref="N60">IFERROR(INDEX(BAZA_KAT,MATCH($C60,BAZA_EX,0)),"")</f>
        <v/>
      </c>
      <c r="O60" s="5" t="str">
        <f t="array" ref="O60">IFERROR(INDEX(BAZA_COEFF,MATCH($C60,BAZA_EX,0)),"")</f>
        <v/>
      </c>
      <c r="P60" s="5" t="str">
        <f t="array" ref="P60">IFERROR(INDEX(BAZA_SKOK,MATCH($C60,BAZA_EX,0)),"")</f>
        <v/>
      </c>
      <c r="Q60" s="5" t="str">
        <f t="array" ref="Q60">IFERROR(INDEX(BAZA_PROG,MATCH($C60,BAZA_EX,0)),"")</f>
        <v/>
      </c>
      <c r="R60" s="5" t="str">
        <f>IF($C60="","",IF(SUMPRODUCT((START!$B$6:$B$69=$C60)*(START!$M$6:$M$69&gt;0))=0,"",SUMPRODUCT(MAX((START!$B$6:$B$69=$C60)*START!$M$6:$M$69))))</f>
        <v/>
      </c>
      <c r="S60" s="5" t="str">
        <f t="array" ref="S60">IFERROR(INDEX(TABELE!$B$4:$J$18,MATCH($E60,TABELE!$A$4:$A$18,0),MATCH($F60,TABELE!$B$3:$J$3,0)),"")</f>
        <v/>
      </c>
      <c r="T60" s="5">
        <f t="array" ref="T60">IFERROR(IF($C60="",0,$O60*$D60*INDEX(TABELE!$B$23:$P$33,MATCH($F60,TABELE!$A$23:$A$33,0),MATCH($E60,TABELE!$B$22:$P$22,0))),0)</f>
        <v>0</v>
      </c>
      <c r="U60" s="5">
        <f t="array" ref="U60">IFERROR(IF($C60="",0,$O60*$D60*INDEX(TABELE!$B$37:$P$47,MATCH($F60,TABELE!$A$37:$A$47,0),MATCH($E60,TABELE!$B$36:$P$36,0))),0)</f>
        <v>0</v>
      </c>
      <c r="V60" s="5">
        <f t="array" ref="V60">IFERROR(IF($C60="",0,$O60*$D60*INDEX(TABELE!$B$51:$P$61,MATCH($F60,TABELE!$A$51:$A$61,0),MATCH($E60,TABELE!$B$50:$P$50,0))),0)</f>
        <v>0</v>
      </c>
      <c r="W60" s="5" t="str">
        <f t="array" ref="W60">IFERROR(INDEX(BAZA_UWAGI,MATCH($C60,BAZA_EX,0)),"")</f>
        <v/>
      </c>
      <c r="X60" s="5">
        <f t="shared" si="16"/>
        <v>4</v>
      </c>
      <c r="Y60" s="5" t="str">
        <f t="shared" si="19"/>
        <v>D</v>
      </c>
      <c r="Z60" s="5">
        <f t="shared" si="20"/>
        <v>4</v>
      </c>
      <c r="AA60" s="5" t="str">
        <f>IF($C60="","",IF(SUMPRODUCT((START!$B$6:$B$69=$C60)*(START!$M$6:$M$69&gt;0))=0,"",SUMPRODUCT(MAX((START!$B$6:$B$69=$C60)*START!$M$6:$M$69))))</f>
        <v/>
      </c>
      <c r="AB60" s="5" t="str">
        <f t="shared" si="17"/>
        <v/>
      </c>
      <c r="AC60" s="5">
        <f>MAX(0.85,MIN(1.15,1+0.05*(COUNTIF('T1'!$AB60,"za łatwe")+COUNTIF('T2'!$AB60,"za łatwe"))-0.05*(COUNTIF('T1'!$AB60,"za trudne")+COUNTIF('T2'!$AB60,"za trudne"))))</f>
        <v>1</v>
      </c>
      <c r="AD60" s="5">
        <f t="shared" si="18"/>
        <v>0</v>
      </c>
    </row>
    <row r="61" ht="25.5" hidden="1" customHeight="1" outlineLevel="1">
      <c r="A61" s="18" t="str">
        <f>IF('T1'!$A61="","",'T1'!$A61)</f>
        <v>D2.</v>
      </c>
      <c r="B61" s="30"/>
      <c r="C61" s="31" t="str">
        <f>IF('T1'!$C61="","",'T1'!$C61)</f>
        <v/>
      </c>
      <c r="D61" s="32">
        <v>3.0</v>
      </c>
      <c r="E61" s="39">
        <f>IF($C61="",0,MIN(15,MAX(1,IF(N($O61)&gt;=1,6,IF(N($O61)&gt;=0.75,IF(PRZEL_CZESC="część 1 (objętość)",8,6),IF(PRZEL_CZESC="część 1 (objętość)",10,8)))+2+$AD61)))</f>
        <v>0</v>
      </c>
      <c r="F61" s="33">
        <v>9.0</v>
      </c>
      <c r="G61" s="34" t="str">
        <f>IF($C61="","",IF(OR($Q61="masa ciała",$Q61="czas",$Q61="dystans",$Q61="ręczne ustawienie"),$Q61,IF($C61='T1'!$C61,IF(AND(LEFT($A61,1)&lt;&gt;"A",PRZEL_AKCESORIA="trzymaj z bloku"),IF(NOT(ISNUMBER('T1'!$G61)),'T1'!$G61,MROUND('T1'!$G61*$AC61/(MAX('T1'!$AC61,0.0001)),MAX($P61,0.5))),IF(OR($R61="",$R61=0),"— brak 1RM",MROUND($R61*$S61/100*$AC61,MAX($P61,0.5)))),IF(OR($AA61="",$AA61=0),"— ustaw ręcznie",MROUND($AA61*$S61/100*$AC61,MAX($P61,0.5))))))</f>
        <v/>
      </c>
      <c r="H61" s="35"/>
      <c r="I61" s="36" t="str">
        <f t="array" ref="I61">IFERROR(IF(IFERROR(INDEX(BAZA_FILM,MATCH($C61,BAZA_EX,0)),"")="","",HYPERLINK(IFERROR(INDEX(BAZA_FILM,MATCH($C61,BAZA_EX,0)),""),"film")),"")</f>
        <v/>
      </c>
      <c r="J61" s="37" t="str">
        <f>IF('T1'!$J61="","",'T1'!$J61)</f>
        <v/>
      </c>
      <c r="K61" s="5" t="s">
        <v>112</v>
      </c>
      <c r="L61" s="5" t="str">
        <f t="array" ref="L61">IFERROR(INDEX(BAZA_ID,MATCH($C61,BAZA_EX,0)),"")</f>
        <v/>
      </c>
      <c r="M61" s="5" t="str">
        <f t="array" ref="M61">IFERROR(INDEX(BAZA_PART,MATCH($C61,BAZA_EX,0)),"")</f>
        <v/>
      </c>
      <c r="N61" s="5" t="str">
        <f t="array" ref="N61">IFERROR(INDEX(BAZA_KAT,MATCH($C61,BAZA_EX,0)),"")</f>
        <v/>
      </c>
      <c r="O61" s="5" t="str">
        <f t="array" ref="O61">IFERROR(INDEX(BAZA_COEFF,MATCH($C61,BAZA_EX,0)),"")</f>
        <v/>
      </c>
      <c r="P61" s="5" t="str">
        <f t="array" ref="P61">IFERROR(INDEX(BAZA_SKOK,MATCH($C61,BAZA_EX,0)),"")</f>
        <v/>
      </c>
      <c r="Q61" s="5" t="str">
        <f t="array" ref="Q61">IFERROR(INDEX(BAZA_PROG,MATCH($C61,BAZA_EX,0)),"")</f>
        <v/>
      </c>
      <c r="R61" s="5" t="str">
        <f>IF($C61="","",IF(SUMPRODUCT((START!$B$6:$B$69=$C61)*(START!$M$6:$M$69&gt;0))=0,"",SUMPRODUCT(MAX((START!$B$6:$B$69=$C61)*START!$M$6:$M$69))))</f>
        <v/>
      </c>
      <c r="S61" s="5" t="str">
        <f t="array" ref="S61">IFERROR(INDEX(TABELE!$B$4:$J$18,MATCH($E61,TABELE!$A$4:$A$18,0),MATCH($F61,TABELE!$B$3:$J$3,0)),"")</f>
        <v/>
      </c>
      <c r="T61" s="5">
        <f t="array" ref="T61">IFERROR(IF($C61="",0,$O61*$D61*INDEX(TABELE!$B$23:$P$33,MATCH($F61,TABELE!$A$23:$A$33,0),MATCH($E61,TABELE!$B$22:$P$22,0))),0)</f>
        <v>0</v>
      </c>
      <c r="U61" s="5">
        <f t="array" ref="U61">IFERROR(IF($C61="",0,$O61*$D61*INDEX(TABELE!$B$37:$P$47,MATCH($F61,TABELE!$A$37:$A$47,0),MATCH($E61,TABELE!$B$36:$P$36,0))),0)</f>
        <v>0</v>
      </c>
      <c r="V61" s="5">
        <f t="array" ref="V61">IFERROR(IF($C61="",0,$O61*$D61*INDEX(TABELE!$B$51:$P$61,MATCH($F61,TABELE!$A$51:$A$61,0),MATCH($E61,TABELE!$B$50:$P$50,0))),0)</f>
        <v>0</v>
      </c>
      <c r="W61" s="5" t="str">
        <f t="array" ref="W61">IFERROR(INDEX(BAZA_UWAGI,MATCH($C61,BAZA_EX,0)),"")</f>
        <v/>
      </c>
      <c r="X61" s="5">
        <f t="shared" si="16"/>
        <v>4</v>
      </c>
      <c r="Y61" s="5" t="str">
        <f t="shared" si="19"/>
        <v>D</v>
      </c>
      <c r="Z61" s="5">
        <f t="shared" si="20"/>
        <v>4</v>
      </c>
      <c r="AA61" s="5" t="str">
        <f>IF($C61="","",IF(SUMPRODUCT((START!$B$6:$B$69=$C61)*(START!$M$6:$M$69&gt;0))=0,"",SUMPRODUCT(MAX((START!$B$6:$B$69=$C61)*START!$M$6:$M$69))))</f>
        <v/>
      </c>
      <c r="AB61" s="5" t="str">
        <f t="shared" si="17"/>
        <v/>
      </c>
      <c r="AC61" s="5">
        <f>MAX(0.85,MIN(1.15,1+0.05*(COUNTIF('T1'!$AB61,"za łatwe")+COUNTIF('T2'!$AB61,"za łatwe"))-0.05*(COUNTIF('T1'!$AB61,"za trudne")+COUNTIF('T2'!$AB61,"za trudne"))))</f>
        <v>1</v>
      </c>
      <c r="AD61" s="5">
        <f t="shared" si="18"/>
        <v>0</v>
      </c>
    </row>
    <row r="62" ht="25.5" hidden="1" customHeight="1" outlineLevel="1">
      <c r="A62" s="18" t="str">
        <f>IF('T1'!$A62="","",'T1'!$A62)</f>
        <v>E1.</v>
      </c>
      <c r="B62" s="30"/>
      <c r="C62" s="31" t="str">
        <f>IF('T1'!$C62="","",'T1'!$C62)</f>
        <v/>
      </c>
      <c r="D62" s="32"/>
      <c r="E62" s="39">
        <f>IF($C62="",0,MIN(15,MAX(1,IF(N($O62)&gt;=1,6,IF(N($O62)&gt;=0.75,IF(PRZEL_CZESC="część 1 (objętość)",8,6),IF(PRZEL_CZESC="część 1 (objętość)",10,8)))+2+$AD62)))</f>
        <v>0</v>
      </c>
      <c r="F62" s="33"/>
      <c r="G62" s="34" t="str">
        <f>IF($C62="","",IF(OR($Q62="masa ciała",$Q62="czas",$Q62="dystans",$Q62="ręczne ustawienie"),$Q62,IF($C62='T1'!$C62,IF(AND(LEFT($A62,1)&lt;&gt;"A",PRZEL_AKCESORIA="trzymaj z bloku"),IF(NOT(ISNUMBER('T1'!$G62)),'T1'!$G62,MROUND('T1'!$G62*$AC62/(MAX('T1'!$AC62,0.0001)),MAX($P62,0.5))),IF(OR($R62="",$R62=0),"— brak 1RM",MROUND($R62*$S62/100*$AC62,MAX($P62,0.5)))),IF(OR($AA62="",$AA62=0),"— ustaw ręcznie",MROUND($AA62*$S62/100*$AC62,MAX($P62,0.5))))))</f>
        <v/>
      </c>
      <c r="H62" s="35"/>
      <c r="I62" s="36" t="str">
        <f t="array" ref="I62">IFERROR(IF(IFERROR(INDEX(BAZA_FILM,MATCH($C62,BAZA_EX,0)),"")="","",HYPERLINK(IFERROR(INDEX(BAZA_FILM,MATCH($C62,BAZA_EX,0)),""),"film")),"")</f>
        <v/>
      </c>
      <c r="J62" s="37" t="str">
        <f>IF('T1'!$J62="","",'T1'!$J62)</f>
        <v/>
      </c>
      <c r="K62" s="5" t="s">
        <v>114</v>
      </c>
      <c r="L62" s="5" t="str">
        <f t="array" ref="L62">IFERROR(INDEX(BAZA_ID,MATCH($C62,BAZA_EX,0)),"")</f>
        <v/>
      </c>
      <c r="M62" s="5" t="str">
        <f t="array" ref="M62">IFERROR(INDEX(BAZA_PART,MATCH($C62,BAZA_EX,0)),"")</f>
        <v/>
      </c>
      <c r="N62" s="5" t="str">
        <f t="array" ref="N62">IFERROR(INDEX(BAZA_KAT,MATCH($C62,BAZA_EX,0)),"")</f>
        <v/>
      </c>
      <c r="O62" s="5" t="str">
        <f t="array" ref="O62">IFERROR(INDEX(BAZA_COEFF,MATCH($C62,BAZA_EX,0)),"")</f>
        <v/>
      </c>
      <c r="P62" s="5" t="str">
        <f t="array" ref="P62">IFERROR(INDEX(BAZA_SKOK,MATCH($C62,BAZA_EX,0)),"")</f>
        <v/>
      </c>
      <c r="Q62" s="5" t="str">
        <f t="array" ref="Q62">IFERROR(INDEX(BAZA_PROG,MATCH($C62,BAZA_EX,0)),"")</f>
        <v/>
      </c>
      <c r="R62" s="5" t="str">
        <f>IF($C62="","",IF(SUMPRODUCT((START!$B$6:$B$69=$C62)*(START!$M$6:$M$69&gt;0))=0,"",SUMPRODUCT(MAX((START!$B$6:$B$69=$C62)*START!$M$6:$M$69))))</f>
        <v/>
      </c>
      <c r="S62" s="5" t="str">
        <f t="array" ref="S62">IFERROR(INDEX(TABELE!$B$4:$J$18,MATCH($E62,TABELE!$A$4:$A$18,0),MATCH($F62,TABELE!$B$3:$J$3,0)),"")</f>
        <v/>
      </c>
      <c r="T62" s="5">
        <f t="array" ref="T62">IFERROR(IF($C62="",0,$O62*$D62*INDEX(TABELE!$B$23:$P$33,MATCH($F62,TABELE!$A$23:$A$33,0),MATCH($E62,TABELE!$B$22:$P$22,0))),0)</f>
        <v>0</v>
      </c>
      <c r="U62" s="5">
        <f t="array" ref="U62">IFERROR(IF($C62="",0,$O62*$D62*INDEX(TABELE!$B$37:$P$47,MATCH($F62,TABELE!$A$37:$A$47,0),MATCH($E62,TABELE!$B$36:$P$36,0))),0)</f>
        <v>0</v>
      </c>
      <c r="V62" s="5">
        <f t="array" ref="V62">IFERROR(IF($C62="",0,$O62*$D62*INDEX(TABELE!$B$51:$P$61,MATCH($F62,TABELE!$A$51:$A$61,0),MATCH($E62,TABELE!$B$50:$P$50,0))),0)</f>
        <v>0</v>
      </c>
      <c r="W62" s="5" t="str">
        <f t="array" ref="W62">IFERROR(INDEX(BAZA_UWAGI,MATCH($C62,BAZA_EX,0)),"")</f>
        <v/>
      </c>
      <c r="X62" s="5">
        <f t="shared" si="16"/>
        <v>5</v>
      </c>
      <c r="Y62" s="5" t="str">
        <f t="shared" si="19"/>
        <v>E</v>
      </c>
      <c r="Z62" s="5">
        <f t="shared" si="20"/>
        <v>5</v>
      </c>
      <c r="AA62" s="5" t="str">
        <f>IF($C62="","",IF(SUMPRODUCT((START!$B$6:$B$69=$C62)*(START!$M$6:$M$69&gt;0))=0,"",SUMPRODUCT(MAX((START!$B$6:$B$69=$C62)*START!$M$6:$M$69))))</f>
        <v/>
      </c>
      <c r="AB62" s="5" t="str">
        <f t="shared" si="17"/>
        <v/>
      </c>
      <c r="AC62" s="5">
        <f>MAX(0.85,MIN(1.15,1+0.05*(COUNTIF('T1'!$AB62,"za łatwe")+COUNTIF('T2'!$AB62,"za łatwe"))-0.05*(COUNTIF('T1'!$AB62,"za trudne")+COUNTIF('T2'!$AB62,"za trudne"))))</f>
        <v>1</v>
      </c>
      <c r="AD62" s="5">
        <f t="shared" si="18"/>
        <v>0</v>
      </c>
    </row>
    <row r="63" ht="25.5" hidden="1" customHeight="1" outlineLevel="1">
      <c r="A63" s="18" t="str">
        <f>IF('T1'!$A63="","",'T1'!$A63)</f>
        <v>E2.</v>
      </c>
      <c r="B63" s="30"/>
      <c r="C63" s="31" t="str">
        <f>IF('T1'!$C63="","",'T1'!$C63)</f>
        <v/>
      </c>
      <c r="D63" s="32"/>
      <c r="E63" s="39">
        <f>IF($C63="",0,MIN(15,MAX(1,IF(N($O63)&gt;=1,6,IF(N($O63)&gt;=0.75,IF(PRZEL_CZESC="część 1 (objętość)",8,6),IF(PRZEL_CZESC="część 1 (objętość)",10,8)))+2+$AD63)))</f>
        <v>0</v>
      </c>
      <c r="F63" s="33"/>
      <c r="G63" s="34" t="str">
        <f>IF($C63="","",IF(OR($Q63="masa ciała",$Q63="czas",$Q63="dystans",$Q63="ręczne ustawienie"),$Q63,IF($C63='T1'!$C63,IF(AND(LEFT($A63,1)&lt;&gt;"A",PRZEL_AKCESORIA="trzymaj z bloku"),IF(NOT(ISNUMBER('T1'!$G63)),'T1'!$G63,MROUND('T1'!$G63*$AC63/(MAX('T1'!$AC63,0.0001)),MAX($P63,0.5))),IF(OR($R63="",$R63=0),"— brak 1RM",MROUND($R63*$S63/100*$AC63,MAX($P63,0.5)))),IF(OR($AA63="",$AA63=0),"— ustaw ręcznie",MROUND($AA63*$S63/100*$AC63,MAX($P63,0.5))))))</f>
        <v/>
      </c>
      <c r="H63" s="35"/>
      <c r="I63" s="36" t="str">
        <f t="array" ref="I63">IFERROR(IF(IFERROR(INDEX(BAZA_FILM,MATCH($C63,BAZA_EX,0)),"")="","",HYPERLINK(IFERROR(INDEX(BAZA_FILM,MATCH($C63,BAZA_EX,0)),""),"film")),"")</f>
        <v/>
      </c>
      <c r="J63" s="37" t="str">
        <f>IF('T1'!$J63="","",'T1'!$J63)</f>
        <v/>
      </c>
      <c r="K63" s="5" t="s">
        <v>115</v>
      </c>
      <c r="L63" s="5" t="str">
        <f t="array" ref="L63">IFERROR(INDEX(BAZA_ID,MATCH($C63,BAZA_EX,0)),"")</f>
        <v/>
      </c>
      <c r="M63" s="5" t="str">
        <f t="array" ref="M63">IFERROR(INDEX(BAZA_PART,MATCH($C63,BAZA_EX,0)),"")</f>
        <v/>
      </c>
      <c r="N63" s="5" t="str">
        <f t="array" ref="N63">IFERROR(INDEX(BAZA_KAT,MATCH($C63,BAZA_EX,0)),"")</f>
        <v/>
      </c>
      <c r="O63" s="5" t="str">
        <f t="array" ref="O63">IFERROR(INDEX(BAZA_COEFF,MATCH($C63,BAZA_EX,0)),"")</f>
        <v/>
      </c>
      <c r="P63" s="5" t="str">
        <f t="array" ref="P63">IFERROR(INDEX(BAZA_SKOK,MATCH($C63,BAZA_EX,0)),"")</f>
        <v/>
      </c>
      <c r="Q63" s="5" t="str">
        <f t="array" ref="Q63">IFERROR(INDEX(BAZA_PROG,MATCH($C63,BAZA_EX,0)),"")</f>
        <v/>
      </c>
      <c r="R63" s="5" t="str">
        <f>IF($C63="","",IF(SUMPRODUCT((START!$B$6:$B$69=$C63)*(START!$M$6:$M$69&gt;0))=0,"",SUMPRODUCT(MAX((START!$B$6:$B$69=$C63)*START!$M$6:$M$69))))</f>
        <v/>
      </c>
      <c r="S63" s="5" t="str">
        <f t="array" ref="S63">IFERROR(INDEX(TABELE!$B$4:$J$18,MATCH($E63,TABELE!$A$4:$A$18,0),MATCH($F63,TABELE!$B$3:$J$3,0)),"")</f>
        <v/>
      </c>
      <c r="T63" s="5">
        <f t="array" ref="T63">IFERROR(IF($C63="",0,$O63*$D63*INDEX(TABELE!$B$23:$P$33,MATCH($F63,TABELE!$A$23:$A$33,0),MATCH($E63,TABELE!$B$22:$P$22,0))),0)</f>
        <v>0</v>
      </c>
      <c r="U63" s="5">
        <f t="array" ref="U63">IFERROR(IF($C63="",0,$O63*$D63*INDEX(TABELE!$B$37:$P$47,MATCH($F63,TABELE!$A$37:$A$47,0),MATCH($E63,TABELE!$B$36:$P$36,0))),0)</f>
        <v>0</v>
      </c>
      <c r="V63" s="5">
        <f t="array" ref="V63">IFERROR(IF($C63="",0,$O63*$D63*INDEX(TABELE!$B$51:$P$61,MATCH($F63,TABELE!$A$51:$A$61,0),MATCH($E63,TABELE!$B$50:$P$50,0))),0)</f>
        <v>0</v>
      </c>
      <c r="W63" s="5" t="str">
        <f t="array" ref="W63">IFERROR(INDEX(BAZA_UWAGI,MATCH($C63,BAZA_EX,0)),"")</f>
        <v/>
      </c>
      <c r="X63" s="5">
        <f t="shared" si="16"/>
        <v>5</v>
      </c>
      <c r="Y63" s="5" t="str">
        <f t="shared" si="19"/>
        <v>E</v>
      </c>
      <c r="Z63" s="5">
        <f t="shared" si="20"/>
        <v>5</v>
      </c>
      <c r="AA63" s="5" t="str">
        <f>IF($C63="","",IF(SUMPRODUCT((START!$B$6:$B$69=$C63)*(START!$M$6:$M$69&gt;0))=0,"",SUMPRODUCT(MAX((START!$B$6:$B$69=$C63)*START!$M$6:$M$69))))</f>
        <v/>
      </c>
      <c r="AB63" s="5" t="str">
        <f t="shared" si="17"/>
        <v/>
      </c>
      <c r="AC63" s="5">
        <f>MAX(0.85,MIN(1.15,1+0.05*(COUNTIF('T1'!$AB63,"za łatwe")+COUNTIF('T2'!$AB63,"za łatwe"))-0.05*(COUNTIF('T1'!$AB63,"za trudne")+COUNTIF('T2'!$AB63,"za trudne"))))</f>
        <v>1</v>
      </c>
      <c r="AD63" s="5">
        <f t="shared" si="18"/>
        <v>0</v>
      </c>
    </row>
    <row r="64" ht="25.5" hidden="1" customHeight="1" outlineLevel="1">
      <c r="A64" s="18" t="str">
        <f>IF('T1'!$A64="","",'T1'!$A64)</f>
        <v/>
      </c>
      <c r="B64" s="30"/>
      <c r="C64" s="31" t="str">
        <f>IF('T1'!$C64="","",'T1'!$C64)</f>
        <v/>
      </c>
      <c r="D64" s="32"/>
      <c r="E64" s="39">
        <f>IF($C64="",0,MIN(15,MAX(1,IF(N($O64)&gt;=1,6,IF(N($O64)&gt;=0.75,IF(PRZEL_CZESC="część 1 (objętość)",8,6),IF(PRZEL_CZESC="część 1 (objętość)",10,8)))+2+$AD64)))</f>
        <v>0</v>
      </c>
      <c r="F64" s="33"/>
      <c r="G64" s="34" t="str">
        <f>IF($C64="","",IF(OR($Q64="masa ciała",$Q64="czas",$Q64="dystans",$Q64="ręczne ustawienie"),$Q64,IF($C64='T1'!$C64,IF(AND(LEFT($A64,1)&lt;&gt;"A",PRZEL_AKCESORIA="trzymaj z bloku"),IF(NOT(ISNUMBER('T1'!$G64)),'T1'!$G64,MROUND('T1'!$G64*$AC64/(MAX('T1'!$AC64,0.0001)),MAX($P64,0.5))),IF(OR($R64="",$R64=0),"— brak 1RM",MROUND($R64*$S64/100*$AC64,MAX($P64,0.5)))),IF(OR($AA64="",$AA64=0),"— ustaw ręcznie",MROUND($AA64*$S64/100*$AC64,MAX($P64,0.5))))))</f>
        <v/>
      </c>
      <c r="H64" s="35"/>
      <c r="I64" s="36" t="str">
        <f t="array" ref="I64">IFERROR(IF(IFERROR(INDEX(BAZA_FILM,MATCH($C64,BAZA_EX,0)),"")="","",HYPERLINK(IFERROR(INDEX(BAZA_FILM,MATCH($C64,BAZA_EX,0)),""),"film")),"")</f>
        <v/>
      </c>
      <c r="J64" s="37" t="str">
        <f>IF('T1'!$J64="","",'T1'!$J64)</f>
        <v/>
      </c>
      <c r="K64" s="5" t="s">
        <v>116</v>
      </c>
      <c r="L64" s="5" t="str">
        <f t="array" ref="L64">IFERROR(INDEX(BAZA_ID,MATCH($C64,BAZA_EX,0)),"")</f>
        <v/>
      </c>
      <c r="M64" s="5" t="str">
        <f t="array" ref="M64">IFERROR(INDEX(BAZA_PART,MATCH($C64,BAZA_EX,0)),"")</f>
        <v/>
      </c>
      <c r="N64" s="5" t="str">
        <f t="array" ref="N64">IFERROR(INDEX(BAZA_KAT,MATCH($C64,BAZA_EX,0)),"")</f>
        <v/>
      </c>
      <c r="O64" s="5" t="str">
        <f t="array" ref="O64">IFERROR(INDEX(BAZA_COEFF,MATCH($C64,BAZA_EX,0)),"")</f>
        <v/>
      </c>
      <c r="P64" s="5" t="str">
        <f t="array" ref="P64">IFERROR(INDEX(BAZA_SKOK,MATCH($C64,BAZA_EX,0)),"")</f>
        <v/>
      </c>
      <c r="Q64" s="5" t="str">
        <f t="array" ref="Q64">IFERROR(INDEX(BAZA_PROG,MATCH($C64,BAZA_EX,0)),"")</f>
        <v/>
      </c>
      <c r="R64" s="5" t="str">
        <f>IF($C64="","",IF(SUMPRODUCT((START!$B$6:$B$69=$C64)*(START!$M$6:$M$69&gt;0))=0,"",SUMPRODUCT(MAX((START!$B$6:$B$69=$C64)*START!$M$6:$M$69))))</f>
        <v/>
      </c>
      <c r="S64" s="5" t="str">
        <f t="array" ref="S64">IFERROR(INDEX(TABELE!$B$4:$J$18,MATCH($E64,TABELE!$A$4:$A$18,0),MATCH($F64,TABELE!$B$3:$J$3,0)),"")</f>
        <v/>
      </c>
      <c r="T64" s="5">
        <f t="array" ref="T64">IFERROR(IF($C64="",0,$O64*$D64*INDEX(TABELE!$B$23:$P$33,MATCH($F64,TABELE!$A$23:$A$33,0),MATCH($E64,TABELE!$B$22:$P$22,0))),0)</f>
        <v>0</v>
      </c>
      <c r="U64" s="5">
        <f t="array" ref="U64">IFERROR(IF($C64="",0,$O64*$D64*INDEX(TABELE!$B$37:$P$47,MATCH($F64,TABELE!$A$37:$A$47,0),MATCH($E64,TABELE!$B$36:$P$36,0))),0)</f>
        <v>0</v>
      </c>
      <c r="V64" s="5">
        <f t="array" ref="V64">IFERROR(IF($C64="",0,$O64*$D64*INDEX(TABELE!$B$51:$P$61,MATCH($F64,TABELE!$A$51:$A$61,0),MATCH($E64,TABELE!$B$50:$P$50,0))),0)</f>
        <v>0</v>
      </c>
      <c r="W64" s="5" t="str">
        <f t="array" ref="W64">IFERROR(INDEX(BAZA_UWAGI,MATCH($C64,BAZA_EX,0)),"")</f>
        <v/>
      </c>
      <c r="X64" s="5" t="str">
        <f t="shared" si="16"/>
        <v/>
      </c>
      <c r="Y64" s="5" t="str">
        <f t="shared" si="19"/>
        <v>E</v>
      </c>
      <c r="Z64" s="5">
        <f t="shared" si="20"/>
        <v>5</v>
      </c>
      <c r="AA64" s="5" t="str">
        <f>IF($C64="","",IF(SUMPRODUCT((START!$B$6:$B$69=$C64)*(START!$M$6:$M$69&gt;0))=0,"",SUMPRODUCT(MAX((START!$B$6:$B$69=$C64)*START!$M$6:$M$69))))</f>
        <v/>
      </c>
      <c r="AB64" s="5" t="str">
        <f t="shared" si="17"/>
        <v/>
      </c>
      <c r="AC64" s="5">
        <f>MAX(0.85,MIN(1.15,1+0.05*(COUNTIF('T1'!$AB64,"za łatwe")+COUNTIF('T2'!$AB64,"za łatwe"))-0.05*(COUNTIF('T1'!$AB64,"za trudne")+COUNTIF('T2'!$AB64,"za trudne"))))</f>
        <v>1</v>
      </c>
      <c r="AD64" s="5">
        <f t="shared" si="18"/>
        <v>0</v>
      </c>
    </row>
    <row r="65" ht="25.5" hidden="1" customHeight="1" outlineLevel="1">
      <c r="A65" s="18" t="str">
        <f>IF('T1'!$A65="","",'T1'!$A65)</f>
        <v/>
      </c>
      <c r="B65" s="30"/>
      <c r="C65" s="31" t="str">
        <f>IF('T1'!$C65="","",'T1'!$C65)</f>
        <v/>
      </c>
      <c r="D65" s="32"/>
      <c r="E65" s="39">
        <f>IF($C65="",0,MIN(15,MAX(1,IF(N($O65)&gt;=1,6,IF(N($O65)&gt;=0.75,IF(PRZEL_CZESC="część 1 (objętość)",8,6),IF(PRZEL_CZESC="część 1 (objętość)",10,8)))+2+$AD65)))</f>
        <v>0</v>
      </c>
      <c r="F65" s="33"/>
      <c r="G65" s="34" t="str">
        <f>IF($C65="","",IF(OR($Q65="masa ciała",$Q65="czas",$Q65="dystans",$Q65="ręczne ustawienie"),$Q65,IF($C65='T1'!$C65,IF(AND(LEFT($A65,1)&lt;&gt;"A",PRZEL_AKCESORIA="trzymaj z bloku"),IF(NOT(ISNUMBER('T1'!$G65)),'T1'!$G65,MROUND('T1'!$G65*$AC65/(MAX('T1'!$AC65,0.0001)),MAX($P65,0.5))),IF(OR($R65="",$R65=0),"— brak 1RM",MROUND($R65*$S65/100*$AC65,MAX($P65,0.5)))),IF(OR($AA65="",$AA65=0),"— ustaw ręcznie",MROUND($AA65*$S65/100*$AC65,MAX($P65,0.5))))))</f>
        <v/>
      </c>
      <c r="H65" s="35"/>
      <c r="I65" s="36" t="str">
        <f t="array" ref="I65">IFERROR(IF(IFERROR(INDEX(BAZA_FILM,MATCH($C65,BAZA_EX,0)),"")="","",HYPERLINK(IFERROR(INDEX(BAZA_FILM,MATCH($C65,BAZA_EX,0)),""),"film")),"")</f>
        <v/>
      </c>
      <c r="J65" s="37" t="str">
        <f>IF('T1'!$J65="","",'T1'!$J65)</f>
        <v/>
      </c>
      <c r="K65" s="5" t="s">
        <v>117</v>
      </c>
      <c r="L65" s="5" t="str">
        <f t="array" ref="L65">IFERROR(INDEX(BAZA_ID,MATCH($C65,BAZA_EX,0)),"")</f>
        <v/>
      </c>
      <c r="M65" s="5" t="str">
        <f t="array" ref="M65">IFERROR(INDEX(BAZA_PART,MATCH($C65,BAZA_EX,0)),"")</f>
        <v/>
      </c>
      <c r="N65" s="5" t="str">
        <f t="array" ref="N65">IFERROR(INDEX(BAZA_KAT,MATCH($C65,BAZA_EX,0)),"")</f>
        <v/>
      </c>
      <c r="O65" s="5" t="str">
        <f t="array" ref="O65">IFERROR(INDEX(BAZA_COEFF,MATCH($C65,BAZA_EX,0)),"")</f>
        <v/>
      </c>
      <c r="P65" s="5" t="str">
        <f t="array" ref="P65">IFERROR(INDEX(BAZA_SKOK,MATCH($C65,BAZA_EX,0)),"")</f>
        <v/>
      </c>
      <c r="Q65" s="5" t="str">
        <f t="array" ref="Q65">IFERROR(INDEX(BAZA_PROG,MATCH($C65,BAZA_EX,0)),"")</f>
        <v/>
      </c>
      <c r="R65" s="5" t="str">
        <f>IF($C65="","",IF(SUMPRODUCT((START!$B$6:$B$69=$C65)*(START!$M$6:$M$69&gt;0))=0,"",SUMPRODUCT(MAX((START!$B$6:$B$69=$C65)*START!$M$6:$M$69))))</f>
        <v/>
      </c>
      <c r="S65" s="5" t="str">
        <f t="array" ref="S65">IFERROR(INDEX(TABELE!$B$4:$J$18,MATCH($E65,TABELE!$A$4:$A$18,0),MATCH($F65,TABELE!$B$3:$J$3,0)),"")</f>
        <v/>
      </c>
      <c r="T65" s="5">
        <f t="array" ref="T65">IFERROR(IF($C65="",0,$O65*$D65*INDEX(TABELE!$B$23:$P$33,MATCH($F65,TABELE!$A$23:$A$33,0),MATCH($E65,TABELE!$B$22:$P$22,0))),0)</f>
        <v>0</v>
      </c>
      <c r="U65" s="5">
        <f t="array" ref="U65">IFERROR(IF($C65="",0,$O65*$D65*INDEX(TABELE!$B$37:$P$47,MATCH($F65,TABELE!$A$37:$A$47,0),MATCH($E65,TABELE!$B$36:$P$36,0))),0)</f>
        <v>0</v>
      </c>
      <c r="V65" s="5">
        <f t="array" ref="V65">IFERROR(IF($C65="",0,$O65*$D65*INDEX(TABELE!$B$51:$P$61,MATCH($F65,TABELE!$A$51:$A$61,0),MATCH($E65,TABELE!$B$50:$P$50,0))),0)</f>
        <v>0</v>
      </c>
      <c r="W65" s="5" t="str">
        <f t="array" ref="W65">IFERROR(INDEX(BAZA_UWAGI,MATCH($C65,BAZA_EX,0)),"")</f>
        <v/>
      </c>
      <c r="X65" s="5" t="str">
        <f t="shared" si="16"/>
        <v/>
      </c>
      <c r="Y65" s="5" t="str">
        <f t="shared" si="19"/>
        <v>E</v>
      </c>
      <c r="Z65" s="5">
        <f t="shared" si="20"/>
        <v>5</v>
      </c>
      <c r="AA65" s="5" t="str">
        <f>IF($C65="","",IF(SUMPRODUCT((START!$B$6:$B$69=$C65)*(START!$M$6:$M$69&gt;0))=0,"",SUMPRODUCT(MAX((START!$B$6:$B$69=$C65)*START!$M$6:$M$69))))</f>
        <v/>
      </c>
      <c r="AB65" s="5" t="str">
        <f t="shared" si="17"/>
        <v/>
      </c>
      <c r="AC65" s="5">
        <f>MAX(0.85,MIN(1.15,1+0.05*(COUNTIF('T1'!$AB65,"za łatwe")+COUNTIF('T2'!$AB65,"za łatwe"))-0.05*(COUNTIF('T1'!$AB65,"za trudne")+COUNTIF('T2'!$AB65,"za trudne"))))</f>
        <v>1</v>
      </c>
      <c r="AD65" s="5">
        <f t="shared" si="18"/>
        <v>0</v>
      </c>
    </row>
    <row r="66" ht="25.5" hidden="1" customHeight="1" outlineLevel="1">
      <c r="A66" s="18" t="str">
        <f>IF('T1'!$A66="","",'T1'!$A66)</f>
        <v/>
      </c>
      <c r="B66" s="30"/>
      <c r="C66" s="31" t="str">
        <f>IF('T1'!$C66="","",'T1'!$C66)</f>
        <v/>
      </c>
      <c r="D66" s="32"/>
      <c r="E66" s="39">
        <f>IF($C66="",0,MIN(15,MAX(1,IF(N($O66)&gt;=1,6,IF(N($O66)&gt;=0.75,IF(PRZEL_CZESC="część 1 (objętość)",8,6),IF(PRZEL_CZESC="część 1 (objętość)",10,8)))+2+$AD66)))</f>
        <v>0</v>
      </c>
      <c r="F66" s="33"/>
      <c r="G66" s="34" t="str">
        <f>IF($C66="","",IF(OR($Q66="masa ciała",$Q66="czas",$Q66="dystans",$Q66="ręczne ustawienie"),$Q66,IF($C66='T1'!$C66,IF(AND(LEFT($A66,1)&lt;&gt;"A",PRZEL_AKCESORIA="trzymaj z bloku"),IF(NOT(ISNUMBER('T1'!$G66)),'T1'!$G66,MROUND('T1'!$G66*$AC66/(MAX('T1'!$AC66,0.0001)),MAX($P66,0.5))),IF(OR($R66="",$R66=0),"— brak 1RM",MROUND($R66*$S66/100*$AC66,MAX($P66,0.5)))),IF(OR($AA66="",$AA66=0),"— ustaw ręcznie",MROUND($AA66*$S66/100*$AC66,MAX($P66,0.5))))))</f>
        <v/>
      </c>
      <c r="H66" s="35"/>
      <c r="I66" s="36" t="str">
        <f t="array" ref="I66">IFERROR(IF(IFERROR(INDEX(BAZA_FILM,MATCH($C66,BAZA_EX,0)),"")="","",HYPERLINK(IFERROR(INDEX(BAZA_FILM,MATCH($C66,BAZA_EX,0)),""),"film")),"")</f>
        <v/>
      </c>
      <c r="J66" s="37" t="str">
        <f>IF('T1'!$J66="","",'T1'!$J66)</f>
        <v/>
      </c>
      <c r="K66" s="5" t="s">
        <v>118</v>
      </c>
      <c r="L66" s="5" t="str">
        <f t="array" ref="L66">IFERROR(INDEX(BAZA_ID,MATCH($C66,BAZA_EX,0)),"")</f>
        <v/>
      </c>
      <c r="M66" s="5" t="str">
        <f t="array" ref="M66">IFERROR(INDEX(BAZA_PART,MATCH($C66,BAZA_EX,0)),"")</f>
        <v/>
      </c>
      <c r="N66" s="5" t="str">
        <f t="array" ref="N66">IFERROR(INDEX(BAZA_KAT,MATCH($C66,BAZA_EX,0)),"")</f>
        <v/>
      </c>
      <c r="O66" s="5" t="str">
        <f t="array" ref="O66">IFERROR(INDEX(BAZA_COEFF,MATCH($C66,BAZA_EX,0)),"")</f>
        <v/>
      </c>
      <c r="P66" s="5" t="str">
        <f t="array" ref="P66">IFERROR(INDEX(BAZA_SKOK,MATCH($C66,BAZA_EX,0)),"")</f>
        <v/>
      </c>
      <c r="Q66" s="5" t="str">
        <f t="array" ref="Q66">IFERROR(INDEX(BAZA_PROG,MATCH($C66,BAZA_EX,0)),"")</f>
        <v/>
      </c>
      <c r="R66" s="5" t="str">
        <f>IF($C66="","",IF(SUMPRODUCT((START!$B$6:$B$69=$C66)*(START!$M$6:$M$69&gt;0))=0,"",SUMPRODUCT(MAX((START!$B$6:$B$69=$C66)*START!$M$6:$M$69))))</f>
        <v/>
      </c>
      <c r="S66" s="5" t="str">
        <f t="array" ref="S66">IFERROR(INDEX(TABELE!$B$4:$J$18,MATCH($E66,TABELE!$A$4:$A$18,0),MATCH($F66,TABELE!$B$3:$J$3,0)),"")</f>
        <v/>
      </c>
      <c r="T66" s="5">
        <f t="array" ref="T66">IFERROR(IF($C66="",0,$O66*$D66*INDEX(TABELE!$B$23:$P$33,MATCH($F66,TABELE!$A$23:$A$33,0),MATCH($E66,TABELE!$B$22:$P$22,0))),0)</f>
        <v>0</v>
      </c>
      <c r="U66" s="5">
        <f t="array" ref="U66">IFERROR(IF($C66="",0,$O66*$D66*INDEX(TABELE!$B$37:$P$47,MATCH($F66,TABELE!$A$37:$A$47,0),MATCH($E66,TABELE!$B$36:$P$36,0))),0)</f>
        <v>0</v>
      </c>
      <c r="V66" s="5">
        <f t="array" ref="V66">IFERROR(IF($C66="",0,$O66*$D66*INDEX(TABELE!$B$51:$P$61,MATCH($F66,TABELE!$A$51:$A$61,0),MATCH($E66,TABELE!$B$50:$P$50,0))),0)</f>
        <v>0</v>
      </c>
      <c r="W66" s="5" t="str">
        <f t="array" ref="W66">IFERROR(INDEX(BAZA_UWAGI,MATCH($C66,BAZA_EX,0)),"")</f>
        <v/>
      </c>
      <c r="X66" s="5" t="str">
        <f t="shared" si="16"/>
        <v/>
      </c>
      <c r="Y66" s="5" t="str">
        <f t="shared" si="19"/>
        <v>E</v>
      </c>
      <c r="Z66" s="5">
        <f t="shared" si="20"/>
        <v>5</v>
      </c>
      <c r="AA66" s="5" t="str">
        <f>IF($C66="","",IF(SUMPRODUCT((START!$B$6:$B$69=$C66)*(START!$M$6:$M$69&gt;0))=0,"",SUMPRODUCT(MAX((START!$B$6:$B$69=$C66)*START!$M$6:$M$69))))</f>
        <v/>
      </c>
      <c r="AB66" s="5" t="str">
        <f t="shared" si="17"/>
        <v/>
      </c>
      <c r="AC66" s="5">
        <f>MAX(0.85,MIN(1.15,1+0.05*(COUNTIF('T1'!$AB66,"za łatwe")+COUNTIF('T2'!$AB66,"za łatwe"))-0.05*(COUNTIF('T1'!$AB66,"za trudne")+COUNTIF('T2'!$AB66,"za trudne"))))</f>
        <v>1</v>
      </c>
      <c r="AD66" s="5">
        <f t="shared" si="18"/>
        <v>0</v>
      </c>
    </row>
    <row r="67" ht="19.5" hidden="1" customHeight="1" outlineLevel="1">
      <c r="A67" s="43"/>
      <c r="B67" s="43"/>
      <c r="C67" s="44" t="s">
        <v>138</v>
      </c>
      <c r="D67" s="45">
        <f>SUMPRODUCT((C55:C66&lt;&gt;"")*D55:D66)+IF(AND($B$54="TOP SET",$C$54&lt;&gt;""),1,0)</f>
      </c>
      <c r="E67" s="46" t="str">
        <f>SUMPRODUCT((C55:C66&lt;&gt;"")*D55:D66*E55:E66)&amp;" powt."</f>
        <v>0 powt.</v>
      </c>
      <c r="F67" s="43"/>
      <c r="G67" s="47" t="str">
        <f>"stres t "&amp;TEXT(SUM(T55:T66),"0.0")</f>
        <v>stres t 0,0</v>
      </c>
      <c r="H67" s="48"/>
      <c r="I67" s="43"/>
      <c r="J67" s="4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25.5" hidden="1" customHeight="1" outlineLevel="1">
      <c r="A69" s="15" t="s">
        <v>119</v>
      </c>
      <c r="B69" s="3"/>
      <c r="C69" s="3"/>
      <c r="D69" s="3"/>
      <c r="E69" s="3"/>
      <c r="F69" s="3"/>
      <c r="G69" s="3"/>
      <c r="H69" s="3"/>
      <c r="I69" s="3"/>
      <c r="J69" s="4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33.75" hidden="1" customHeight="1" outlineLevel="2">
      <c r="A70" s="17" t="str">
        <f>IF($B70="TOP SET","▲","")</f>
        <v>▲</v>
      </c>
      <c r="B70" s="19" t="str">
        <f>IF('T1'!$B70="TOP SET","TOP SET","—")</f>
        <v>TOP SET</v>
      </c>
      <c r="C70" s="22" t="str">
        <f>IF(OR($B70&lt;&gt;"TOP SET",$F70=""),"",IF(N($K70)=0,"",IF(INDEX($C$71:$C$82,$K70)="","",INDEX($C$71:$C$82,$K70))))</f>
      </c>
      <c r="D70" s="23">
        <f>IF(AND($B70="TOP SET",$F70&lt;&gt;""),1,"")</f>
      </c>
      <c r="E70" s="24" t="str">
        <f>IF(AND($B70="TOP SET",$F70&lt;&gt;""),"1 powtórzenie","")</f>
      </c>
      <c r="F70" s="25">
        <v>6.5</v>
      </c>
      <c r="G70" s="27" t="str">
        <f t="array" ref="G70">IF($B70&lt;&gt;"TOP SET","",IF($C70="","",IF(OR($Q70="masa ciała",$Q70="czas",$Q70="dystans",$Q70="ręczne ustawienie"),"—",IF($C70='T1'!$C70,IF(OR($R70="",$R70=0),"— brak 1RM",MROUND($R70*IFERROR(INDEX(TABELE!$B$4:$J$18,MATCH(1,TABELE!$A$4:$A$18,0),MATCH($F70,TABELE!$B$3:$J$3,0)),0)/100,MAX($P70,0.5))),IF(OR($AA70="",$AA70=0),"— ustaw ręcznie",MROUND($AA70*IFERROR(INDEX(TABELE!$B$4:$J$18,MATCH(1,TABELE!$A$4:$A$18,0),MATCH($F70,TABELE!$B$3:$J$3,0)),0)/100,MAX($P70,0.5)))))))</f>
      </c>
      <c r="H70" s="28"/>
      <c r="I70" s="29"/>
      <c r="J70" s="29"/>
      <c r="K70" s="5">
        <f>IFERROR(MATCH("A*",$A$71:$A$82,0),0)</f>
      </c>
      <c r="L70" s="5"/>
      <c r="M70" s="5"/>
      <c r="N70" s="5"/>
      <c r="O70" s="5"/>
      <c r="P70" s="5">
        <f>IF(N($K70)=0,"",INDEX($P$71:$P$82,$K70))</f>
      </c>
      <c r="Q70" s="5">
        <f>IF(N($K70)=0,"",INDEX($Q$71:$Q$82,$K70))</f>
      </c>
      <c r="R70" s="5">
        <f>IF(N($K70)=0,"",INDEX($R$71:$R$82,$K70))</f>
      </c>
      <c r="S70" s="5"/>
      <c r="T70" s="5"/>
      <c r="U70" s="5"/>
      <c r="V70" s="5"/>
      <c r="W70" s="5"/>
      <c r="X70" s="5"/>
      <c r="Y70" s="5"/>
      <c r="Z70" s="5"/>
      <c r="AA70" s="5">
        <f>IF(N($K70)=0,"",INDEX($AA$71:$AA$82,$K70))</f>
      </c>
    </row>
    <row r="71" ht="25.5" hidden="1" customHeight="1" outlineLevel="1">
      <c r="A71" s="18" t="str">
        <f>IF('T1'!$A71="","",'T1'!$A71)</f>
        <v>A1.</v>
      </c>
      <c r="B71" s="30"/>
      <c r="C71" s="31" t="str">
        <f>IF('T1'!$C71="","",'T1'!$C71)</f>
        <v/>
      </c>
      <c r="D71" s="32">
        <v>5.0</v>
      </c>
      <c r="E71" s="32">
        <v>5.0</v>
      </c>
      <c r="F71" s="33">
        <v>7.0</v>
      </c>
      <c r="G71" s="34" t="str">
        <f>IF($C71="","",IF(OR($Q71="masa ciała",$Q71="czas",$Q71="dystans",$Q71="ręczne ustawienie"),$Q71,IF($C71='T1'!$C71,IF(AND(LEFT($A71,1)&lt;&gt;"A",PRZEL_AKCESORIA="trzymaj z bloku"),IF(NOT(ISNUMBER('T1'!$G71)),'T1'!$G71,MROUND('T1'!$G71*$AC71/(MAX('T1'!$AC71,0.0001)),MAX($P71,0.5))),IF(OR($R71="",$R71=0),"— brak 1RM",MROUND($R71*$S71/100*$AC71,MAX($P71,0.5)))),IF(OR($AA71="",$AA71=0),"— ustaw ręcznie",MROUND($AA71*$S71/100*$AC71,MAX($P71,0.5))))))</f>
        <v/>
      </c>
      <c r="H71" s="35"/>
      <c r="I71" s="36" t="str">
        <f t="array" ref="I71">IFERROR(IF(IFERROR(INDEX(BAZA_FILM,MATCH($C71,BAZA_EX,0)),"")="","",HYPERLINK(IFERROR(INDEX(BAZA_FILM,MATCH($C71,BAZA_EX,0)),""),"film")),"")</f>
        <v/>
      </c>
      <c r="J71" s="37" t="str">
        <f>IF('T1'!$J71="","",'T1'!$J71)</f>
        <v/>
      </c>
      <c r="K71" s="5" t="s">
        <v>120</v>
      </c>
      <c r="L71" s="5" t="str">
        <f t="array" ref="L71">IFERROR(INDEX(BAZA_ID,MATCH($C71,BAZA_EX,0)),"")</f>
        <v/>
      </c>
      <c r="M71" s="5" t="str">
        <f t="array" ref="M71">IFERROR(INDEX(BAZA_PART,MATCH($C71,BAZA_EX,0)),"")</f>
        <v/>
      </c>
      <c r="N71" s="5" t="str">
        <f t="array" ref="N71">IFERROR(INDEX(BAZA_KAT,MATCH($C71,BAZA_EX,0)),"")</f>
        <v/>
      </c>
      <c r="O71" s="5" t="str">
        <f t="array" ref="O71">IFERROR(INDEX(BAZA_COEFF,MATCH($C71,BAZA_EX,0)),"")</f>
        <v/>
      </c>
      <c r="P71" s="5" t="str">
        <f t="array" ref="P71">IFERROR(INDEX(BAZA_SKOK,MATCH($C71,BAZA_EX,0)),"")</f>
        <v/>
      </c>
      <c r="Q71" s="5" t="str">
        <f t="array" ref="Q71">IFERROR(INDEX(BAZA_PROG,MATCH($C71,BAZA_EX,0)),"")</f>
        <v/>
      </c>
      <c r="R71" s="5" t="str">
        <f>IF($C71="","",IF(SUMPRODUCT((START!$B$6:$B$69=$C71)*(START!$M$6:$M$69&gt;0))=0,"",SUMPRODUCT(MAX((START!$B$6:$B$69=$C71)*START!$M$6:$M$69))))</f>
        <v/>
      </c>
      <c r="S71" s="5">
        <f t="array" ref="S71">IFERROR(INDEX(TABELE!$B$4:$J$18,MATCH($E71,TABELE!$A$4:$A$18,0),MATCH($F71,TABELE!$B$3:$J$3,0)),"")</f>
        <v>74.5</v>
      </c>
      <c r="T71" s="5">
        <f t="array" ref="T71">IFERROR(IF($C71="",0,$O71*$D71*INDEX(TABELE!$B$23:$P$33,MATCH($F71,TABELE!$A$23:$A$33,0),MATCH($E71,TABELE!$B$22:$P$22,0))),0)</f>
        <v>0</v>
      </c>
      <c r="U71" s="5">
        <f t="array" ref="U71">IFERROR(IF($C71="",0,$O71*$D71*INDEX(TABELE!$B$37:$P$47,MATCH($F71,TABELE!$A$37:$A$47,0),MATCH($E71,TABELE!$B$36:$P$36,0))),0)</f>
        <v>0</v>
      </c>
      <c r="V71" s="5">
        <f t="array" ref="V71">IFERROR(IF($C71="",0,$O71*$D71*INDEX(TABELE!$B$51:$P$61,MATCH($F71,TABELE!$A$51:$A$61,0),MATCH($E71,TABELE!$B$50:$P$50,0))),0)</f>
        <v>0</v>
      </c>
      <c r="W71" s="5" t="str">
        <f t="array" ref="W71">IFERROR(INDEX(BAZA_UWAGI,MATCH($C71,BAZA_EX,0)),"")</f>
        <v/>
      </c>
      <c r="X71" s="5">
        <f t="shared" ref="X71:X82" si="21">IF($A71="","",$Z71)</f>
        <v>1</v>
      </c>
      <c r="Y71" s="5" t="str">
        <f>IF($A71="","",LEFT($A71,1))</f>
        <v>A</v>
      </c>
      <c r="Z71" s="5">
        <f>IF($A71="",0,1)</f>
        <v>1</v>
      </c>
      <c r="AA71" s="5" t="str">
        <f>IF($C71="","",IF(SUMPRODUCT((START!$B$6:$B$69=$C71)*(START!$M$6:$M$69&gt;0))=0,"",SUMPRODUCT(MAX((START!$B$6:$B$69=$C71)*START!$M$6:$M$69))))</f>
        <v/>
      </c>
      <c r="AB71" s="5" t="str">
        <f t="shared" ref="AB71:AB82" si="22">IF($C71="","",IF($H71&lt;&gt;"",$H71,IF($H$83="✓ ukończony","OK","")))</f>
        <v/>
      </c>
      <c r="AC71" s="5">
        <f>MAX(0.85,MIN(1.15,1+0.05*(COUNTIF('T1'!$AB71,"za łatwe")+COUNTIF('T2'!$AB71,"za łatwe"))-0.05*(COUNTIF('T1'!$AB71,"za trudne")+COUNTIF('T2'!$AB71,"za trudne"))))</f>
        <v>1</v>
      </c>
      <c r="AD71" s="5">
        <f t="shared" ref="AD71:AD82" si="23">IF(OR($Q71="masa ciała",$Q71="czas",$Q71="dystans",$Q71="ręczne ustawienie"),MAX(-3,MIN(3,ROUND(($AC71-1)/0.05,0))),0)</f>
        <v>0</v>
      </c>
    </row>
    <row r="72" ht="25.5" hidden="1" customHeight="1" outlineLevel="1">
      <c r="A72" s="18" t="str">
        <f>IF('T1'!$A72="","",'T1'!$A72)</f>
        <v>B1.</v>
      </c>
      <c r="B72" s="30"/>
      <c r="C72" s="31" t="str">
        <f>IF('T1'!$C72="","",'T1'!$C72)</f>
        <v/>
      </c>
      <c r="D72" s="32">
        <v>3.0</v>
      </c>
      <c r="E72" s="39">
        <f>IF($C72="",0,MIN(15,MAX(1,IF(N($O72)&gt;=1,6,IF(N($O72)&gt;=0.75,IF(PRZEL_CZESC="część 1 (objętość)",8,6),IF(PRZEL_CZESC="część 1 (objętość)",10,8)))+2+$AD72)))</f>
        <v>0</v>
      </c>
      <c r="F72" s="33">
        <v>8.0</v>
      </c>
      <c r="G72" s="34" t="str">
        <f>IF($C72="","",IF(OR($Q72="masa ciała",$Q72="czas",$Q72="dystans",$Q72="ręczne ustawienie"),$Q72,IF($C72='T1'!$C72,IF(AND(LEFT($A72,1)&lt;&gt;"A",PRZEL_AKCESORIA="trzymaj z bloku"),IF(NOT(ISNUMBER('T1'!$G72)),'T1'!$G72,MROUND('T1'!$G72*$AC72/(MAX('T1'!$AC72,0.0001)),MAX($P72,0.5))),IF(OR($R72="",$R72=0),"— brak 1RM",MROUND($R72*$S72/100*$AC72,MAX($P72,0.5)))),IF(OR($AA72="",$AA72=0),"— ustaw ręcznie",MROUND($AA72*$S72/100*$AC72,MAX($P72,0.5))))))</f>
        <v/>
      </c>
      <c r="H72" s="35"/>
      <c r="I72" s="36" t="str">
        <f t="array" ref="I72">IFERROR(IF(IFERROR(INDEX(BAZA_FILM,MATCH($C72,BAZA_EX,0)),"")="","",HYPERLINK(IFERROR(INDEX(BAZA_FILM,MATCH($C72,BAZA_EX,0)),""),"film")),"")</f>
        <v/>
      </c>
      <c r="J72" s="37" t="str">
        <f>IF('T1'!$J72="","",'T1'!$J72)</f>
        <v/>
      </c>
      <c r="K72" s="5" t="s">
        <v>121</v>
      </c>
      <c r="L72" s="5" t="str">
        <f t="array" ref="L72">IFERROR(INDEX(BAZA_ID,MATCH($C72,BAZA_EX,0)),"")</f>
        <v/>
      </c>
      <c r="M72" s="5" t="str">
        <f t="array" ref="M72">IFERROR(INDEX(BAZA_PART,MATCH($C72,BAZA_EX,0)),"")</f>
        <v/>
      </c>
      <c r="N72" s="5" t="str">
        <f t="array" ref="N72">IFERROR(INDEX(BAZA_KAT,MATCH($C72,BAZA_EX,0)),"")</f>
        <v/>
      </c>
      <c r="O72" s="5" t="str">
        <f t="array" ref="O72">IFERROR(INDEX(BAZA_COEFF,MATCH($C72,BAZA_EX,0)),"")</f>
        <v/>
      </c>
      <c r="P72" s="5" t="str">
        <f t="array" ref="P72">IFERROR(INDEX(BAZA_SKOK,MATCH($C72,BAZA_EX,0)),"")</f>
        <v/>
      </c>
      <c r="Q72" s="5" t="str">
        <f t="array" ref="Q72">IFERROR(INDEX(BAZA_PROG,MATCH($C72,BAZA_EX,0)),"")</f>
        <v/>
      </c>
      <c r="R72" s="5" t="str">
        <f>IF($C72="","",IF(SUMPRODUCT((START!$B$6:$B$69=$C72)*(START!$M$6:$M$69&gt;0))=0,"",SUMPRODUCT(MAX((START!$B$6:$B$69=$C72)*START!$M$6:$M$69))))</f>
        <v/>
      </c>
      <c r="S72" s="5" t="str">
        <f t="array" ref="S72">IFERROR(INDEX(TABELE!$B$4:$J$18,MATCH($E72,TABELE!$A$4:$A$18,0),MATCH($F72,TABELE!$B$3:$J$3,0)),"")</f>
        <v/>
      </c>
      <c r="T72" s="5">
        <f t="array" ref="T72">IFERROR(IF($C72="",0,$O72*$D72*INDEX(TABELE!$B$23:$P$33,MATCH($F72,TABELE!$A$23:$A$33,0),MATCH($E72,TABELE!$B$22:$P$22,0))),0)</f>
        <v>0</v>
      </c>
      <c r="U72" s="5">
        <f t="array" ref="U72">IFERROR(IF($C72="",0,$O72*$D72*INDEX(TABELE!$B$37:$P$47,MATCH($F72,TABELE!$A$37:$A$47,0),MATCH($E72,TABELE!$B$36:$P$36,0))),0)</f>
        <v>0</v>
      </c>
      <c r="V72" s="5">
        <f t="array" ref="V72">IFERROR(IF($C72="",0,$O72*$D72*INDEX(TABELE!$B$51:$P$61,MATCH($F72,TABELE!$A$51:$A$61,0),MATCH($E72,TABELE!$B$50:$P$50,0))),0)</f>
        <v>0</v>
      </c>
      <c r="W72" s="5" t="str">
        <f t="array" ref="W72">IFERROR(INDEX(BAZA_UWAGI,MATCH($C72,BAZA_EX,0)),"")</f>
        <v/>
      </c>
      <c r="X72" s="5">
        <f t="shared" si="21"/>
        <v>2</v>
      </c>
      <c r="Y72" s="5" t="str">
        <f t="shared" ref="Y72:Y82" si="24">IF($A72="",$Y71,LEFT($A72,1))</f>
        <v>B</v>
      </c>
      <c r="Z72" s="5">
        <f t="shared" ref="Z72:Z82" si="25">IF($A72="",$Z71,IF(LEFT($A72,1)=$Y71,$Z71,$Z71+1))</f>
        <v>2</v>
      </c>
      <c r="AA72" s="5" t="str">
        <f>IF($C72="","",IF(SUMPRODUCT((START!$B$6:$B$69=$C72)*(START!$M$6:$M$69&gt;0))=0,"",SUMPRODUCT(MAX((START!$B$6:$B$69=$C72)*START!$M$6:$M$69))))</f>
        <v/>
      </c>
      <c r="AB72" s="5" t="str">
        <f t="shared" si="22"/>
        <v/>
      </c>
      <c r="AC72" s="5">
        <f>MAX(0.85,MIN(1.15,1+0.05*(COUNTIF('T1'!$AB72,"za łatwe")+COUNTIF('T2'!$AB72,"za łatwe"))-0.05*(COUNTIF('T1'!$AB72,"za trudne")+COUNTIF('T2'!$AB72,"za trudne"))))</f>
        <v>1</v>
      </c>
      <c r="AD72" s="5">
        <f t="shared" si="23"/>
        <v>0</v>
      </c>
    </row>
    <row r="73" ht="25.5" hidden="1" customHeight="1" outlineLevel="1">
      <c r="A73" s="18" t="str">
        <f>IF('T1'!$A73="","",'T1'!$A73)</f>
        <v>B2.</v>
      </c>
      <c r="B73" s="30"/>
      <c r="C73" s="31" t="str">
        <f>IF('T1'!$C73="","",'T1'!$C73)</f>
        <v/>
      </c>
      <c r="D73" s="32">
        <v>3.0</v>
      </c>
      <c r="E73" s="39">
        <f>IF($C73="",0,MIN(15,MAX(1,IF(N($O73)&gt;=1,6,IF(N($O73)&gt;=0.75,IF(PRZEL_CZESC="część 1 (objętość)",8,6),IF(PRZEL_CZESC="część 1 (objętość)",10,8)))+2+$AD73)))</f>
        <v>0</v>
      </c>
      <c r="F73" s="33">
        <v>8.0</v>
      </c>
      <c r="G73" s="34" t="str">
        <f>IF($C73="","",IF(OR($Q73="masa ciała",$Q73="czas",$Q73="dystans",$Q73="ręczne ustawienie"),$Q73,IF($C73='T1'!$C73,IF(AND(LEFT($A73,1)&lt;&gt;"A",PRZEL_AKCESORIA="trzymaj z bloku"),IF(NOT(ISNUMBER('T1'!$G73)),'T1'!$G73,MROUND('T1'!$G73*$AC73/(MAX('T1'!$AC73,0.0001)),MAX($P73,0.5))),IF(OR($R73="",$R73=0),"— brak 1RM",MROUND($R73*$S73/100*$AC73,MAX($P73,0.5)))),IF(OR($AA73="",$AA73=0),"— ustaw ręcznie",MROUND($AA73*$S73/100*$AC73,MAX($P73,0.5))))))</f>
        <v/>
      </c>
      <c r="H73" s="35"/>
      <c r="I73" s="36" t="str">
        <f t="array" ref="I73">IFERROR(IF(IFERROR(INDEX(BAZA_FILM,MATCH($C73,BAZA_EX,0)),"")="","",HYPERLINK(IFERROR(INDEX(BAZA_FILM,MATCH($C73,BAZA_EX,0)),""),"film")),"")</f>
        <v/>
      </c>
      <c r="J73" s="37" t="str">
        <f>IF('T1'!$J73="","",'T1'!$J73)</f>
        <v/>
      </c>
      <c r="K73" s="5" t="s">
        <v>122</v>
      </c>
      <c r="L73" s="5" t="str">
        <f t="array" ref="L73">IFERROR(INDEX(BAZA_ID,MATCH($C73,BAZA_EX,0)),"")</f>
        <v/>
      </c>
      <c r="M73" s="5" t="str">
        <f t="array" ref="M73">IFERROR(INDEX(BAZA_PART,MATCH($C73,BAZA_EX,0)),"")</f>
        <v/>
      </c>
      <c r="N73" s="5" t="str">
        <f t="array" ref="N73">IFERROR(INDEX(BAZA_KAT,MATCH($C73,BAZA_EX,0)),"")</f>
        <v/>
      </c>
      <c r="O73" s="5" t="str">
        <f t="array" ref="O73">IFERROR(INDEX(BAZA_COEFF,MATCH($C73,BAZA_EX,0)),"")</f>
        <v/>
      </c>
      <c r="P73" s="5" t="str">
        <f t="array" ref="P73">IFERROR(INDEX(BAZA_SKOK,MATCH($C73,BAZA_EX,0)),"")</f>
        <v/>
      </c>
      <c r="Q73" s="5" t="str">
        <f t="array" ref="Q73">IFERROR(INDEX(BAZA_PROG,MATCH($C73,BAZA_EX,0)),"")</f>
        <v/>
      </c>
      <c r="R73" s="5" t="str">
        <f>IF($C73="","",IF(SUMPRODUCT((START!$B$6:$B$69=$C73)*(START!$M$6:$M$69&gt;0))=0,"",SUMPRODUCT(MAX((START!$B$6:$B$69=$C73)*START!$M$6:$M$69))))</f>
        <v/>
      </c>
      <c r="S73" s="5" t="str">
        <f t="array" ref="S73">IFERROR(INDEX(TABELE!$B$4:$J$18,MATCH($E73,TABELE!$A$4:$A$18,0),MATCH($F73,TABELE!$B$3:$J$3,0)),"")</f>
        <v/>
      </c>
      <c r="T73" s="5">
        <f t="array" ref="T73">IFERROR(IF($C73="",0,$O73*$D73*INDEX(TABELE!$B$23:$P$33,MATCH($F73,TABELE!$A$23:$A$33,0),MATCH($E73,TABELE!$B$22:$P$22,0))),0)</f>
        <v>0</v>
      </c>
      <c r="U73" s="5">
        <f t="array" ref="U73">IFERROR(IF($C73="",0,$O73*$D73*INDEX(TABELE!$B$37:$P$47,MATCH($F73,TABELE!$A$37:$A$47,0),MATCH($E73,TABELE!$B$36:$P$36,0))),0)</f>
        <v>0</v>
      </c>
      <c r="V73" s="5">
        <f t="array" ref="V73">IFERROR(IF($C73="",0,$O73*$D73*INDEX(TABELE!$B$51:$P$61,MATCH($F73,TABELE!$A$51:$A$61,0),MATCH($E73,TABELE!$B$50:$P$50,0))),0)</f>
        <v>0</v>
      </c>
      <c r="W73" s="5" t="str">
        <f t="array" ref="W73">IFERROR(INDEX(BAZA_UWAGI,MATCH($C73,BAZA_EX,0)),"")</f>
        <v/>
      </c>
      <c r="X73" s="5">
        <f t="shared" si="21"/>
        <v>2</v>
      </c>
      <c r="Y73" s="5" t="str">
        <f t="shared" si="24"/>
        <v>B</v>
      </c>
      <c r="Z73" s="5">
        <f t="shared" si="25"/>
        <v>2</v>
      </c>
      <c r="AA73" s="5" t="str">
        <f>IF($C73="","",IF(SUMPRODUCT((START!$B$6:$B$69=$C73)*(START!$M$6:$M$69&gt;0))=0,"",SUMPRODUCT(MAX((START!$B$6:$B$69=$C73)*START!$M$6:$M$69))))</f>
        <v/>
      </c>
      <c r="AB73" s="5" t="str">
        <f t="shared" si="22"/>
        <v/>
      </c>
      <c r="AC73" s="5">
        <f>MAX(0.85,MIN(1.15,1+0.05*(COUNTIF('T1'!$AB73,"za łatwe")+COUNTIF('T2'!$AB73,"za łatwe"))-0.05*(COUNTIF('T1'!$AB73,"za trudne")+COUNTIF('T2'!$AB73,"za trudne"))))</f>
        <v>1</v>
      </c>
      <c r="AD73" s="5">
        <f t="shared" si="23"/>
        <v>0</v>
      </c>
    </row>
    <row r="74" ht="25.5" hidden="1" customHeight="1" outlineLevel="1">
      <c r="A74" s="18" t="str">
        <f>IF('T1'!$A74="","",'T1'!$A74)</f>
        <v>C1.</v>
      </c>
      <c r="B74" s="30"/>
      <c r="C74" s="31" t="str">
        <f>IF('T1'!$C74="","",'T1'!$C74)</f>
        <v/>
      </c>
      <c r="D74" s="32">
        <v>3.0</v>
      </c>
      <c r="E74" s="39">
        <f>IF($C74="",0,MIN(15,MAX(1,IF(N($O74)&gt;=1,6,IF(N($O74)&gt;=0.75,IF(PRZEL_CZESC="część 1 (objętość)",8,6),IF(PRZEL_CZESC="część 1 (objętość)",10,8)))+2+$AD74)))</f>
        <v>0</v>
      </c>
      <c r="F74" s="33">
        <v>8.0</v>
      </c>
      <c r="G74" s="34" t="str">
        <f>IF($C74="","",IF(OR($Q74="masa ciała",$Q74="czas",$Q74="dystans",$Q74="ręczne ustawienie"),$Q74,IF($C74='T1'!$C74,IF(AND(LEFT($A74,1)&lt;&gt;"A",PRZEL_AKCESORIA="trzymaj z bloku"),IF(NOT(ISNUMBER('T1'!$G74)),'T1'!$G74,MROUND('T1'!$G74*$AC74/(MAX('T1'!$AC74,0.0001)),MAX($P74,0.5))),IF(OR($R74="",$R74=0),"— brak 1RM",MROUND($R74*$S74/100*$AC74,MAX($P74,0.5)))),IF(OR($AA74="",$AA74=0),"— ustaw ręcznie",MROUND($AA74*$S74/100*$AC74,MAX($P74,0.5))))))</f>
        <v/>
      </c>
      <c r="H74" s="35"/>
      <c r="I74" s="36" t="str">
        <f t="array" ref="I74">IFERROR(IF(IFERROR(INDEX(BAZA_FILM,MATCH($C74,BAZA_EX,0)),"")="","",HYPERLINK(IFERROR(INDEX(BAZA_FILM,MATCH($C74,BAZA_EX,0)),""),"film")),"")</f>
        <v/>
      </c>
      <c r="J74" s="37" t="str">
        <f>IF('T1'!$J74="","",'T1'!$J74)</f>
        <v/>
      </c>
      <c r="K74" s="5" t="s">
        <v>123</v>
      </c>
      <c r="L74" s="5" t="str">
        <f t="array" ref="L74">IFERROR(INDEX(BAZA_ID,MATCH($C74,BAZA_EX,0)),"")</f>
        <v/>
      </c>
      <c r="M74" s="5" t="str">
        <f t="array" ref="M74">IFERROR(INDEX(BAZA_PART,MATCH($C74,BAZA_EX,0)),"")</f>
        <v/>
      </c>
      <c r="N74" s="5" t="str">
        <f t="array" ref="N74">IFERROR(INDEX(BAZA_KAT,MATCH($C74,BAZA_EX,0)),"")</f>
        <v/>
      </c>
      <c r="O74" s="5" t="str">
        <f t="array" ref="O74">IFERROR(INDEX(BAZA_COEFF,MATCH($C74,BAZA_EX,0)),"")</f>
        <v/>
      </c>
      <c r="P74" s="5" t="str">
        <f t="array" ref="P74">IFERROR(INDEX(BAZA_SKOK,MATCH($C74,BAZA_EX,0)),"")</f>
        <v/>
      </c>
      <c r="Q74" s="5" t="str">
        <f t="array" ref="Q74">IFERROR(INDEX(BAZA_PROG,MATCH($C74,BAZA_EX,0)),"")</f>
        <v/>
      </c>
      <c r="R74" s="5" t="str">
        <f>IF($C74="","",IF(SUMPRODUCT((START!$B$6:$B$69=$C74)*(START!$M$6:$M$69&gt;0))=0,"",SUMPRODUCT(MAX((START!$B$6:$B$69=$C74)*START!$M$6:$M$69))))</f>
        <v/>
      </c>
      <c r="S74" s="5" t="str">
        <f t="array" ref="S74">IFERROR(INDEX(TABELE!$B$4:$J$18,MATCH($E74,TABELE!$A$4:$A$18,0),MATCH($F74,TABELE!$B$3:$J$3,0)),"")</f>
        <v/>
      </c>
      <c r="T74" s="5">
        <f t="array" ref="T74">IFERROR(IF($C74="",0,$O74*$D74*INDEX(TABELE!$B$23:$P$33,MATCH($F74,TABELE!$A$23:$A$33,0),MATCH($E74,TABELE!$B$22:$P$22,0))),0)</f>
        <v>0</v>
      </c>
      <c r="U74" s="5">
        <f t="array" ref="U74">IFERROR(IF($C74="",0,$O74*$D74*INDEX(TABELE!$B$37:$P$47,MATCH($F74,TABELE!$A$37:$A$47,0),MATCH($E74,TABELE!$B$36:$P$36,0))),0)</f>
        <v>0</v>
      </c>
      <c r="V74" s="5">
        <f t="array" ref="V74">IFERROR(IF($C74="",0,$O74*$D74*INDEX(TABELE!$B$51:$P$61,MATCH($F74,TABELE!$A$51:$A$61,0),MATCH($E74,TABELE!$B$50:$P$50,0))),0)</f>
        <v>0</v>
      </c>
      <c r="W74" s="5" t="str">
        <f t="array" ref="W74">IFERROR(INDEX(BAZA_UWAGI,MATCH($C74,BAZA_EX,0)),"")</f>
        <v/>
      </c>
      <c r="X74" s="5">
        <f t="shared" si="21"/>
        <v>3</v>
      </c>
      <c r="Y74" s="5" t="str">
        <f t="shared" si="24"/>
        <v>C</v>
      </c>
      <c r="Z74" s="5">
        <f t="shared" si="25"/>
        <v>3</v>
      </c>
      <c r="AA74" s="5" t="str">
        <f>IF($C74="","",IF(SUMPRODUCT((START!$B$6:$B$69=$C74)*(START!$M$6:$M$69&gt;0))=0,"",SUMPRODUCT(MAX((START!$B$6:$B$69=$C74)*START!$M$6:$M$69))))</f>
        <v/>
      </c>
      <c r="AB74" s="5" t="str">
        <f t="shared" si="22"/>
        <v/>
      </c>
      <c r="AC74" s="5">
        <f>MAX(0.85,MIN(1.15,1+0.05*(COUNTIF('T1'!$AB74,"za łatwe")+COUNTIF('T2'!$AB74,"za łatwe"))-0.05*(COUNTIF('T1'!$AB74,"za trudne")+COUNTIF('T2'!$AB74,"za trudne"))))</f>
        <v>1</v>
      </c>
      <c r="AD74" s="5">
        <f t="shared" si="23"/>
        <v>0</v>
      </c>
    </row>
    <row r="75" ht="25.5" hidden="1" customHeight="1" outlineLevel="1">
      <c r="A75" s="18" t="str">
        <f>IF('T1'!$A75="","",'T1'!$A75)</f>
        <v>C2.</v>
      </c>
      <c r="B75" s="30"/>
      <c r="C75" s="31" t="str">
        <f>IF('T1'!$C75="","",'T1'!$C75)</f>
        <v/>
      </c>
      <c r="D75" s="32">
        <v>3.0</v>
      </c>
      <c r="E75" s="39">
        <f>IF($C75="",0,MIN(15,MAX(1,IF(N($O75)&gt;=1,6,IF(N($O75)&gt;=0.75,IF(PRZEL_CZESC="część 1 (objętość)",8,6),IF(PRZEL_CZESC="część 1 (objętość)",10,8)))+2+$AD75)))</f>
        <v>0</v>
      </c>
      <c r="F75" s="33">
        <v>9.0</v>
      </c>
      <c r="G75" s="34" t="str">
        <f>IF($C75="","",IF(OR($Q75="masa ciała",$Q75="czas",$Q75="dystans",$Q75="ręczne ustawienie"),$Q75,IF($C75='T1'!$C75,IF(AND(LEFT($A75,1)&lt;&gt;"A",PRZEL_AKCESORIA="trzymaj z bloku"),IF(NOT(ISNUMBER('T1'!$G75)),'T1'!$G75,MROUND('T1'!$G75*$AC75/(MAX('T1'!$AC75,0.0001)),MAX($P75,0.5))),IF(OR($R75="",$R75=0),"— brak 1RM",MROUND($R75*$S75/100*$AC75,MAX($P75,0.5)))),IF(OR($AA75="",$AA75=0),"— ustaw ręcznie",MROUND($AA75*$S75/100*$AC75,MAX($P75,0.5))))))</f>
        <v/>
      </c>
      <c r="H75" s="35"/>
      <c r="I75" s="36" t="str">
        <f t="array" ref="I75">IFERROR(IF(IFERROR(INDEX(BAZA_FILM,MATCH($C75,BAZA_EX,0)),"")="","",HYPERLINK(IFERROR(INDEX(BAZA_FILM,MATCH($C75,BAZA_EX,0)),""),"film")),"")</f>
        <v/>
      </c>
      <c r="J75" s="37" t="str">
        <f>IF('T1'!$J75="","",'T1'!$J75)</f>
        <v/>
      </c>
      <c r="K75" s="5" t="s">
        <v>124</v>
      </c>
      <c r="L75" s="5" t="str">
        <f t="array" ref="L75">IFERROR(INDEX(BAZA_ID,MATCH($C75,BAZA_EX,0)),"")</f>
        <v/>
      </c>
      <c r="M75" s="5" t="str">
        <f t="array" ref="M75">IFERROR(INDEX(BAZA_PART,MATCH($C75,BAZA_EX,0)),"")</f>
        <v/>
      </c>
      <c r="N75" s="5" t="str">
        <f t="array" ref="N75">IFERROR(INDEX(BAZA_KAT,MATCH($C75,BAZA_EX,0)),"")</f>
        <v/>
      </c>
      <c r="O75" s="5" t="str">
        <f t="array" ref="O75">IFERROR(INDEX(BAZA_COEFF,MATCH($C75,BAZA_EX,0)),"")</f>
        <v/>
      </c>
      <c r="P75" s="5" t="str">
        <f t="array" ref="P75">IFERROR(INDEX(BAZA_SKOK,MATCH($C75,BAZA_EX,0)),"")</f>
        <v/>
      </c>
      <c r="Q75" s="5" t="str">
        <f t="array" ref="Q75">IFERROR(INDEX(BAZA_PROG,MATCH($C75,BAZA_EX,0)),"")</f>
        <v/>
      </c>
      <c r="R75" s="5" t="str">
        <f>IF($C75="","",IF(SUMPRODUCT((START!$B$6:$B$69=$C75)*(START!$M$6:$M$69&gt;0))=0,"",SUMPRODUCT(MAX((START!$B$6:$B$69=$C75)*START!$M$6:$M$69))))</f>
        <v/>
      </c>
      <c r="S75" s="5" t="str">
        <f t="array" ref="S75">IFERROR(INDEX(TABELE!$B$4:$J$18,MATCH($E75,TABELE!$A$4:$A$18,0),MATCH($F75,TABELE!$B$3:$J$3,0)),"")</f>
        <v/>
      </c>
      <c r="T75" s="5">
        <f t="array" ref="T75">IFERROR(IF($C75="",0,$O75*$D75*INDEX(TABELE!$B$23:$P$33,MATCH($F75,TABELE!$A$23:$A$33,0),MATCH($E75,TABELE!$B$22:$P$22,0))),0)</f>
        <v>0</v>
      </c>
      <c r="U75" s="5">
        <f t="array" ref="U75">IFERROR(IF($C75="",0,$O75*$D75*INDEX(TABELE!$B$37:$P$47,MATCH($F75,TABELE!$A$37:$A$47,0),MATCH($E75,TABELE!$B$36:$P$36,0))),0)</f>
        <v>0</v>
      </c>
      <c r="V75" s="5">
        <f t="array" ref="V75">IFERROR(IF($C75="",0,$O75*$D75*INDEX(TABELE!$B$51:$P$61,MATCH($F75,TABELE!$A$51:$A$61,0),MATCH($E75,TABELE!$B$50:$P$50,0))),0)</f>
        <v>0</v>
      </c>
      <c r="W75" s="5" t="str">
        <f t="array" ref="W75">IFERROR(INDEX(BAZA_UWAGI,MATCH($C75,BAZA_EX,0)),"")</f>
        <v/>
      </c>
      <c r="X75" s="5">
        <f t="shared" si="21"/>
        <v>3</v>
      </c>
      <c r="Y75" s="5" t="str">
        <f t="shared" si="24"/>
        <v>C</v>
      </c>
      <c r="Z75" s="5">
        <f t="shared" si="25"/>
        <v>3</v>
      </c>
      <c r="AA75" s="5" t="str">
        <f>IF($C75="","",IF(SUMPRODUCT((START!$B$6:$B$69=$C75)*(START!$M$6:$M$69&gt;0))=0,"",SUMPRODUCT(MAX((START!$B$6:$B$69=$C75)*START!$M$6:$M$69))))</f>
        <v/>
      </c>
      <c r="AB75" s="5" t="str">
        <f t="shared" si="22"/>
        <v/>
      </c>
      <c r="AC75" s="5">
        <f>MAX(0.85,MIN(1.15,1+0.05*(COUNTIF('T1'!$AB75,"za łatwe")+COUNTIF('T2'!$AB75,"za łatwe"))-0.05*(COUNTIF('T1'!$AB75,"za trudne")+COUNTIF('T2'!$AB75,"za trudne"))))</f>
        <v>1</v>
      </c>
      <c r="AD75" s="5">
        <f t="shared" si="23"/>
        <v>0</v>
      </c>
    </row>
    <row r="76" ht="25.5" hidden="1" customHeight="1" outlineLevel="1">
      <c r="A76" s="18" t="str">
        <f>IF('T1'!$A76="","",'T1'!$A76)</f>
        <v>D1.</v>
      </c>
      <c r="B76" s="30"/>
      <c r="C76" s="31" t="str">
        <f>IF('T1'!$C76="","",'T1'!$C76)</f>
        <v/>
      </c>
      <c r="D76" s="32">
        <v>3.0</v>
      </c>
      <c r="E76" s="39">
        <f>IF($C76="",0,MIN(15,MAX(1,IF(N($O76)&gt;=1,6,IF(N($O76)&gt;=0.75,IF(PRZEL_CZESC="część 1 (objętość)",8,6),IF(PRZEL_CZESC="część 1 (objętość)",10,8)))+2+$AD76)))</f>
        <v>0</v>
      </c>
      <c r="F76" s="33">
        <v>8.0</v>
      </c>
      <c r="G76" s="34" t="str">
        <f>IF($C76="","",IF(OR($Q76="masa ciała",$Q76="czas",$Q76="dystans",$Q76="ręczne ustawienie"),$Q76,IF($C76='T1'!$C76,IF(AND(LEFT($A76,1)&lt;&gt;"A",PRZEL_AKCESORIA="trzymaj z bloku"),IF(NOT(ISNUMBER('T1'!$G76)),'T1'!$G76,MROUND('T1'!$G76*$AC76/(MAX('T1'!$AC76,0.0001)),MAX($P76,0.5))),IF(OR($R76="",$R76=0),"— brak 1RM",MROUND($R76*$S76/100*$AC76,MAX($P76,0.5)))),IF(OR($AA76="",$AA76=0),"— ustaw ręcznie",MROUND($AA76*$S76/100*$AC76,MAX($P76,0.5))))))</f>
        <v/>
      </c>
      <c r="H76" s="35"/>
      <c r="I76" s="36" t="str">
        <f t="array" ref="I76">IFERROR(IF(IFERROR(INDEX(BAZA_FILM,MATCH($C76,BAZA_EX,0)),"")="","",HYPERLINK(IFERROR(INDEX(BAZA_FILM,MATCH($C76,BAZA_EX,0)),""),"film")),"")</f>
        <v/>
      </c>
      <c r="J76" s="37" t="str">
        <f>IF('T1'!$J76="","",'T1'!$J76)</f>
        <v/>
      </c>
      <c r="K76" s="5" t="s">
        <v>125</v>
      </c>
      <c r="L76" s="5" t="str">
        <f t="array" ref="L76">IFERROR(INDEX(BAZA_ID,MATCH($C76,BAZA_EX,0)),"")</f>
        <v/>
      </c>
      <c r="M76" s="5" t="str">
        <f t="array" ref="M76">IFERROR(INDEX(BAZA_PART,MATCH($C76,BAZA_EX,0)),"")</f>
        <v/>
      </c>
      <c r="N76" s="5" t="str">
        <f t="array" ref="N76">IFERROR(INDEX(BAZA_KAT,MATCH($C76,BAZA_EX,0)),"")</f>
        <v/>
      </c>
      <c r="O76" s="5" t="str">
        <f t="array" ref="O76">IFERROR(INDEX(BAZA_COEFF,MATCH($C76,BAZA_EX,0)),"")</f>
        <v/>
      </c>
      <c r="P76" s="5" t="str">
        <f t="array" ref="P76">IFERROR(INDEX(BAZA_SKOK,MATCH($C76,BAZA_EX,0)),"")</f>
        <v/>
      </c>
      <c r="Q76" s="5" t="str">
        <f t="array" ref="Q76">IFERROR(INDEX(BAZA_PROG,MATCH($C76,BAZA_EX,0)),"")</f>
        <v/>
      </c>
      <c r="R76" s="5" t="str">
        <f>IF($C76="","",IF(SUMPRODUCT((START!$B$6:$B$69=$C76)*(START!$M$6:$M$69&gt;0))=0,"",SUMPRODUCT(MAX((START!$B$6:$B$69=$C76)*START!$M$6:$M$69))))</f>
        <v/>
      </c>
      <c r="S76" s="5" t="str">
        <f t="array" ref="S76">IFERROR(INDEX(TABELE!$B$4:$J$18,MATCH($E76,TABELE!$A$4:$A$18,0),MATCH($F76,TABELE!$B$3:$J$3,0)),"")</f>
        <v/>
      </c>
      <c r="T76" s="5">
        <f t="array" ref="T76">IFERROR(IF($C76="",0,$O76*$D76*INDEX(TABELE!$B$23:$P$33,MATCH($F76,TABELE!$A$23:$A$33,0),MATCH($E76,TABELE!$B$22:$P$22,0))),0)</f>
        <v>0</v>
      </c>
      <c r="U76" s="5">
        <f t="array" ref="U76">IFERROR(IF($C76="",0,$O76*$D76*INDEX(TABELE!$B$37:$P$47,MATCH($F76,TABELE!$A$37:$A$47,0),MATCH($E76,TABELE!$B$36:$P$36,0))),0)</f>
        <v>0</v>
      </c>
      <c r="V76" s="5">
        <f t="array" ref="V76">IFERROR(IF($C76="",0,$O76*$D76*INDEX(TABELE!$B$51:$P$61,MATCH($F76,TABELE!$A$51:$A$61,0),MATCH($E76,TABELE!$B$50:$P$50,0))),0)</f>
        <v>0</v>
      </c>
      <c r="W76" s="5" t="str">
        <f t="array" ref="W76">IFERROR(INDEX(BAZA_UWAGI,MATCH($C76,BAZA_EX,0)),"")</f>
        <v/>
      </c>
      <c r="X76" s="5">
        <f t="shared" si="21"/>
        <v>4</v>
      </c>
      <c r="Y76" s="5" t="str">
        <f t="shared" si="24"/>
        <v>D</v>
      </c>
      <c r="Z76" s="5">
        <f t="shared" si="25"/>
        <v>4</v>
      </c>
      <c r="AA76" s="5" t="str">
        <f>IF($C76="","",IF(SUMPRODUCT((START!$B$6:$B$69=$C76)*(START!$M$6:$M$69&gt;0))=0,"",SUMPRODUCT(MAX((START!$B$6:$B$69=$C76)*START!$M$6:$M$69))))</f>
        <v/>
      </c>
      <c r="AB76" s="5" t="str">
        <f t="shared" si="22"/>
        <v/>
      </c>
      <c r="AC76" s="5">
        <f>MAX(0.85,MIN(1.15,1+0.05*(COUNTIF('T1'!$AB76,"za łatwe")+COUNTIF('T2'!$AB76,"za łatwe"))-0.05*(COUNTIF('T1'!$AB76,"za trudne")+COUNTIF('T2'!$AB76,"za trudne"))))</f>
        <v>1</v>
      </c>
      <c r="AD76" s="5">
        <f t="shared" si="23"/>
        <v>0</v>
      </c>
    </row>
    <row r="77" ht="25.5" hidden="1" customHeight="1" outlineLevel="1">
      <c r="A77" s="18" t="str">
        <f>IF('T1'!$A77="","",'T1'!$A77)</f>
        <v>D2.</v>
      </c>
      <c r="B77" s="30"/>
      <c r="C77" s="31" t="str">
        <f>IF('T1'!$C77="","",'T1'!$C77)</f>
        <v/>
      </c>
      <c r="D77" s="32">
        <v>3.0</v>
      </c>
      <c r="E77" s="39">
        <f>IF($C77="",0,MIN(15,MAX(1,IF(N($O77)&gt;=1,6,IF(N($O77)&gt;=0.75,IF(PRZEL_CZESC="część 1 (objętość)",8,6),IF(PRZEL_CZESC="część 1 (objętość)",10,8)))+2+$AD77)))</f>
        <v>0</v>
      </c>
      <c r="F77" s="33">
        <v>9.0</v>
      </c>
      <c r="G77" s="34" t="str">
        <f>IF($C77="","",IF(OR($Q77="masa ciała",$Q77="czas",$Q77="dystans",$Q77="ręczne ustawienie"),$Q77,IF($C77='T1'!$C77,IF(AND(LEFT($A77,1)&lt;&gt;"A",PRZEL_AKCESORIA="trzymaj z bloku"),IF(NOT(ISNUMBER('T1'!$G77)),'T1'!$G77,MROUND('T1'!$G77*$AC77/(MAX('T1'!$AC77,0.0001)),MAX($P77,0.5))),IF(OR($R77="",$R77=0),"— brak 1RM",MROUND($R77*$S77/100*$AC77,MAX($P77,0.5)))),IF(OR($AA77="",$AA77=0),"— ustaw ręcznie",MROUND($AA77*$S77/100*$AC77,MAX($P77,0.5))))))</f>
        <v/>
      </c>
      <c r="H77" s="35"/>
      <c r="I77" s="36" t="str">
        <f t="array" ref="I77">IFERROR(IF(IFERROR(INDEX(BAZA_FILM,MATCH($C77,BAZA_EX,0)),"")="","",HYPERLINK(IFERROR(INDEX(BAZA_FILM,MATCH($C77,BAZA_EX,0)),""),"film")),"")</f>
        <v/>
      </c>
      <c r="J77" s="37" t="str">
        <f>IF('T1'!$J77="","",'T1'!$J77)</f>
        <v/>
      </c>
      <c r="K77" s="5" t="s">
        <v>126</v>
      </c>
      <c r="L77" s="5" t="str">
        <f t="array" ref="L77">IFERROR(INDEX(BAZA_ID,MATCH($C77,BAZA_EX,0)),"")</f>
        <v/>
      </c>
      <c r="M77" s="5" t="str">
        <f t="array" ref="M77">IFERROR(INDEX(BAZA_PART,MATCH($C77,BAZA_EX,0)),"")</f>
        <v/>
      </c>
      <c r="N77" s="5" t="str">
        <f t="array" ref="N77">IFERROR(INDEX(BAZA_KAT,MATCH($C77,BAZA_EX,0)),"")</f>
        <v/>
      </c>
      <c r="O77" s="5" t="str">
        <f t="array" ref="O77">IFERROR(INDEX(BAZA_COEFF,MATCH($C77,BAZA_EX,0)),"")</f>
        <v/>
      </c>
      <c r="P77" s="5" t="str">
        <f t="array" ref="P77">IFERROR(INDEX(BAZA_SKOK,MATCH($C77,BAZA_EX,0)),"")</f>
        <v/>
      </c>
      <c r="Q77" s="5" t="str">
        <f t="array" ref="Q77">IFERROR(INDEX(BAZA_PROG,MATCH($C77,BAZA_EX,0)),"")</f>
        <v/>
      </c>
      <c r="R77" s="5" t="str">
        <f>IF($C77="","",IF(SUMPRODUCT((START!$B$6:$B$69=$C77)*(START!$M$6:$M$69&gt;0))=0,"",SUMPRODUCT(MAX((START!$B$6:$B$69=$C77)*START!$M$6:$M$69))))</f>
        <v/>
      </c>
      <c r="S77" s="5" t="str">
        <f t="array" ref="S77">IFERROR(INDEX(TABELE!$B$4:$J$18,MATCH($E77,TABELE!$A$4:$A$18,0),MATCH($F77,TABELE!$B$3:$J$3,0)),"")</f>
        <v/>
      </c>
      <c r="T77" s="5">
        <f t="array" ref="T77">IFERROR(IF($C77="",0,$O77*$D77*INDEX(TABELE!$B$23:$P$33,MATCH($F77,TABELE!$A$23:$A$33,0),MATCH($E77,TABELE!$B$22:$P$22,0))),0)</f>
        <v>0</v>
      </c>
      <c r="U77" s="5">
        <f t="array" ref="U77">IFERROR(IF($C77="",0,$O77*$D77*INDEX(TABELE!$B$37:$P$47,MATCH($F77,TABELE!$A$37:$A$47,0),MATCH($E77,TABELE!$B$36:$P$36,0))),0)</f>
        <v>0</v>
      </c>
      <c r="V77" s="5">
        <f t="array" ref="V77">IFERROR(IF($C77="",0,$O77*$D77*INDEX(TABELE!$B$51:$P$61,MATCH($F77,TABELE!$A$51:$A$61,0),MATCH($E77,TABELE!$B$50:$P$50,0))),0)</f>
        <v>0</v>
      </c>
      <c r="W77" s="5" t="str">
        <f t="array" ref="W77">IFERROR(INDEX(BAZA_UWAGI,MATCH($C77,BAZA_EX,0)),"")</f>
        <v/>
      </c>
      <c r="X77" s="5">
        <f t="shared" si="21"/>
        <v>4</v>
      </c>
      <c r="Y77" s="5" t="str">
        <f t="shared" si="24"/>
        <v>D</v>
      </c>
      <c r="Z77" s="5">
        <f t="shared" si="25"/>
        <v>4</v>
      </c>
      <c r="AA77" s="5" t="str">
        <f>IF($C77="","",IF(SUMPRODUCT((START!$B$6:$B$69=$C77)*(START!$M$6:$M$69&gt;0))=0,"",SUMPRODUCT(MAX((START!$B$6:$B$69=$C77)*START!$M$6:$M$69))))</f>
        <v/>
      </c>
      <c r="AB77" s="5" t="str">
        <f t="shared" si="22"/>
        <v/>
      </c>
      <c r="AC77" s="5">
        <f>MAX(0.85,MIN(1.15,1+0.05*(COUNTIF('T1'!$AB77,"za łatwe")+COUNTIF('T2'!$AB77,"za łatwe"))-0.05*(COUNTIF('T1'!$AB77,"za trudne")+COUNTIF('T2'!$AB77,"za trudne"))))</f>
        <v>1</v>
      </c>
      <c r="AD77" s="5">
        <f t="shared" si="23"/>
        <v>0</v>
      </c>
    </row>
    <row r="78" ht="25.5" hidden="1" customHeight="1" outlineLevel="1">
      <c r="A78" s="18" t="str">
        <f>IF('T1'!$A78="","",'T1'!$A78)</f>
        <v>E1.</v>
      </c>
      <c r="B78" s="30"/>
      <c r="C78" s="31" t="str">
        <f>IF('T1'!$C78="","",'T1'!$C78)</f>
        <v/>
      </c>
      <c r="D78" s="32"/>
      <c r="E78" s="39">
        <f>IF($C78="",0,MIN(15,MAX(1,IF(N($O78)&gt;=1,6,IF(N($O78)&gt;=0.75,IF(PRZEL_CZESC="część 1 (objętość)",8,6),IF(PRZEL_CZESC="część 1 (objętość)",10,8)))+2+$AD78)))</f>
        <v>0</v>
      </c>
      <c r="F78" s="33"/>
      <c r="G78" s="34" t="str">
        <f>IF($C78="","",IF(OR($Q78="masa ciała",$Q78="czas",$Q78="dystans",$Q78="ręczne ustawienie"),$Q78,IF($C78='T1'!$C78,IF(AND(LEFT($A78,1)&lt;&gt;"A",PRZEL_AKCESORIA="trzymaj z bloku"),IF(NOT(ISNUMBER('T1'!$G78)),'T1'!$G78,MROUND('T1'!$G78*$AC78/(MAX('T1'!$AC78,0.0001)),MAX($P78,0.5))),IF(OR($R78="",$R78=0),"— brak 1RM",MROUND($R78*$S78/100*$AC78,MAX($P78,0.5)))),IF(OR($AA78="",$AA78=0),"— ustaw ręcznie",MROUND($AA78*$S78/100*$AC78,MAX($P78,0.5))))))</f>
        <v/>
      </c>
      <c r="H78" s="35"/>
      <c r="I78" s="36" t="str">
        <f t="array" ref="I78">IFERROR(IF(IFERROR(INDEX(BAZA_FILM,MATCH($C78,BAZA_EX,0)),"")="","",HYPERLINK(IFERROR(INDEX(BAZA_FILM,MATCH($C78,BAZA_EX,0)),""),"film")),"")</f>
        <v/>
      </c>
      <c r="J78" s="37" t="str">
        <f>IF('T1'!$J78="","",'T1'!$J78)</f>
        <v/>
      </c>
      <c r="K78" s="5" t="s">
        <v>127</v>
      </c>
      <c r="L78" s="5" t="str">
        <f t="array" ref="L78">IFERROR(INDEX(BAZA_ID,MATCH($C78,BAZA_EX,0)),"")</f>
        <v/>
      </c>
      <c r="M78" s="5" t="str">
        <f t="array" ref="M78">IFERROR(INDEX(BAZA_PART,MATCH($C78,BAZA_EX,0)),"")</f>
        <v/>
      </c>
      <c r="N78" s="5" t="str">
        <f t="array" ref="N78">IFERROR(INDEX(BAZA_KAT,MATCH($C78,BAZA_EX,0)),"")</f>
        <v/>
      </c>
      <c r="O78" s="5" t="str">
        <f t="array" ref="O78">IFERROR(INDEX(BAZA_COEFF,MATCH($C78,BAZA_EX,0)),"")</f>
        <v/>
      </c>
      <c r="P78" s="5" t="str">
        <f t="array" ref="P78">IFERROR(INDEX(BAZA_SKOK,MATCH($C78,BAZA_EX,0)),"")</f>
        <v/>
      </c>
      <c r="Q78" s="5" t="str">
        <f t="array" ref="Q78">IFERROR(INDEX(BAZA_PROG,MATCH($C78,BAZA_EX,0)),"")</f>
        <v/>
      </c>
      <c r="R78" s="5" t="str">
        <f>IF($C78="","",IF(SUMPRODUCT((START!$B$6:$B$69=$C78)*(START!$M$6:$M$69&gt;0))=0,"",SUMPRODUCT(MAX((START!$B$6:$B$69=$C78)*START!$M$6:$M$69))))</f>
        <v/>
      </c>
      <c r="S78" s="5" t="str">
        <f t="array" ref="S78">IFERROR(INDEX(TABELE!$B$4:$J$18,MATCH($E78,TABELE!$A$4:$A$18,0),MATCH($F78,TABELE!$B$3:$J$3,0)),"")</f>
        <v/>
      </c>
      <c r="T78" s="5">
        <f t="array" ref="T78">IFERROR(IF($C78="",0,$O78*$D78*INDEX(TABELE!$B$23:$P$33,MATCH($F78,TABELE!$A$23:$A$33,0),MATCH($E78,TABELE!$B$22:$P$22,0))),0)</f>
        <v>0</v>
      </c>
      <c r="U78" s="5">
        <f t="array" ref="U78">IFERROR(IF($C78="",0,$O78*$D78*INDEX(TABELE!$B$37:$P$47,MATCH($F78,TABELE!$A$37:$A$47,0),MATCH($E78,TABELE!$B$36:$P$36,0))),0)</f>
        <v>0</v>
      </c>
      <c r="V78" s="5">
        <f t="array" ref="V78">IFERROR(IF($C78="",0,$O78*$D78*INDEX(TABELE!$B$51:$P$61,MATCH($F78,TABELE!$A$51:$A$61,0),MATCH($E78,TABELE!$B$50:$P$50,0))),0)</f>
        <v>0</v>
      </c>
      <c r="W78" s="5" t="str">
        <f t="array" ref="W78">IFERROR(INDEX(BAZA_UWAGI,MATCH($C78,BAZA_EX,0)),"")</f>
        <v/>
      </c>
      <c r="X78" s="5">
        <f t="shared" si="21"/>
        <v>5</v>
      </c>
      <c r="Y78" s="5" t="str">
        <f t="shared" si="24"/>
        <v>E</v>
      </c>
      <c r="Z78" s="5">
        <f t="shared" si="25"/>
        <v>5</v>
      </c>
      <c r="AA78" s="5" t="str">
        <f>IF($C78="","",IF(SUMPRODUCT((START!$B$6:$B$69=$C78)*(START!$M$6:$M$69&gt;0))=0,"",SUMPRODUCT(MAX((START!$B$6:$B$69=$C78)*START!$M$6:$M$69))))</f>
        <v/>
      </c>
      <c r="AB78" s="5" t="str">
        <f t="shared" si="22"/>
        <v/>
      </c>
      <c r="AC78" s="5">
        <f>MAX(0.85,MIN(1.15,1+0.05*(COUNTIF('T1'!$AB78,"za łatwe")+COUNTIF('T2'!$AB78,"za łatwe"))-0.05*(COUNTIF('T1'!$AB78,"za trudne")+COUNTIF('T2'!$AB78,"za trudne"))))</f>
        <v>1</v>
      </c>
      <c r="AD78" s="5">
        <f t="shared" si="23"/>
        <v>0</v>
      </c>
    </row>
    <row r="79" ht="25.5" hidden="1" customHeight="1" outlineLevel="1">
      <c r="A79" s="18" t="str">
        <f>IF('T1'!$A79="","",'T1'!$A79)</f>
        <v>E2.</v>
      </c>
      <c r="B79" s="30"/>
      <c r="C79" s="31" t="str">
        <f>IF('T1'!$C79="","",'T1'!$C79)</f>
        <v/>
      </c>
      <c r="D79" s="32"/>
      <c r="E79" s="39">
        <f>IF($C79="",0,MIN(15,MAX(1,IF(N($O79)&gt;=1,6,IF(N($O79)&gt;=0.75,IF(PRZEL_CZESC="część 1 (objętość)",8,6),IF(PRZEL_CZESC="część 1 (objętość)",10,8)))+2+$AD79)))</f>
        <v>0</v>
      </c>
      <c r="F79" s="33"/>
      <c r="G79" s="34" t="str">
        <f>IF($C79="","",IF(OR($Q79="masa ciała",$Q79="czas",$Q79="dystans",$Q79="ręczne ustawienie"),$Q79,IF($C79='T1'!$C79,IF(AND(LEFT($A79,1)&lt;&gt;"A",PRZEL_AKCESORIA="trzymaj z bloku"),IF(NOT(ISNUMBER('T1'!$G79)),'T1'!$G79,MROUND('T1'!$G79*$AC79/(MAX('T1'!$AC79,0.0001)),MAX($P79,0.5))),IF(OR($R79="",$R79=0),"— brak 1RM",MROUND($R79*$S79/100*$AC79,MAX($P79,0.5)))),IF(OR($AA79="",$AA79=0),"— ustaw ręcznie",MROUND($AA79*$S79/100*$AC79,MAX($P79,0.5))))))</f>
        <v/>
      </c>
      <c r="H79" s="35"/>
      <c r="I79" s="36" t="str">
        <f t="array" ref="I79">IFERROR(IF(IFERROR(INDEX(BAZA_FILM,MATCH($C79,BAZA_EX,0)),"")="","",HYPERLINK(IFERROR(INDEX(BAZA_FILM,MATCH($C79,BAZA_EX,0)),""),"film")),"")</f>
        <v/>
      </c>
      <c r="J79" s="37" t="str">
        <f>IF('T1'!$J79="","",'T1'!$J79)</f>
        <v/>
      </c>
      <c r="K79" s="5" t="s">
        <v>128</v>
      </c>
      <c r="L79" s="5" t="str">
        <f t="array" ref="L79">IFERROR(INDEX(BAZA_ID,MATCH($C79,BAZA_EX,0)),"")</f>
        <v/>
      </c>
      <c r="M79" s="5" t="str">
        <f t="array" ref="M79">IFERROR(INDEX(BAZA_PART,MATCH($C79,BAZA_EX,0)),"")</f>
        <v/>
      </c>
      <c r="N79" s="5" t="str">
        <f t="array" ref="N79">IFERROR(INDEX(BAZA_KAT,MATCH($C79,BAZA_EX,0)),"")</f>
        <v/>
      </c>
      <c r="O79" s="5" t="str">
        <f t="array" ref="O79">IFERROR(INDEX(BAZA_COEFF,MATCH($C79,BAZA_EX,0)),"")</f>
        <v/>
      </c>
      <c r="P79" s="5" t="str">
        <f t="array" ref="P79">IFERROR(INDEX(BAZA_SKOK,MATCH($C79,BAZA_EX,0)),"")</f>
        <v/>
      </c>
      <c r="Q79" s="5" t="str">
        <f t="array" ref="Q79">IFERROR(INDEX(BAZA_PROG,MATCH($C79,BAZA_EX,0)),"")</f>
        <v/>
      </c>
      <c r="R79" s="5" t="str">
        <f>IF($C79="","",IF(SUMPRODUCT((START!$B$6:$B$69=$C79)*(START!$M$6:$M$69&gt;0))=0,"",SUMPRODUCT(MAX((START!$B$6:$B$69=$C79)*START!$M$6:$M$69))))</f>
        <v/>
      </c>
      <c r="S79" s="5" t="str">
        <f t="array" ref="S79">IFERROR(INDEX(TABELE!$B$4:$J$18,MATCH($E79,TABELE!$A$4:$A$18,0),MATCH($F79,TABELE!$B$3:$J$3,0)),"")</f>
        <v/>
      </c>
      <c r="T79" s="5">
        <f t="array" ref="T79">IFERROR(IF($C79="",0,$O79*$D79*INDEX(TABELE!$B$23:$P$33,MATCH($F79,TABELE!$A$23:$A$33,0),MATCH($E79,TABELE!$B$22:$P$22,0))),0)</f>
        <v>0</v>
      </c>
      <c r="U79" s="5">
        <f t="array" ref="U79">IFERROR(IF($C79="",0,$O79*$D79*INDEX(TABELE!$B$37:$P$47,MATCH($F79,TABELE!$A$37:$A$47,0),MATCH($E79,TABELE!$B$36:$P$36,0))),0)</f>
        <v>0</v>
      </c>
      <c r="V79" s="5">
        <f t="array" ref="V79">IFERROR(IF($C79="",0,$O79*$D79*INDEX(TABELE!$B$51:$P$61,MATCH($F79,TABELE!$A$51:$A$61,0),MATCH($E79,TABELE!$B$50:$P$50,0))),0)</f>
        <v>0</v>
      </c>
      <c r="W79" s="5" t="str">
        <f t="array" ref="W79">IFERROR(INDEX(BAZA_UWAGI,MATCH($C79,BAZA_EX,0)),"")</f>
        <v/>
      </c>
      <c r="X79" s="5">
        <f t="shared" si="21"/>
        <v>5</v>
      </c>
      <c r="Y79" s="5" t="str">
        <f t="shared" si="24"/>
        <v>E</v>
      </c>
      <c r="Z79" s="5">
        <f t="shared" si="25"/>
        <v>5</v>
      </c>
      <c r="AA79" s="5" t="str">
        <f>IF($C79="","",IF(SUMPRODUCT((START!$B$6:$B$69=$C79)*(START!$M$6:$M$69&gt;0))=0,"",SUMPRODUCT(MAX((START!$B$6:$B$69=$C79)*START!$M$6:$M$69))))</f>
        <v/>
      </c>
      <c r="AB79" s="5" t="str">
        <f t="shared" si="22"/>
        <v/>
      </c>
      <c r="AC79" s="5">
        <f>MAX(0.85,MIN(1.15,1+0.05*(COUNTIF('T1'!$AB79,"za łatwe")+COUNTIF('T2'!$AB79,"za łatwe"))-0.05*(COUNTIF('T1'!$AB79,"za trudne")+COUNTIF('T2'!$AB79,"za trudne"))))</f>
        <v>1</v>
      </c>
      <c r="AD79" s="5">
        <f t="shared" si="23"/>
        <v>0</v>
      </c>
    </row>
    <row r="80" ht="25.5" hidden="1" customHeight="1" outlineLevel="1">
      <c r="A80" s="18" t="str">
        <f>IF('T1'!$A80="","",'T1'!$A80)</f>
        <v/>
      </c>
      <c r="B80" s="30"/>
      <c r="C80" s="31" t="str">
        <f>IF('T1'!$C80="","",'T1'!$C80)</f>
        <v/>
      </c>
      <c r="D80" s="32"/>
      <c r="E80" s="39">
        <f>IF($C80="",0,MIN(15,MAX(1,IF(N($O80)&gt;=1,6,IF(N($O80)&gt;=0.75,IF(PRZEL_CZESC="część 1 (objętość)",8,6),IF(PRZEL_CZESC="część 1 (objętość)",10,8)))+2+$AD80)))</f>
        <v>0</v>
      </c>
      <c r="F80" s="33"/>
      <c r="G80" s="34" t="str">
        <f>IF($C80="","",IF(OR($Q80="masa ciała",$Q80="czas",$Q80="dystans",$Q80="ręczne ustawienie"),$Q80,IF($C80='T1'!$C80,IF(AND(LEFT($A80,1)&lt;&gt;"A",PRZEL_AKCESORIA="trzymaj z bloku"),IF(NOT(ISNUMBER('T1'!$G80)),'T1'!$G80,MROUND('T1'!$G80*$AC80/(MAX('T1'!$AC80,0.0001)),MAX($P80,0.5))),IF(OR($R80="",$R80=0),"— brak 1RM",MROUND($R80*$S80/100*$AC80,MAX($P80,0.5)))),IF(OR($AA80="",$AA80=0),"— ustaw ręcznie",MROUND($AA80*$S80/100*$AC80,MAX($P80,0.5))))))</f>
        <v/>
      </c>
      <c r="H80" s="35"/>
      <c r="I80" s="36" t="str">
        <f t="array" ref="I80">IFERROR(IF(IFERROR(INDEX(BAZA_FILM,MATCH($C80,BAZA_EX,0)),"")="","",HYPERLINK(IFERROR(INDEX(BAZA_FILM,MATCH($C80,BAZA_EX,0)),""),"film")),"")</f>
        <v/>
      </c>
      <c r="J80" s="37" t="str">
        <f>IF('T1'!$J80="","",'T1'!$J80)</f>
        <v/>
      </c>
      <c r="K80" s="5" t="s">
        <v>129</v>
      </c>
      <c r="L80" s="5" t="str">
        <f t="array" ref="L80">IFERROR(INDEX(BAZA_ID,MATCH($C80,BAZA_EX,0)),"")</f>
        <v/>
      </c>
      <c r="M80" s="5" t="str">
        <f t="array" ref="M80">IFERROR(INDEX(BAZA_PART,MATCH($C80,BAZA_EX,0)),"")</f>
        <v/>
      </c>
      <c r="N80" s="5" t="str">
        <f t="array" ref="N80">IFERROR(INDEX(BAZA_KAT,MATCH($C80,BAZA_EX,0)),"")</f>
        <v/>
      </c>
      <c r="O80" s="5" t="str">
        <f t="array" ref="O80">IFERROR(INDEX(BAZA_COEFF,MATCH($C80,BAZA_EX,0)),"")</f>
        <v/>
      </c>
      <c r="P80" s="5" t="str">
        <f t="array" ref="P80">IFERROR(INDEX(BAZA_SKOK,MATCH($C80,BAZA_EX,0)),"")</f>
        <v/>
      </c>
      <c r="Q80" s="5" t="str">
        <f t="array" ref="Q80">IFERROR(INDEX(BAZA_PROG,MATCH($C80,BAZA_EX,0)),"")</f>
        <v/>
      </c>
      <c r="R80" s="5" t="str">
        <f>IF($C80="","",IF(SUMPRODUCT((START!$B$6:$B$69=$C80)*(START!$M$6:$M$69&gt;0))=0,"",SUMPRODUCT(MAX((START!$B$6:$B$69=$C80)*START!$M$6:$M$69))))</f>
        <v/>
      </c>
      <c r="S80" s="5" t="str">
        <f t="array" ref="S80">IFERROR(INDEX(TABELE!$B$4:$J$18,MATCH($E80,TABELE!$A$4:$A$18,0),MATCH($F80,TABELE!$B$3:$J$3,0)),"")</f>
        <v/>
      </c>
      <c r="T80" s="5">
        <f t="array" ref="T80">IFERROR(IF($C80="",0,$O80*$D80*INDEX(TABELE!$B$23:$P$33,MATCH($F80,TABELE!$A$23:$A$33,0),MATCH($E80,TABELE!$B$22:$P$22,0))),0)</f>
        <v>0</v>
      </c>
      <c r="U80" s="5">
        <f t="array" ref="U80">IFERROR(IF($C80="",0,$O80*$D80*INDEX(TABELE!$B$37:$P$47,MATCH($F80,TABELE!$A$37:$A$47,0),MATCH($E80,TABELE!$B$36:$P$36,0))),0)</f>
        <v>0</v>
      </c>
      <c r="V80" s="5">
        <f t="array" ref="V80">IFERROR(IF($C80="",0,$O80*$D80*INDEX(TABELE!$B$51:$P$61,MATCH($F80,TABELE!$A$51:$A$61,0),MATCH($E80,TABELE!$B$50:$P$50,0))),0)</f>
        <v>0</v>
      </c>
      <c r="W80" s="5" t="str">
        <f t="array" ref="W80">IFERROR(INDEX(BAZA_UWAGI,MATCH($C80,BAZA_EX,0)),"")</f>
        <v/>
      </c>
      <c r="X80" s="5" t="str">
        <f t="shared" si="21"/>
        <v/>
      </c>
      <c r="Y80" s="5" t="str">
        <f t="shared" si="24"/>
        <v>E</v>
      </c>
      <c r="Z80" s="5">
        <f t="shared" si="25"/>
        <v>5</v>
      </c>
      <c r="AA80" s="5" t="str">
        <f>IF($C80="","",IF(SUMPRODUCT((START!$B$6:$B$69=$C80)*(START!$M$6:$M$69&gt;0))=0,"",SUMPRODUCT(MAX((START!$B$6:$B$69=$C80)*START!$M$6:$M$69))))</f>
        <v/>
      </c>
      <c r="AB80" s="5" t="str">
        <f t="shared" si="22"/>
        <v/>
      </c>
      <c r="AC80" s="5">
        <f>MAX(0.85,MIN(1.15,1+0.05*(COUNTIF('T1'!$AB80,"za łatwe")+COUNTIF('T2'!$AB80,"za łatwe"))-0.05*(COUNTIF('T1'!$AB80,"za trudne")+COUNTIF('T2'!$AB80,"za trudne"))))</f>
        <v>1</v>
      </c>
      <c r="AD80" s="5">
        <f t="shared" si="23"/>
        <v>0</v>
      </c>
    </row>
    <row r="81" ht="25.5" hidden="1" customHeight="1" outlineLevel="1">
      <c r="A81" s="18" t="str">
        <f>IF('T1'!$A81="","",'T1'!$A81)</f>
        <v/>
      </c>
      <c r="B81" s="30"/>
      <c r="C81" s="31" t="str">
        <f>IF('T1'!$C81="","",'T1'!$C81)</f>
        <v/>
      </c>
      <c r="D81" s="32"/>
      <c r="E81" s="39">
        <f>IF($C81="",0,MIN(15,MAX(1,IF(N($O81)&gt;=1,6,IF(N($O81)&gt;=0.75,IF(PRZEL_CZESC="część 1 (objętość)",8,6),IF(PRZEL_CZESC="część 1 (objętość)",10,8)))+2+$AD81)))</f>
        <v>0</v>
      </c>
      <c r="F81" s="33"/>
      <c r="G81" s="34" t="str">
        <f>IF($C81="","",IF(OR($Q81="masa ciała",$Q81="czas",$Q81="dystans",$Q81="ręczne ustawienie"),$Q81,IF($C81='T1'!$C81,IF(AND(LEFT($A81,1)&lt;&gt;"A",PRZEL_AKCESORIA="trzymaj z bloku"),IF(NOT(ISNUMBER('T1'!$G81)),'T1'!$G81,MROUND('T1'!$G81*$AC81/(MAX('T1'!$AC81,0.0001)),MAX($P81,0.5))),IF(OR($R81="",$R81=0),"— brak 1RM",MROUND($R81*$S81/100*$AC81,MAX($P81,0.5)))),IF(OR($AA81="",$AA81=0),"— ustaw ręcznie",MROUND($AA81*$S81/100*$AC81,MAX($P81,0.5))))))</f>
        <v/>
      </c>
      <c r="H81" s="35"/>
      <c r="I81" s="36" t="str">
        <f t="array" ref="I81">IFERROR(IF(IFERROR(INDEX(BAZA_FILM,MATCH($C81,BAZA_EX,0)),"")="","",HYPERLINK(IFERROR(INDEX(BAZA_FILM,MATCH($C81,BAZA_EX,0)),""),"film")),"")</f>
        <v/>
      </c>
      <c r="J81" s="37" t="str">
        <f>IF('T1'!$J81="","",'T1'!$J81)</f>
        <v/>
      </c>
      <c r="K81" s="5" t="s">
        <v>130</v>
      </c>
      <c r="L81" s="5" t="str">
        <f t="array" ref="L81">IFERROR(INDEX(BAZA_ID,MATCH($C81,BAZA_EX,0)),"")</f>
        <v/>
      </c>
      <c r="M81" s="5" t="str">
        <f t="array" ref="M81">IFERROR(INDEX(BAZA_PART,MATCH($C81,BAZA_EX,0)),"")</f>
        <v/>
      </c>
      <c r="N81" s="5" t="str">
        <f t="array" ref="N81">IFERROR(INDEX(BAZA_KAT,MATCH($C81,BAZA_EX,0)),"")</f>
        <v/>
      </c>
      <c r="O81" s="5" t="str">
        <f t="array" ref="O81">IFERROR(INDEX(BAZA_COEFF,MATCH($C81,BAZA_EX,0)),"")</f>
        <v/>
      </c>
      <c r="P81" s="5" t="str">
        <f t="array" ref="P81">IFERROR(INDEX(BAZA_SKOK,MATCH($C81,BAZA_EX,0)),"")</f>
        <v/>
      </c>
      <c r="Q81" s="5" t="str">
        <f t="array" ref="Q81">IFERROR(INDEX(BAZA_PROG,MATCH($C81,BAZA_EX,0)),"")</f>
        <v/>
      </c>
      <c r="R81" s="5" t="str">
        <f>IF($C81="","",IF(SUMPRODUCT((START!$B$6:$B$69=$C81)*(START!$M$6:$M$69&gt;0))=0,"",SUMPRODUCT(MAX((START!$B$6:$B$69=$C81)*START!$M$6:$M$69))))</f>
        <v/>
      </c>
      <c r="S81" s="5" t="str">
        <f t="array" ref="S81">IFERROR(INDEX(TABELE!$B$4:$J$18,MATCH($E81,TABELE!$A$4:$A$18,0),MATCH($F81,TABELE!$B$3:$J$3,0)),"")</f>
        <v/>
      </c>
      <c r="T81" s="5">
        <f t="array" ref="T81">IFERROR(IF($C81="",0,$O81*$D81*INDEX(TABELE!$B$23:$P$33,MATCH($F81,TABELE!$A$23:$A$33,0),MATCH($E81,TABELE!$B$22:$P$22,0))),0)</f>
        <v>0</v>
      </c>
      <c r="U81" s="5">
        <f t="array" ref="U81">IFERROR(IF($C81="",0,$O81*$D81*INDEX(TABELE!$B$37:$P$47,MATCH($F81,TABELE!$A$37:$A$47,0),MATCH($E81,TABELE!$B$36:$P$36,0))),0)</f>
        <v>0</v>
      </c>
      <c r="V81" s="5">
        <f t="array" ref="V81">IFERROR(IF($C81="",0,$O81*$D81*INDEX(TABELE!$B$51:$P$61,MATCH($F81,TABELE!$A$51:$A$61,0),MATCH($E81,TABELE!$B$50:$P$50,0))),0)</f>
        <v>0</v>
      </c>
      <c r="W81" s="5" t="str">
        <f t="array" ref="W81">IFERROR(INDEX(BAZA_UWAGI,MATCH($C81,BAZA_EX,0)),"")</f>
        <v/>
      </c>
      <c r="X81" s="5" t="str">
        <f t="shared" si="21"/>
        <v/>
      </c>
      <c r="Y81" s="5" t="str">
        <f t="shared" si="24"/>
        <v>E</v>
      </c>
      <c r="Z81" s="5">
        <f t="shared" si="25"/>
        <v>5</v>
      </c>
      <c r="AA81" s="5" t="str">
        <f>IF($C81="","",IF(SUMPRODUCT((START!$B$6:$B$69=$C81)*(START!$M$6:$M$69&gt;0))=0,"",SUMPRODUCT(MAX((START!$B$6:$B$69=$C81)*START!$M$6:$M$69))))</f>
        <v/>
      </c>
      <c r="AB81" s="5" t="str">
        <f t="shared" si="22"/>
        <v/>
      </c>
      <c r="AC81" s="5">
        <f>MAX(0.85,MIN(1.15,1+0.05*(COUNTIF('T1'!$AB81,"za łatwe")+COUNTIF('T2'!$AB81,"za łatwe"))-0.05*(COUNTIF('T1'!$AB81,"za trudne")+COUNTIF('T2'!$AB81,"za trudne"))))</f>
        <v>1</v>
      </c>
      <c r="AD81" s="5">
        <f t="shared" si="23"/>
        <v>0</v>
      </c>
    </row>
    <row r="82" ht="25.5" hidden="1" customHeight="1" outlineLevel="1">
      <c r="A82" s="18" t="str">
        <f>IF('T1'!$A82="","",'T1'!$A82)</f>
        <v/>
      </c>
      <c r="B82" s="30"/>
      <c r="C82" s="31" t="str">
        <f>IF('T1'!$C82="","",'T1'!$C82)</f>
        <v/>
      </c>
      <c r="D82" s="32"/>
      <c r="E82" s="39">
        <f>IF($C82="",0,MIN(15,MAX(1,IF(N($O82)&gt;=1,6,IF(N($O82)&gt;=0.75,IF(PRZEL_CZESC="część 1 (objętość)",8,6),IF(PRZEL_CZESC="część 1 (objętość)",10,8)))+2+$AD82)))</f>
        <v>0</v>
      </c>
      <c r="F82" s="33"/>
      <c r="G82" s="34" t="str">
        <f>IF($C82="","",IF(OR($Q82="masa ciała",$Q82="czas",$Q82="dystans",$Q82="ręczne ustawienie"),$Q82,IF($C82='T1'!$C82,IF(AND(LEFT($A82,1)&lt;&gt;"A",PRZEL_AKCESORIA="trzymaj z bloku"),IF(NOT(ISNUMBER('T1'!$G82)),'T1'!$G82,MROUND('T1'!$G82*$AC82/(MAX('T1'!$AC82,0.0001)),MAX($P82,0.5))),IF(OR($R82="",$R82=0),"— brak 1RM",MROUND($R82*$S82/100*$AC82,MAX($P82,0.5)))),IF(OR($AA82="",$AA82=0),"— ustaw ręcznie",MROUND($AA82*$S82/100*$AC82,MAX($P82,0.5))))))</f>
        <v/>
      </c>
      <c r="H82" s="35"/>
      <c r="I82" s="36" t="str">
        <f t="array" ref="I82">IFERROR(IF(IFERROR(INDEX(BAZA_FILM,MATCH($C82,BAZA_EX,0)),"")="","",HYPERLINK(IFERROR(INDEX(BAZA_FILM,MATCH($C82,BAZA_EX,0)),""),"film")),"")</f>
        <v/>
      </c>
      <c r="J82" s="37" t="str">
        <f>IF('T1'!$J82="","",'T1'!$J82)</f>
        <v/>
      </c>
      <c r="K82" s="5" t="s">
        <v>131</v>
      </c>
      <c r="L82" s="5" t="str">
        <f t="array" ref="L82">IFERROR(INDEX(BAZA_ID,MATCH($C82,BAZA_EX,0)),"")</f>
        <v/>
      </c>
      <c r="M82" s="5" t="str">
        <f t="array" ref="M82">IFERROR(INDEX(BAZA_PART,MATCH($C82,BAZA_EX,0)),"")</f>
        <v/>
      </c>
      <c r="N82" s="5" t="str">
        <f t="array" ref="N82">IFERROR(INDEX(BAZA_KAT,MATCH($C82,BAZA_EX,0)),"")</f>
        <v/>
      </c>
      <c r="O82" s="5" t="str">
        <f t="array" ref="O82">IFERROR(INDEX(BAZA_COEFF,MATCH($C82,BAZA_EX,0)),"")</f>
        <v/>
      </c>
      <c r="P82" s="5" t="str">
        <f t="array" ref="P82">IFERROR(INDEX(BAZA_SKOK,MATCH($C82,BAZA_EX,0)),"")</f>
        <v/>
      </c>
      <c r="Q82" s="5" t="str">
        <f t="array" ref="Q82">IFERROR(INDEX(BAZA_PROG,MATCH($C82,BAZA_EX,0)),"")</f>
        <v/>
      </c>
      <c r="R82" s="5" t="str">
        <f>IF($C82="","",IF(SUMPRODUCT((START!$B$6:$B$69=$C82)*(START!$M$6:$M$69&gt;0))=0,"",SUMPRODUCT(MAX((START!$B$6:$B$69=$C82)*START!$M$6:$M$69))))</f>
        <v/>
      </c>
      <c r="S82" s="5" t="str">
        <f t="array" ref="S82">IFERROR(INDEX(TABELE!$B$4:$J$18,MATCH($E82,TABELE!$A$4:$A$18,0),MATCH($F82,TABELE!$B$3:$J$3,0)),"")</f>
        <v/>
      </c>
      <c r="T82" s="5">
        <f t="array" ref="T82">IFERROR(IF($C82="",0,$O82*$D82*INDEX(TABELE!$B$23:$P$33,MATCH($F82,TABELE!$A$23:$A$33,0),MATCH($E82,TABELE!$B$22:$P$22,0))),0)</f>
        <v>0</v>
      </c>
      <c r="U82" s="5">
        <f t="array" ref="U82">IFERROR(IF($C82="",0,$O82*$D82*INDEX(TABELE!$B$37:$P$47,MATCH($F82,TABELE!$A$37:$A$47,0),MATCH($E82,TABELE!$B$36:$P$36,0))),0)</f>
        <v>0</v>
      </c>
      <c r="V82" s="5">
        <f t="array" ref="V82">IFERROR(IF($C82="",0,$O82*$D82*INDEX(TABELE!$B$51:$P$61,MATCH($F82,TABELE!$A$51:$A$61,0),MATCH($E82,TABELE!$B$50:$P$50,0))),0)</f>
        <v>0</v>
      </c>
      <c r="W82" s="5" t="str">
        <f t="array" ref="W82">IFERROR(INDEX(BAZA_UWAGI,MATCH($C82,BAZA_EX,0)),"")</f>
        <v/>
      </c>
      <c r="X82" s="5" t="str">
        <f t="shared" si="21"/>
        <v/>
      </c>
      <c r="Y82" s="5" t="str">
        <f t="shared" si="24"/>
        <v>E</v>
      </c>
      <c r="Z82" s="5">
        <f t="shared" si="25"/>
        <v>5</v>
      </c>
      <c r="AA82" s="5" t="str">
        <f>IF($C82="","",IF(SUMPRODUCT((START!$B$6:$B$69=$C82)*(START!$M$6:$M$69&gt;0))=0,"",SUMPRODUCT(MAX((START!$B$6:$B$69=$C82)*START!$M$6:$M$69))))</f>
        <v/>
      </c>
      <c r="AB82" s="5" t="str">
        <f t="shared" si="22"/>
        <v/>
      </c>
      <c r="AC82" s="5">
        <f>MAX(0.85,MIN(1.15,1+0.05*(COUNTIF('T1'!$AB82,"za łatwe")+COUNTIF('T2'!$AB82,"za łatwe"))-0.05*(COUNTIF('T1'!$AB82,"za trudne")+COUNTIF('T2'!$AB82,"za trudne"))))</f>
        <v>1</v>
      </c>
      <c r="AD82" s="5">
        <f t="shared" si="23"/>
        <v>0</v>
      </c>
    </row>
    <row r="83" ht="19.5" hidden="1" customHeight="1" outlineLevel="1">
      <c r="A83" s="43"/>
      <c r="B83" s="43"/>
      <c r="C83" s="44" t="s">
        <v>139</v>
      </c>
      <c r="D83" s="45">
        <f>SUMPRODUCT((C71:C82&lt;&gt;"")*D71:D82)+IF(AND($B$70="TOP SET",$C$70&lt;&gt;""),1,0)</f>
      </c>
      <c r="E83" s="46" t="str">
        <f>SUMPRODUCT((C71:C82&lt;&gt;"")*D71:D82*E71:E82)&amp;" powt."</f>
        <v>0 powt.</v>
      </c>
      <c r="F83" s="43"/>
      <c r="G83" s="47" t="str">
        <f>"stres t "&amp;TEXT(SUM(T71:T82),"0.0")</f>
        <v>stres t 0,0</v>
      </c>
      <c r="H83" s="48"/>
      <c r="I83" s="43"/>
      <c r="J83" s="43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21.75" customHeight="1">
      <c r="A85" s="49" t="s">
        <v>174</v>
      </c>
      <c r="B85" s="3"/>
      <c r="C85" s="3"/>
      <c r="D85" s="3"/>
      <c r="E85" s="3"/>
      <c r="F85" s="3"/>
      <c r="G85" s="3"/>
      <c r="H85" s="3"/>
      <c r="I85" s="3"/>
      <c r="J85" s="4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8.0" customHeight="1">
      <c r="A86" s="50"/>
      <c r="B86" s="51" t="s">
        <v>141</v>
      </c>
      <c r="C86" s="50"/>
      <c r="D86" s="51" t="s">
        <v>142</v>
      </c>
      <c r="E86" s="51" t="s">
        <v>143</v>
      </c>
      <c r="F86" s="51" t="s">
        <v>144</v>
      </c>
      <c r="G86" s="51" t="s">
        <v>145</v>
      </c>
      <c r="H86" s="51" t="s">
        <v>146</v>
      </c>
      <c r="I86" s="51" t="s">
        <v>147</v>
      </c>
      <c r="J86" s="50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9.5" customHeight="1">
      <c r="A87" s="52"/>
      <c r="B87" s="20" t="s">
        <v>148</v>
      </c>
      <c r="C87" s="53" t="str">
        <f t="shared" ref="C87:C91" si="26">IF(MAX($D$87:$D$91)=0,"",REPT("█",ROUND($D87/MAX($D$87:$D$91)*14,0))&amp;REPT("░",14-ROUND($D87/MAX($D$87:$D$91)*14,0)))</f>
        <v>░░░░░░░░░░░░░░</v>
      </c>
      <c r="D87" s="54">
        <f>SUMIF(M7:M18,$K87,T7:T18)+SUMIF(M23:M34,$K87,T23:T34)+SUMIF(M39:M50,$K87,T39:T50)+SUMIF(M55:M66,$K87,T55:T66)+SUMIF(M71:M82,$K87,T71:T82)</f>
        <v>0</v>
      </c>
      <c r="E87" s="55" t="str">
        <f t="shared" ref="E87:E91" si="27">IF(SUM($D$87:$D$91)=0,"",TEXT($D87/SUM($D$87:$D$91),"0%"))</f>
        <v>0%</v>
      </c>
      <c r="F87" s="33">
        <f>SUMIF(M7:M18,$K87,U7:U18)+SUMIF(M23:M34,$K87,U23:U34)+SUMIF(M39:M50,$K87,U39:U50)+SUMIF(M55:M66,$K87,U55:U66)+SUMIF(M71:M82,$K87,U71:U82)</f>
        <v>0</v>
      </c>
      <c r="G87" s="33">
        <f>SUMIF(M7:M18,$K87,V7:V18)+SUMIF(M23:M34,$K87,V23:V34)+SUMIF(M39:M50,$K87,V39:V50)+SUMIF(M55:M66,$K87,V55:V66)+SUMIF(M71:M82,$K87,V71:V82)</f>
        <v>0</v>
      </c>
      <c r="H87" s="56">
        <f t="shared" ref="H87:H91" si="28">SUMIF($M$7:$M$18,$K87,$D$7:$D$18)+SUMIF($M$23:$M$34,$K87,$D$23:$D$34)+SUMIF($M$39:$M$50,$K87,$D$39:$D$50)+SUMIF($M$55:$M$66,$K87,$D$55:$D$66)+SUMIF($M$71:$M$82,$K87,$D$71:$D$82)</f>
        <v>0</v>
      </c>
      <c r="I87" s="56">
        <f t="shared" ref="I87:I91" si="29">SUMPRODUCT(($M$7:$M$18=$K87)*$D$7:$D$18*$E$7:$E$18)+SUMPRODUCT(($M$23:$M$34=$K87)*$D$23:$D$34*$E$23:$E$34)+SUMPRODUCT(($M$39:$M$50=$K87)*$D$39:$D$50*$E$39:$E$50)+SUMPRODUCT(($M$55:$M$66=$K87)*$D$55:$D$66*$E$55:$E$66)+SUMPRODUCT(($M$71:$M$82=$K87)*$D$71:$D$82*$E$71:$E$82)</f>
        <v>0</v>
      </c>
      <c r="J87" s="52"/>
      <c r="K87" s="5" t="s">
        <v>149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9.5" customHeight="1">
      <c r="A88" s="52"/>
      <c r="B88" s="20" t="s">
        <v>150</v>
      </c>
      <c r="C88" s="53" t="str">
        <f t="shared" si="26"/>
        <v>░░░░░░░░░░░░░░</v>
      </c>
      <c r="D88" s="54">
        <f>SUMIF(M7:M18,$K88,T7:T18)+SUMIF(M23:M34,$K88,T23:T34)+SUMIF(M39:M50,$K88,T39:T50)+SUMIF(M55:M66,$K88,T55:T66)+SUMIF(M71:M82,$K88,T71:T82)</f>
        <v>0</v>
      </c>
      <c r="E88" s="55" t="str">
        <f t="shared" si="27"/>
        <v>0%</v>
      </c>
      <c r="F88" s="33">
        <f>SUMIF(M7:M18,$K88,U7:U18)+SUMIF(M23:M34,$K88,U23:U34)+SUMIF(M39:M50,$K88,U39:U50)+SUMIF(M55:M66,$K88,U55:U66)+SUMIF(M71:M82,$K88,U71:U82)</f>
        <v>0</v>
      </c>
      <c r="G88" s="33">
        <f>SUMIF(M7:M18,$K88,V7:V18)+SUMIF(M23:M34,$K88,V23:V34)+SUMIF(M39:M50,$K88,V39:V50)+SUMIF(M55:M66,$K88,V55:V66)+SUMIF(M71:M82,$K88,V71:V82)</f>
        <v>0</v>
      </c>
      <c r="H88" s="56">
        <f t="shared" si="28"/>
        <v>0</v>
      </c>
      <c r="I88" s="56">
        <f t="shared" si="29"/>
        <v>0</v>
      </c>
      <c r="J88" s="52"/>
      <c r="K88" s="5" t="s">
        <v>151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9.5" customHeight="1">
      <c r="A89" s="52"/>
      <c r="B89" s="20" t="s">
        <v>152</v>
      </c>
      <c r="C89" s="53" t="str">
        <f t="shared" si="26"/>
        <v>░░░░░░░░░░░░░░</v>
      </c>
      <c r="D89" s="54">
        <f>SUMIF(M7:M18,$K89,T7:T18)+SUMIF(M23:M34,$K89,T23:T34)+SUMIF(M39:M50,$K89,T39:T50)+SUMIF(M55:M66,$K89,T55:T66)+SUMIF(M71:M82,$K89,T71:T82)</f>
        <v>0</v>
      </c>
      <c r="E89" s="55" t="str">
        <f t="shared" si="27"/>
        <v>0%</v>
      </c>
      <c r="F89" s="33">
        <f>SUMIF(M7:M18,$K89,U7:U18)+SUMIF(M23:M34,$K89,U23:U34)+SUMIF(M39:M50,$K89,U39:U50)+SUMIF(M55:M66,$K89,U55:U66)+SUMIF(M71:M82,$K89,U71:U82)</f>
        <v>0</v>
      </c>
      <c r="G89" s="33">
        <f>SUMIF(M7:M18,$K89,V7:V18)+SUMIF(M23:M34,$K89,V23:V34)+SUMIF(M39:M50,$K89,V39:V50)+SUMIF(M55:M66,$K89,V55:V66)+SUMIF(M71:M82,$K89,V71:V82)</f>
        <v>0</v>
      </c>
      <c r="H89" s="56">
        <f t="shared" si="28"/>
        <v>0</v>
      </c>
      <c r="I89" s="56">
        <f t="shared" si="29"/>
        <v>0</v>
      </c>
      <c r="J89" s="52"/>
      <c r="K89" s="5" t="s">
        <v>153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9.5" customHeight="1">
      <c r="A90" s="52"/>
      <c r="B90" s="20" t="s">
        <v>154</v>
      </c>
      <c r="C90" s="53" t="str">
        <f t="shared" si="26"/>
        <v>░░░░░░░░░░░░░░</v>
      </c>
      <c r="D90" s="54">
        <f>SUMIF(M7:M18,$K90,T7:T18)+SUMIF(M23:M34,$K90,T23:T34)+SUMIF(M39:M50,$K90,T39:T50)+SUMIF(M55:M66,$K90,T55:T66)+SUMIF(M71:M82,$K90,T71:T82)</f>
        <v>0</v>
      </c>
      <c r="E90" s="55" t="str">
        <f t="shared" si="27"/>
        <v>0%</v>
      </c>
      <c r="F90" s="33">
        <f>SUMIF(M7:M18,$K90,U7:U18)+SUMIF(M23:M34,$K90,U23:U34)+SUMIF(M39:M50,$K90,U39:U50)+SUMIF(M55:M66,$K90,U55:U66)+SUMIF(M71:M82,$K90,U71:U82)</f>
        <v>0</v>
      </c>
      <c r="G90" s="33">
        <f>SUMIF(M7:M18,$K90,V7:V18)+SUMIF(M23:M34,$K90,V23:V34)+SUMIF(M39:M50,$K90,V39:V50)+SUMIF(M55:M66,$K90,V55:V66)+SUMIF(M71:M82,$K90,V71:V82)</f>
        <v>0</v>
      </c>
      <c r="H90" s="56">
        <f t="shared" si="28"/>
        <v>0</v>
      </c>
      <c r="I90" s="56">
        <f t="shared" si="29"/>
        <v>0</v>
      </c>
      <c r="J90" s="52"/>
      <c r="K90" s="5" t="s">
        <v>155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9.5" customHeight="1">
      <c r="A91" s="52"/>
      <c r="B91" s="20" t="s">
        <v>156</v>
      </c>
      <c r="C91" s="53" t="str">
        <f t="shared" si="26"/>
        <v>██████████████</v>
      </c>
      <c r="D91" s="54">
        <f>SUMIF(M7:M18,$K91,T7:T18)+SUMIF(M23:M34,$K91,T23:T34)+SUMIF(M39:M50,$K91,T39:T50)+SUMIF(M55:M66,$K91,T55:T66)+SUMIF(M71:M82,$K91,T71:T82)</f>
        <v>1.05</v>
      </c>
      <c r="E91" s="55" t="str">
        <f t="shared" si="27"/>
        <v>100%</v>
      </c>
      <c r="F91" s="33">
        <f>SUMIF(M7:M18,$K91,U7:U18)+SUMIF(M23:M34,$K91,U23:U34)+SUMIF(M39:M50,$K91,U39:U50)+SUMIF(M55:M66,$K91,U55:U66)+SUMIF(M71:M82,$K91,U71:U82)</f>
        <v>0.45</v>
      </c>
      <c r="G91" s="33">
        <f>SUMIF(M7:M18,$K91,V7:V18)+SUMIF(M23:M34,$K91,V23:V34)+SUMIF(M39:M50,$K91,V39:V50)+SUMIF(M55:M66,$K91,V55:V66)+SUMIF(M71:M82,$K91,V71:V82)</f>
        <v>1.5</v>
      </c>
      <c r="H91" s="56">
        <f t="shared" si="28"/>
        <v>3</v>
      </c>
      <c r="I91" s="56">
        <f t="shared" si="29"/>
        <v>36</v>
      </c>
      <c r="J91" s="52"/>
      <c r="K91" s="5" t="s">
        <v>157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2"/>
      <c r="B92" s="57" t="s">
        <v>158</v>
      </c>
      <c r="C92" s="52"/>
      <c r="D92" s="58">
        <f>$D$87+$D$88</f>
        <v>0</v>
      </c>
      <c r="E92" s="18" t="str">
        <f t="shared" ref="E92:E93" si="30">IF(($D92+$N92)=0,"",TEXT($D92/($D92+$N92),"0%")&amp;" / "&amp;TEXT($N92/($D92+$N92),"0%"))</f>
        <v/>
      </c>
      <c r="F92" s="52"/>
      <c r="G92" s="52"/>
      <c r="H92" s="52"/>
      <c r="I92" s="52"/>
      <c r="J92" s="52"/>
      <c r="K92" s="5"/>
      <c r="L92" s="5"/>
      <c r="M92" s="5"/>
      <c r="N92" s="59">
        <f>$D$89+$D$90</f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2"/>
      <c r="B93" s="57" t="s">
        <v>159</v>
      </c>
      <c r="C93" s="52"/>
      <c r="D93" s="58">
        <f>SUM($F$87:$F$91)</f>
        <v>0.45</v>
      </c>
      <c r="E93" s="18" t="str">
        <f t="shared" si="30"/>
        <v>23% / 77%</v>
      </c>
      <c r="F93" s="52"/>
      <c r="G93" s="52"/>
      <c r="H93" s="52"/>
      <c r="I93" s="52"/>
      <c r="J93" s="52"/>
      <c r="K93" s="5"/>
      <c r="L93" s="5"/>
      <c r="M93" s="5"/>
      <c r="N93" s="59">
        <f>SUM($G$87:$G$91)</f>
        <v>1.5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21.75" customHeight="1">
      <c r="A94" s="29"/>
      <c r="B94" s="60" t="s">
        <v>160</v>
      </c>
      <c r="C94" s="29"/>
      <c r="D94" s="61">
        <f>SUM($D$87:$D$91)</f>
        <v>1.05</v>
      </c>
      <c r="E94" s="29"/>
      <c r="F94" s="29"/>
      <c r="G94" s="29"/>
      <c r="H94" s="62">
        <f>SUM($H$87:$H$91)</f>
        <v>3</v>
      </c>
      <c r="I94" s="62">
        <f>SUM($I$87:$I$91)</f>
        <v>36</v>
      </c>
      <c r="J94" s="29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21.75" hidden="1" customHeight="1" outlineLevel="1">
      <c r="A96" s="49" t="s">
        <v>175</v>
      </c>
      <c r="B96" s="3"/>
      <c r="C96" s="3"/>
      <c r="D96" s="3"/>
      <c r="E96" s="3"/>
      <c r="F96" s="3"/>
      <c r="G96" s="3"/>
      <c r="H96" s="3"/>
      <c r="I96" s="3"/>
      <c r="J96" s="4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25.5" hidden="1" customHeight="1" outlineLevel="1">
      <c r="A97" s="5"/>
      <c r="B97" s="10" t="s">
        <v>162</v>
      </c>
      <c r="C97" s="63" t="str">
        <f>IF(ODDECH!$B$5="","— wpisz wynik TWOT w zakładce ODDECH",ODDECH!$B$8)</f>
        <v>— wpisz wynik TWOT w zakładce ODDECH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25.5" hidden="1" customHeight="1" outlineLevel="1">
      <c r="A98" s="5"/>
      <c r="B98" s="10" t="s">
        <v>163</v>
      </c>
      <c r="C98" s="63" t="str">
        <f>IF(ODDECH!$B$5="","",ODDECH!$B$9)</f>
        <v/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25.5" hidden="1" customHeight="1" outlineLevel="1">
      <c r="A99" s="5"/>
      <c r="B99" s="10" t="s">
        <v>164</v>
      </c>
      <c r="C99" s="63" t="str">
        <f>IF(ODDECH!$B$5="","",ODDECH!$B$10)</f>
        <v/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25.5" hidden="1" customHeight="1" outlineLevel="1">
      <c r="A100" s="5"/>
      <c r="B100" s="10" t="s">
        <v>165</v>
      </c>
      <c r="C100" s="63" t="str">
        <f>IF(ODDECH!$B$5="","",ODDECH!$B$11)</f>
        <v/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25.5" hidden="1" customHeight="1" outlineLevel="1">
      <c r="A101" s="5"/>
      <c r="B101" s="10" t="s">
        <v>166</v>
      </c>
      <c r="C101" s="63" t="str">
        <f>IF(ODDECH!$B$5="","",ODDECH!$B$12)</f>
        <v/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33.75" hidden="1" customHeight="1" outlineLevel="1">
      <c r="A102" s="5"/>
      <c r="B102" s="10" t="s">
        <v>167</v>
      </c>
      <c r="C102" s="63" t="str">
        <f>IF(ODDECH!$B$5="","",ODDECH!$A$14)</f>
        <v/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21.75" hidden="1" customHeight="1" outlineLevel="1">
      <c r="A104" s="49" t="s">
        <v>176</v>
      </c>
      <c r="B104" s="3"/>
      <c r="C104" s="3"/>
      <c r="D104" s="3"/>
      <c r="E104" s="3"/>
      <c r="F104" s="3"/>
      <c r="G104" s="3"/>
      <c r="H104" s="3"/>
      <c r="I104" s="3"/>
      <c r="J104" s="4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25.5" hidden="1" customHeight="1" outlineLevel="1">
      <c r="A105" s="5"/>
      <c r="B105" s="10" t="s">
        <v>169</v>
      </c>
      <c r="C105" s="63" t="str">
        <f>IF(OR(BIEG!$B$7="",BIEG!$B$8=""),"— uzupełnij dane w zakładce BIEG","łącznie "&amp;TEXT(SUM(BIEG!$O$42:$O$46),"0.0")&amp;" km  ·  "&amp;SUM(BIEG!$N$42:$N$46)&amp;" min")</f>
        <v>— uzupełnij dane w zakładce BIEG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25.5" hidden="1" customHeight="1" outlineLevel="1">
      <c r="A106" s="5"/>
      <c r="B106" s="10" t="str">
        <f>IF(N(BIEG!$B$9)&gt;=1,"jednostka 1","")</f>
        <v/>
      </c>
      <c r="C106" s="63" t="str">
        <f>IF(OR(BIEG!$B$7="",BIEG!$B$8=""),"",BIEG!$I$42)</f>
        <v/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25.5" hidden="1" customHeight="1" outlineLevel="1">
      <c r="A107" s="5"/>
      <c r="B107" s="10" t="str">
        <f>IF(N(BIEG!$B$9)&gt;=2,"jednostka 2","")</f>
        <v/>
      </c>
      <c r="C107" s="63" t="str">
        <f>IF(OR(BIEG!$B$7="",BIEG!$B$8=""),"",BIEG!$I$43)</f>
        <v/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25.5" hidden="1" customHeight="1" outlineLevel="1">
      <c r="A108" s="5"/>
      <c r="B108" s="10" t="str">
        <f>IF(N(BIEG!$B$9)&gt;=3,"jednostka 3","")</f>
        <v/>
      </c>
      <c r="C108" s="63" t="str">
        <f>IF(OR(BIEG!$B$7="",BIEG!$B$8=""),"",BIEG!$I$44)</f>
        <v/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25.5" hidden="1" customHeight="1" outlineLevel="1">
      <c r="A109" s="5"/>
      <c r="B109" s="10" t="str">
        <f>IF(N(BIEG!$B$9)&gt;=4,"jednostka 4","")</f>
        <v/>
      </c>
      <c r="C109" s="63" t="str">
        <f>IF(OR(BIEG!$B$7="",BIEG!$B$8=""),"",BIEG!$I$45)</f>
        <v/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25.5" hidden="1" customHeight="1" outlineLevel="1">
      <c r="A110" s="5"/>
      <c r="B110" s="10" t="str">
        <f>IF(N(BIEG!$B$9)&gt;=5,"jednostka 5","")</f>
        <v/>
      </c>
      <c r="C110" s="63" t="str">
        <f>IF(OR(BIEG!$B$7="",BIEG!$B$8=""),"",BIEG!$I$46)</f>
        <v/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J1"/>
    <mergeCell ref="A5:J5"/>
    <mergeCell ref="A21:J21"/>
    <mergeCell ref="A37:J37"/>
    <mergeCell ref="A53:J53"/>
    <mergeCell ref="A69:J69"/>
    <mergeCell ref="A85:J85"/>
    <mergeCell ref="A104:J104"/>
    <mergeCell ref="C105:J105"/>
    <mergeCell ref="C106:J106"/>
    <mergeCell ref="C107:J107"/>
    <mergeCell ref="C108:J108"/>
    <mergeCell ref="C109:J109"/>
    <mergeCell ref="C110:J110"/>
    <mergeCell ref="A96:J96"/>
    <mergeCell ref="C97:J97"/>
    <mergeCell ref="C98:J98"/>
    <mergeCell ref="C99:J99"/>
    <mergeCell ref="C100:J100"/>
    <mergeCell ref="C101:J101"/>
    <mergeCell ref="C102:J102"/>
  </mergeCells>
  <conditionalFormatting sqref="A7:J18">
    <cfRule type="expression" dxfId="2" priority="1">
      <formula>AND($A7&lt;&gt;"",N($X7)&lt;&gt;N($X6))</formula>
    </cfRule>
  </conditionalFormatting>
  <conditionalFormatting sqref="A7:J18">
    <cfRule type="expression" dxfId="3" priority="2">
      <formula>AND($A7&lt;&gt;"",MOD(N($X7),2)=0)</formula>
    </cfRule>
  </conditionalFormatting>
  <conditionalFormatting sqref="C7:C18">
    <cfRule type="expression" dxfId="4" priority="3">
      <formula>AND($C7&lt;&gt;"",$J7&lt;&gt;"",$N7&lt;&gt;$J7)</formula>
    </cfRule>
  </conditionalFormatting>
  <conditionalFormatting sqref="A23:J34">
    <cfRule type="expression" dxfId="2" priority="4">
      <formula>AND($A23&lt;&gt;"",N($X23)&lt;&gt;N($X22))</formula>
    </cfRule>
  </conditionalFormatting>
  <conditionalFormatting sqref="A23:J34">
    <cfRule type="expression" dxfId="3" priority="5">
      <formula>AND($A23&lt;&gt;"",MOD(N($X23),2)=0)</formula>
    </cfRule>
  </conditionalFormatting>
  <conditionalFormatting sqref="C23:C34">
    <cfRule type="expression" dxfId="4" priority="6">
      <formula>AND($C23&lt;&gt;"",$J23&lt;&gt;"",$N23&lt;&gt;$J23)</formula>
    </cfRule>
  </conditionalFormatting>
  <conditionalFormatting sqref="A39:J50">
    <cfRule type="expression" dxfId="2" priority="7">
      <formula>AND($A39&lt;&gt;"",N($X39)&lt;&gt;N($X38))</formula>
    </cfRule>
  </conditionalFormatting>
  <conditionalFormatting sqref="A39:J50">
    <cfRule type="expression" dxfId="3" priority="8">
      <formula>AND($A39&lt;&gt;"",MOD(N($X39),2)=0)</formula>
    </cfRule>
  </conditionalFormatting>
  <conditionalFormatting sqref="C39:C50">
    <cfRule type="expression" dxfId="4" priority="9">
      <formula>AND($C39&lt;&gt;"",$J39&lt;&gt;"",$N39&lt;&gt;$J39)</formula>
    </cfRule>
  </conditionalFormatting>
  <conditionalFormatting sqref="G6:G18">
    <cfRule type="expression" dxfId="0" priority="10">
      <formula>$G6="— ustaw ręcznie"</formula>
    </cfRule>
  </conditionalFormatting>
  <conditionalFormatting sqref="G22:G34">
    <cfRule type="expression" dxfId="0" priority="11">
      <formula>$G22="— ustaw ręcznie"</formula>
    </cfRule>
  </conditionalFormatting>
  <conditionalFormatting sqref="G38:G50">
    <cfRule type="expression" dxfId="0" priority="12">
      <formula>$G38="— ustaw ręcznie"</formula>
    </cfRule>
  </conditionalFormatting>
  <conditionalFormatting sqref="A55:J66">
    <cfRule type="expression" dxfId="3" priority="13">
      <formula>AND($A55&lt;&gt;"",MOD(N($X55),2)=0)</formula>
    </cfRule>
  </conditionalFormatting>
  <conditionalFormatting sqref="C55:C66">
    <cfRule type="expression" dxfId="5" priority="14">
      <formula>AND($C55&lt;&gt;"",$J55&lt;&gt;"",$N55&lt;&gt;$J55)</formula>
    </cfRule>
  </conditionalFormatting>
  <conditionalFormatting sqref="G54:G66">
    <cfRule type="expression" dxfId="0" priority="15">
      <formula>$G54="— ustaw ręcznie"</formula>
    </cfRule>
  </conditionalFormatting>
  <conditionalFormatting sqref="A71:J82">
    <cfRule type="expression" dxfId="3" priority="16">
      <formula>AND($A71&lt;&gt;"",MOD(N($X71),2)=0)</formula>
    </cfRule>
  </conditionalFormatting>
  <conditionalFormatting sqref="C71:C82">
    <cfRule type="expression" dxfId="5" priority="17">
      <formula>AND($C71&lt;&gt;"",$J71&lt;&gt;"",$N71&lt;&gt;$J71)</formula>
    </cfRule>
  </conditionalFormatting>
  <conditionalFormatting sqref="G70:G82">
    <cfRule type="expression" dxfId="0" priority="18">
      <formula>$G70="— ustaw ręcznie"</formula>
    </cfRule>
  </conditionalFormatting>
  <conditionalFormatting sqref="E7:E18">
    <cfRule type="expression" dxfId="6" priority="19">
      <formula>AND($C7&lt;&gt;"",N($E7)&gt;15)</formula>
    </cfRule>
  </conditionalFormatting>
  <conditionalFormatting sqref="E23:E34">
    <cfRule type="expression" dxfId="6" priority="20">
      <formula>AND($C23&lt;&gt;"",N($E23)&gt;15)</formula>
    </cfRule>
  </conditionalFormatting>
  <conditionalFormatting sqref="E39:E50">
    <cfRule type="expression" dxfId="6" priority="21">
      <formula>AND($C39&lt;&gt;"",N($E39)&gt;15)</formula>
    </cfRule>
  </conditionalFormatting>
  <conditionalFormatting sqref="E55:E66">
    <cfRule type="expression" dxfId="6" priority="22">
      <formula>AND($C55&lt;&gt;"",N($E55)&gt;15)</formula>
    </cfRule>
  </conditionalFormatting>
  <conditionalFormatting sqref="E71:E82">
    <cfRule type="expression" dxfId="6" priority="23">
      <formula>AND($C71&lt;&gt;"",N($E71)&gt;15)</formula>
    </cfRule>
  </conditionalFormatting>
  <dataValidations>
    <dataValidation type="list" allowBlank="1" sqref="C75">
      <formula1>LISTY!$C$75:$GT$75</formula1>
    </dataValidation>
    <dataValidation type="list" allowBlank="1" sqref="C41">
      <formula1>LISTY!$C$41:$GT$41</formula1>
    </dataValidation>
    <dataValidation type="list" allowBlank="1" sqref="C32">
      <formula1>LISTY!$C$32:$GT$32</formula1>
    </dataValidation>
    <dataValidation type="list" allowBlank="1" sqref="C12">
      <formula1>LISTY!$C$12:$GT$12</formula1>
    </dataValidation>
    <dataValidation type="list" allowBlank="1" sqref="C17">
      <formula1>LISTY!$C$17:$GT$17</formula1>
    </dataValidation>
    <dataValidation type="list" allowBlank="1" sqref="C61">
      <formula1>LISTY!$C$61:$GT$61</formula1>
    </dataValidation>
    <dataValidation type="list" allowBlank="1" sqref="C55">
      <formula1>LISTY!$C$55:$GT$55</formula1>
    </dataValidation>
    <dataValidation type="list" allowBlank="1" sqref="C57">
      <formula1>LISTY!$C$57:$GT$57</formula1>
    </dataValidation>
    <dataValidation type="list" allowBlank="1" sqref="C26">
      <formula1>LISTY!$C$26:$GT$26</formula1>
    </dataValidation>
    <dataValidation type="list" allowBlank="1" sqref="C23">
      <formula1>LISTY!$C$23:$GT$23</formula1>
    </dataValidation>
    <dataValidation type="list" allowBlank="1" sqref="C66">
      <formula1>LISTY!$C$66:$GT$66</formula1>
    </dataValidation>
    <dataValidation type="list" allowBlank="1" sqref="C46">
      <formula1>LISTY!$C$46:$GT$46</formula1>
    </dataValidation>
    <dataValidation type="list" allowBlank="1" sqref="C72">
      <formula1>LISTY!$C$72:$GT$72</formula1>
    </dataValidation>
    <dataValidation type="list" allowBlank="1" sqref="C34">
      <formula1>LISTY!$C$34:$GT$34</formula1>
    </dataValidation>
    <dataValidation type="list" allowBlank="1" sqref="C25">
      <formula1>LISTY!$C$25:$GT$25</formula1>
    </dataValidation>
    <dataValidation type="list" allowBlank="1" sqref="C59">
      <formula1>LISTY!$C$59:$GT$59</formula1>
    </dataValidation>
    <dataValidation type="list" allowBlank="1" sqref="C77">
      <formula1>LISTY!$C$77:$GT$77</formula1>
    </dataValidation>
    <dataValidation type="list" allowBlank="1" sqref="C43">
      <formula1>LISTY!$C$43:$GT$43</formula1>
    </dataValidation>
    <dataValidation type="list" allowBlank="1" sqref="C39">
      <formula1>LISTY!$C$39:$GT$39</formula1>
    </dataValidation>
    <dataValidation type="list" allowBlank="1" sqref="C63">
      <formula1>LISTY!$C$63:$GT$63</formula1>
    </dataValidation>
    <dataValidation type="list" allowBlank="1" sqref="C45">
      <formula1>LISTY!$C$45:$GT$45</formula1>
    </dataValidation>
    <dataValidation type="list" allowBlank="1" sqref="C40">
      <formula1>LISTY!$C$40:$GT$40</formula1>
    </dataValidation>
    <dataValidation type="list" allowBlank="1" sqref="C11">
      <formula1>LISTY!$C$11:$GT$11</formula1>
    </dataValidation>
    <dataValidation type="list" allowBlank="1" sqref="C14">
      <formula1>LISTY!$C$14:$GT$14</formula1>
    </dataValidation>
    <dataValidation type="list" allowBlank="1" sqref="C80">
      <formula1>LISTY!$C$80:$GT$80</formula1>
    </dataValidation>
    <dataValidation type="list" allowBlank="1" sqref="H6:H18 H22:H34 H38:H50 H54:H66 H70:H82">
      <formula1>"OK,za łatwe,za trudne"</formula1>
    </dataValidation>
    <dataValidation type="list" allowBlank="1" sqref="C28">
      <formula1>LISTY!$C$28:$GT$28</formula1>
    </dataValidation>
    <dataValidation type="list" allowBlank="1" sqref="C74">
      <formula1>LISTY!$C$74:$GT$74</formula1>
    </dataValidation>
    <dataValidation type="list" allowBlank="1" sqref="H19 H35 H51 H67 H83">
      <formula1>"✓ ukończony"</formula1>
    </dataValidation>
    <dataValidation type="list" allowBlank="1" sqref="C60">
      <formula1>LISTY!$C$60:$GT$60</formula1>
    </dataValidation>
    <dataValidation type="list" allowBlank="1" sqref="C48">
      <formula1>LISTY!$C$48:$GT$48</formula1>
    </dataValidation>
    <dataValidation type="list" allowBlank="1" sqref="C27">
      <formula1>LISTY!$C$27:$GT$27</formula1>
    </dataValidation>
    <dataValidation type="list" allowBlank="1" sqref="C13">
      <formula1>LISTY!$C$13:$GT$13</formula1>
    </dataValidation>
    <dataValidation type="list" allowBlank="1" sqref="C31">
      <formula1>LISTY!$C$31:$GT$31</formula1>
    </dataValidation>
    <dataValidation type="list" allowBlank="1" sqref="C47">
      <formula1>LISTY!$C$47:$GT$47</formula1>
    </dataValidation>
    <dataValidation type="list" allowBlank="1" sqref="C65">
      <formula1>LISTY!$C$65:$GT$65</formula1>
    </dataValidation>
    <dataValidation type="list" allowBlank="1" sqref="C71">
      <formula1>LISTY!$C$71:$GT$71</formula1>
    </dataValidation>
    <dataValidation type="list" allowBlank="1" sqref="C7">
      <formula1>LISTY!$C$7:$GT$7</formula1>
    </dataValidation>
    <dataValidation type="list" allowBlank="1" sqref="C33">
      <formula1>LISTY!$C$33:$GT$33</formula1>
    </dataValidation>
    <dataValidation type="list" allowBlank="1" sqref="C76">
      <formula1>LISTY!$C$76:$GT$76</formula1>
    </dataValidation>
    <dataValidation type="list" allowBlank="1" sqref="C79">
      <formula1>LISTY!$C$79:$GT$79</formula1>
    </dataValidation>
    <dataValidation type="list" allowBlank="1" sqref="C16">
      <formula1>LISTY!$C$16:$GT$16</formula1>
    </dataValidation>
    <dataValidation type="list" allowBlank="1" sqref="C42">
      <formula1>LISTY!$C$42:$GT$42</formula1>
    </dataValidation>
    <dataValidation type="list" allowBlank="1" sqref="C62">
      <formula1>LISTY!$C$62:$GT$62</formula1>
    </dataValidation>
    <dataValidation type="list" allowBlank="1" sqref="C56">
      <formula1>LISTY!$C$56:$GT$56</formula1>
    </dataValidation>
    <dataValidation type="list" allowBlank="1" sqref="C15">
      <formula1>LISTY!$C$15:$GT$15</formula1>
    </dataValidation>
    <dataValidation type="list" allowBlank="1" sqref="C10">
      <formula1>LISTY!$C$10:$GT$10</formula1>
    </dataValidation>
    <dataValidation type="list" allowBlank="1" sqref="C82">
      <formula1>LISTY!$C$82:$GT$82</formula1>
    </dataValidation>
    <dataValidation type="list" allowBlank="1" sqref="C9">
      <formula1>LISTY!$C$9:$GT$9</formula1>
    </dataValidation>
    <dataValidation type="list" allowBlank="1" sqref="C29">
      <formula1>LISTY!$C$29:$GT$29</formula1>
    </dataValidation>
    <dataValidation type="list" allowBlank="1" sqref="C73">
      <formula1>LISTY!$C$73:$GT$73</formula1>
    </dataValidation>
    <dataValidation type="list" allowBlank="1" sqref="C81">
      <formula1>LISTY!$C$81:$GT$81</formula1>
    </dataValidation>
    <dataValidation type="list" allowBlank="1" sqref="C49">
      <formula1>LISTY!$C$49:$GT$49</formula1>
    </dataValidation>
    <dataValidation type="list" allowBlank="1" sqref="C30">
      <formula1>LISTY!$C$30:$GT$30</formula1>
    </dataValidation>
    <dataValidation type="list" allowBlank="1" sqref="J7:J18 J23:J34 J39:J50 J55:J66 J71:J82">
      <formula1>"Lower push,Lower pull,Upper push horizontal,Upper push vertical,Upper pull horizontal,Upper pull vertical,Core,Bicep,Tricep"</formula1>
    </dataValidation>
    <dataValidation type="list" allowBlank="1" sqref="C8">
      <formula1>LISTY!$C$8:$GT$8</formula1>
    </dataValidation>
    <dataValidation type="list" allowBlank="1" sqref="C24">
      <formula1>LISTY!$C$24:$GT$24</formula1>
    </dataValidation>
    <dataValidation type="list" allowBlank="1" sqref="C18">
      <formula1>LISTY!$C$18:$GT$18</formula1>
    </dataValidation>
    <dataValidation type="list" allowBlank="1" sqref="C50">
      <formula1>LISTY!$C$50:$GT$50</formula1>
    </dataValidation>
    <dataValidation type="list" allowBlank="1" sqref="C78">
      <formula1>LISTY!$C$78:$GT$78</formula1>
    </dataValidation>
    <dataValidation type="list" allowBlank="1" sqref="C44">
      <formula1>LISTY!$C$44:$GT$44</formula1>
    </dataValidation>
    <dataValidation type="list" allowBlank="1" sqref="C58">
      <formula1>LISTY!$C$58:$GT$58</formula1>
    </dataValidation>
    <dataValidation type="list" allowBlank="1" sqref="C64">
      <formula1>LISTY!$C$64:$GT$64</formula1>
    </dataValidation>
  </dataValidations>
  <printOptions/>
  <pageMargins bottom="1.0" footer="0.0" header="0.0" left="0.75" right="0.75" top="1.0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3A45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2"/>
  <cols>
    <col customWidth="1" min="1" max="1" width="7.0"/>
    <col customWidth="1" min="2" max="2" width="16.0"/>
    <col customWidth="1" min="3" max="3" width="32.0"/>
    <col customWidth="1" min="4" max="4" width="7.0"/>
    <col customWidth="1" min="5" max="5" width="13.0"/>
    <col customWidth="1" min="6" max="6" width="6.0"/>
    <col customWidth="1" min="7" max="7" width="12.0"/>
    <col customWidth="1" min="8" max="8" width="5.0"/>
    <col customWidth="1" min="9" max="9" width="7.0"/>
    <col customWidth="1" hidden="1" min="10" max="10" width="17.0"/>
    <col customWidth="1" hidden="1" min="11" max="26" width="11.0"/>
    <col customWidth="1" hidden="1" min="27" max="27" width="13.0"/>
  </cols>
  <sheetData>
    <row r="1" ht="30.0" customHeight="1">
      <c r="A1" s="2" t="s">
        <v>135</v>
      </c>
      <c r="B1" s="3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9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9.5" customHeight="1">
      <c r="A4" s="13" t="s">
        <v>8</v>
      </c>
      <c r="B4" s="13"/>
      <c r="C4" s="13" t="s">
        <v>10</v>
      </c>
      <c r="D4" s="13" t="s">
        <v>11</v>
      </c>
      <c r="E4" s="13" t="s">
        <v>12</v>
      </c>
      <c r="F4" s="13" t="s">
        <v>13</v>
      </c>
      <c r="G4" s="13" t="s">
        <v>14</v>
      </c>
      <c r="H4" s="13" t="s">
        <v>15</v>
      </c>
      <c r="I4" s="13" t="s">
        <v>17</v>
      </c>
      <c r="J4" s="14" t="s">
        <v>18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 t="s">
        <v>25</v>
      </c>
    </row>
    <row r="5" ht="25.5" customHeight="1" outlineLevel="1">
      <c r="A5" s="15" t="s">
        <v>23</v>
      </c>
      <c r="B5" s="3"/>
      <c r="C5" s="3"/>
      <c r="D5" s="3"/>
      <c r="E5" s="3"/>
      <c r="F5" s="3"/>
      <c r="G5" s="3"/>
      <c r="H5" s="3"/>
      <c r="I5" s="3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33.75" customHeight="1" outlineLevel="2">
      <c r="A6" s="17" t="str">
        <f>IF($B6="TOP SET","▲","")</f>
        <v>▲</v>
      </c>
      <c r="B6" s="19" t="str">
        <f>IF('T1'!$B6="TOP SET","TOP SET","—")</f>
        <v>TOP SET</v>
      </c>
      <c r="C6" s="22" t="str">
        <f>IF(OR($B6&lt;&gt;"TOP SET",$F6=""),"",IF(N($K6)=0,"",IF(INDEX($C$7:$C$18,$K6)="","",INDEX($C$7:$C$18,$K6))))</f>
      </c>
      <c r="D6" s="23">
        <f>IF(AND($B6="TOP SET",$F6&lt;&gt;""),1,"")</f>
      </c>
      <c r="E6" s="24" t="str">
        <f>IF(AND($B6="TOP SET",$F6&lt;&gt;""),"1 powtórzenie","")</f>
      </c>
      <c r="F6" s="25">
        <v>7.0</v>
      </c>
      <c r="G6" s="27" t="str">
        <f t="array" ref="G6">IF($B6&lt;&gt;"TOP SET","",IF($C6="","",IF(OR($Q6="masa ciała",$Q6="czas",$Q6="dystans",$Q6="ręczne ustawienie"),"—",IF($C6='T1'!$C6,IF(OR($R6="",$R6=0),"— brak 1RM",MROUND($R6*IFERROR(INDEX(TABELE!$B$4:$J$18,MATCH(1,TABELE!$A$4:$A$18,0),MATCH($F6,TABELE!$B$3:$J$3,0)),0)/100,MAX($P6,0.5))),IF(OR($AA6="",$AA6=0),"— ustaw ręcznie",MROUND($AA6*IFERROR(INDEX(TABELE!$B$4:$J$18,MATCH(1,TABELE!$A$4:$A$18,0),MATCH($F6,TABELE!$B$3:$J$3,0)),0)/100,MAX($P6,0.5)))))))</f>
      </c>
      <c r="H6" s="28"/>
      <c r="I6" s="29"/>
      <c r="J6" s="29"/>
      <c r="K6" s="5">
        <f>IFERROR(MATCH("A*",$A$7:$A$18,0),0)</f>
      </c>
      <c r="L6" s="5"/>
      <c r="M6" s="5"/>
      <c r="N6" s="5"/>
      <c r="O6" s="5"/>
      <c r="P6" s="5">
        <f>IF(N($K6)=0,"",INDEX($P$7:$P$18,$K6))</f>
      </c>
      <c r="Q6" s="5">
        <f>IF(N($K6)=0,"",INDEX($Q$7:$Q$18,$K6))</f>
      </c>
      <c r="R6" s="5">
        <f>IF(N($K6)=0,"",INDEX($R$7:$R$18,$K6))</f>
      </c>
      <c r="S6" s="5"/>
      <c r="T6" s="5"/>
      <c r="U6" s="5"/>
      <c r="V6" s="5"/>
      <c r="W6" s="5"/>
      <c r="X6" s="5"/>
      <c r="Y6" s="5"/>
      <c r="Z6" s="5"/>
      <c r="AA6" s="5">
        <f>IF(N($K6)=0,"",INDEX($AA$7:$AA$18,$K6))</f>
      </c>
    </row>
    <row r="7" ht="25.5" customHeight="1" outlineLevel="1">
      <c r="A7" s="18" t="str">
        <f>IF('T1'!$A7="","",'T1'!$A7)</f>
        <v>A1.</v>
      </c>
      <c r="B7" s="30"/>
      <c r="C7" s="31" t="str">
        <f>IF('T1'!$C7="","",'T1'!$C7)</f>
        <v/>
      </c>
      <c r="D7" s="32">
        <v>4.0</v>
      </c>
      <c r="E7" s="32">
        <v>5.0</v>
      </c>
      <c r="F7" s="33">
        <v>7.5</v>
      </c>
      <c r="G7" s="34" t="str">
        <f>IF($C7="","",IF(OR($Q7="masa ciała",$Q7="czas",$Q7="dystans",$Q7="ręczne ustawienie"),$Q7,IF($C7='T1'!$C7,IF(OR($R7="",$R7=0),"— brak 1RM",MROUND($R7*$S7/100*$AC7,MAX($P7,0.5))),IF(OR($AA7="",$AA7=0),"— ustaw ręcznie",MROUND($AA7*$S7/100*$AC7,MAX($P7,0.5))))))</f>
        <v/>
      </c>
      <c r="H7" s="35"/>
      <c r="I7" s="36" t="str">
        <f t="array" ref="I7">IFERROR(IF(IFERROR(INDEX(BAZA_FILM,MATCH($C7,BAZA_EX,0)),"")="","",HYPERLINK(IFERROR(INDEX(BAZA_FILM,MATCH($C7,BAZA_EX,0)),""),"film")),"")</f>
        <v/>
      </c>
      <c r="J7" s="37" t="str">
        <f>IF('T1'!$J7="","",'T1'!$J7)</f>
        <v/>
      </c>
      <c r="K7" s="5" t="s">
        <v>33</v>
      </c>
      <c r="L7" s="5" t="str">
        <f t="array" ref="L7">IFERROR(INDEX(BAZA_ID,MATCH($C7,BAZA_EX,0)),"")</f>
        <v/>
      </c>
      <c r="M7" s="5" t="str">
        <f t="array" ref="M7">IFERROR(INDEX(BAZA_PART,MATCH($C7,BAZA_EX,0)),"")</f>
        <v/>
      </c>
      <c r="N7" s="5" t="str">
        <f t="array" ref="N7">IFERROR(INDEX(BAZA_KAT,MATCH($C7,BAZA_EX,0)),"")</f>
        <v/>
      </c>
      <c r="O7" s="5" t="str">
        <f t="array" ref="O7">IFERROR(INDEX(BAZA_COEFF,MATCH($C7,BAZA_EX,0)),"")</f>
        <v/>
      </c>
      <c r="P7" s="5" t="str">
        <f t="array" ref="P7">IFERROR(INDEX(BAZA_SKOK,MATCH($C7,BAZA_EX,0)),"")</f>
        <v/>
      </c>
      <c r="Q7" s="5" t="str">
        <f t="array" ref="Q7">IFERROR(INDEX(BAZA_PROG,MATCH($C7,BAZA_EX,0)),"")</f>
        <v/>
      </c>
      <c r="R7" s="5" t="str">
        <f>IF($C7="","",IF(SUMPRODUCT((START!$B$6:$B$69=$C7)*(START!$M$6:$M$69&gt;0))=0,"",SUMPRODUCT(MAX((START!$B$6:$B$69=$C7)*START!$M$6:$M$69))))</f>
        <v/>
      </c>
      <c r="S7" s="5">
        <f t="array" ref="S7">IFERROR(INDEX(TABELE!$B$4:$J$18,MATCH($E7,TABELE!$A$4:$A$18,0),MATCH($F7,TABELE!$B$3:$J$3,0)),"")</f>
        <v>77.5</v>
      </c>
      <c r="T7" s="5">
        <f t="array" ref="T7">IFERROR(IF($C7="",0,$O7*$D7*INDEX(TABELE!$B$23:$P$33,MATCH($F7,TABELE!$A$23:$A$33,0),MATCH($E7,TABELE!$B$22:$P$22,0))),0)</f>
        <v>0</v>
      </c>
      <c r="U7" s="5">
        <f t="array" ref="U7">IFERROR(IF($C7="",0,$O7*$D7*INDEX(TABELE!$B$37:$P$47,MATCH($F7,TABELE!$A$37:$A$47,0),MATCH($E7,TABELE!$B$36:$P$36,0))),0)</f>
        <v>0</v>
      </c>
      <c r="V7" s="5">
        <f t="array" ref="V7">IFERROR(IF($C7="",0,$O7*$D7*INDEX(TABELE!$B$51:$P$61,MATCH($F7,TABELE!$A$51:$A$61,0),MATCH($E7,TABELE!$B$50:$P$50,0))),0)</f>
        <v>0</v>
      </c>
      <c r="W7" s="5" t="str">
        <f t="array" ref="W7">IFERROR(INDEX(BAZA_UWAGI,MATCH($C7,BAZA_EX,0)),"")</f>
        <v/>
      </c>
      <c r="X7" s="5">
        <f t="shared" ref="X7:X18" si="1">IF($A7="","",$Z7)</f>
        <v>1</v>
      </c>
      <c r="Y7" s="5" t="str">
        <f>IF($A7="","",LEFT($A7,1))</f>
        <v>A</v>
      </c>
      <c r="Z7" s="5">
        <f>IF($A7="",0,1)</f>
        <v>1</v>
      </c>
      <c r="AA7" s="5" t="str">
        <f>IF($C7="","",IF(SUMPRODUCT((START!$B$6:$B$69=$C7)*(START!$M$6:$M$69&gt;0))=0,"",SUMPRODUCT(MAX((START!$B$6:$B$69=$C7)*START!$M$6:$M$69))))</f>
        <v/>
      </c>
      <c r="AB7" s="5" t="str">
        <f t="shared" ref="AB7:AB18" si="2">IF($C7="","",IF($H7&lt;&gt;"",$H7,IF($H$19="✓ ukończony","OK","")))</f>
        <v/>
      </c>
      <c r="AC7" s="5">
        <f>MAX(0.85,MIN(1.15,1+0.05*(COUNTIF('T1'!$AB7,"za łatwe")+COUNTIF('T2'!$AB7,"za łatwe")+COUNTIF('T3'!$AB7,"za łatwe"))-0.05*(COUNTIF('T1'!$AB7,"za trudne")+COUNTIF('T2'!$AB7,"za trudne")+COUNTIF('T3'!$AB7,"za trudne"))))</f>
        <v>1</v>
      </c>
      <c r="AD7" s="5">
        <f t="shared" ref="AD7:AD18" si="3">IF(OR($Q7="masa ciała",$Q7="czas",$Q7="dystans",$Q7="ręczne ustawienie"),MAX(-3,MIN(3,ROUND(($AC7-1)/0.05,0))),0)</f>
        <v>0</v>
      </c>
    </row>
    <row r="8" ht="25.5" customHeight="1" outlineLevel="1">
      <c r="A8" s="18" t="str">
        <f>IF('T1'!$A8="","",'T1'!$A8)</f>
        <v>B1.</v>
      </c>
      <c r="B8" s="30"/>
      <c r="C8" s="31" t="str">
        <f>IF('T1'!$C8="","",'T1'!$C8)</f>
        <v>Allah</v>
      </c>
      <c r="D8" s="32">
        <v>3.0</v>
      </c>
      <c r="E8" s="39">
        <f>IF($C8="",0,MIN(15,MAX(1,IF(N($O8)&gt;=1,6,IF(N($O8)&gt;=0.75,IF(PRZEL_CZESC="część 1 (objętość)",8,6),IF(PRZEL_CZESC="część 1 (objętość)",10,8)))+0+$AD8)))</f>
        <v>10</v>
      </c>
      <c r="F8" s="33">
        <v>9.0</v>
      </c>
      <c r="G8" s="34" t="str">
        <f>IF($C8="","",IF(OR($Q8="masa ciała",$Q8="czas",$Q8="dystans",$Q8="ręczne ustawienie"),$Q8,IF($C8='T1'!$C8,IF(OR($R8="",$R8=0),"— brak 1RM",MROUND($R8*$S8/100*$AC8,MAX($P8,0.5))),IF(OR($AA8="",$AA8=0),"— ustaw ręcznie",MROUND($AA8*$S8/100*$AC8,MAX($P8,0.5))))))</f>
        <v>— brak 1RM</v>
      </c>
      <c r="H8" s="35"/>
      <c r="I8" s="40" t="str">
        <f t="array" ref="I8">IFERROR(IF(IFERROR(INDEX(BAZA_FILM,MATCH($C8,BAZA_EX,0)),"")="","",HYPERLINK(IFERROR(INDEX(BAZA_FILM,MATCH($C8,BAZA_EX,0)),""),"film")),"")</f>
        <v>film</v>
      </c>
      <c r="J8" s="37" t="str">
        <f>IF('T1'!$J8="","",'T1'!$J8)</f>
        <v/>
      </c>
      <c r="K8" s="5" t="s">
        <v>46</v>
      </c>
      <c r="L8" s="5" t="str">
        <f t="array" ref="L8">IFERROR(INDEX(BAZA_ID,MATCH($C8,BAZA_EX,0)),"")</f>
        <v>EX-0003</v>
      </c>
      <c r="M8" s="5" t="str">
        <f t="array" ref="M8">IFERROR(INDEX(BAZA_PART,MATCH($C8,BAZA_EX,0)),"")</f>
        <v>c</v>
      </c>
      <c r="N8" s="5" t="str">
        <f t="array" ref="N8">IFERROR(INDEX(BAZA_KAT,MATCH($C8,BAZA_EX,0)),"")</f>
        <v>Core</v>
      </c>
      <c r="O8" s="5">
        <f t="array" ref="O8">IFERROR(INDEX(BAZA_COEFF,MATCH($C8,BAZA_EX,0)),"")</f>
        <v>0.5</v>
      </c>
      <c r="P8" s="5">
        <f t="array" ref="P8">IFERROR(INDEX(BAZA_SKOK,MATCH($C8,BAZA_EX,0)),"")</f>
        <v>2.5</v>
      </c>
      <c r="Q8" s="5" t="str">
        <f t="array" ref="Q8">IFERROR(INDEX(BAZA_PROG,MATCH($C8,BAZA_EX,0)),"")</f>
        <v>kg</v>
      </c>
      <c r="R8" s="5" t="str">
        <f>IF($C8="","",IF(SUMPRODUCT((START!$B$6:$B$69=$C8)*(START!$M$6:$M$69&gt;0))=0,"",SUMPRODUCT(MAX((START!$B$6:$B$69=$C8)*START!$M$6:$M$69))))</f>
        <v/>
      </c>
      <c r="S8" s="5">
        <f t="array" ref="S8">IFERROR(INDEX(TABELE!$B$4:$J$18,MATCH($E8,TABELE!$A$4:$A$18,0),MATCH($F8,TABELE!$B$3:$J$3,0)),"")</f>
        <v>71.5</v>
      </c>
      <c r="T8" s="5">
        <f t="array" ref="T8">IFERROR(IF($C8="",0,$O8*$D8*INDEX(TABELE!$B$23:$P$33,MATCH($F8,TABELE!$A$23:$A$33,0),MATCH($E8,TABELE!$B$22:$P$22,0))),0)</f>
        <v>1.35</v>
      </c>
      <c r="U8" s="5">
        <f t="array" ref="U8">IFERROR(IF($C8="",0,$O8*$D8*INDEX(TABELE!$B$37:$P$47,MATCH($F8,TABELE!$A$37:$A$47,0),MATCH($E8,TABELE!$B$36:$P$36,0))),0)</f>
        <v>0.75</v>
      </c>
      <c r="V8" s="5">
        <f t="array" ref="V8">IFERROR(IF($C8="",0,$O8*$D8*INDEX(TABELE!$B$51:$P$61,MATCH($F8,TABELE!$A$51:$A$61,0),MATCH($E8,TABELE!$B$50:$P$50,0))),0)</f>
        <v>2.1</v>
      </c>
      <c r="W8" s="5" t="str">
        <f t="array" ref="W8">IFERROR(INDEX(BAZA_UWAGI,MATCH($C8,BAZA_EX,0)),"")</f>
        <v/>
      </c>
      <c r="X8" s="5">
        <f t="shared" si="1"/>
        <v>2</v>
      </c>
      <c r="Y8" s="5" t="str">
        <f t="shared" ref="Y8:Y18" si="4">IF($A8="",$Y7,LEFT($A8,1))</f>
        <v>B</v>
      </c>
      <c r="Z8" s="5">
        <f t="shared" ref="Z8:Z18" si="5">IF($A8="",$Z7,IF(LEFT($A8,1)=$Y7,$Z7,$Z7+1))</f>
        <v>2</v>
      </c>
      <c r="AA8" s="5" t="str">
        <f>IF($C8="","",IF(SUMPRODUCT((START!$B$6:$B$69=$C8)*(START!$M$6:$M$69&gt;0))=0,"",SUMPRODUCT(MAX((START!$B$6:$B$69=$C8)*START!$M$6:$M$69))))</f>
        <v/>
      </c>
      <c r="AB8" s="5" t="str">
        <f t="shared" si="2"/>
        <v/>
      </c>
      <c r="AC8" s="5">
        <f>MAX(0.85,MIN(1.15,1+0.05*(COUNTIF('T1'!$AB8,"za łatwe")+COUNTIF('T2'!$AB8,"za łatwe")+COUNTIF('T3'!$AB8,"za łatwe"))-0.05*(COUNTIF('T1'!$AB8,"za trudne")+COUNTIF('T2'!$AB8,"za trudne")+COUNTIF('T3'!$AB8,"za trudne"))))</f>
        <v>1</v>
      </c>
      <c r="AD8" s="5">
        <f t="shared" si="3"/>
        <v>0</v>
      </c>
    </row>
    <row r="9" ht="25.5" customHeight="1" outlineLevel="1">
      <c r="A9" s="18" t="str">
        <f>IF('T1'!$A9="","",'T1'!$A9)</f>
        <v>B2.</v>
      </c>
      <c r="B9" s="30"/>
      <c r="C9" s="31" t="str">
        <f>IF('T1'!$C9="","",'T1'!$C9)</f>
        <v/>
      </c>
      <c r="D9" s="32">
        <v>3.0</v>
      </c>
      <c r="E9" s="39">
        <f>IF($C9="",0,MIN(15,MAX(1,IF(N($O9)&gt;=1,6,IF(N($O9)&gt;=0.75,IF(PRZEL_CZESC="część 1 (objętość)",8,6),IF(PRZEL_CZESC="część 1 (objętość)",10,8)))+0+$AD9)))</f>
        <v>0</v>
      </c>
      <c r="F9" s="33">
        <v>9.0</v>
      </c>
      <c r="G9" s="34" t="str">
        <f>IF($C9="","",IF(OR($Q9="masa ciała",$Q9="czas",$Q9="dystans",$Q9="ręczne ustawienie"),$Q9,IF($C9='T1'!$C9,IF(OR($R9="",$R9=0),"— brak 1RM",MROUND($R9*$S9/100*$AC9,MAX($P9,0.5))),IF(OR($AA9="",$AA9=0),"— ustaw ręcznie",MROUND($AA9*$S9/100*$AC9,MAX($P9,0.5))))))</f>
        <v/>
      </c>
      <c r="H9" s="35"/>
      <c r="I9" s="36" t="str">
        <f t="array" ref="I9">IFERROR(IF(IFERROR(INDEX(BAZA_FILM,MATCH($C9,BAZA_EX,0)),"")="","",HYPERLINK(IFERROR(INDEX(BAZA_FILM,MATCH($C9,BAZA_EX,0)),""),"film")),"")</f>
        <v/>
      </c>
      <c r="J9" s="37" t="str">
        <f>IF('T1'!$J9="","",'T1'!$J9)</f>
        <v/>
      </c>
      <c r="K9" s="5" t="s">
        <v>51</v>
      </c>
      <c r="L9" s="5" t="str">
        <f t="array" ref="L9">IFERROR(INDEX(BAZA_ID,MATCH($C9,BAZA_EX,0)),"")</f>
        <v/>
      </c>
      <c r="M9" s="5" t="str">
        <f t="array" ref="M9">IFERROR(INDEX(BAZA_PART,MATCH($C9,BAZA_EX,0)),"")</f>
        <v/>
      </c>
      <c r="N9" s="5" t="str">
        <f t="array" ref="N9">IFERROR(INDEX(BAZA_KAT,MATCH($C9,BAZA_EX,0)),"")</f>
        <v/>
      </c>
      <c r="O9" s="5" t="str">
        <f t="array" ref="O9">IFERROR(INDEX(BAZA_COEFF,MATCH($C9,BAZA_EX,0)),"")</f>
        <v/>
      </c>
      <c r="P9" s="5" t="str">
        <f t="array" ref="P9">IFERROR(INDEX(BAZA_SKOK,MATCH($C9,BAZA_EX,0)),"")</f>
        <v/>
      </c>
      <c r="Q9" s="5" t="str">
        <f t="array" ref="Q9">IFERROR(INDEX(BAZA_PROG,MATCH($C9,BAZA_EX,0)),"")</f>
        <v/>
      </c>
      <c r="R9" s="5" t="str">
        <f>IF($C9="","",IF(SUMPRODUCT((START!$B$6:$B$69=$C9)*(START!$M$6:$M$69&gt;0))=0,"",SUMPRODUCT(MAX((START!$B$6:$B$69=$C9)*START!$M$6:$M$69))))</f>
        <v/>
      </c>
      <c r="S9" s="5" t="str">
        <f t="array" ref="S9">IFERROR(INDEX(TABELE!$B$4:$J$18,MATCH($E9,TABELE!$A$4:$A$18,0),MATCH($F9,TABELE!$B$3:$J$3,0)),"")</f>
        <v/>
      </c>
      <c r="T9" s="5">
        <f t="array" ref="T9">IFERROR(IF($C9="",0,$O9*$D9*INDEX(TABELE!$B$23:$P$33,MATCH($F9,TABELE!$A$23:$A$33,0),MATCH($E9,TABELE!$B$22:$P$22,0))),0)</f>
        <v>0</v>
      </c>
      <c r="U9" s="5">
        <f t="array" ref="U9">IFERROR(IF($C9="",0,$O9*$D9*INDEX(TABELE!$B$37:$P$47,MATCH($F9,TABELE!$A$37:$A$47,0),MATCH($E9,TABELE!$B$36:$P$36,0))),0)</f>
        <v>0</v>
      </c>
      <c r="V9" s="5">
        <f t="array" ref="V9">IFERROR(IF($C9="",0,$O9*$D9*INDEX(TABELE!$B$51:$P$61,MATCH($F9,TABELE!$A$51:$A$61,0),MATCH($E9,TABELE!$B$50:$P$50,0))),0)</f>
        <v>0</v>
      </c>
      <c r="W9" s="5" t="str">
        <f t="array" ref="W9">IFERROR(INDEX(BAZA_UWAGI,MATCH($C9,BAZA_EX,0)),"")</f>
        <v/>
      </c>
      <c r="X9" s="5">
        <f t="shared" si="1"/>
        <v>2</v>
      </c>
      <c r="Y9" s="5" t="str">
        <f t="shared" si="4"/>
        <v>B</v>
      </c>
      <c r="Z9" s="5">
        <f t="shared" si="5"/>
        <v>2</v>
      </c>
      <c r="AA9" s="5" t="str">
        <f>IF($C9="","",IF(SUMPRODUCT((START!$B$6:$B$69=$C9)*(START!$M$6:$M$69&gt;0))=0,"",SUMPRODUCT(MAX((START!$B$6:$B$69=$C9)*START!$M$6:$M$69))))</f>
        <v/>
      </c>
      <c r="AB9" s="5" t="str">
        <f t="shared" si="2"/>
        <v/>
      </c>
      <c r="AC9" s="5">
        <f>MAX(0.85,MIN(1.15,1+0.05*(COUNTIF('T1'!$AB9,"za łatwe")+COUNTIF('T2'!$AB9,"za łatwe")+COUNTIF('T3'!$AB9,"za łatwe"))-0.05*(COUNTIF('T1'!$AB9,"za trudne")+COUNTIF('T2'!$AB9,"za trudne")+COUNTIF('T3'!$AB9,"za trudne"))))</f>
        <v>1</v>
      </c>
      <c r="AD9" s="5">
        <f t="shared" si="3"/>
        <v>0</v>
      </c>
    </row>
    <row r="10" ht="25.5" customHeight="1" outlineLevel="1">
      <c r="A10" s="18" t="str">
        <f>IF('T1'!$A10="","",'T1'!$A10)</f>
        <v>C1.</v>
      </c>
      <c r="B10" s="30"/>
      <c r="C10" s="31" t="str">
        <f>IF('T1'!$C10="","",'T1'!$C10)</f>
        <v/>
      </c>
      <c r="D10" s="32">
        <v>3.0</v>
      </c>
      <c r="E10" s="39">
        <f>IF($C10="",0,MIN(15,MAX(1,IF(N($O10)&gt;=1,6,IF(N($O10)&gt;=0.75,IF(PRZEL_CZESC="część 1 (objętość)",8,6),IF(PRZEL_CZESC="część 1 (objętość)",10,8)))+0+$AD10)))</f>
        <v>0</v>
      </c>
      <c r="F10" s="33">
        <v>9.0</v>
      </c>
      <c r="G10" s="34" t="str">
        <f>IF($C10="","",IF(OR($Q10="masa ciała",$Q10="czas",$Q10="dystans",$Q10="ręczne ustawienie"),$Q10,IF($C10='T1'!$C10,IF(OR($R10="",$R10=0),"— brak 1RM",MROUND($R10*$S10/100*$AC10,MAX($P10,0.5))),IF(OR($AA10="",$AA10=0),"— ustaw ręcznie",MROUND($AA10*$S10/100*$AC10,MAX($P10,0.5))))))</f>
        <v/>
      </c>
      <c r="H10" s="35"/>
      <c r="I10" s="36" t="str">
        <f t="array" ref="I10">IFERROR(IF(IFERROR(INDEX(BAZA_FILM,MATCH($C10,BAZA_EX,0)),"")="","",HYPERLINK(IFERROR(INDEX(BAZA_FILM,MATCH($C10,BAZA_EX,0)),""),"film")),"")</f>
        <v/>
      </c>
      <c r="J10" s="37" t="str">
        <f>IF('T1'!$J10="","",'T1'!$J10)</f>
        <v/>
      </c>
      <c r="K10" s="5" t="s">
        <v>57</v>
      </c>
      <c r="L10" s="5" t="str">
        <f t="array" ref="L10">IFERROR(INDEX(BAZA_ID,MATCH($C10,BAZA_EX,0)),"")</f>
        <v/>
      </c>
      <c r="M10" s="5" t="str">
        <f t="array" ref="M10">IFERROR(INDEX(BAZA_PART,MATCH($C10,BAZA_EX,0)),"")</f>
        <v/>
      </c>
      <c r="N10" s="5" t="str">
        <f t="array" ref="N10">IFERROR(INDEX(BAZA_KAT,MATCH($C10,BAZA_EX,0)),"")</f>
        <v/>
      </c>
      <c r="O10" s="5" t="str">
        <f t="array" ref="O10">IFERROR(INDEX(BAZA_COEFF,MATCH($C10,BAZA_EX,0)),"")</f>
        <v/>
      </c>
      <c r="P10" s="5" t="str">
        <f t="array" ref="P10">IFERROR(INDEX(BAZA_SKOK,MATCH($C10,BAZA_EX,0)),"")</f>
        <v/>
      </c>
      <c r="Q10" s="5" t="str">
        <f t="array" ref="Q10">IFERROR(INDEX(BAZA_PROG,MATCH($C10,BAZA_EX,0)),"")</f>
        <v/>
      </c>
      <c r="R10" s="5" t="str">
        <f>IF($C10="","",IF(SUMPRODUCT((START!$B$6:$B$69=$C10)*(START!$M$6:$M$69&gt;0))=0,"",SUMPRODUCT(MAX((START!$B$6:$B$69=$C10)*START!$M$6:$M$69))))</f>
        <v/>
      </c>
      <c r="S10" s="5" t="str">
        <f t="array" ref="S10">IFERROR(INDEX(TABELE!$B$4:$J$18,MATCH($E10,TABELE!$A$4:$A$18,0),MATCH($F10,TABELE!$B$3:$J$3,0)),"")</f>
        <v/>
      </c>
      <c r="T10" s="5">
        <f t="array" ref="T10">IFERROR(IF($C10="",0,$O10*$D10*INDEX(TABELE!$B$23:$P$33,MATCH($F10,TABELE!$A$23:$A$33,0),MATCH($E10,TABELE!$B$22:$P$22,0))),0)</f>
        <v>0</v>
      </c>
      <c r="U10" s="5">
        <f t="array" ref="U10">IFERROR(IF($C10="",0,$O10*$D10*INDEX(TABELE!$B$37:$P$47,MATCH($F10,TABELE!$A$37:$A$47,0),MATCH($E10,TABELE!$B$36:$P$36,0))),0)</f>
        <v>0</v>
      </c>
      <c r="V10" s="5">
        <f t="array" ref="V10">IFERROR(IF($C10="",0,$O10*$D10*INDEX(TABELE!$B$51:$P$61,MATCH($F10,TABELE!$A$51:$A$61,0),MATCH($E10,TABELE!$B$50:$P$50,0))),0)</f>
        <v>0</v>
      </c>
      <c r="W10" s="5" t="str">
        <f t="array" ref="W10">IFERROR(INDEX(BAZA_UWAGI,MATCH($C10,BAZA_EX,0)),"")</f>
        <v/>
      </c>
      <c r="X10" s="5">
        <f t="shared" si="1"/>
        <v>3</v>
      </c>
      <c r="Y10" s="5" t="str">
        <f t="shared" si="4"/>
        <v>C</v>
      </c>
      <c r="Z10" s="5">
        <f t="shared" si="5"/>
        <v>3</v>
      </c>
      <c r="AA10" s="5" t="str">
        <f>IF($C10="","",IF(SUMPRODUCT((START!$B$6:$B$69=$C10)*(START!$M$6:$M$69&gt;0))=0,"",SUMPRODUCT(MAX((START!$B$6:$B$69=$C10)*START!$M$6:$M$69))))</f>
        <v/>
      </c>
      <c r="AB10" s="5" t="str">
        <f t="shared" si="2"/>
        <v/>
      </c>
      <c r="AC10" s="5">
        <f>MAX(0.85,MIN(1.15,1+0.05*(COUNTIF('T1'!$AB10,"za łatwe")+COUNTIF('T2'!$AB10,"za łatwe")+COUNTIF('T3'!$AB10,"za łatwe"))-0.05*(COUNTIF('T1'!$AB10,"za trudne")+COUNTIF('T2'!$AB10,"za trudne")+COUNTIF('T3'!$AB10,"za trudne"))))</f>
        <v>1</v>
      </c>
      <c r="AD10" s="5">
        <f t="shared" si="3"/>
        <v>0</v>
      </c>
    </row>
    <row r="11" ht="25.5" customHeight="1" outlineLevel="1">
      <c r="A11" s="18" t="str">
        <f>IF('T1'!$A11="","",'T1'!$A11)</f>
        <v>C2.</v>
      </c>
      <c r="B11" s="30"/>
      <c r="C11" s="31" t="str">
        <f>IF('T1'!$C11="","",'T1'!$C11)</f>
        <v/>
      </c>
      <c r="D11" s="32">
        <v>3.0</v>
      </c>
      <c r="E11" s="39">
        <f>IF($C11="",0,MIN(15,MAX(1,IF(N($O11)&gt;=1,6,IF(N($O11)&gt;=0.75,IF(PRZEL_CZESC="część 1 (objętość)",8,6),IF(PRZEL_CZESC="część 1 (objętość)",10,8)))+0+$AD11)))</f>
        <v>0</v>
      </c>
      <c r="F11" s="33">
        <v>10.0</v>
      </c>
      <c r="G11" s="34" t="str">
        <f>IF($C11="","",IF(OR($Q11="masa ciała",$Q11="czas",$Q11="dystans",$Q11="ręczne ustawienie"),$Q11,IF($C11='T1'!$C11,IF(OR($R11="",$R11=0),"— brak 1RM",MROUND($R11*$S11/100*$AC11,MAX($P11,0.5))),IF(OR($AA11="",$AA11=0),"— ustaw ręcznie",MROUND($AA11*$S11/100*$AC11,MAX($P11,0.5))))))</f>
        <v/>
      </c>
      <c r="H11" s="35"/>
      <c r="I11" s="36" t="str">
        <f t="array" ref="I11">IFERROR(IF(IFERROR(INDEX(BAZA_FILM,MATCH($C11,BAZA_EX,0)),"")="","",HYPERLINK(IFERROR(INDEX(BAZA_FILM,MATCH($C11,BAZA_EX,0)),""),"film")),"")</f>
        <v/>
      </c>
      <c r="J11" s="37" t="str">
        <f>IF('T1'!$J11="","",'T1'!$J11)</f>
        <v/>
      </c>
      <c r="K11" s="5" t="s">
        <v>62</v>
      </c>
      <c r="L11" s="5" t="str">
        <f t="array" ref="L11">IFERROR(INDEX(BAZA_ID,MATCH($C11,BAZA_EX,0)),"")</f>
        <v/>
      </c>
      <c r="M11" s="5" t="str">
        <f t="array" ref="M11">IFERROR(INDEX(BAZA_PART,MATCH($C11,BAZA_EX,0)),"")</f>
        <v/>
      </c>
      <c r="N11" s="5" t="str">
        <f t="array" ref="N11">IFERROR(INDEX(BAZA_KAT,MATCH($C11,BAZA_EX,0)),"")</f>
        <v/>
      </c>
      <c r="O11" s="5" t="str">
        <f t="array" ref="O11">IFERROR(INDEX(BAZA_COEFF,MATCH($C11,BAZA_EX,0)),"")</f>
        <v/>
      </c>
      <c r="P11" s="5" t="str">
        <f t="array" ref="P11">IFERROR(INDEX(BAZA_SKOK,MATCH($C11,BAZA_EX,0)),"")</f>
        <v/>
      </c>
      <c r="Q11" s="5" t="str">
        <f t="array" ref="Q11">IFERROR(INDEX(BAZA_PROG,MATCH($C11,BAZA_EX,0)),"")</f>
        <v/>
      </c>
      <c r="R11" s="5" t="str">
        <f>IF($C11="","",IF(SUMPRODUCT((START!$B$6:$B$69=$C11)*(START!$M$6:$M$69&gt;0))=0,"",SUMPRODUCT(MAX((START!$B$6:$B$69=$C11)*START!$M$6:$M$69))))</f>
        <v/>
      </c>
      <c r="S11" s="5" t="str">
        <f t="array" ref="S11">IFERROR(INDEX(TABELE!$B$4:$J$18,MATCH($E11,TABELE!$A$4:$A$18,0),MATCH($F11,TABELE!$B$3:$J$3,0)),"")</f>
        <v/>
      </c>
      <c r="T11" s="5">
        <f t="array" ref="T11">IFERROR(IF($C11="",0,$O11*$D11*INDEX(TABELE!$B$23:$P$33,MATCH($F11,TABELE!$A$23:$A$33,0),MATCH($E11,TABELE!$B$22:$P$22,0))),0)</f>
        <v>0</v>
      </c>
      <c r="U11" s="5">
        <f t="array" ref="U11">IFERROR(IF($C11="",0,$O11*$D11*INDEX(TABELE!$B$37:$P$47,MATCH($F11,TABELE!$A$37:$A$47,0),MATCH($E11,TABELE!$B$36:$P$36,0))),0)</f>
        <v>0</v>
      </c>
      <c r="V11" s="5">
        <f t="array" ref="V11">IFERROR(IF($C11="",0,$O11*$D11*INDEX(TABELE!$B$51:$P$61,MATCH($F11,TABELE!$A$51:$A$61,0),MATCH($E11,TABELE!$B$50:$P$50,0))),0)</f>
        <v>0</v>
      </c>
      <c r="W11" s="5" t="str">
        <f t="array" ref="W11">IFERROR(INDEX(BAZA_UWAGI,MATCH($C11,BAZA_EX,0)),"")</f>
        <v/>
      </c>
      <c r="X11" s="5">
        <f t="shared" si="1"/>
        <v>3</v>
      </c>
      <c r="Y11" s="5" t="str">
        <f t="shared" si="4"/>
        <v>C</v>
      </c>
      <c r="Z11" s="5">
        <f t="shared" si="5"/>
        <v>3</v>
      </c>
      <c r="AA11" s="5" t="str">
        <f>IF($C11="","",IF(SUMPRODUCT((START!$B$6:$B$69=$C11)*(START!$M$6:$M$69&gt;0))=0,"",SUMPRODUCT(MAX((START!$B$6:$B$69=$C11)*START!$M$6:$M$69))))</f>
        <v/>
      </c>
      <c r="AB11" s="5" t="str">
        <f t="shared" si="2"/>
        <v/>
      </c>
      <c r="AC11" s="5">
        <f>MAX(0.85,MIN(1.15,1+0.05*(COUNTIF('T1'!$AB11,"za łatwe")+COUNTIF('T2'!$AB11,"za łatwe")+COUNTIF('T3'!$AB11,"za łatwe"))-0.05*(COUNTIF('T1'!$AB11,"za trudne")+COUNTIF('T2'!$AB11,"za trudne")+COUNTIF('T3'!$AB11,"za trudne"))))</f>
        <v>1</v>
      </c>
      <c r="AD11" s="5">
        <f t="shared" si="3"/>
        <v>0</v>
      </c>
    </row>
    <row r="12" ht="25.5" customHeight="1" outlineLevel="1">
      <c r="A12" s="18" t="str">
        <f>IF('T1'!$A12="","",'T1'!$A12)</f>
        <v>D1.</v>
      </c>
      <c r="B12" s="30"/>
      <c r="C12" s="31" t="str">
        <f>IF('T1'!$C12="","",'T1'!$C12)</f>
        <v/>
      </c>
      <c r="D12" s="32">
        <v>3.0</v>
      </c>
      <c r="E12" s="39">
        <f>IF($C12="",0,MIN(15,MAX(1,IF(N($O12)&gt;=1,6,IF(N($O12)&gt;=0.75,IF(PRZEL_CZESC="część 1 (objętość)",8,6),IF(PRZEL_CZESC="część 1 (objętość)",10,8)))+0+$AD12)))</f>
        <v>0</v>
      </c>
      <c r="F12" s="33">
        <v>9.0</v>
      </c>
      <c r="G12" s="34" t="str">
        <f>IF($C12="","",IF(OR($Q12="masa ciała",$Q12="czas",$Q12="dystans",$Q12="ręczne ustawienie"),$Q12,IF($C12='T1'!$C12,IF(OR($R12="",$R12=0),"— brak 1RM",MROUND($R12*$S12/100*$AC12,MAX($P12,0.5))),IF(OR($AA12="",$AA12=0),"— ustaw ręcznie",MROUND($AA12*$S12/100*$AC12,MAX($P12,0.5))))))</f>
        <v/>
      </c>
      <c r="H12" s="35"/>
      <c r="I12" s="36" t="str">
        <f t="array" ref="I12">IFERROR(IF(IFERROR(INDEX(BAZA_FILM,MATCH($C12,BAZA_EX,0)),"")="","",HYPERLINK(IFERROR(INDEX(BAZA_FILM,MATCH($C12,BAZA_EX,0)),""),"film")),"")</f>
        <v/>
      </c>
      <c r="J12" s="37" t="str">
        <f>IF('T1'!$J12="","",'T1'!$J12)</f>
        <v/>
      </c>
      <c r="K12" s="5" t="s">
        <v>63</v>
      </c>
      <c r="L12" s="5" t="str">
        <f t="array" ref="L12">IFERROR(INDEX(BAZA_ID,MATCH($C12,BAZA_EX,0)),"")</f>
        <v/>
      </c>
      <c r="M12" s="5" t="str">
        <f t="array" ref="M12">IFERROR(INDEX(BAZA_PART,MATCH($C12,BAZA_EX,0)),"")</f>
        <v/>
      </c>
      <c r="N12" s="5" t="str">
        <f t="array" ref="N12">IFERROR(INDEX(BAZA_KAT,MATCH($C12,BAZA_EX,0)),"")</f>
        <v/>
      </c>
      <c r="O12" s="5" t="str">
        <f t="array" ref="O12">IFERROR(INDEX(BAZA_COEFF,MATCH($C12,BAZA_EX,0)),"")</f>
        <v/>
      </c>
      <c r="P12" s="5" t="str">
        <f t="array" ref="P12">IFERROR(INDEX(BAZA_SKOK,MATCH($C12,BAZA_EX,0)),"")</f>
        <v/>
      </c>
      <c r="Q12" s="5" t="str">
        <f t="array" ref="Q12">IFERROR(INDEX(BAZA_PROG,MATCH($C12,BAZA_EX,0)),"")</f>
        <v/>
      </c>
      <c r="R12" s="5" t="str">
        <f>IF($C12="","",IF(SUMPRODUCT((START!$B$6:$B$69=$C12)*(START!$M$6:$M$69&gt;0))=0,"",SUMPRODUCT(MAX((START!$B$6:$B$69=$C12)*START!$M$6:$M$69))))</f>
        <v/>
      </c>
      <c r="S12" s="5" t="str">
        <f t="array" ref="S12">IFERROR(INDEX(TABELE!$B$4:$J$18,MATCH($E12,TABELE!$A$4:$A$18,0),MATCH($F12,TABELE!$B$3:$J$3,0)),"")</f>
        <v/>
      </c>
      <c r="T12" s="5">
        <f t="array" ref="T12">IFERROR(IF($C12="",0,$O12*$D12*INDEX(TABELE!$B$23:$P$33,MATCH($F12,TABELE!$A$23:$A$33,0),MATCH($E12,TABELE!$B$22:$P$22,0))),0)</f>
        <v>0</v>
      </c>
      <c r="U12" s="5">
        <f t="array" ref="U12">IFERROR(IF($C12="",0,$O12*$D12*INDEX(TABELE!$B$37:$P$47,MATCH($F12,TABELE!$A$37:$A$47,0),MATCH($E12,TABELE!$B$36:$P$36,0))),0)</f>
        <v>0</v>
      </c>
      <c r="V12" s="5">
        <f t="array" ref="V12">IFERROR(IF($C12="",0,$O12*$D12*INDEX(TABELE!$B$51:$P$61,MATCH($F12,TABELE!$A$51:$A$61,0),MATCH($E12,TABELE!$B$50:$P$50,0))),0)</f>
        <v>0</v>
      </c>
      <c r="W12" s="5" t="str">
        <f t="array" ref="W12">IFERROR(INDEX(BAZA_UWAGI,MATCH($C12,BAZA_EX,0)),"")</f>
        <v/>
      </c>
      <c r="X12" s="5">
        <f t="shared" si="1"/>
        <v>4</v>
      </c>
      <c r="Y12" s="5" t="str">
        <f t="shared" si="4"/>
        <v>D</v>
      </c>
      <c r="Z12" s="5">
        <f t="shared" si="5"/>
        <v>4</v>
      </c>
      <c r="AA12" s="5" t="str">
        <f>IF($C12="","",IF(SUMPRODUCT((START!$B$6:$B$69=$C12)*(START!$M$6:$M$69&gt;0))=0,"",SUMPRODUCT(MAX((START!$B$6:$B$69=$C12)*START!$M$6:$M$69))))</f>
        <v/>
      </c>
      <c r="AB12" s="5" t="str">
        <f t="shared" si="2"/>
        <v/>
      </c>
      <c r="AC12" s="5">
        <f>MAX(0.85,MIN(1.15,1+0.05*(COUNTIF('T1'!$AB12,"za łatwe")+COUNTIF('T2'!$AB12,"za łatwe")+COUNTIF('T3'!$AB12,"za łatwe"))-0.05*(COUNTIF('T1'!$AB12,"za trudne")+COUNTIF('T2'!$AB12,"za trudne")+COUNTIF('T3'!$AB12,"za trudne"))))</f>
        <v>1</v>
      </c>
      <c r="AD12" s="5">
        <f t="shared" si="3"/>
        <v>0</v>
      </c>
    </row>
    <row r="13" ht="25.5" customHeight="1" outlineLevel="1">
      <c r="A13" s="18" t="str">
        <f>IF('T1'!$A13="","",'T1'!$A13)</f>
        <v>D2.</v>
      </c>
      <c r="B13" s="30"/>
      <c r="C13" s="31" t="str">
        <f>IF('T1'!$C13="","",'T1'!$C13)</f>
        <v/>
      </c>
      <c r="D13" s="32">
        <v>3.0</v>
      </c>
      <c r="E13" s="39">
        <f>IF($C13="",0,MIN(15,MAX(1,IF(N($O13)&gt;=1,6,IF(N($O13)&gt;=0.75,IF(PRZEL_CZESC="część 1 (objętość)",8,6),IF(PRZEL_CZESC="część 1 (objętość)",10,8)))+0+$AD13)))</f>
        <v>0</v>
      </c>
      <c r="F13" s="33">
        <v>10.0</v>
      </c>
      <c r="G13" s="34" t="str">
        <f>IF($C13="","",IF(OR($Q13="masa ciała",$Q13="czas",$Q13="dystans",$Q13="ręczne ustawienie"),$Q13,IF($C13='T1'!$C13,IF(OR($R13="",$R13=0),"— brak 1RM",MROUND($R13*$S13/100*$AC13,MAX($P13,0.5))),IF(OR($AA13="",$AA13=0),"— ustaw ręcznie",MROUND($AA13*$S13/100*$AC13,MAX($P13,0.5))))))</f>
        <v/>
      </c>
      <c r="H13" s="35"/>
      <c r="I13" s="36" t="str">
        <f t="array" ref="I13">IFERROR(IF(IFERROR(INDEX(BAZA_FILM,MATCH($C13,BAZA_EX,0)),"")="","",HYPERLINK(IFERROR(INDEX(BAZA_FILM,MATCH($C13,BAZA_EX,0)),""),"film")),"")</f>
        <v/>
      </c>
      <c r="J13" s="37" t="str">
        <f>IF('T1'!$J13="","",'T1'!$J13)</f>
        <v/>
      </c>
      <c r="K13" s="5" t="s">
        <v>66</v>
      </c>
      <c r="L13" s="5" t="str">
        <f t="array" ref="L13">IFERROR(INDEX(BAZA_ID,MATCH($C13,BAZA_EX,0)),"")</f>
        <v/>
      </c>
      <c r="M13" s="5" t="str">
        <f t="array" ref="M13">IFERROR(INDEX(BAZA_PART,MATCH($C13,BAZA_EX,0)),"")</f>
        <v/>
      </c>
      <c r="N13" s="5" t="str">
        <f t="array" ref="N13">IFERROR(INDEX(BAZA_KAT,MATCH($C13,BAZA_EX,0)),"")</f>
        <v/>
      </c>
      <c r="O13" s="5" t="str">
        <f t="array" ref="O13">IFERROR(INDEX(BAZA_COEFF,MATCH($C13,BAZA_EX,0)),"")</f>
        <v/>
      </c>
      <c r="P13" s="5" t="str">
        <f t="array" ref="P13">IFERROR(INDEX(BAZA_SKOK,MATCH($C13,BAZA_EX,0)),"")</f>
        <v/>
      </c>
      <c r="Q13" s="5" t="str">
        <f t="array" ref="Q13">IFERROR(INDEX(BAZA_PROG,MATCH($C13,BAZA_EX,0)),"")</f>
        <v/>
      </c>
      <c r="R13" s="5" t="str">
        <f>IF($C13="","",IF(SUMPRODUCT((START!$B$6:$B$69=$C13)*(START!$M$6:$M$69&gt;0))=0,"",SUMPRODUCT(MAX((START!$B$6:$B$69=$C13)*START!$M$6:$M$69))))</f>
        <v/>
      </c>
      <c r="S13" s="5" t="str">
        <f t="array" ref="S13">IFERROR(INDEX(TABELE!$B$4:$J$18,MATCH($E13,TABELE!$A$4:$A$18,0),MATCH($F13,TABELE!$B$3:$J$3,0)),"")</f>
        <v/>
      </c>
      <c r="T13" s="5">
        <f t="array" ref="T13">IFERROR(IF($C13="",0,$O13*$D13*INDEX(TABELE!$B$23:$P$33,MATCH($F13,TABELE!$A$23:$A$33,0),MATCH($E13,TABELE!$B$22:$P$22,0))),0)</f>
        <v>0</v>
      </c>
      <c r="U13" s="5">
        <f t="array" ref="U13">IFERROR(IF($C13="",0,$O13*$D13*INDEX(TABELE!$B$37:$P$47,MATCH($F13,TABELE!$A$37:$A$47,0),MATCH($E13,TABELE!$B$36:$P$36,0))),0)</f>
        <v>0</v>
      </c>
      <c r="V13" s="5">
        <f t="array" ref="V13">IFERROR(IF($C13="",0,$O13*$D13*INDEX(TABELE!$B$51:$P$61,MATCH($F13,TABELE!$A$51:$A$61,0),MATCH($E13,TABELE!$B$50:$P$50,0))),0)</f>
        <v>0</v>
      </c>
      <c r="W13" s="5" t="str">
        <f t="array" ref="W13">IFERROR(INDEX(BAZA_UWAGI,MATCH($C13,BAZA_EX,0)),"")</f>
        <v/>
      </c>
      <c r="X13" s="5">
        <f t="shared" si="1"/>
        <v>4</v>
      </c>
      <c r="Y13" s="5" t="str">
        <f t="shared" si="4"/>
        <v>D</v>
      </c>
      <c r="Z13" s="5">
        <f t="shared" si="5"/>
        <v>4</v>
      </c>
      <c r="AA13" s="5" t="str">
        <f>IF($C13="","",IF(SUMPRODUCT((START!$B$6:$B$69=$C13)*(START!$M$6:$M$69&gt;0))=0,"",SUMPRODUCT(MAX((START!$B$6:$B$69=$C13)*START!$M$6:$M$69))))</f>
        <v/>
      </c>
      <c r="AB13" s="5" t="str">
        <f t="shared" si="2"/>
        <v/>
      </c>
      <c r="AC13" s="5">
        <f>MAX(0.85,MIN(1.15,1+0.05*(COUNTIF('T1'!$AB13,"za łatwe")+COUNTIF('T2'!$AB13,"za łatwe")+COUNTIF('T3'!$AB13,"za łatwe"))-0.05*(COUNTIF('T1'!$AB13,"za trudne")+COUNTIF('T2'!$AB13,"za trudne")+COUNTIF('T3'!$AB13,"za trudne"))))</f>
        <v>1</v>
      </c>
      <c r="AD13" s="5">
        <f t="shared" si="3"/>
        <v>0</v>
      </c>
    </row>
    <row r="14" ht="25.5" customHeight="1" outlineLevel="1">
      <c r="A14" s="18" t="str">
        <f>IF('T1'!$A14="","",'T1'!$A14)</f>
        <v>E1.</v>
      </c>
      <c r="B14" s="30"/>
      <c r="C14" s="31" t="str">
        <f>IF('T1'!$C14="","",'T1'!$C14)</f>
        <v/>
      </c>
      <c r="D14" s="32"/>
      <c r="E14" s="39">
        <f>IF($C14="",0,MIN(15,MAX(1,IF(N($O14)&gt;=1,6,IF(N($O14)&gt;=0.75,IF(PRZEL_CZESC="część 1 (objętość)",8,6),IF(PRZEL_CZESC="część 1 (objętość)",10,8)))+0+$AD14)))</f>
        <v>0</v>
      </c>
      <c r="F14" s="33"/>
      <c r="G14" s="34" t="str">
        <f>IF($C14="","",IF(OR($Q14="masa ciała",$Q14="czas",$Q14="dystans",$Q14="ręczne ustawienie"),$Q14,IF($C14='T1'!$C14,IF(OR($R14="",$R14=0),"— brak 1RM",MROUND($R14*$S14/100*$AC14,MAX($P14,0.5))),IF(OR($AA14="",$AA14=0),"— ustaw ręcznie",MROUND($AA14*$S14/100*$AC14,MAX($P14,0.5))))))</f>
        <v/>
      </c>
      <c r="H14" s="35"/>
      <c r="I14" s="36" t="str">
        <f t="array" ref="I14">IFERROR(IF(IFERROR(INDEX(BAZA_FILM,MATCH($C14,BAZA_EX,0)),"")="","",HYPERLINK(IFERROR(INDEX(BAZA_FILM,MATCH($C14,BAZA_EX,0)),""),"film")),"")</f>
        <v/>
      </c>
      <c r="J14" s="37" t="str">
        <f>IF('T1'!$J14="","",'T1'!$J14)</f>
        <v/>
      </c>
      <c r="K14" s="5" t="s">
        <v>67</v>
      </c>
      <c r="L14" s="5" t="str">
        <f t="array" ref="L14">IFERROR(INDEX(BAZA_ID,MATCH($C14,BAZA_EX,0)),"")</f>
        <v/>
      </c>
      <c r="M14" s="5" t="str">
        <f t="array" ref="M14">IFERROR(INDEX(BAZA_PART,MATCH($C14,BAZA_EX,0)),"")</f>
        <v/>
      </c>
      <c r="N14" s="5" t="str">
        <f t="array" ref="N14">IFERROR(INDEX(BAZA_KAT,MATCH($C14,BAZA_EX,0)),"")</f>
        <v/>
      </c>
      <c r="O14" s="5" t="str">
        <f t="array" ref="O14">IFERROR(INDEX(BAZA_COEFF,MATCH($C14,BAZA_EX,0)),"")</f>
        <v/>
      </c>
      <c r="P14" s="5" t="str">
        <f t="array" ref="P14">IFERROR(INDEX(BAZA_SKOK,MATCH($C14,BAZA_EX,0)),"")</f>
        <v/>
      </c>
      <c r="Q14" s="5" t="str">
        <f t="array" ref="Q14">IFERROR(INDEX(BAZA_PROG,MATCH($C14,BAZA_EX,0)),"")</f>
        <v/>
      </c>
      <c r="R14" s="5" t="str">
        <f>IF($C14="","",IF(SUMPRODUCT((START!$B$6:$B$69=$C14)*(START!$M$6:$M$69&gt;0))=0,"",SUMPRODUCT(MAX((START!$B$6:$B$69=$C14)*START!$M$6:$M$69))))</f>
        <v/>
      </c>
      <c r="S14" s="5" t="str">
        <f t="array" ref="S14">IFERROR(INDEX(TABELE!$B$4:$J$18,MATCH($E14,TABELE!$A$4:$A$18,0),MATCH($F14,TABELE!$B$3:$J$3,0)),"")</f>
        <v/>
      </c>
      <c r="T14" s="5">
        <f t="array" ref="T14">IFERROR(IF($C14="",0,$O14*$D14*INDEX(TABELE!$B$23:$P$33,MATCH($F14,TABELE!$A$23:$A$33,0),MATCH($E14,TABELE!$B$22:$P$22,0))),0)</f>
        <v>0</v>
      </c>
      <c r="U14" s="5">
        <f t="array" ref="U14">IFERROR(IF($C14="",0,$O14*$D14*INDEX(TABELE!$B$37:$P$47,MATCH($F14,TABELE!$A$37:$A$47,0),MATCH($E14,TABELE!$B$36:$P$36,0))),0)</f>
        <v>0</v>
      </c>
      <c r="V14" s="5">
        <f t="array" ref="V14">IFERROR(IF($C14="",0,$O14*$D14*INDEX(TABELE!$B$51:$P$61,MATCH($F14,TABELE!$A$51:$A$61,0),MATCH($E14,TABELE!$B$50:$P$50,0))),0)</f>
        <v>0</v>
      </c>
      <c r="W14" s="5" t="str">
        <f t="array" ref="W14">IFERROR(INDEX(BAZA_UWAGI,MATCH($C14,BAZA_EX,0)),"")</f>
        <v/>
      </c>
      <c r="X14" s="5">
        <f t="shared" si="1"/>
        <v>5</v>
      </c>
      <c r="Y14" s="5" t="str">
        <f t="shared" si="4"/>
        <v>E</v>
      </c>
      <c r="Z14" s="5">
        <f t="shared" si="5"/>
        <v>5</v>
      </c>
      <c r="AA14" s="5" t="str">
        <f>IF($C14="","",IF(SUMPRODUCT((START!$B$6:$B$69=$C14)*(START!$M$6:$M$69&gt;0))=0,"",SUMPRODUCT(MAX((START!$B$6:$B$69=$C14)*START!$M$6:$M$69))))</f>
        <v/>
      </c>
      <c r="AB14" s="5" t="str">
        <f t="shared" si="2"/>
        <v/>
      </c>
      <c r="AC14" s="5">
        <f>MAX(0.85,MIN(1.15,1+0.05*(COUNTIF('T1'!$AB14,"za łatwe")+COUNTIF('T2'!$AB14,"za łatwe")+COUNTIF('T3'!$AB14,"za łatwe"))-0.05*(COUNTIF('T1'!$AB14,"za trudne")+COUNTIF('T2'!$AB14,"za trudne")+COUNTIF('T3'!$AB14,"za trudne"))))</f>
        <v>1</v>
      </c>
      <c r="AD14" s="5">
        <f t="shared" si="3"/>
        <v>0</v>
      </c>
    </row>
    <row r="15" ht="25.5" customHeight="1" outlineLevel="1">
      <c r="A15" s="18" t="str">
        <f>IF('T1'!$A15="","",'T1'!$A15)</f>
        <v>E2.</v>
      </c>
      <c r="B15" s="30"/>
      <c r="C15" s="31" t="str">
        <f>IF('T1'!$C15="","",'T1'!$C15)</f>
        <v/>
      </c>
      <c r="D15" s="32"/>
      <c r="E15" s="39">
        <f>IF($C15="",0,MIN(15,MAX(1,IF(N($O15)&gt;=1,6,IF(N($O15)&gt;=0.75,IF(PRZEL_CZESC="część 1 (objętość)",8,6),IF(PRZEL_CZESC="część 1 (objętość)",10,8)))+0+$AD15)))</f>
        <v>0</v>
      </c>
      <c r="F15" s="33"/>
      <c r="G15" s="34" t="str">
        <f>IF($C15="","",IF(OR($Q15="masa ciała",$Q15="czas",$Q15="dystans",$Q15="ręczne ustawienie"),$Q15,IF($C15='T1'!$C15,IF(OR($R15="",$R15=0),"— brak 1RM",MROUND($R15*$S15/100*$AC15,MAX($P15,0.5))),IF(OR($AA15="",$AA15=0),"— ustaw ręcznie",MROUND($AA15*$S15/100*$AC15,MAX($P15,0.5))))))</f>
        <v/>
      </c>
      <c r="H15" s="35"/>
      <c r="I15" s="36" t="str">
        <f t="array" ref="I15">IFERROR(IF(IFERROR(INDEX(BAZA_FILM,MATCH($C15,BAZA_EX,0)),"")="","",HYPERLINK(IFERROR(INDEX(BAZA_FILM,MATCH($C15,BAZA_EX,0)),""),"film")),"")</f>
        <v/>
      </c>
      <c r="J15" s="37" t="str">
        <f>IF('T1'!$J15="","",'T1'!$J15)</f>
        <v/>
      </c>
      <c r="K15" s="5" t="s">
        <v>68</v>
      </c>
      <c r="L15" s="5" t="str">
        <f t="array" ref="L15">IFERROR(INDEX(BAZA_ID,MATCH($C15,BAZA_EX,0)),"")</f>
        <v/>
      </c>
      <c r="M15" s="5" t="str">
        <f t="array" ref="M15">IFERROR(INDEX(BAZA_PART,MATCH($C15,BAZA_EX,0)),"")</f>
        <v/>
      </c>
      <c r="N15" s="5" t="str">
        <f t="array" ref="N15">IFERROR(INDEX(BAZA_KAT,MATCH($C15,BAZA_EX,0)),"")</f>
        <v/>
      </c>
      <c r="O15" s="5" t="str">
        <f t="array" ref="O15">IFERROR(INDEX(BAZA_COEFF,MATCH($C15,BAZA_EX,0)),"")</f>
        <v/>
      </c>
      <c r="P15" s="5" t="str">
        <f t="array" ref="P15">IFERROR(INDEX(BAZA_SKOK,MATCH($C15,BAZA_EX,0)),"")</f>
        <v/>
      </c>
      <c r="Q15" s="5" t="str">
        <f t="array" ref="Q15">IFERROR(INDEX(BAZA_PROG,MATCH($C15,BAZA_EX,0)),"")</f>
        <v/>
      </c>
      <c r="R15" s="5" t="str">
        <f>IF($C15="","",IF(SUMPRODUCT((START!$B$6:$B$69=$C15)*(START!$M$6:$M$69&gt;0))=0,"",SUMPRODUCT(MAX((START!$B$6:$B$69=$C15)*START!$M$6:$M$69))))</f>
        <v/>
      </c>
      <c r="S15" s="5" t="str">
        <f t="array" ref="S15">IFERROR(INDEX(TABELE!$B$4:$J$18,MATCH($E15,TABELE!$A$4:$A$18,0),MATCH($F15,TABELE!$B$3:$J$3,0)),"")</f>
        <v/>
      </c>
      <c r="T15" s="5">
        <f t="array" ref="T15">IFERROR(IF($C15="",0,$O15*$D15*INDEX(TABELE!$B$23:$P$33,MATCH($F15,TABELE!$A$23:$A$33,0),MATCH($E15,TABELE!$B$22:$P$22,0))),0)</f>
        <v>0</v>
      </c>
      <c r="U15" s="5">
        <f t="array" ref="U15">IFERROR(IF($C15="",0,$O15*$D15*INDEX(TABELE!$B$37:$P$47,MATCH($F15,TABELE!$A$37:$A$47,0),MATCH($E15,TABELE!$B$36:$P$36,0))),0)</f>
        <v>0</v>
      </c>
      <c r="V15" s="5">
        <f t="array" ref="V15">IFERROR(IF($C15="",0,$O15*$D15*INDEX(TABELE!$B$51:$P$61,MATCH($F15,TABELE!$A$51:$A$61,0),MATCH($E15,TABELE!$B$50:$P$50,0))),0)</f>
        <v>0</v>
      </c>
      <c r="W15" s="5" t="str">
        <f t="array" ref="W15">IFERROR(INDEX(BAZA_UWAGI,MATCH($C15,BAZA_EX,0)),"")</f>
        <v/>
      </c>
      <c r="X15" s="5">
        <f t="shared" si="1"/>
        <v>5</v>
      </c>
      <c r="Y15" s="5" t="str">
        <f t="shared" si="4"/>
        <v>E</v>
      </c>
      <c r="Z15" s="5">
        <f t="shared" si="5"/>
        <v>5</v>
      </c>
      <c r="AA15" s="5" t="str">
        <f>IF($C15="","",IF(SUMPRODUCT((START!$B$6:$B$69=$C15)*(START!$M$6:$M$69&gt;0))=0,"",SUMPRODUCT(MAX((START!$B$6:$B$69=$C15)*START!$M$6:$M$69))))</f>
        <v/>
      </c>
      <c r="AB15" s="5" t="str">
        <f t="shared" si="2"/>
        <v/>
      </c>
      <c r="AC15" s="5">
        <f>MAX(0.85,MIN(1.15,1+0.05*(COUNTIF('T1'!$AB15,"za łatwe")+COUNTIF('T2'!$AB15,"za łatwe")+COUNTIF('T3'!$AB15,"za łatwe"))-0.05*(COUNTIF('T1'!$AB15,"za trudne")+COUNTIF('T2'!$AB15,"za trudne")+COUNTIF('T3'!$AB15,"za trudne"))))</f>
        <v>1</v>
      </c>
      <c r="AD15" s="5">
        <f t="shared" si="3"/>
        <v>0</v>
      </c>
    </row>
    <row r="16" ht="25.5" customHeight="1" outlineLevel="1">
      <c r="A16" s="18" t="str">
        <f>IF('T1'!$A16="","",'T1'!$A16)</f>
        <v/>
      </c>
      <c r="B16" s="30"/>
      <c r="C16" s="31" t="str">
        <f>IF('T1'!$C16="","",'T1'!$C16)</f>
        <v/>
      </c>
      <c r="D16" s="32"/>
      <c r="E16" s="39">
        <f>IF($C16="",0,MIN(15,MAX(1,IF(N($O16)&gt;=1,6,IF(N($O16)&gt;=0.75,IF(PRZEL_CZESC="część 1 (objętość)",8,6),IF(PRZEL_CZESC="część 1 (objętość)",10,8)))+0+$AD16)))</f>
        <v>0</v>
      </c>
      <c r="F16" s="33"/>
      <c r="G16" s="34" t="str">
        <f>IF($C16="","",IF(OR($Q16="masa ciała",$Q16="czas",$Q16="dystans",$Q16="ręczne ustawienie"),$Q16,IF($C16='T1'!$C16,IF(OR($R16="",$R16=0),"— brak 1RM",MROUND($R16*$S16/100*$AC16,MAX($P16,0.5))),IF(OR($AA16="",$AA16=0),"— ustaw ręcznie",MROUND($AA16*$S16/100*$AC16,MAX($P16,0.5))))))</f>
        <v/>
      </c>
      <c r="H16" s="35"/>
      <c r="I16" s="36" t="str">
        <f t="array" ref="I16">IFERROR(IF(IFERROR(INDEX(BAZA_FILM,MATCH($C16,BAZA_EX,0)),"")="","",HYPERLINK(IFERROR(INDEX(BAZA_FILM,MATCH($C16,BAZA_EX,0)),""),"film")),"")</f>
        <v/>
      </c>
      <c r="J16" s="37" t="str">
        <f>IF('T1'!$J16="","",'T1'!$J16)</f>
        <v/>
      </c>
      <c r="K16" s="5" t="s">
        <v>69</v>
      </c>
      <c r="L16" s="5" t="str">
        <f t="array" ref="L16">IFERROR(INDEX(BAZA_ID,MATCH($C16,BAZA_EX,0)),"")</f>
        <v/>
      </c>
      <c r="M16" s="5" t="str">
        <f t="array" ref="M16">IFERROR(INDEX(BAZA_PART,MATCH($C16,BAZA_EX,0)),"")</f>
        <v/>
      </c>
      <c r="N16" s="5" t="str">
        <f t="array" ref="N16">IFERROR(INDEX(BAZA_KAT,MATCH($C16,BAZA_EX,0)),"")</f>
        <v/>
      </c>
      <c r="O16" s="5" t="str">
        <f t="array" ref="O16">IFERROR(INDEX(BAZA_COEFF,MATCH($C16,BAZA_EX,0)),"")</f>
        <v/>
      </c>
      <c r="P16" s="5" t="str">
        <f t="array" ref="P16">IFERROR(INDEX(BAZA_SKOK,MATCH($C16,BAZA_EX,0)),"")</f>
        <v/>
      </c>
      <c r="Q16" s="5" t="str">
        <f t="array" ref="Q16">IFERROR(INDEX(BAZA_PROG,MATCH($C16,BAZA_EX,0)),"")</f>
        <v/>
      </c>
      <c r="R16" s="5" t="str">
        <f>IF($C16="","",IF(SUMPRODUCT((START!$B$6:$B$69=$C16)*(START!$M$6:$M$69&gt;0))=0,"",SUMPRODUCT(MAX((START!$B$6:$B$69=$C16)*START!$M$6:$M$69))))</f>
        <v/>
      </c>
      <c r="S16" s="5" t="str">
        <f t="array" ref="S16">IFERROR(INDEX(TABELE!$B$4:$J$18,MATCH($E16,TABELE!$A$4:$A$18,0),MATCH($F16,TABELE!$B$3:$J$3,0)),"")</f>
        <v/>
      </c>
      <c r="T16" s="5">
        <f t="array" ref="T16">IFERROR(IF($C16="",0,$O16*$D16*INDEX(TABELE!$B$23:$P$33,MATCH($F16,TABELE!$A$23:$A$33,0),MATCH($E16,TABELE!$B$22:$P$22,0))),0)</f>
        <v>0</v>
      </c>
      <c r="U16" s="5">
        <f t="array" ref="U16">IFERROR(IF($C16="",0,$O16*$D16*INDEX(TABELE!$B$37:$P$47,MATCH($F16,TABELE!$A$37:$A$47,0),MATCH($E16,TABELE!$B$36:$P$36,0))),0)</f>
        <v>0</v>
      </c>
      <c r="V16" s="5">
        <f t="array" ref="V16">IFERROR(IF($C16="",0,$O16*$D16*INDEX(TABELE!$B$51:$P$61,MATCH($F16,TABELE!$A$51:$A$61,0),MATCH($E16,TABELE!$B$50:$P$50,0))),0)</f>
        <v>0</v>
      </c>
      <c r="W16" s="5" t="str">
        <f t="array" ref="W16">IFERROR(INDEX(BAZA_UWAGI,MATCH($C16,BAZA_EX,0)),"")</f>
        <v/>
      </c>
      <c r="X16" s="5" t="str">
        <f t="shared" si="1"/>
        <v/>
      </c>
      <c r="Y16" s="5" t="str">
        <f t="shared" si="4"/>
        <v>E</v>
      </c>
      <c r="Z16" s="5">
        <f t="shared" si="5"/>
        <v>5</v>
      </c>
      <c r="AA16" s="5" t="str">
        <f>IF($C16="","",IF(SUMPRODUCT((START!$B$6:$B$69=$C16)*(START!$M$6:$M$69&gt;0))=0,"",SUMPRODUCT(MAX((START!$B$6:$B$69=$C16)*START!$M$6:$M$69))))</f>
        <v/>
      </c>
      <c r="AB16" s="5" t="str">
        <f t="shared" si="2"/>
        <v/>
      </c>
      <c r="AC16" s="5">
        <f>MAX(0.85,MIN(1.15,1+0.05*(COUNTIF('T1'!$AB16,"za łatwe")+COUNTIF('T2'!$AB16,"za łatwe")+COUNTIF('T3'!$AB16,"za łatwe"))-0.05*(COUNTIF('T1'!$AB16,"za trudne")+COUNTIF('T2'!$AB16,"za trudne")+COUNTIF('T3'!$AB16,"za trudne"))))</f>
        <v>1</v>
      </c>
      <c r="AD16" s="5">
        <f t="shared" si="3"/>
        <v>0</v>
      </c>
    </row>
    <row r="17" ht="25.5" customHeight="1" outlineLevel="1">
      <c r="A17" s="18" t="str">
        <f>IF('T1'!$A17="","",'T1'!$A17)</f>
        <v/>
      </c>
      <c r="B17" s="30"/>
      <c r="C17" s="31" t="str">
        <f>IF('T1'!$C17="","",'T1'!$C17)</f>
        <v/>
      </c>
      <c r="D17" s="32"/>
      <c r="E17" s="39">
        <f>IF($C17="",0,MIN(15,MAX(1,IF(N($O17)&gt;=1,6,IF(N($O17)&gt;=0.75,IF(PRZEL_CZESC="część 1 (objętość)",8,6),IF(PRZEL_CZESC="część 1 (objętość)",10,8)))+0+$AD17)))</f>
        <v>0</v>
      </c>
      <c r="F17" s="33"/>
      <c r="G17" s="34" t="str">
        <f>IF($C17="","",IF(OR($Q17="masa ciała",$Q17="czas",$Q17="dystans",$Q17="ręczne ustawienie"),$Q17,IF($C17='T1'!$C17,IF(OR($R17="",$R17=0),"— brak 1RM",MROUND($R17*$S17/100*$AC17,MAX($P17,0.5))),IF(OR($AA17="",$AA17=0),"— ustaw ręcznie",MROUND($AA17*$S17/100*$AC17,MAX($P17,0.5))))))</f>
        <v/>
      </c>
      <c r="H17" s="35"/>
      <c r="I17" s="36" t="str">
        <f t="array" ref="I17">IFERROR(IF(IFERROR(INDEX(BAZA_FILM,MATCH($C17,BAZA_EX,0)),"")="","",HYPERLINK(IFERROR(INDEX(BAZA_FILM,MATCH($C17,BAZA_EX,0)),""),"film")),"")</f>
        <v/>
      </c>
      <c r="J17" s="37" t="str">
        <f>IF('T1'!$J17="","",'T1'!$J17)</f>
        <v/>
      </c>
      <c r="K17" s="5" t="s">
        <v>70</v>
      </c>
      <c r="L17" s="5" t="str">
        <f t="array" ref="L17">IFERROR(INDEX(BAZA_ID,MATCH($C17,BAZA_EX,0)),"")</f>
        <v/>
      </c>
      <c r="M17" s="5" t="str">
        <f t="array" ref="M17">IFERROR(INDEX(BAZA_PART,MATCH($C17,BAZA_EX,0)),"")</f>
        <v/>
      </c>
      <c r="N17" s="5" t="str">
        <f t="array" ref="N17">IFERROR(INDEX(BAZA_KAT,MATCH($C17,BAZA_EX,0)),"")</f>
        <v/>
      </c>
      <c r="O17" s="5" t="str">
        <f t="array" ref="O17">IFERROR(INDEX(BAZA_COEFF,MATCH($C17,BAZA_EX,0)),"")</f>
        <v/>
      </c>
      <c r="P17" s="5" t="str">
        <f t="array" ref="P17">IFERROR(INDEX(BAZA_SKOK,MATCH($C17,BAZA_EX,0)),"")</f>
        <v/>
      </c>
      <c r="Q17" s="5" t="str">
        <f t="array" ref="Q17">IFERROR(INDEX(BAZA_PROG,MATCH($C17,BAZA_EX,0)),"")</f>
        <v/>
      </c>
      <c r="R17" s="5" t="str">
        <f>IF($C17="","",IF(SUMPRODUCT((START!$B$6:$B$69=$C17)*(START!$M$6:$M$69&gt;0))=0,"",SUMPRODUCT(MAX((START!$B$6:$B$69=$C17)*START!$M$6:$M$69))))</f>
        <v/>
      </c>
      <c r="S17" s="5" t="str">
        <f t="array" ref="S17">IFERROR(INDEX(TABELE!$B$4:$J$18,MATCH($E17,TABELE!$A$4:$A$18,0),MATCH($F17,TABELE!$B$3:$J$3,0)),"")</f>
        <v/>
      </c>
      <c r="T17" s="5">
        <f t="array" ref="T17">IFERROR(IF($C17="",0,$O17*$D17*INDEX(TABELE!$B$23:$P$33,MATCH($F17,TABELE!$A$23:$A$33,0),MATCH($E17,TABELE!$B$22:$P$22,0))),0)</f>
        <v>0</v>
      </c>
      <c r="U17" s="5">
        <f t="array" ref="U17">IFERROR(IF($C17="",0,$O17*$D17*INDEX(TABELE!$B$37:$P$47,MATCH($F17,TABELE!$A$37:$A$47,0),MATCH($E17,TABELE!$B$36:$P$36,0))),0)</f>
        <v>0</v>
      </c>
      <c r="V17" s="5">
        <f t="array" ref="V17">IFERROR(IF($C17="",0,$O17*$D17*INDEX(TABELE!$B$51:$P$61,MATCH($F17,TABELE!$A$51:$A$61,0),MATCH($E17,TABELE!$B$50:$P$50,0))),0)</f>
        <v>0</v>
      </c>
      <c r="W17" s="5" t="str">
        <f t="array" ref="W17">IFERROR(INDEX(BAZA_UWAGI,MATCH($C17,BAZA_EX,0)),"")</f>
        <v/>
      </c>
      <c r="X17" s="5" t="str">
        <f t="shared" si="1"/>
        <v/>
      </c>
      <c r="Y17" s="5" t="str">
        <f t="shared" si="4"/>
        <v>E</v>
      </c>
      <c r="Z17" s="5">
        <f t="shared" si="5"/>
        <v>5</v>
      </c>
      <c r="AA17" s="5" t="str">
        <f>IF($C17="","",IF(SUMPRODUCT((START!$B$6:$B$69=$C17)*(START!$M$6:$M$69&gt;0))=0,"",SUMPRODUCT(MAX((START!$B$6:$B$69=$C17)*START!$M$6:$M$69))))</f>
        <v/>
      </c>
      <c r="AB17" s="5" t="str">
        <f t="shared" si="2"/>
        <v/>
      </c>
      <c r="AC17" s="5">
        <f>MAX(0.85,MIN(1.15,1+0.05*(COUNTIF('T1'!$AB17,"za łatwe")+COUNTIF('T2'!$AB17,"za łatwe")+COUNTIF('T3'!$AB17,"za łatwe"))-0.05*(COUNTIF('T1'!$AB17,"za trudne")+COUNTIF('T2'!$AB17,"za trudne")+COUNTIF('T3'!$AB17,"za trudne"))))</f>
        <v>1</v>
      </c>
      <c r="AD17" s="5">
        <f t="shared" si="3"/>
        <v>0</v>
      </c>
    </row>
    <row r="18" ht="25.5" customHeight="1" outlineLevel="1">
      <c r="A18" s="18" t="str">
        <f>IF('T1'!$A18="","",'T1'!$A18)</f>
        <v/>
      </c>
      <c r="B18" s="30"/>
      <c r="C18" s="31" t="str">
        <f>IF('T1'!$C18="","",'T1'!$C18)</f>
        <v/>
      </c>
      <c r="D18" s="32"/>
      <c r="E18" s="39">
        <f>IF($C18="",0,MIN(15,MAX(1,IF(N($O18)&gt;=1,6,IF(N($O18)&gt;=0.75,IF(PRZEL_CZESC="część 1 (objętość)",8,6),IF(PRZEL_CZESC="część 1 (objętość)",10,8)))+0+$AD18)))</f>
        <v>0</v>
      </c>
      <c r="F18" s="33"/>
      <c r="G18" s="34" t="str">
        <f>IF($C18="","",IF(OR($Q18="masa ciała",$Q18="czas",$Q18="dystans",$Q18="ręczne ustawienie"),$Q18,IF($C18='T1'!$C18,IF(OR($R18="",$R18=0),"— brak 1RM",MROUND($R18*$S18/100*$AC18,MAX($P18,0.5))),IF(OR($AA18="",$AA18=0),"— ustaw ręcznie",MROUND($AA18*$S18/100*$AC18,MAX($P18,0.5))))))</f>
        <v/>
      </c>
      <c r="H18" s="35"/>
      <c r="I18" s="36" t="str">
        <f t="array" ref="I18">IFERROR(IF(IFERROR(INDEX(BAZA_FILM,MATCH($C18,BAZA_EX,0)),"")="","",HYPERLINK(IFERROR(INDEX(BAZA_FILM,MATCH($C18,BAZA_EX,0)),""),"film")),"")</f>
        <v/>
      </c>
      <c r="J18" s="37" t="str">
        <f>IF('T1'!$J18="","",'T1'!$J18)</f>
        <v/>
      </c>
      <c r="K18" s="5" t="s">
        <v>72</v>
      </c>
      <c r="L18" s="5" t="str">
        <f t="array" ref="L18">IFERROR(INDEX(BAZA_ID,MATCH($C18,BAZA_EX,0)),"")</f>
        <v/>
      </c>
      <c r="M18" s="5" t="str">
        <f t="array" ref="M18">IFERROR(INDEX(BAZA_PART,MATCH($C18,BAZA_EX,0)),"")</f>
        <v/>
      </c>
      <c r="N18" s="5" t="str">
        <f t="array" ref="N18">IFERROR(INDEX(BAZA_KAT,MATCH($C18,BAZA_EX,0)),"")</f>
        <v/>
      </c>
      <c r="O18" s="5" t="str">
        <f t="array" ref="O18">IFERROR(INDEX(BAZA_COEFF,MATCH($C18,BAZA_EX,0)),"")</f>
        <v/>
      </c>
      <c r="P18" s="5" t="str">
        <f t="array" ref="P18">IFERROR(INDEX(BAZA_SKOK,MATCH($C18,BAZA_EX,0)),"")</f>
        <v/>
      </c>
      <c r="Q18" s="5" t="str">
        <f t="array" ref="Q18">IFERROR(INDEX(BAZA_PROG,MATCH($C18,BAZA_EX,0)),"")</f>
        <v/>
      </c>
      <c r="R18" s="5" t="str">
        <f>IF($C18="","",IF(SUMPRODUCT((START!$B$6:$B$69=$C18)*(START!$M$6:$M$69&gt;0))=0,"",SUMPRODUCT(MAX((START!$B$6:$B$69=$C18)*START!$M$6:$M$69))))</f>
        <v/>
      </c>
      <c r="S18" s="5" t="str">
        <f t="array" ref="S18">IFERROR(INDEX(TABELE!$B$4:$J$18,MATCH($E18,TABELE!$A$4:$A$18,0),MATCH($F18,TABELE!$B$3:$J$3,0)),"")</f>
        <v/>
      </c>
      <c r="T18" s="5">
        <f t="array" ref="T18">IFERROR(IF($C18="",0,$O18*$D18*INDEX(TABELE!$B$23:$P$33,MATCH($F18,TABELE!$A$23:$A$33,0),MATCH($E18,TABELE!$B$22:$P$22,0))),0)</f>
        <v>0</v>
      </c>
      <c r="U18" s="5">
        <f t="array" ref="U18">IFERROR(IF($C18="",0,$O18*$D18*INDEX(TABELE!$B$37:$P$47,MATCH($F18,TABELE!$A$37:$A$47,0),MATCH($E18,TABELE!$B$36:$P$36,0))),0)</f>
        <v>0</v>
      </c>
      <c r="V18" s="5">
        <f t="array" ref="V18">IFERROR(IF($C18="",0,$O18*$D18*INDEX(TABELE!$B$51:$P$61,MATCH($F18,TABELE!$A$51:$A$61,0),MATCH($E18,TABELE!$B$50:$P$50,0))),0)</f>
        <v>0</v>
      </c>
      <c r="W18" s="5" t="str">
        <f t="array" ref="W18">IFERROR(INDEX(BAZA_UWAGI,MATCH($C18,BAZA_EX,0)),"")</f>
        <v/>
      </c>
      <c r="X18" s="5" t="str">
        <f t="shared" si="1"/>
        <v/>
      </c>
      <c r="Y18" s="5" t="str">
        <f t="shared" si="4"/>
        <v>E</v>
      </c>
      <c r="Z18" s="5">
        <f t="shared" si="5"/>
        <v>5</v>
      </c>
      <c r="AA18" s="5" t="str">
        <f>IF($C18="","",IF(SUMPRODUCT((START!$B$6:$B$69=$C18)*(START!$M$6:$M$69&gt;0))=0,"",SUMPRODUCT(MAX((START!$B$6:$B$69=$C18)*START!$M$6:$M$69))))</f>
        <v/>
      </c>
      <c r="AB18" s="5" t="str">
        <f t="shared" si="2"/>
        <v/>
      </c>
      <c r="AC18" s="5">
        <f>MAX(0.85,MIN(1.15,1+0.05*(COUNTIF('T1'!$AB18,"za łatwe")+COUNTIF('T2'!$AB18,"za łatwe")+COUNTIF('T3'!$AB18,"za łatwe"))-0.05*(COUNTIF('T1'!$AB18,"za trudne")+COUNTIF('T2'!$AB18,"za trudne")+COUNTIF('T3'!$AB18,"za trudne"))))</f>
        <v>1</v>
      </c>
      <c r="AD18" s="5">
        <f t="shared" si="3"/>
        <v>0</v>
      </c>
    </row>
    <row r="19" ht="19.5" customHeight="1" outlineLevel="1">
      <c r="A19" s="43"/>
      <c r="B19" s="43"/>
      <c r="C19" s="44" t="s">
        <v>134</v>
      </c>
      <c r="D19" s="45">
        <f>SUMPRODUCT((C7:C18&lt;&gt;"")*D7:D18)+IF(AND($B$6="TOP SET",$C$6&lt;&gt;""),1,0)</f>
      </c>
      <c r="E19" s="46" t="str">
        <f>SUMPRODUCT((C7:C18&lt;&gt;"")*D7:D18*E7:E18)&amp;" powt."</f>
        <v>30 powt.</v>
      </c>
      <c r="F19" s="43"/>
      <c r="G19" s="47" t="str">
        <f>"stres t "&amp;TEXT(SUM(T7:T18),"0.0")</f>
        <v>stres t 1,4</v>
      </c>
      <c r="H19" s="48"/>
      <c r="I19" s="43"/>
      <c r="J19" s="4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25.5" customHeight="1" outlineLevel="1">
      <c r="A21" s="15" t="s">
        <v>73</v>
      </c>
      <c r="B21" s="3"/>
      <c r="C21" s="3"/>
      <c r="D21" s="3"/>
      <c r="E21" s="3"/>
      <c r="F21" s="3"/>
      <c r="G21" s="3"/>
      <c r="H21" s="3"/>
      <c r="I21" s="3"/>
      <c r="J21" s="4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33.75" customHeight="1" outlineLevel="2">
      <c r="A22" s="17" t="str">
        <f>IF($B22="TOP SET","▲","")</f>
        <v>▲</v>
      </c>
      <c r="B22" s="19" t="str">
        <f>IF('T1'!$B22="TOP SET","TOP SET","—")</f>
        <v>TOP SET</v>
      </c>
      <c r="C22" s="22" t="str">
        <f>IF(OR($B22&lt;&gt;"TOP SET",$F22=""),"",IF(N($K22)=0,"",IF(INDEX($C$23:$C$34,$K22)="","",INDEX($C$23:$C$34,$K22))))</f>
      </c>
      <c r="D22" s="23">
        <f>IF(AND($B22="TOP SET",$F22&lt;&gt;""),1,"")</f>
      </c>
      <c r="E22" s="24" t="str">
        <f>IF(AND($B22="TOP SET",$F22&lt;&gt;""),"1 powtórzenie","")</f>
      </c>
      <c r="F22" s="25">
        <v>7.0</v>
      </c>
      <c r="G22" s="27" t="str">
        <f t="array" ref="G22">IF($B22&lt;&gt;"TOP SET","",IF($C22="","",IF(OR($Q22="masa ciała",$Q22="czas",$Q22="dystans",$Q22="ręczne ustawienie"),"—",IF($C22='T1'!$C22,IF(OR($R22="",$R22=0),"— brak 1RM",MROUND($R22*IFERROR(INDEX(TABELE!$B$4:$J$18,MATCH(1,TABELE!$A$4:$A$18,0),MATCH($F22,TABELE!$B$3:$J$3,0)),0)/100,MAX($P22,0.5))),IF(OR($AA22="",$AA22=0),"— ustaw ręcznie",MROUND($AA22*IFERROR(INDEX(TABELE!$B$4:$J$18,MATCH(1,TABELE!$A$4:$A$18,0),MATCH($F22,TABELE!$B$3:$J$3,0)),0)/100,MAX($P22,0.5)))))))</f>
      </c>
      <c r="H22" s="28"/>
      <c r="I22" s="29"/>
      <c r="J22" s="29"/>
      <c r="K22" s="5">
        <f>IFERROR(MATCH("A*",$A$23:$A$34,0),0)</f>
      </c>
      <c r="L22" s="5"/>
      <c r="M22" s="5"/>
      <c r="N22" s="5"/>
      <c r="O22" s="5"/>
      <c r="P22" s="5">
        <f>IF(N($K22)=0,"",INDEX($P$23:$P$34,$K22))</f>
      </c>
      <c r="Q22" s="5">
        <f>IF(N($K22)=0,"",INDEX($Q$23:$Q$34,$K22))</f>
      </c>
      <c r="R22" s="5">
        <f>IF(N($K22)=0,"",INDEX($R$23:$R$34,$K22))</f>
      </c>
      <c r="S22" s="5"/>
      <c r="T22" s="5"/>
      <c r="U22" s="5"/>
      <c r="V22" s="5"/>
      <c r="W22" s="5"/>
      <c r="X22" s="5"/>
      <c r="Y22" s="5"/>
      <c r="Z22" s="5"/>
      <c r="AA22" s="5">
        <f>IF(N($K22)=0,"",INDEX($AA$23:$AA$34,$K22))</f>
      </c>
    </row>
    <row r="23" ht="25.5" customHeight="1" outlineLevel="1">
      <c r="A23" s="18" t="str">
        <f>IF('T1'!$A23="","",'T1'!$A23)</f>
        <v>A1.</v>
      </c>
      <c r="B23" s="30"/>
      <c r="C23" s="31" t="str">
        <f>IF('T1'!$C23="","",'T1'!$C23)</f>
        <v/>
      </c>
      <c r="D23" s="32">
        <v>4.0</v>
      </c>
      <c r="E23" s="32">
        <v>5.0</v>
      </c>
      <c r="F23" s="33">
        <v>7.5</v>
      </c>
      <c r="G23" s="34" t="str">
        <f>IF($C23="","",IF(OR($Q23="masa ciała",$Q23="czas",$Q23="dystans",$Q23="ręczne ustawienie"),$Q23,IF($C23='T1'!$C23,IF(OR($R23="",$R23=0),"— brak 1RM",MROUND($R23*$S23/100*$AC23,MAX($P23,0.5))),IF(OR($AA23="",$AA23=0),"— ustaw ręcznie",MROUND($AA23*$S23/100*$AC23,MAX($P23,0.5))))))</f>
        <v/>
      </c>
      <c r="H23" s="35"/>
      <c r="I23" s="36" t="str">
        <f t="array" ref="I23">IFERROR(IF(IFERROR(INDEX(BAZA_FILM,MATCH($C23,BAZA_EX,0)),"")="","",HYPERLINK(IFERROR(INDEX(BAZA_FILM,MATCH($C23,BAZA_EX,0)),""),"film")),"")</f>
        <v/>
      </c>
      <c r="J23" s="37" t="str">
        <f>IF('T1'!$J23="","",'T1'!$J23)</f>
        <v/>
      </c>
      <c r="K23" s="5" t="s">
        <v>74</v>
      </c>
      <c r="L23" s="5" t="str">
        <f t="array" ref="L23">IFERROR(INDEX(BAZA_ID,MATCH($C23,BAZA_EX,0)),"")</f>
        <v/>
      </c>
      <c r="M23" s="5" t="str">
        <f t="array" ref="M23">IFERROR(INDEX(BAZA_PART,MATCH($C23,BAZA_EX,0)),"")</f>
        <v/>
      </c>
      <c r="N23" s="5" t="str">
        <f t="array" ref="N23">IFERROR(INDEX(BAZA_KAT,MATCH($C23,BAZA_EX,0)),"")</f>
        <v/>
      </c>
      <c r="O23" s="5" t="str">
        <f t="array" ref="O23">IFERROR(INDEX(BAZA_COEFF,MATCH($C23,BAZA_EX,0)),"")</f>
        <v/>
      </c>
      <c r="P23" s="5" t="str">
        <f t="array" ref="P23">IFERROR(INDEX(BAZA_SKOK,MATCH($C23,BAZA_EX,0)),"")</f>
        <v/>
      </c>
      <c r="Q23" s="5" t="str">
        <f t="array" ref="Q23">IFERROR(INDEX(BAZA_PROG,MATCH($C23,BAZA_EX,0)),"")</f>
        <v/>
      </c>
      <c r="R23" s="5" t="str">
        <f>IF($C23="","",IF(SUMPRODUCT((START!$B$6:$B$69=$C23)*(START!$M$6:$M$69&gt;0))=0,"",SUMPRODUCT(MAX((START!$B$6:$B$69=$C23)*START!$M$6:$M$69))))</f>
        <v/>
      </c>
      <c r="S23" s="5">
        <f t="array" ref="S23">IFERROR(INDEX(TABELE!$B$4:$J$18,MATCH($E23,TABELE!$A$4:$A$18,0),MATCH($F23,TABELE!$B$3:$J$3,0)),"")</f>
        <v>77.5</v>
      </c>
      <c r="T23" s="5">
        <f t="array" ref="T23">IFERROR(IF($C23="",0,$O23*$D23*INDEX(TABELE!$B$23:$P$33,MATCH($F23,TABELE!$A$23:$A$33,0),MATCH($E23,TABELE!$B$22:$P$22,0))),0)</f>
        <v>0</v>
      </c>
      <c r="U23" s="5">
        <f t="array" ref="U23">IFERROR(IF($C23="",0,$O23*$D23*INDEX(TABELE!$B$37:$P$47,MATCH($F23,TABELE!$A$37:$A$47,0),MATCH($E23,TABELE!$B$36:$P$36,0))),0)</f>
        <v>0</v>
      </c>
      <c r="V23" s="5">
        <f t="array" ref="V23">IFERROR(IF($C23="",0,$O23*$D23*INDEX(TABELE!$B$51:$P$61,MATCH($F23,TABELE!$A$51:$A$61,0),MATCH($E23,TABELE!$B$50:$P$50,0))),0)</f>
        <v>0</v>
      </c>
      <c r="W23" s="5" t="str">
        <f t="array" ref="W23">IFERROR(INDEX(BAZA_UWAGI,MATCH($C23,BAZA_EX,0)),"")</f>
        <v/>
      </c>
      <c r="X23" s="5">
        <f t="shared" ref="X23:X34" si="6">IF($A23="","",$Z23)</f>
        <v>1</v>
      </c>
      <c r="Y23" s="5" t="str">
        <f>IF($A23="","",LEFT($A23,1))</f>
        <v>A</v>
      </c>
      <c r="Z23" s="5">
        <f>IF($A23="",0,1)</f>
        <v>1</v>
      </c>
      <c r="AA23" s="5" t="str">
        <f>IF($C23="","",IF(SUMPRODUCT((START!$B$6:$B$69=$C23)*(START!$M$6:$M$69&gt;0))=0,"",SUMPRODUCT(MAX((START!$B$6:$B$69=$C23)*START!$M$6:$M$69))))</f>
        <v/>
      </c>
      <c r="AB23" s="5" t="str">
        <f t="shared" ref="AB23:AB34" si="7">IF($C23="","",IF($H23&lt;&gt;"",$H23,IF($H$35="✓ ukończony","OK","")))</f>
        <v/>
      </c>
      <c r="AC23" s="5">
        <f>MAX(0.85,MIN(1.15,1+0.05*(COUNTIF('T1'!$AB23,"za łatwe")+COUNTIF('T2'!$AB23,"za łatwe")+COUNTIF('T3'!$AB23,"za łatwe"))-0.05*(COUNTIF('T1'!$AB23,"za trudne")+COUNTIF('T2'!$AB23,"za trudne")+COUNTIF('T3'!$AB23,"za trudne"))))</f>
        <v>1</v>
      </c>
      <c r="AD23" s="5">
        <f t="shared" ref="AD23:AD34" si="8">IF(OR($Q23="masa ciała",$Q23="czas",$Q23="dystans",$Q23="ręczne ustawienie"),MAX(-3,MIN(3,ROUND(($AC23-1)/0.05,0))),0)</f>
        <v>0</v>
      </c>
    </row>
    <row r="24" ht="25.5" customHeight="1" outlineLevel="1">
      <c r="A24" s="18" t="str">
        <f>IF('T1'!$A24="","",'T1'!$A24)</f>
        <v>B1.</v>
      </c>
      <c r="B24" s="30"/>
      <c r="C24" s="31" t="str">
        <f>IF('T1'!$C24="","",'T1'!$C24)</f>
        <v/>
      </c>
      <c r="D24" s="32">
        <v>3.0</v>
      </c>
      <c r="E24" s="39">
        <f>IF($C24="",0,MIN(15,MAX(1,IF(N($O24)&gt;=1,6,IF(N($O24)&gt;=0.75,IF(PRZEL_CZESC="część 1 (objętość)",8,6),IF(PRZEL_CZESC="część 1 (objętość)",10,8)))+0+$AD24)))</f>
        <v>0</v>
      </c>
      <c r="F24" s="33">
        <v>9.0</v>
      </c>
      <c r="G24" s="34" t="str">
        <f>IF($C24="","",IF(OR($Q24="masa ciała",$Q24="czas",$Q24="dystans",$Q24="ręczne ustawienie"),$Q24,IF($C24='T1'!$C24,IF(OR($R24="",$R24=0),"— brak 1RM",MROUND($R24*$S24/100*$AC24,MAX($P24,0.5))),IF(OR($AA24="",$AA24=0),"— ustaw ręcznie",MROUND($AA24*$S24/100*$AC24,MAX($P24,0.5))))))</f>
        <v/>
      </c>
      <c r="H24" s="35"/>
      <c r="I24" s="36" t="str">
        <f t="array" ref="I24">IFERROR(IF(IFERROR(INDEX(BAZA_FILM,MATCH($C24,BAZA_EX,0)),"")="","",HYPERLINK(IFERROR(INDEX(BAZA_FILM,MATCH($C24,BAZA_EX,0)),""),"film")),"")</f>
        <v/>
      </c>
      <c r="J24" s="37" t="str">
        <f>IF('T1'!$J24="","",'T1'!$J24)</f>
        <v/>
      </c>
      <c r="K24" s="5" t="s">
        <v>75</v>
      </c>
      <c r="L24" s="5" t="str">
        <f t="array" ref="L24">IFERROR(INDEX(BAZA_ID,MATCH($C24,BAZA_EX,0)),"")</f>
        <v/>
      </c>
      <c r="M24" s="5" t="str">
        <f t="array" ref="M24">IFERROR(INDEX(BAZA_PART,MATCH($C24,BAZA_EX,0)),"")</f>
        <v/>
      </c>
      <c r="N24" s="5" t="str">
        <f t="array" ref="N24">IFERROR(INDEX(BAZA_KAT,MATCH($C24,BAZA_EX,0)),"")</f>
        <v/>
      </c>
      <c r="O24" s="5" t="str">
        <f t="array" ref="O24">IFERROR(INDEX(BAZA_COEFF,MATCH($C24,BAZA_EX,0)),"")</f>
        <v/>
      </c>
      <c r="P24" s="5" t="str">
        <f t="array" ref="P24">IFERROR(INDEX(BAZA_SKOK,MATCH($C24,BAZA_EX,0)),"")</f>
        <v/>
      </c>
      <c r="Q24" s="5" t="str">
        <f t="array" ref="Q24">IFERROR(INDEX(BAZA_PROG,MATCH($C24,BAZA_EX,0)),"")</f>
        <v/>
      </c>
      <c r="R24" s="5" t="str">
        <f>IF($C24="","",IF(SUMPRODUCT((START!$B$6:$B$69=$C24)*(START!$M$6:$M$69&gt;0))=0,"",SUMPRODUCT(MAX((START!$B$6:$B$69=$C24)*START!$M$6:$M$69))))</f>
        <v/>
      </c>
      <c r="S24" s="5" t="str">
        <f t="array" ref="S24">IFERROR(INDEX(TABELE!$B$4:$J$18,MATCH($E24,TABELE!$A$4:$A$18,0),MATCH($F24,TABELE!$B$3:$J$3,0)),"")</f>
        <v/>
      </c>
      <c r="T24" s="5">
        <f t="array" ref="T24">IFERROR(IF($C24="",0,$O24*$D24*INDEX(TABELE!$B$23:$P$33,MATCH($F24,TABELE!$A$23:$A$33,0),MATCH($E24,TABELE!$B$22:$P$22,0))),0)</f>
        <v>0</v>
      </c>
      <c r="U24" s="5">
        <f t="array" ref="U24">IFERROR(IF($C24="",0,$O24*$D24*INDEX(TABELE!$B$37:$P$47,MATCH($F24,TABELE!$A$37:$A$47,0),MATCH($E24,TABELE!$B$36:$P$36,0))),0)</f>
        <v>0</v>
      </c>
      <c r="V24" s="5">
        <f t="array" ref="V24">IFERROR(IF($C24="",0,$O24*$D24*INDEX(TABELE!$B$51:$P$61,MATCH($F24,TABELE!$A$51:$A$61,0),MATCH($E24,TABELE!$B$50:$P$50,0))),0)</f>
        <v>0</v>
      </c>
      <c r="W24" s="5" t="str">
        <f t="array" ref="W24">IFERROR(INDEX(BAZA_UWAGI,MATCH($C24,BAZA_EX,0)),"")</f>
        <v/>
      </c>
      <c r="X24" s="5">
        <f t="shared" si="6"/>
        <v>2</v>
      </c>
      <c r="Y24" s="5" t="str">
        <f t="shared" ref="Y24:Y34" si="9">IF($A24="",$Y23,LEFT($A24,1))</f>
        <v>B</v>
      </c>
      <c r="Z24" s="5">
        <f t="shared" ref="Z24:Z34" si="10">IF($A24="",$Z23,IF(LEFT($A24,1)=$Y23,$Z23,$Z23+1))</f>
        <v>2</v>
      </c>
      <c r="AA24" s="5" t="str">
        <f>IF($C24="","",IF(SUMPRODUCT((START!$B$6:$B$69=$C24)*(START!$M$6:$M$69&gt;0))=0,"",SUMPRODUCT(MAX((START!$B$6:$B$69=$C24)*START!$M$6:$M$69))))</f>
        <v/>
      </c>
      <c r="AB24" s="5" t="str">
        <f t="shared" si="7"/>
        <v/>
      </c>
      <c r="AC24" s="5">
        <f>MAX(0.85,MIN(1.15,1+0.05*(COUNTIF('T1'!$AB24,"za łatwe")+COUNTIF('T2'!$AB24,"za łatwe")+COUNTIF('T3'!$AB24,"za łatwe"))-0.05*(COUNTIF('T1'!$AB24,"za trudne")+COUNTIF('T2'!$AB24,"za trudne")+COUNTIF('T3'!$AB24,"za trudne"))))</f>
        <v>1</v>
      </c>
      <c r="AD24" s="5">
        <f t="shared" si="8"/>
        <v>0</v>
      </c>
    </row>
    <row r="25" ht="25.5" customHeight="1" outlineLevel="1">
      <c r="A25" s="18" t="str">
        <f>IF('T1'!$A25="","",'T1'!$A25)</f>
        <v>B2.</v>
      </c>
      <c r="B25" s="30"/>
      <c r="C25" s="31" t="str">
        <f>IF('T1'!$C25="","",'T1'!$C25)</f>
        <v/>
      </c>
      <c r="D25" s="32">
        <v>3.0</v>
      </c>
      <c r="E25" s="39">
        <f>IF($C25="",0,MIN(15,MAX(1,IF(N($O25)&gt;=1,6,IF(N($O25)&gt;=0.75,IF(PRZEL_CZESC="część 1 (objętość)",8,6),IF(PRZEL_CZESC="część 1 (objętość)",10,8)))+0+$AD25)))</f>
        <v>0</v>
      </c>
      <c r="F25" s="33">
        <v>9.0</v>
      </c>
      <c r="G25" s="34" t="str">
        <f>IF($C25="","",IF(OR($Q25="masa ciała",$Q25="czas",$Q25="dystans",$Q25="ręczne ustawienie"),$Q25,IF($C25='T1'!$C25,IF(OR($R25="",$R25=0),"— brak 1RM",MROUND($R25*$S25/100*$AC25,MAX($P25,0.5))),IF(OR($AA25="",$AA25=0),"— ustaw ręcznie",MROUND($AA25*$S25/100*$AC25,MAX($P25,0.5))))))</f>
        <v/>
      </c>
      <c r="H25" s="35"/>
      <c r="I25" s="36" t="str">
        <f t="array" ref="I25">IFERROR(IF(IFERROR(INDEX(BAZA_FILM,MATCH($C25,BAZA_EX,0)),"")="","",HYPERLINK(IFERROR(INDEX(BAZA_FILM,MATCH($C25,BAZA_EX,0)),""),"film")),"")</f>
        <v/>
      </c>
      <c r="J25" s="37" t="str">
        <f>IF('T1'!$J25="","",'T1'!$J25)</f>
        <v/>
      </c>
      <c r="K25" s="5" t="s">
        <v>76</v>
      </c>
      <c r="L25" s="5" t="str">
        <f t="array" ref="L25">IFERROR(INDEX(BAZA_ID,MATCH($C25,BAZA_EX,0)),"")</f>
        <v/>
      </c>
      <c r="M25" s="5" t="str">
        <f t="array" ref="M25">IFERROR(INDEX(BAZA_PART,MATCH($C25,BAZA_EX,0)),"")</f>
        <v/>
      </c>
      <c r="N25" s="5" t="str">
        <f t="array" ref="N25">IFERROR(INDEX(BAZA_KAT,MATCH($C25,BAZA_EX,0)),"")</f>
        <v/>
      </c>
      <c r="O25" s="5" t="str">
        <f t="array" ref="O25">IFERROR(INDEX(BAZA_COEFF,MATCH($C25,BAZA_EX,0)),"")</f>
        <v/>
      </c>
      <c r="P25" s="5" t="str">
        <f t="array" ref="P25">IFERROR(INDEX(BAZA_SKOK,MATCH($C25,BAZA_EX,0)),"")</f>
        <v/>
      </c>
      <c r="Q25" s="5" t="str">
        <f t="array" ref="Q25">IFERROR(INDEX(BAZA_PROG,MATCH($C25,BAZA_EX,0)),"")</f>
        <v/>
      </c>
      <c r="R25" s="5" t="str">
        <f>IF($C25="","",IF(SUMPRODUCT((START!$B$6:$B$69=$C25)*(START!$M$6:$M$69&gt;0))=0,"",SUMPRODUCT(MAX((START!$B$6:$B$69=$C25)*START!$M$6:$M$69))))</f>
        <v/>
      </c>
      <c r="S25" s="5" t="str">
        <f t="array" ref="S25">IFERROR(INDEX(TABELE!$B$4:$J$18,MATCH($E25,TABELE!$A$4:$A$18,0),MATCH($F25,TABELE!$B$3:$J$3,0)),"")</f>
        <v/>
      </c>
      <c r="T25" s="5">
        <f t="array" ref="T25">IFERROR(IF($C25="",0,$O25*$D25*INDEX(TABELE!$B$23:$P$33,MATCH($F25,TABELE!$A$23:$A$33,0),MATCH($E25,TABELE!$B$22:$P$22,0))),0)</f>
        <v>0</v>
      </c>
      <c r="U25" s="5">
        <f t="array" ref="U25">IFERROR(IF($C25="",0,$O25*$D25*INDEX(TABELE!$B$37:$P$47,MATCH($F25,TABELE!$A$37:$A$47,0),MATCH($E25,TABELE!$B$36:$P$36,0))),0)</f>
        <v>0</v>
      </c>
      <c r="V25" s="5">
        <f t="array" ref="V25">IFERROR(IF($C25="",0,$O25*$D25*INDEX(TABELE!$B$51:$P$61,MATCH($F25,TABELE!$A$51:$A$61,0),MATCH($E25,TABELE!$B$50:$P$50,0))),0)</f>
        <v>0</v>
      </c>
      <c r="W25" s="5" t="str">
        <f t="array" ref="W25">IFERROR(INDEX(BAZA_UWAGI,MATCH($C25,BAZA_EX,0)),"")</f>
        <v/>
      </c>
      <c r="X25" s="5">
        <f t="shared" si="6"/>
        <v>2</v>
      </c>
      <c r="Y25" s="5" t="str">
        <f t="shared" si="9"/>
        <v>B</v>
      </c>
      <c r="Z25" s="5">
        <f t="shared" si="10"/>
        <v>2</v>
      </c>
      <c r="AA25" s="5" t="str">
        <f>IF($C25="","",IF(SUMPRODUCT((START!$B$6:$B$69=$C25)*(START!$M$6:$M$69&gt;0))=0,"",SUMPRODUCT(MAX((START!$B$6:$B$69=$C25)*START!$M$6:$M$69))))</f>
        <v/>
      </c>
      <c r="AB25" s="5" t="str">
        <f t="shared" si="7"/>
        <v/>
      </c>
      <c r="AC25" s="5">
        <f>MAX(0.85,MIN(1.15,1+0.05*(COUNTIF('T1'!$AB25,"za łatwe")+COUNTIF('T2'!$AB25,"za łatwe")+COUNTIF('T3'!$AB25,"za łatwe"))-0.05*(COUNTIF('T1'!$AB25,"za trudne")+COUNTIF('T2'!$AB25,"za trudne")+COUNTIF('T3'!$AB25,"za trudne"))))</f>
        <v>1</v>
      </c>
      <c r="AD25" s="5">
        <f t="shared" si="8"/>
        <v>0</v>
      </c>
    </row>
    <row r="26" ht="25.5" customHeight="1" outlineLevel="1">
      <c r="A26" s="18" t="str">
        <f>IF('T1'!$A26="","",'T1'!$A26)</f>
        <v>C1.</v>
      </c>
      <c r="B26" s="30"/>
      <c r="C26" s="31" t="str">
        <f>IF('T1'!$C26="","",'T1'!$C26)</f>
        <v/>
      </c>
      <c r="D26" s="32">
        <v>3.0</v>
      </c>
      <c r="E26" s="39">
        <f>IF($C26="",0,MIN(15,MAX(1,IF(N($O26)&gt;=1,6,IF(N($O26)&gt;=0.75,IF(PRZEL_CZESC="część 1 (objętość)",8,6),IF(PRZEL_CZESC="część 1 (objętość)",10,8)))+0+$AD26)))</f>
        <v>0</v>
      </c>
      <c r="F26" s="33">
        <v>9.0</v>
      </c>
      <c r="G26" s="34" t="str">
        <f>IF($C26="","",IF(OR($Q26="masa ciała",$Q26="czas",$Q26="dystans",$Q26="ręczne ustawienie"),$Q26,IF($C26='T1'!$C26,IF(OR($R26="",$R26=0),"— brak 1RM",MROUND($R26*$S26/100*$AC26,MAX($P26,0.5))),IF(OR($AA26="",$AA26=0),"— ustaw ręcznie",MROUND($AA26*$S26/100*$AC26,MAX($P26,0.5))))))</f>
        <v/>
      </c>
      <c r="H26" s="35"/>
      <c r="I26" s="36" t="str">
        <f t="array" ref="I26">IFERROR(IF(IFERROR(INDEX(BAZA_FILM,MATCH($C26,BAZA_EX,0)),"")="","",HYPERLINK(IFERROR(INDEX(BAZA_FILM,MATCH($C26,BAZA_EX,0)),""),"film")),"")</f>
        <v/>
      </c>
      <c r="J26" s="37" t="str">
        <f>IF('T1'!$J26="","",'T1'!$J26)</f>
        <v/>
      </c>
      <c r="K26" s="5" t="s">
        <v>77</v>
      </c>
      <c r="L26" s="5" t="str">
        <f t="array" ref="L26">IFERROR(INDEX(BAZA_ID,MATCH($C26,BAZA_EX,0)),"")</f>
        <v/>
      </c>
      <c r="M26" s="5" t="str">
        <f t="array" ref="M26">IFERROR(INDEX(BAZA_PART,MATCH($C26,BAZA_EX,0)),"")</f>
        <v/>
      </c>
      <c r="N26" s="5" t="str">
        <f t="array" ref="N26">IFERROR(INDEX(BAZA_KAT,MATCH($C26,BAZA_EX,0)),"")</f>
        <v/>
      </c>
      <c r="O26" s="5" t="str">
        <f t="array" ref="O26">IFERROR(INDEX(BAZA_COEFF,MATCH($C26,BAZA_EX,0)),"")</f>
        <v/>
      </c>
      <c r="P26" s="5" t="str">
        <f t="array" ref="P26">IFERROR(INDEX(BAZA_SKOK,MATCH($C26,BAZA_EX,0)),"")</f>
        <v/>
      </c>
      <c r="Q26" s="5" t="str">
        <f t="array" ref="Q26">IFERROR(INDEX(BAZA_PROG,MATCH($C26,BAZA_EX,0)),"")</f>
        <v/>
      </c>
      <c r="R26" s="5" t="str">
        <f>IF($C26="","",IF(SUMPRODUCT((START!$B$6:$B$69=$C26)*(START!$M$6:$M$69&gt;0))=0,"",SUMPRODUCT(MAX((START!$B$6:$B$69=$C26)*START!$M$6:$M$69))))</f>
        <v/>
      </c>
      <c r="S26" s="5" t="str">
        <f t="array" ref="S26">IFERROR(INDEX(TABELE!$B$4:$J$18,MATCH($E26,TABELE!$A$4:$A$18,0),MATCH($F26,TABELE!$B$3:$J$3,0)),"")</f>
        <v/>
      </c>
      <c r="T26" s="5">
        <f t="array" ref="T26">IFERROR(IF($C26="",0,$O26*$D26*INDEX(TABELE!$B$23:$P$33,MATCH($F26,TABELE!$A$23:$A$33,0),MATCH($E26,TABELE!$B$22:$P$22,0))),0)</f>
        <v>0</v>
      </c>
      <c r="U26" s="5">
        <f t="array" ref="U26">IFERROR(IF($C26="",0,$O26*$D26*INDEX(TABELE!$B$37:$P$47,MATCH($F26,TABELE!$A$37:$A$47,0),MATCH($E26,TABELE!$B$36:$P$36,0))),0)</f>
        <v>0</v>
      </c>
      <c r="V26" s="5">
        <f t="array" ref="V26">IFERROR(IF($C26="",0,$O26*$D26*INDEX(TABELE!$B$51:$P$61,MATCH($F26,TABELE!$A$51:$A$61,0),MATCH($E26,TABELE!$B$50:$P$50,0))),0)</f>
        <v>0</v>
      </c>
      <c r="W26" s="5" t="str">
        <f t="array" ref="W26">IFERROR(INDEX(BAZA_UWAGI,MATCH($C26,BAZA_EX,0)),"")</f>
        <v/>
      </c>
      <c r="X26" s="5">
        <f t="shared" si="6"/>
        <v>3</v>
      </c>
      <c r="Y26" s="5" t="str">
        <f t="shared" si="9"/>
        <v>C</v>
      </c>
      <c r="Z26" s="5">
        <f t="shared" si="10"/>
        <v>3</v>
      </c>
      <c r="AA26" s="5" t="str">
        <f>IF($C26="","",IF(SUMPRODUCT((START!$B$6:$B$69=$C26)*(START!$M$6:$M$69&gt;0))=0,"",SUMPRODUCT(MAX((START!$B$6:$B$69=$C26)*START!$M$6:$M$69))))</f>
        <v/>
      </c>
      <c r="AB26" s="5" t="str">
        <f t="shared" si="7"/>
        <v/>
      </c>
      <c r="AC26" s="5">
        <f>MAX(0.85,MIN(1.15,1+0.05*(COUNTIF('T1'!$AB26,"za łatwe")+COUNTIF('T2'!$AB26,"za łatwe")+COUNTIF('T3'!$AB26,"za łatwe"))-0.05*(COUNTIF('T1'!$AB26,"za trudne")+COUNTIF('T2'!$AB26,"za trudne")+COUNTIF('T3'!$AB26,"za trudne"))))</f>
        <v>1</v>
      </c>
      <c r="AD26" s="5">
        <f t="shared" si="8"/>
        <v>0</v>
      </c>
    </row>
    <row r="27" ht="25.5" customHeight="1" outlineLevel="1">
      <c r="A27" s="18" t="str">
        <f>IF('T1'!$A27="","",'T1'!$A27)</f>
        <v>C2.</v>
      </c>
      <c r="B27" s="30"/>
      <c r="C27" s="31" t="str">
        <f>IF('T1'!$C27="","",'T1'!$C27)</f>
        <v/>
      </c>
      <c r="D27" s="32">
        <v>3.0</v>
      </c>
      <c r="E27" s="39">
        <f>IF($C27="",0,MIN(15,MAX(1,IF(N($O27)&gt;=1,6,IF(N($O27)&gt;=0.75,IF(PRZEL_CZESC="część 1 (objętość)",8,6),IF(PRZEL_CZESC="część 1 (objętość)",10,8)))+0+$AD27)))</f>
        <v>0</v>
      </c>
      <c r="F27" s="33">
        <v>10.0</v>
      </c>
      <c r="G27" s="34" t="str">
        <f>IF($C27="","",IF(OR($Q27="masa ciała",$Q27="czas",$Q27="dystans",$Q27="ręczne ustawienie"),$Q27,IF($C27='T1'!$C27,IF(OR($R27="",$R27=0),"— brak 1RM",MROUND($R27*$S27/100*$AC27,MAX($P27,0.5))),IF(OR($AA27="",$AA27=0),"— ustaw ręcznie",MROUND($AA27*$S27/100*$AC27,MAX($P27,0.5))))))</f>
        <v/>
      </c>
      <c r="H27" s="35"/>
      <c r="I27" s="36" t="str">
        <f t="array" ref="I27">IFERROR(IF(IFERROR(INDEX(BAZA_FILM,MATCH($C27,BAZA_EX,0)),"")="","",HYPERLINK(IFERROR(INDEX(BAZA_FILM,MATCH($C27,BAZA_EX,0)),""),"film")),"")</f>
        <v/>
      </c>
      <c r="J27" s="37" t="str">
        <f>IF('T1'!$J27="","",'T1'!$J27)</f>
        <v/>
      </c>
      <c r="K27" s="5" t="s">
        <v>79</v>
      </c>
      <c r="L27" s="5" t="str">
        <f t="array" ref="L27">IFERROR(INDEX(BAZA_ID,MATCH($C27,BAZA_EX,0)),"")</f>
        <v/>
      </c>
      <c r="M27" s="5" t="str">
        <f t="array" ref="M27">IFERROR(INDEX(BAZA_PART,MATCH($C27,BAZA_EX,0)),"")</f>
        <v/>
      </c>
      <c r="N27" s="5" t="str">
        <f t="array" ref="N27">IFERROR(INDEX(BAZA_KAT,MATCH($C27,BAZA_EX,0)),"")</f>
        <v/>
      </c>
      <c r="O27" s="5" t="str">
        <f t="array" ref="O27">IFERROR(INDEX(BAZA_COEFF,MATCH($C27,BAZA_EX,0)),"")</f>
        <v/>
      </c>
      <c r="P27" s="5" t="str">
        <f t="array" ref="P27">IFERROR(INDEX(BAZA_SKOK,MATCH($C27,BAZA_EX,0)),"")</f>
        <v/>
      </c>
      <c r="Q27" s="5" t="str">
        <f t="array" ref="Q27">IFERROR(INDEX(BAZA_PROG,MATCH($C27,BAZA_EX,0)),"")</f>
        <v/>
      </c>
      <c r="R27" s="5" t="str">
        <f>IF($C27="","",IF(SUMPRODUCT((START!$B$6:$B$69=$C27)*(START!$M$6:$M$69&gt;0))=0,"",SUMPRODUCT(MAX((START!$B$6:$B$69=$C27)*START!$M$6:$M$69))))</f>
        <v/>
      </c>
      <c r="S27" s="5" t="str">
        <f t="array" ref="S27">IFERROR(INDEX(TABELE!$B$4:$J$18,MATCH($E27,TABELE!$A$4:$A$18,0),MATCH($F27,TABELE!$B$3:$J$3,0)),"")</f>
        <v/>
      </c>
      <c r="T27" s="5">
        <f t="array" ref="T27">IFERROR(IF($C27="",0,$O27*$D27*INDEX(TABELE!$B$23:$P$33,MATCH($F27,TABELE!$A$23:$A$33,0),MATCH($E27,TABELE!$B$22:$P$22,0))),0)</f>
        <v>0</v>
      </c>
      <c r="U27" s="5">
        <f t="array" ref="U27">IFERROR(IF($C27="",0,$O27*$D27*INDEX(TABELE!$B$37:$P$47,MATCH($F27,TABELE!$A$37:$A$47,0),MATCH($E27,TABELE!$B$36:$P$36,0))),0)</f>
        <v>0</v>
      </c>
      <c r="V27" s="5">
        <f t="array" ref="V27">IFERROR(IF($C27="",0,$O27*$D27*INDEX(TABELE!$B$51:$P$61,MATCH($F27,TABELE!$A$51:$A$61,0),MATCH($E27,TABELE!$B$50:$P$50,0))),0)</f>
        <v>0</v>
      </c>
      <c r="W27" s="5" t="str">
        <f t="array" ref="W27">IFERROR(INDEX(BAZA_UWAGI,MATCH($C27,BAZA_EX,0)),"")</f>
        <v/>
      </c>
      <c r="X27" s="5">
        <f t="shared" si="6"/>
        <v>3</v>
      </c>
      <c r="Y27" s="5" t="str">
        <f t="shared" si="9"/>
        <v>C</v>
      </c>
      <c r="Z27" s="5">
        <f t="shared" si="10"/>
        <v>3</v>
      </c>
      <c r="AA27" s="5" t="str">
        <f>IF($C27="","",IF(SUMPRODUCT((START!$B$6:$B$69=$C27)*(START!$M$6:$M$69&gt;0))=0,"",SUMPRODUCT(MAX((START!$B$6:$B$69=$C27)*START!$M$6:$M$69))))</f>
        <v/>
      </c>
      <c r="AB27" s="5" t="str">
        <f t="shared" si="7"/>
        <v/>
      </c>
      <c r="AC27" s="5">
        <f>MAX(0.85,MIN(1.15,1+0.05*(COUNTIF('T1'!$AB27,"za łatwe")+COUNTIF('T2'!$AB27,"za łatwe")+COUNTIF('T3'!$AB27,"za łatwe"))-0.05*(COUNTIF('T1'!$AB27,"za trudne")+COUNTIF('T2'!$AB27,"za trudne")+COUNTIF('T3'!$AB27,"za trudne"))))</f>
        <v>1</v>
      </c>
      <c r="AD27" s="5">
        <f t="shared" si="8"/>
        <v>0</v>
      </c>
    </row>
    <row r="28" ht="25.5" customHeight="1" outlineLevel="1">
      <c r="A28" s="18" t="str">
        <f>IF('T1'!$A28="","",'T1'!$A28)</f>
        <v>D1.</v>
      </c>
      <c r="B28" s="30"/>
      <c r="C28" s="31" t="str">
        <f>IF('T1'!$C28="","",'T1'!$C28)</f>
        <v/>
      </c>
      <c r="D28" s="32">
        <v>3.0</v>
      </c>
      <c r="E28" s="39">
        <f>IF($C28="",0,MIN(15,MAX(1,IF(N($O28)&gt;=1,6,IF(N($O28)&gt;=0.75,IF(PRZEL_CZESC="część 1 (objętość)",8,6),IF(PRZEL_CZESC="część 1 (objętość)",10,8)))+0+$AD28)))</f>
        <v>0</v>
      </c>
      <c r="F28" s="33">
        <v>9.0</v>
      </c>
      <c r="G28" s="34" t="str">
        <f>IF($C28="","",IF(OR($Q28="masa ciała",$Q28="czas",$Q28="dystans",$Q28="ręczne ustawienie"),$Q28,IF($C28='T1'!$C28,IF(OR($R28="",$R28=0),"— brak 1RM",MROUND($R28*$S28/100*$AC28,MAX($P28,0.5))),IF(OR($AA28="",$AA28=0),"— ustaw ręcznie",MROUND($AA28*$S28/100*$AC28,MAX($P28,0.5))))))</f>
        <v/>
      </c>
      <c r="H28" s="35"/>
      <c r="I28" s="36" t="str">
        <f t="array" ref="I28">IFERROR(IF(IFERROR(INDEX(BAZA_FILM,MATCH($C28,BAZA_EX,0)),"")="","",HYPERLINK(IFERROR(INDEX(BAZA_FILM,MATCH($C28,BAZA_EX,0)),""),"film")),"")</f>
        <v/>
      </c>
      <c r="J28" s="37" t="str">
        <f>IF('T1'!$J28="","",'T1'!$J28)</f>
        <v/>
      </c>
      <c r="K28" s="5" t="s">
        <v>80</v>
      </c>
      <c r="L28" s="5" t="str">
        <f t="array" ref="L28">IFERROR(INDEX(BAZA_ID,MATCH($C28,BAZA_EX,0)),"")</f>
        <v/>
      </c>
      <c r="M28" s="5" t="str">
        <f t="array" ref="M28">IFERROR(INDEX(BAZA_PART,MATCH($C28,BAZA_EX,0)),"")</f>
        <v/>
      </c>
      <c r="N28" s="5" t="str">
        <f t="array" ref="N28">IFERROR(INDEX(BAZA_KAT,MATCH($C28,BAZA_EX,0)),"")</f>
        <v/>
      </c>
      <c r="O28" s="5" t="str">
        <f t="array" ref="O28">IFERROR(INDEX(BAZA_COEFF,MATCH($C28,BAZA_EX,0)),"")</f>
        <v/>
      </c>
      <c r="P28" s="5" t="str">
        <f t="array" ref="P28">IFERROR(INDEX(BAZA_SKOK,MATCH($C28,BAZA_EX,0)),"")</f>
        <v/>
      </c>
      <c r="Q28" s="5" t="str">
        <f t="array" ref="Q28">IFERROR(INDEX(BAZA_PROG,MATCH($C28,BAZA_EX,0)),"")</f>
        <v/>
      </c>
      <c r="R28" s="5" t="str">
        <f>IF($C28="","",IF(SUMPRODUCT((START!$B$6:$B$69=$C28)*(START!$M$6:$M$69&gt;0))=0,"",SUMPRODUCT(MAX((START!$B$6:$B$69=$C28)*START!$M$6:$M$69))))</f>
        <v/>
      </c>
      <c r="S28" s="5" t="str">
        <f t="array" ref="S28">IFERROR(INDEX(TABELE!$B$4:$J$18,MATCH($E28,TABELE!$A$4:$A$18,0),MATCH($F28,TABELE!$B$3:$J$3,0)),"")</f>
        <v/>
      </c>
      <c r="T28" s="5">
        <f t="array" ref="T28">IFERROR(IF($C28="",0,$O28*$D28*INDEX(TABELE!$B$23:$P$33,MATCH($F28,TABELE!$A$23:$A$33,0),MATCH($E28,TABELE!$B$22:$P$22,0))),0)</f>
        <v>0</v>
      </c>
      <c r="U28" s="5">
        <f t="array" ref="U28">IFERROR(IF($C28="",0,$O28*$D28*INDEX(TABELE!$B$37:$P$47,MATCH($F28,TABELE!$A$37:$A$47,0),MATCH($E28,TABELE!$B$36:$P$36,0))),0)</f>
        <v>0</v>
      </c>
      <c r="V28" s="5">
        <f t="array" ref="V28">IFERROR(IF($C28="",0,$O28*$D28*INDEX(TABELE!$B$51:$P$61,MATCH($F28,TABELE!$A$51:$A$61,0),MATCH($E28,TABELE!$B$50:$P$50,0))),0)</f>
        <v>0</v>
      </c>
      <c r="W28" s="5" t="str">
        <f t="array" ref="W28">IFERROR(INDEX(BAZA_UWAGI,MATCH($C28,BAZA_EX,0)),"")</f>
        <v/>
      </c>
      <c r="X28" s="5">
        <f t="shared" si="6"/>
        <v>4</v>
      </c>
      <c r="Y28" s="5" t="str">
        <f t="shared" si="9"/>
        <v>D</v>
      </c>
      <c r="Z28" s="5">
        <f t="shared" si="10"/>
        <v>4</v>
      </c>
      <c r="AA28" s="5" t="str">
        <f>IF($C28="","",IF(SUMPRODUCT((START!$B$6:$B$69=$C28)*(START!$M$6:$M$69&gt;0))=0,"",SUMPRODUCT(MAX((START!$B$6:$B$69=$C28)*START!$M$6:$M$69))))</f>
        <v/>
      </c>
      <c r="AB28" s="5" t="str">
        <f t="shared" si="7"/>
        <v/>
      </c>
      <c r="AC28" s="5">
        <f>MAX(0.85,MIN(1.15,1+0.05*(COUNTIF('T1'!$AB28,"za łatwe")+COUNTIF('T2'!$AB28,"za łatwe")+COUNTIF('T3'!$AB28,"za łatwe"))-0.05*(COUNTIF('T1'!$AB28,"za trudne")+COUNTIF('T2'!$AB28,"za trudne")+COUNTIF('T3'!$AB28,"za trudne"))))</f>
        <v>1</v>
      </c>
      <c r="AD28" s="5">
        <f t="shared" si="8"/>
        <v>0</v>
      </c>
    </row>
    <row r="29" ht="25.5" customHeight="1" outlineLevel="1">
      <c r="A29" s="18" t="str">
        <f>IF('T1'!$A29="","",'T1'!$A29)</f>
        <v>D2.</v>
      </c>
      <c r="B29" s="30"/>
      <c r="C29" s="31" t="str">
        <f>IF('T1'!$C29="","",'T1'!$C29)</f>
        <v/>
      </c>
      <c r="D29" s="32">
        <v>3.0</v>
      </c>
      <c r="E29" s="39">
        <f>IF($C29="",0,MIN(15,MAX(1,IF(N($O29)&gt;=1,6,IF(N($O29)&gt;=0.75,IF(PRZEL_CZESC="część 1 (objętość)",8,6),IF(PRZEL_CZESC="część 1 (objętość)",10,8)))+0+$AD29)))</f>
        <v>0</v>
      </c>
      <c r="F29" s="33">
        <v>10.0</v>
      </c>
      <c r="G29" s="34" t="str">
        <f>IF($C29="","",IF(OR($Q29="masa ciała",$Q29="czas",$Q29="dystans",$Q29="ręczne ustawienie"),$Q29,IF($C29='T1'!$C29,IF(OR($R29="",$R29=0),"— brak 1RM",MROUND($R29*$S29/100*$AC29,MAX($P29,0.5))),IF(OR($AA29="",$AA29=0),"— ustaw ręcznie",MROUND($AA29*$S29/100*$AC29,MAX($P29,0.5))))))</f>
        <v/>
      </c>
      <c r="H29" s="35"/>
      <c r="I29" s="36" t="str">
        <f t="array" ref="I29">IFERROR(IF(IFERROR(INDEX(BAZA_FILM,MATCH($C29,BAZA_EX,0)),"")="","",HYPERLINK(IFERROR(INDEX(BAZA_FILM,MATCH($C29,BAZA_EX,0)),""),"film")),"")</f>
        <v/>
      </c>
      <c r="J29" s="37" t="str">
        <f>IF('T1'!$J29="","",'T1'!$J29)</f>
        <v/>
      </c>
      <c r="K29" s="5" t="s">
        <v>81</v>
      </c>
      <c r="L29" s="5" t="str">
        <f t="array" ref="L29">IFERROR(INDEX(BAZA_ID,MATCH($C29,BAZA_EX,0)),"")</f>
        <v/>
      </c>
      <c r="M29" s="5" t="str">
        <f t="array" ref="M29">IFERROR(INDEX(BAZA_PART,MATCH($C29,BAZA_EX,0)),"")</f>
        <v/>
      </c>
      <c r="N29" s="5" t="str">
        <f t="array" ref="N29">IFERROR(INDEX(BAZA_KAT,MATCH($C29,BAZA_EX,0)),"")</f>
        <v/>
      </c>
      <c r="O29" s="5" t="str">
        <f t="array" ref="O29">IFERROR(INDEX(BAZA_COEFF,MATCH($C29,BAZA_EX,0)),"")</f>
        <v/>
      </c>
      <c r="P29" s="5" t="str">
        <f t="array" ref="P29">IFERROR(INDEX(BAZA_SKOK,MATCH($C29,BAZA_EX,0)),"")</f>
        <v/>
      </c>
      <c r="Q29" s="5" t="str">
        <f t="array" ref="Q29">IFERROR(INDEX(BAZA_PROG,MATCH($C29,BAZA_EX,0)),"")</f>
        <v/>
      </c>
      <c r="R29" s="5" t="str">
        <f>IF($C29="","",IF(SUMPRODUCT((START!$B$6:$B$69=$C29)*(START!$M$6:$M$69&gt;0))=0,"",SUMPRODUCT(MAX((START!$B$6:$B$69=$C29)*START!$M$6:$M$69))))</f>
        <v/>
      </c>
      <c r="S29" s="5" t="str">
        <f t="array" ref="S29">IFERROR(INDEX(TABELE!$B$4:$J$18,MATCH($E29,TABELE!$A$4:$A$18,0),MATCH($F29,TABELE!$B$3:$J$3,0)),"")</f>
        <v/>
      </c>
      <c r="T29" s="5">
        <f t="array" ref="T29">IFERROR(IF($C29="",0,$O29*$D29*INDEX(TABELE!$B$23:$P$33,MATCH($F29,TABELE!$A$23:$A$33,0),MATCH($E29,TABELE!$B$22:$P$22,0))),0)</f>
        <v>0</v>
      </c>
      <c r="U29" s="5">
        <f t="array" ref="U29">IFERROR(IF($C29="",0,$O29*$D29*INDEX(TABELE!$B$37:$P$47,MATCH($F29,TABELE!$A$37:$A$47,0),MATCH($E29,TABELE!$B$36:$P$36,0))),0)</f>
        <v>0</v>
      </c>
      <c r="V29" s="5">
        <f t="array" ref="V29">IFERROR(IF($C29="",0,$O29*$D29*INDEX(TABELE!$B$51:$P$61,MATCH($F29,TABELE!$A$51:$A$61,0),MATCH($E29,TABELE!$B$50:$P$50,0))),0)</f>
        <v>0</v>
      </c>
      <c r="W29" s="5" t="str">
        <f t="array" ref="W29">IFERROR(INDEX(BAZA_UWAGI,MATCH($C29,BAZA_EX,0)),"")</f>
        <v/>
      </c>
      <c r="X29" s="5">
        <f t="shared" si="6"/>
        <v>4</v>
      </c>
      <c r="Y29" s="5" t="str">
        <f t="shared" si="9"/>
        <v>D</v>
      </c>
      <c r="Z29" s="5">
        <f t="shared" si="10"/>
        <v>4</v>
      </c>
      <c r="AA29" s="5" t="str">
        <f>IF($C29="","",IF(SUMPRODUCT((START!$B$6:$B$69=$C29)*(START!$M$6:$M$69&gt;0))=0,"",SUMPRODUCT(MAX((START!$B$6:$B$69=$C29)*START!$M$6:$M$69))))</f>
        <v/>
      </c>
      <c r="AB29" s="5" t="str">
        <f t="shared" si="7"/>
        <v/>
      </c>
      <c r="AC29" s="5">
        <f>MAX(0.85,MIN(1.15,1+0.05*(COUNTIF('T1'!$AB29,"za łatwe")+COUNTIF('T2'!$AB29,"za łatwe")+COUNTIF('T3'!$AB29,"za łatwe"))-0.05*(COUNTIF('T1'!$AB29,"za trudne")+COUNTIF('T2'!$AB29,"za trudne")+COUNTIF('T3'!$AB29,"za trudne"))))</f>
        <v>1</v>
      </c>
      <c r="AD29" s="5">
        <f t="shared" si="8"/>
        <v>0</v>
      </c>
    </row>
    <row r="30" ht="25.5" customHeight="1" outlineLevel="1">
      <c r="A30" s="18" t="str">
        <f>IF('T1'!$A30="","",'T1'!$A30)</f>
        <v>E1.</v>
      </c>
      <c r="B30" s="30"/>
      <c r="C30" s="31" t="str">
        <f>IF('T1'!$C30="","",'T1'!$C30)</f>
        <v/>
      </c>
      <c r="D30" s="32"/>
      <c r="E30" s="39">
        <f>IF($C30="",0,MIN(15,MAX(1,IF(N($O30)&gt;=1,6,IF(N($O30)&gt;=0.75,IF(PRZEL_CZESC="część 1 (objętość)",8,6),IF(PRZEL_CZESC="część 1 (objętość)",10,8)))+0+$AD30)))</f>
        <v>0</v>
      </c>
      <c r="F30" s="33"/>
      <c r="G30" s="34" t="str">
        <f>IF($C30="","",IF(OR($Q30="masa ciała",$Q30="czas",$Q30="dystans",$Q30="ręczne ustawienie"),$Q30,IF($C30='T1'!$C30,IF(OR($R30="",$R30=0),"— brak 1RM",MROUND($R30*$S30/100*$AC30,MAX($P30,0.5))),IF(OR($AA30="",$AA30=0),"— ustaw ręcznie",MROUND($AA30*$S30/100*$AC30,MAX($P30,0.5))))))</f>
        <v/>
      </c>
      <c r="H30" s="35"/>
      <c r="I30" s="36" t="str">
        <f t="array" ref="I30">IFERROR(IF(IFERROR(INDEX(BAZA_FILM,MATCH($C30,BAZA_EX,0)),"")="","",HYPERLINK(IFERROR(INDEX(BAZA_FILM,MATCH($C30,BAZA_EX,0)),""),"film")),"")</f>
        <v/>
      </c>
      <c r="J30" s="37" t="str">
        <f>IF('T1'!$J30="","",'T1'!$J30)</f>
        <v/>
      </c>
      <c r="K30" s="5" t="s">
        <v>82</v>
      </c>
      <c r="L30" s="5" t="str">
        <f t="array" ref="L30">IFERROR(INDEX(BAZA_ID,MATCH($C30,BAZA_EX,0)),"")</f>
        <v/>
      </c>
      <c r="M30" s="5" t="str">
        <f t="array" ref="M30">IFERROR(INDEX(BAZA_PART,MATCH($C30,BAZA_EX,0)),"")</f>
        <v/>
      </c>
      <c r="N30" s="5" t="str">
        <f t="array" ref="N30">IFERROR(INDEX(BAZA_KAT,MATCH($C30,BAZA_EX,0)),"")</f>
        <v/>
      </c>
      <c r="O30" s="5" t="str">
        <f t="array" ref="O30">IFERROR(INDEX(BAZA_COEFF,MATCH($C30,BAZA_EX,0)),"")</f>
        <v/>
      </c>
      <c r="P30" s="5" t="str">
        <f t="array" ref="P30">IFERROR(INDEX(BAZA_SKOK,MATCH($C30,BAZA_EX,0)),"")</f>
        <v/>
      </c>
      <c r="Q30" s="5" t="str">
        <f t="array" ref="Q30">IFERROR(INDEX(BAZA_PROG,MATCH($C30,BAZA_EX,0)),"")</f>
        <v/>
      </c>
      <c r="R30" s="5" t="str">
        <f>IF($C30="","",IF(SUMPRODUCT((START!$B$6:$B$69=$C30)*(START!$M$6:$M$69&gt;0))=0,"",SUMPRODUCT(MAX((START!$B$6:$B$69=$C30)*START!$M$6:$M$69))))</f>
        <v/>
      </c>
      <c r="S30" s="5" t="str">
        <f t="array" ref="S30">IFERROR(INDEX(TABELE!$B$4:$J$18,MATCH($E30,TABELE!$A$4:$A$18,0),MATCH($F30,TABELE!$B$3:$J$3,0)),"")</f>
        <v/>
      </c>
      <c r="T30" s="5">
        <f t="array" ref="T30">IFERROR(IF($C30="",0,$O30*$D30*INDEX(TABELE!$B$23:$P$33,MATCH($F30,TABELE!$A$23:$A$33,0),MATCH($E30,TABELE!$B$22:$P$22,0))),0)</f>
        <v>0</v>
      </c>
      <c r="U30" s="5">
        <f t="array" ref="U30">IFERROR(IF($C30="",0,$O30*$D30*INDEX(TABELE!$B$37:$P$47,MATCH($F30,TABELE!$A$37:$A$47,0),MATCH($E30,TABELE!$B$36:$P$36,0))),0)</f>
        <v>0</v>
      </c>
      <c r="V30" s="5">
        <f t="array" ref="V30">IFERROR(IF($C30="",0,$O30*$D30*INDEX(TABELE!$B$51:$P$61,MATCH($F30,TABELE!$A$51:$A$61,0),MATCH($E30,TABELE!$B$50:$P$50,0))),0)</f>
        <v>0</v>
      </c>
      <c r="W30" s="5" t="str">
        <f t="array" ref="W30">IFERROR(INDEX(BAZA_UWAGI,MATCH($C30,BAZA_EX,0)),"")</f>
        <v/>
      </c>
      <c r="X30" s="5">
        <f t="shared" si="6"/>
        <v>5</v>
      </c>
      <c r="Y30" s="5" t="str">
        <f t="shared" si="9"/>
        <v>E</v>
      </c>
      <c r="Z30" s="5">
        <f t="shared" si="10"/>
        <v>5</v>
      </c>
      <c r="AA30" s="5" t="str">
        <f>IF($C30="","",IF(SUMPRODUCT((START!$B$6:$B$69=$C30)*(START!$M$6:$M$69&gt;0))=0,"",SUMPRODUCT(MAX((START!$B$6:$B$69=$C30)*START!$M$6:$M$69))))</f>
        <v/>
      </c>
      <c r="AB30" s="5" t="str">
        <f t="shared" si="7"/>
        <v/>
      </c>
      <c r="AC30" s="5">
        <f>MAX(0.85,MIN(1.15,1+0.05*(COUNTIF('T1'!$AB30,"za łatwe")+COUNTIF('T2'!$AB30,"za łatwe")+COUNTIF('T3'!$AB30,"za łatwe"))-0.05*(COUNTIF('T1'!$AB30,"za trudne")+COUNTIF('T2'!$AB30,"za trudne")+COUNTIF('T3'!$AB30,"za trudne"))))</f>
        <v>1</v>
      </c>
      <c r="AD30" s="5">
        <f t="shared" si="8"/>
        <v>0</v>
      </c>
    </row>
    <row r="31" ht="25.5" customHeight="1" outlineLevel="1">
      <c r="A31" s="18" t="str">
        <f>IF('T1'!$A31="","",'T1'!$A31)</f>
        <v>E2.</v>
      </c>
      <c r="B31" s="30"/>
      <c r="C31" s="31" t="str">
        <f>IF('T1'!$C31="","",'T1'!$C31)</f>
        <v/>
      </c>
      <c r="D31" s="32"/>
      <c r="E31" s="39">
        <f>IF($C31="",0,MIN(15,MAX(1,IF(N($O31)&gt;=1,6,IF(N($O31)&gt;=0.75,IF(PRZEL_CZESC="część 1 (objętość)",8,6),IF(PRZEL_CZESC="część 1 (objętość)",10,8)))+0+$AD31)))</f>
        <v>0</v>
      </c>
      <c r="F31" s="33"/>
      <c r="G31" s="34" t="str">
        <f>IF($C31="","",IF(OR($Q31="masa ciała",$Q31="czas",$Q31="dystans",$Q31="ręczne ustawienie"),$Q31,IF($C31='T1'!$C31,IF(OR($R31="",$R31=0),"— brak 1RM",MROUND($R31*$S31/100*$AC31,MAX($P31,0.5))),IF(OR($AA31="",$AA31=0),"— ustaw ręcznie",MROUND($AA31*$S31/100*$AC31,MAX($P31,0.5))))))</f>
        <v/>
      </c>
      <c r="H31" s="35"/>
      <c r="I31" s="36" t="str">
        <f t="array" ref="I31">IFERROR(IF(IFERROR(INDEX(BAZA_FILM,MATCH($C31,BAZA_EX,0)),"")="","",HYPERLINK(IFERROR(INDEX(BAZA_FILM,MATCH($C31,BAZA_EX,0)),""),"film")),"")</f>
        <v/>
      </c>
      <c r="J31" s="37" t="str">
        <f>IF('T1'!$J31="","",'T1'!$J31)</f>
        <v/>
      </c>
      <c r="K31" s="5" t="s">
        <v>83</v>
      </c>
      <c r="L31" s="5" t="str">
        <f t="array" ref="L31">IFERROR(INDEX(BAZA_ID,MATCH($C31,BAZA_EX,0)),"")</f>
        <v/>
      </c>
      <c r="M31" s="5" t="str">
        <f t="array" ref="M31">IFERROR(INDEX(BAZA_PART,MATCH($C31,BAZA_EX,0)),"")</f>
        <v/>
      </c>
      <c r="N31" s="5" t="str">
        <f t="array" ref="N31">IFERROR(INDEX(BAZA_KAT,MATCH($C31,BAZA_EX,0)),"")</f>
        <v/>
      </c>
      <c r="O31" s="5" t="str">
        <f t="array" ref="O31">IFERROR(INDEX(BAZA_COEFF,MATCH($C31,BAZA_EX,0)),"")</f>
        <v/>
      </c>
      <c r="P31" s="5" t="str">
        <f t="array" ref="P31">IFERROR(INDEX(BAZA_SKOK,MATCH($C31,BAZA_EX,0)),"")</f>
        <v/>
      </c>
      <c r="Q31" s="5" t="str">
        <f t="array" ref="Q31">IFERROR(INDEX(BAZA_PROG,MATCH($C31,BAZA_EX,0)),"")</f>
        <v/>
      </c>
      <c r="R31" s="5" t="str">
        <f>IF($C31="","",IF(SUMPRODUCT((START!$B$6:$B$69=$C31)*(START!$M$6:$M$69&gt;0))=0,"",SUMPRODUCT(MAX((START!$B$6:$B$69=$C31)*START!$M$6:$M$69))))</f>
        <v/>
      </c>
      <c r="S31" s="5" t="str">
        <f t="array" ref="S31">IFERROR(INDEX(TABELE!$B$4:$J$18,MATCH($E31,TABELE!$A$4:$A$18,0),MATCH($F31,TABELE!$B$3:$J$3,0)),"")</f>
        <v/>
      </c>
      <c r="T31" s="5">
        <f t="array" ref="T31">IFERROR(IF($C31="",0,$O31*$D31*INDEX(TABELE!$B$23:$P$33,MATCH($F31,TABELE!$A$23:$A$33,0),MATCH($E31,TABELE!$B$22:$P$22,0))),0)</f>
        <v>0</v>
      </c>
      <c r="U31" s="5">
        <f t="array" ref="U31">IFERROR(IF($C31="",0,$O31*$D31*INDEX(TABELE!$B$37:$P$47,MATCH($F31,TABELE!$A$37:$A$47,0),MATCH($E31,TABELE!$B$36:$P$36,0))),0)</f>
        <v>0</v>
      </c>
      <c r="V31" s="5">
        <f t="array" ref="V31">IFERROR(IF($C31="",0,$O31*$D31*INDEX(TABELE!$B$51:$P$61,MATCH($F31,TABELE!$A$51:$A$61,0),MATCH($E31,TABELE!$B$50:$P$50,0))),0)</f>
        <v>0</v>
      </c>
      <c r="W31" s="5" t="str">
        <f t="array" ref="W31">IFERROR(INDEX(BAZA_UWAGI,MATCH($C31,BAZA_EX,0)),"")</f>
        <v/>
      </c>
      <c r="X31" s="5">
        <f t="shared" si="6"/>
        <v>5</v>
      </c>
      <c r="Y31" s="5" t="str">
        <f t="shared" si="9"/>
        <v>E</v>
      </c>
      <c r="Z31" s="5">
        <f t="shared" si="10"/>
        <v>5</v>
      </c>
      <c r="AA31" s="5" t="str">
        <f>IF($C31="","",IF(SUMPRODUCT((START!$B$6:$B$69=$C31)*(START!$M$6:$M$69&gt;0))=0,"",SUMPRODUCT(MAX((START!$B$6:$B$69=$C31)*START!$M$6:$M$69))))</f>
        <v/>
      </c>
      <c r="AB31" s="5" t="str">
        <f t="shared" si="7"/>
        <v/>
      </c>
      <c r="AC31" s="5">
        <f>MAX(0.85,MIN(1.15,1+0.05*(COUNTIF('T1'!$AB31,"za łatwe")+COUNTIF('T2'!$AB31,"za łatwe")+COUNTIF('T3'!$AB31,"za łatwe"))-0.05*(COUNTIF('T1'!$AB31,"za trudne")+COUNTIF('T2'!$AB31,"za trudne")+COUNTIF('T3'!$AB31,"za trudne"))))</f>
        <v>1</v>
      </c>
      <c r="AD31" s="5">
        <f t="shared" si="8"/>
        <v>0</v>
      </c>
    </row>
    <row r="32" ht="25.5" customHeight="1" outlineLevel="1">
      <c r="A32" s="18" t="str">
        <f>IF('T1'!$A32="","",'T1'!$A32)</f>
        <v/>
      </c>
      <c r="B32" s="30"/>
      <c r="C32" s="31" t="str">
        <f>IF('T1'!$C32="","",'T1'!$C32)</f>
        <v/>
      </c>
      <c r="D32" s="32"/>
      <c r="E32" s="39">
        <f>IF($C32="",0,MIN(15,MAX(1,IF(N($O32)&gt;=1,6,IF(N($O32)&gt;=0.75,IF(PRZEL_CZESC="część 1 (objętość)",8,6),IF(PRZEL_CZESC="część 1 (objętość)",10,8)))+0+$AD32)))</f>
        <v>0</v>
      </c>
      <c r="F32" s="33"/>
      <c r="G32" s="34" t="str">
        <f>IF($C32="","",IF(OR($Q32="masa ciała",$Q32="czas",$Q32="dystans",$Q32="ręczne ustawienie"),$Q32,IF($C32='T1'!$C32,IF(OR($R32="",$R32=0),"— brak 1RM",MROUND($R32*$S32/100*$AC32,MAX($P32,0.5))),IF(OR($AA32="",$AA32=0),"— ustaw ręcznie",MROUND($AA32*$S32/100*$AC32,MAX($P32,0.5))))))</f>
        <v/>
      </c>
      <c r="H32" s="35"/>
      <c r="I32" s="36" t="str">
        <f t="array" ref="I32">IFERROR(IF(IFERROR(INDEX(BAZA_FILM,MATCH($C32,BAZA_EX,0)),"")="","",HYPERLINK(IFERROR(INDEX(BAZA_FILM,MATCH($C32,BAZA_EX,0)),""),"film")),"")</f>
        <v/>
      </c>
      <c r="J32" s="37" t="str">
        <f>IF('T1'!$J32="","",'T1'!$J32)</f>
        <v/>
      </c>
      <c r="K32" s="5" t="s">
        <v>85</v>
      </c>
      <c r="L32" s="5" t="str">
        <f t="array" ref="L32">IFERROR(INDEX(BAZA_ID,MATCH($C32,BAZA_EX,0)),"")</f>
        <v/>
      </c>
      <c r="M32" s="5" t="str">
        <f t="array" ref="M32">IFERROR(INDEX(BAZA_PART,MATCH($C32,BAZA_EX,0)),"")</f>
        <v/>
      </c>
      <c r="N32" s="5" t="str">
        <f t="array" ref="N32">IFERROR(INDEX(BAZA_KAT,MATCH($C32,BAZA_EX,0)),"")</f>
        <v/>
      </c>
      <c r="O32" s="5" t="str">
        <f t="array" ref="O32">IFERROR(INDEX(BAZA_COEFF,MATCH($C32,BAZA_EX,0)),"")</f>
        <v/>
      </c>
      <c r="P32" s="5" t="str">
        <f t="array" ref="P32">IFERROR(INDEX(BAZA_SKOK,MATCH($C32,BAZA_EX,0)),"")</f>
        <v/>
      </c>
      <c r="Q32" s="5" t="str">
        <f t="array" ref="Q32">IFERROR(INDEX(BAZA_PROG,MATCH($C32,BAZA_EX,0)),"")</f>
        <v/>
      </c>
      <c r="R32" s="5" t="str">
        <f>IF($C32="","",IF(SUMPRODUCT((START!$B$6:$B$69=$C32)*(START!$M$6:$M$69&gt;0))=0,"",SUMPRODUCT(MAX((START!$B$6:$B$69=$C32)*START!$M$6:$M$69))))</f>
        <v/>
      </c>
      <c r="S32" s="5" t="str">
        <f t="array" ref="S32">IFERROR(INDEX(TABELE!$B$4:$J$18,MATCH($E32,TABELE!$A$4:$A$18,0),MATCH($F32,TABELE!$B$3:$J$3,0)),"")</f>
        <v/>
      </c>
      <c r="T32" s="5">
        <f t="array" ref="T32">IFERROR(IF($C32="",0,$O32*$D32*INDEX(TABELE!$B$23:$P$33,MATCH($F32,TABELE!$A$23:$A$33,0),MATCH($E32,TABELE!$B$22:$P$22,0))),0)</f>
        <v>0</v>
      </c>
      <c r="U32" s="5">
        <f t="array" ref="U32">IFERROR(IF($C32="",0,$O32*$D32*INDEX(TABELE!$B$37:$P$47,MATCH($F32,TABELE!$A$37:$A$47,0),MATCH($E32,TABELE!$B$36:$P$36,0))),0)</f>
        <v>0</v>
      </c>
      <c r="V32" s="5">
        <f t="array" ref="V32">IFERROR(IF($C32="",0,$O32*$D32*INDEX(TABELE!$B$51:$P$61,MATCH($F32,TABELE!$A$51:$A$61,0),MATCH($E32,TABELE!$B$50:$P$50,0))),0)</f>
        <v>0</v>
      </c>
      <c r="W32" s="5" t="str">
        <f t="array" ref="W32">IFERROR(INDEX(BAZA_UWAGI,MATCH($C32,BAZA_EX,0)),"")</f>
        <v/>
      </c>
      <c r="X32" s="5" t="str">
        <f t="shared" si="6"/>
        <v/>
      </c>
      <c r="Y32" s="5" t="str">
        <f t="shared" si="9"/>
        <v>E</v>
      </c>
      <c r="Z32" s="5">
        <f t="shared" si="10"/>
        <v>5</v>
      </c>
      <c r="AA32" s="5" t="str">
        <f>IF($C32="","",IF(SUMPRODUCT((START!$B$6:$B$69=$C32)*(START!$M$6:$M$69&gt;0))=0,"",SUMPRODUCT(MAX((START!$B$6:$B$69=$C32)*START!$M$6:$M$69))))</f>
        <v/>
      </c>
      <c r="AB32" s="5" t="str">
        <f t="shared" si="7"/>
        <v/>
      </c>
      <c r="AC32" s="5">
        <f>MAX(0.85,MIN(1.15,1+0.05*(COUNTIF('T1'!$AB32,"za łatwe")+COUNTIF('T2'!$AB32,"za łatwe")+COUNTIF('T3'!$AB32,"za łatwe"))-0.05*(COUNTIF('T1'!$AB32,"za trudne")+COUNTIF('T2'!$AB32,"za trudne")+COUNTIF('T3'!$AB32,"za trudne"))))</f>
        <v>1</v>
      </c>
      <c r="AD32" s="5">
        <f t="shared" si="8"/>
        <v>0</v>
      </c>
    </row>
    <row r="33" ht="25.5" customHeight="1" outlineLevel="1">
      <c r="A33" s="18" t="str">
        <f>IF('T1'!$A33="","",'T1'!$A33)</f>
        <v/>
      </c>
      <c r="B33" s="30"/>
      <c r="C33" s="31" t="str">
        <f>IF('T1'!$C33="","",'T1'!$C33)</f>
        <v/>
      </c>
      <c r="D33" s="32"/>
      <c r="E33" s="39">
        <f>IF($C33="",0,MIN(15,MAX(1,IF(N($O33)&gt;=1,6,IF(N($O33)&gt;=0.75,IF(PRZEL_CZESC="część 1 (objętość)",8,6),IF(PRZEL_CZESC="część 1 (objętość)",10,8)))+0+$AD33)))</f>
        <v>0</v>
      </c>
      <c r="F33" s="33"/>
      <c r="G33" s="34" t="str">
        <f>IF($C33="","",IF(OR($Q33="masa ciała",$Q33="czas",$Q33="dystans",$Q33="ręczne ustawienie"),$Q33,IF($C33='T1'!$C33,IF(OR($R33="",$R33=0),"— brak 1RM",MROUND($R33*$S33/100*$AC33,MAX($P33,0.5))),IF(OR($AA33="",$AA33=0),"— ustaw ręcznie",MROUND($AA33*$S33/100*$AC33,MAX($P33,0.5))))))</f>
        <v/>
      </c>
      <c r="H33" s="35"/>
      <c r="I33" s="36" t="str">
        <f t="array" ref="I33">IFERROR(IF(IFERROR(INDEX(BAZA_FILM,MATCH($C33,BAZA_EX,0)),"")="","",HYPERLINK(IFERROR(INDEX(BAZA_FILM,MATCH($C33,BAZA_EX,0)),""),"film")),"")</f>
        <v/>
      </c>
      <c r="J33" s="37" t="str">
        <f>IF('T1'!$J33="","",'T1'!$J33)</f>
        <v/>
      </c>
      <c r="K33" s="5" t="s">
        <v>86</v>
      </c>
      <c r="L33" s="5" t="str">
        <f t="array" ref="L33">IFERROR(INDEX(BAZA_ID,MATCH($C33,BAZA_EX,0)),"")</f>
        <v/>
      </c>
      <c r="M33" s="5" t="str">
        <f t="array" ref="M33">IFERROR(INDEX(BAZA_PART,MATCH($C33,BAZA_EX,0)),"")</f>
        <v/>
      </c>
      <c r="N33" s="5" t="str">
        <f t="array" ref="N33">IFERROR(INDEX(BAZA_KAT,MATCH($C33,BAZA_EX,0)),"")</f>
        <v/>
      </c>
      <c r="O33" s="5" t="str">
        <f t="array" ref="O33">IFERROR(INDEX(BAZA_COEFF,MATCH($C33,BAZA_EX,0)),"")</f>
        <v/>
      </c>
      <c r="P33" s="5" t="str">
        <f t="array" ref="P33">IFERROR(INDEX(BAZA_SKOK,MATCH($C33,BAZA_EX,0)),"")</f>
        <v/>
      </c>
      <c r="Q33" s="5" t="str">
        <f t="array" ref="Q33">IFERROR(INDEX(BAZA_PROG,MATCH($C33,BAZA_EX,0)),"")</f>
        <v/>
      </c>
      <c r="R33" s="5" t="str">
        <f>IF($C33="","",IF(SUMPRODUCT((START!$B$6:$B$69=$C33)*(START!$M$6:$M$69&gt;0))=0,"",SUMPRODUCT(MAX((START!$B$6:$B$69=$C33)*START!$M$6:$M$69))))</f>
        <v/>
      </c>
      <c r="S33" s="5" t="str">
        <f t="array" ref="S33">IFERROR(INDEX(TABELE!$B$4:$J$18,MATCH($E33,TABELE!$A$4:$A$18,0),MATCH($F33,TABELE!$B$3:$J$3,0)),"")</f>
        <v/>
      </c>
      <c r="T33" s="5">
        <f t="array" ref="T33">IFERROR(IF($C33="",0,$O33*$D33*INDEX(TABELE!$B$23:$P$33,MATCH($F33,TABELE!$A$23:$A$33,0),MATCH($E33,TABELE!$B$22:$P$22,0))),0)</f>
        <v>0</v>
      </c>
      <c r="U33" s="5">
        <f t="array" ref="U33">IFERROR(IF($C33="",0,$O33*$D33*INDEX(TABELE!$B$37:$P$47,MATCH($F33,TABELE!$A$37:$A$47,0),MATCH($E33,TABELE!$B$36:$P$36,0))),0)</f>
        <v>0</v>
      </c>
      <c r="V33" s="5">
        <f t="array" ref="V33">IFERROR(IF($C33="",0,$O33*$D33*INDEX(TABELE!$B$51:$P$61,MATCH($F33,TABELE!$A$51:$A$61,0),MATCH($E33,TABELE!$B$50:$P$50,0))),0)</f>
        <v>0</v>
      </c>
      <c r="W33" s="5" t="str">
        <f t="array" ref="W33">IFERROR(INDEX(BAZA_UWAGI,MATCH($C33,BAZA_EX,0)),"")</f>
        <v/>
      </c>
      <c r="X33" s="5" t="str">
        <f t="shared" si="6"/>
        <v/>
      </c>
      <c r="Y33" s="5" t="str">
        <f t="shared" si="9"/>
        <v>E</v>
      </c>
      <c r="Z33" s="5">
        <f t="shared" si="10"/>
        <v>5</v>
      </c>
      <c r="AA33" s="5" t="str">
        <f>IF($C33="","",IF(SUMPRODUCT((START!$B$6:$B$69=$C33)*(START!$M$6:$M$69&gt;0))=0,"",SUMPRODUCT(MAX((START!$B$6:$B$69=$C33)*START!$M$6:$M$69))))</f>
        <v/>
      </c>
      <c r="AB33" s="5" t="str">
        <f t="shared" si="7"/>
        <v/>
      </c>
      <c r="AC33" s="5">
        <f>MAX(0.85,MIN(1.15,1+0.05*(COUNTIF('T1'!$AB33,"za łatwe")+COUNTIF('T2'!$AB33,"za łatwe")+COUNTIF('T3'!$AB33,"za łatwe"))-0.05*(COUNTIF('T1'!$AB33,"za trudne")+COUNTIF('T2'!$AB33,"za trudne")+COUNTIF('T3'!$AB33,"za trudne"))))</f>
        <v>1</v>
      </c>
      <c r="AD33" s="5">
        <f t="shared" si="8"/>
        <v>0</v>
      </c>
    </row>
    <row r="34" ht="25.5" customHeight="1" outlineLevel="1">
      <c r="A34" s="18" t="str">
        <f>IF('T1'!$A34="","",'T1'!$A34)</f>
        <v/>
      </c>
      <c r="B34" s="30"/>
      <c r="C34" s="31" t="str">
        <f>IF('T1'!$C34="","",'T1'!$C34)</f>
        <v/>
      </c>
      <c r="D34" s="32"/>
      <c r="E34" s="39">
        <f>IF($C34="",0,MIN(15,MAX(1,IF(N($O34)&gt;=1,6,IF(N($O34)&gt;=0.75,IF(PRZEL_CZESC="część 1 (objętość)",8,6),IF(PRZEL_CZESC="część 1 (objętość)",10,8)))+0+$AD34)))</f>
        <v>0</v>
      </c>
      <c r="F34" s="33"/>
      <c r="G34" s="34" t="str">
        <f>IF($C34="","",IF(OR($Q34="masa ciała",$Q34="czas",$Q34="dystans",$Q34="ręczne ustawienie"),$Q34,IF($C34='T1'!$C34,IF(OR($R34="",$R34=0),"— brak 1RM",MROUND($R34*$S34/100*$AC34,MAX($P34,0.5))),IF(OR($AA34="",$AA34=0),"— ustaw ręcznie",MROUND($AA34*$S34/100*$AC34,MAX($P34,0.5))))))</f>
        <v/>
      </c>
      <c r="H34" s="35"/>
      <c r="I34" s="36" t="str">
        <f t="array" ref="I34">IFERROR(IF(IFERROR(INDEX(BAZA_FILM,MATCH($C34,BAZA_EX,0)),"")="","",HYPERLINK(IFERROR(INDEX(BAZA_FILM,MATCH($C34,BAZA_EX,0)),""),"film")),"")</f>
        <v/>
      </c>
      <c r="J34" s="37" t="str">
        <f>IF('T1'!$J34="","",'T1'!$J34)</f>
        <v/>
      </c>
      <c r="K34" s="5" t="s">
        <v>87</v>
      </c>
      <c r="L34" s="5" t="str">
        <f t="array" ref="L34">IFERROR(INDEX(BAZA_ID,MATCH($C34,BAZA_EX,0)),"")</f>
        <v/>
      </c>
      <c r="M34" s="5" t="str">
        <f t="array" ref="M34">IFERROR(INDEX(BAZA_PART,MATCH($C34,BAZA_EX,0)),"")</f>
        <v/>
      </c>
      <c r="N34" s="5" t="str">
        <f t="array" ref="N34">IFERROR(INDEX(BAZA_KAT,MATCH($C34,BAZA_EX,0)),"")</f>
        <v/>
      </c>
      <c r="O34" s="5" t="str">
        <f t="array" ref="O34">IFERROR(INDEX(BAZA_COEFF,MATCH($C34,BAZA_EX,0)),"")</f>
        <v/>
      </c>
      <c r="P34" s="5" t="str">
        <f t="array" ref="P34">IFERROR(INDEX(BAZA_SKOK,MATCH($C34,BAZA_EX,0)),"")</f>
        <v/>
      </c>
      <c r="Q34" s="5" t="str">
        <f t="array" ref="Q34">IFERROR(INDEX(BAZA_PROG,MATCH($C34,BAZA_EX,0)),"")</f>
        <v/>
      </c>
      <c r="R34" s="5" t="str">
        <f>IF($C34="","",IF(SUMPRODUCT((START!$B$6:$B$69=$C34)*(START!$M$6:$M$69&gt;0))=0,"",SUMPRODUCT(MAX((START!$B$6:$B$69=$C34)*START!$M$6:$M$69))))</f>
        <v/>
      </c>
      <c r="S34" s="5" t="str">
        <f t="array" ref="S34">IFERROR(INDEX(TABELE!$B$4:$J$18,MATCH($E34,TABELE!$A$4:$A$18,0),MATCH($F34,TABELE!$B$3:$J$3,0)),"")</f>
        <v/>
      </c>
      <c r="T34" s="5">
        <f t="array" ref="T34">IFERROR(IF($C34="",0,$O34*$D34*INDEX(TABELE!$B$23:$P$33,MATCH($F34,TABELE!$A$23:$A$33,0),MATCH($E34,TABELE!$B$22:$P$22,0))),0)</f>
        <v>0</v>
      </c>
      <c r="U34" s="5">
        <f t="array" ref="U34">IFERROR(IF($C34="",0,$O34*$D34*INDEX(TABELE!$B$37:$P$47,MATCH($F34,TABELE!$A$37:$A$47,0),MATCH($E34,TABELE!$B$36:$P$36,0))),0)</f>
        <v>0</v>
      </c>
      <c r="V34" s="5">
        <f t="array" ref="V34">IFERROR(IF($C34="",0,$O34*$D34*INDEX(TABELE!$B$51:$P$61,MATCH($F34,TABELE!$A$51:$A$61,0),MATCH($E34,TABELE!$B$50:$P$50,0))),0)</f>
        <v>0</v>
      </c>
      <c r="W34" s="5" t="str">
        <f t="array" ref="W34">IFERROR(INDEX(BAZA_UWAGI,MATCH($C34,BAZA_EX,0)),"")</f>
        <v/>
      </c>
      <c r="X34" s="5" t="str">
        <f t="shared" si="6"/>
        <v/>
      </c>
      <c r="Y34" s="5" t="str">
        <f t="shared" si="9"/>
        <v>E</v>
      </c>
      <c r="Z34" s="5">
        <f t="shared" si="10"/>
        <v>5</v>
      </c>
      <c r="AA34" s="5" t="str">
        <f>IF($C34="","",IF(SUMPRODUCT((START!$B$6:$B$69=$C34)*(START!$M$6:$M$69&gt;0))=0,"",SUMPRODUCT(MAX((START!$B$6:$B$69=$C34)*START!$M$6:$M$69))))</f>
        <v/>
      </c>
      <c r="AB34" s="5" t="str">
        <f t="shared" si="7"/>
        <v/>
      </c>
      <c r="AC34" s="5">
        <f>MAX(0.85,MIN(1.15,1+0.05*(COUNTIF('T1'!$AB34,"za łatwe")+COUNTIF('T2'!$AB34,"za łatwe")+COUNTIF('T3'!$AB34,"za łatwe"))-0.05*(COUNTIF('T1'!$AB34,"za trudne")+COUNTIF('T2'!$AB34,"za trudne")+COUNTIF('T3'!$AB34,"za trudne"))))</f>
        <v>1</v>
      </c>
      <c r="AD34" s="5">
        <f t="shared" si="8"/>
        <v>0</v>
      </c>
    </row>
    <row r="35" ht="19.5" customHeight="1" outlineLevel="1">
      <c r="A35" s="43"/>
      <c r="B35" s="43"/>
      <c r="C35" s="44" t="s">
        <v>136</v>
      </c>
      <c r="D35" s="45">
        <f>SUMPRODUCT((C23:C34&lt;&gt;"")*D23:D34)+IF(AND($B$22="TOP SET",$C$22&lt;&gt;""),1,0)</f>
      </c>
      <c r="E35" s="46" t="str">
        <f>SUMPRODUCT((C23:C34&lt;&gt;"")*D23:D34*E23:E34)&amp;" powt."</f>
        <v>0 powt.</v>
      </c>
      <c r="F35" s="43"/>
      <c r="G35" s="47" t="str">
        <f>"stres t "&amp;TEXT(SUM(T23:T34),"0.0")</f>
        <v>stres t 0,0</v>
      </c>
      <c r="H35" s="48"/>
      <c r="I35" s="43"/>
      <c r="J35" s="43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25.5" customHeight="1" outlineLevel="1">
      <c r="A37" s="15" t="s">
        <v>88</v>
      </c>
      <c r="B37" s="3"/>
      <c r="C37" s="3"/>
      <c r="D37" s="3"/>
      <c r="E37" s="3"/>
      <c r="F37" s="3"/>
      <c r="G37" s="3"/>
      <c r="H37" s="3"/>
      <c r="I37" s="3"/>
      <c r="J37" s="4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33.75" customHeight="1" outlineLevel="2">
      <c r="A38" s="17" t="str">
        <f>IF($B38="TOP SET","▲","")</f>
        <v>▲</v>
      </c>
      <c r="B38" s="19" t="str">
        <f>IF('T1'!$B38="TOP SET","TOP SET","—")</f>
        <v>TOP SET</v>
      </c>
      <c r="C38" s="22" t="str">
        <f>IF(OR($B38&lt;&gt;"TOP SET",$F38=""),"",IF(N($K38)=0,"",IF(INDEX($C$39:$C$50,$K38)="","",INDEX($C$39:$C$50,$K38))))</f>
      </c>
      <c r="D38" s="23">
        <f>IF(AND($B38="TOP SET",$F38&lt;&gt;""),1,"")</f>
      </c>
      <c r="E38" s="24" t="str">
        <f>IF(AND($B38="TOP SET",$F38&lt;&gt;""),"1 powtórzenie","")</f>
      </c>
      <c r="F38" s="25">
        <v>7.0</v>
      </c>
      <c r="G38" s="27" t="str">
        <f t="array" ref="G38">IF($B38&lt;&gt;"TOP SET","",IF($C38="","",IF(OR($Q38="masa ciała",$Q38="czas",$Q38="dystans",$Q38="ręczne ustawienie"),"—",IF($C38='T1'!$C38,IF(OR($R38="",$R38=0),"— brak 1RM",MROUND($R38*IFERROR(INDEX(TABELE!$B$4:$J$18,MATCH(1,TABELE!$A$4:$A$18,0),MATCH($F38,TABELE!$B$3:$J$3,0)),0)/100,MAX($P38,0.5))),IF(OR($AA38="",$AA38=0),"— ustaw ręcznie",MROUND($AA38*IFERROR(INDEX(TABELE!$B$4:$J$18,MATCH(1,TABELE!$A$4:$A$18,0),MATCH($F38,TABELE!$B$3:$J$3,0)),0)/100,MAX($P38,0.5)))))))</f>
      </c>
      <c r="H38" s="28"/>
      <c r="I38" s="29"/>
      <c r="J38" s="29"/>
      <c r="K38" s="5">
        <f>IFERROR(MATCH("A*",$A$39:$A$50,0),0)</f>
      </c>
      <c r="L38" s="5"/>
      <c r="M38" s="5"/>
      <c r="N38" s="5"/>
      <c r="O38" s="5"/>
      <c r="P38" s="5">
        <f>IF(N($K38)=0,"",INDEX($P$39:$P$50,$K38))</f>
      </c>
      <c r="Q38" s="5">
        <f>IF(N($K38)=0,"",INDEX($Q$39:$Q$50,$K38))</f>
      </c>
      <c r="R38" s="5">
        <f>IF(N($K38)=0,"",INDEX($R$39:$R$50,$K38))</f>
      </c>
      <c r="S38" s="5"/>
      <c r="T38" s="5"/>
      <c r="U38" s="5"/>
      <c r="V38" s="5"/>
      <c r="W38" s="5"/>
      <c r="X38" s="5"/>
      <c r="Y38" s="5"/>
      <c r="Z38" s="5"/>
      <c r="AA38" s="5">
        <f>IF(N($K38)=0,"",INDEX($AA$39:$AA$50,$K38))</f>
      </c>
    </row>
    <row r="39" ht="25.5" customHeight="1" outlineLevel="1">
      <c r="A39" s="18" t="str">
        <f>IF('T1'!$A39="","",'T1'!$A39)</f>
        <v>A1.</v>
      </c>
      <c r="B39" s="30"/>
      <c r="C39" s="31" t="str">
        <f>IF('T1'!$C39="","",'T1'!$C39)</f>
        <v/>
      </c>
      <c r="D39" s="32">
        <v>4.0</v>
      </c>
      <c r="E39" s="32">
        <v>5.0</v>
      </c>
      <c r="F39" s="33">
        <v>7.5</v>
      </c>
      <c r="G39" s="34" t="str">
        <f>IF($C39="","",IF(OR($Q39="masa ciała",$Q39="czas",$Q39="dystans",$Q39="ręczne ustawienie"),$Q39,IF($C39='T1'!$C39,IF(OR($R39="",$R39=0),"— brak 1RM",MROUND($R39*$S39/100*$AC39,MAX($P39,0.5))),IF(OR($AA39="",$AA39=0),"— ustaw ręcznie",MROUND($AA39*$S39/100*$AC39,MAX($P39,0.5))))))</f>
        <v/>
      </c>
      <c r="H39" s="35"/>
      <c r="I39" s="36" t="str">
        <f t="array" ref="I39">IFERROR(IF(IFERROR(INDEX(BAZA_FILM,MATCH($C39,BAZA_EX,0)),"")="","",HYPERLINK(IFERROR(INDEX(BAZA_FILM,MATCH($C39,BAZA_EX,0)),""),"film")),"")</f>
        <v/>
      </c>
      <c r="J39" s="37" t="str">
        <f>IF('T1'!$J39="","",'T1'!$J39)</f>
        <v/>
      </c>
      <c r="K39" s="5" t="s">
        <v>89</v>
      </c>
      <c r="L39" s="5" t="str">
        <f t="array" ref="L39">IFERROR(INDEX(BAZA_ID,MATCH($C39,BAZA_EX,0)),"")</f>
        <v/>
      </c>
      <c r="M39" s="5" t="str">
        <f t="array" ref="M39">IFERROR(INDEX(BAZA_PART,MATCH($C39,BAZA_EX,0)),"")</f>
        <v/>
      </c>
      <c r="N39" s="5" t="str">
        <f t="array" ref="N39">IFERROR(INDEX(BAZA_KAT,MATCH($C39,BAZA_EX,0)),"")</f>
        <v/>
      </c>
      <c r="O39" s="5" t="str">
        <f t="array" ref="O39">IFERROR(INDEX(BAZA_COEFF,MATCH($C39,BAZA_EX,0)),"")</f>
        <v/>
      </c>
      <c r="P39" s="5" t="str">
        <f t="array" ref="P39">IFERROR(INDEX(BAZA_SKOK,MATCH($C39,BAZA_EX,0)),"")</f>
        <v/>
      </c>
      <c r="Q39" s="5" t="str">
        <f t="array" ref="Q39">IFERROR(INDEX(BAZA_PROG,MATCH($C39,BAZA_EX,0)),"")</f>
        <v/>
      </c>
      <c r="R39" s="5" t="str">
        <f>IF($C39="","",IF(SUMPRODUCT((START!$B$6:$B$69=$C39)*(START!$M$6:$M$69&gt;0))=0,"",SUMPRODUCT(MAX((START!$B$6:$B$69=$C39)*START!$M$6:$M$69))))</f>
        <v/>
      </c>
      <c r="S39" s="5">
        <f t="array" ref="S39">IFERROR(INDEX(TABELE!$B$4:$J$18,MATCH($E39,TABELE!$A$4:$A$18,0),MATCH($F39,TABELE!$B$3:$J$3,0)),"")</f>
        <v>77.5</v>
      </c>
      <c r="T39" s="5">
        <f t="array" ref="T39">IFERROR(IF($C39="",0,$O39*$D39*INDEX(TABELE!$B$23:$P$33,MATCH($F39,TABELE!$A$23:$A$33,0),MATCH($E39,TABELE!$B$22:$P$22,0))),0)</f>
        <v>0</v>
      </c>
      <c r="U39" s="5">
        <f t="array" ref="U39">IFERROR(IF($C39="",0,$O39*$D39*INDEX(TABELE!$B$37:$P$47,MATCH($F39,TABELE!$A$37:$A$47,0),MATCH($E39,TABELE!$B$36:$P$36,0))),0)</f>
        <v>0</v>
      </c>
      <c r="V39" s="5">
        <f t="array" ref="V39">IFERROR(IF($C39="",0,$O39*$D39*INDEX(TABELE!$B$51:$P$61,MATCH($F39,TABELE!$A$51:$A$61,0),MATCH($E39,TABELE!$B$50:$P$50,0))),0)</f>
        <v>0</v>
      </c>
      <c r="W39" s="5" t="str">
        <f t="array" ref="W39">IFERROR(INDEX(BAZA_UWAGI,MATCH($C39,BAZA_EX,0)),"")</f>
        <v/>
      </c>
      <c r="X39" s="5">
        <f t="shared" ref="X39:X50" si="11">IF($A39="","",$Z39)</f>
        <v>1</v>
      </c>
      <c r="Y39" s="5" t="str">
        <f>IF($A39="","",LEFT($A39,1))</f>
        <v>A</v>
      </c>
      <c r="Z39" s="5">
        <f>IF($A39="",0,1)</f>
        <v>1</v>
      </c>
      <c r="AA39" s="5" t="str">
        <f>IF($C39="","",IF(SUMPRODUCT((START!$B$6:$B$69=$C39)*(START!$M$6:$M$69&gt;0))=0,"",SUMPRODUCT(MAX((START!$B$6:$B$69=$C39)*START!$M$6:$M$69))))</f>
        <v/>
      </c>
      <c r="AB39" s="5" t="str">
        <f t="shared" ref="AB39:AB50" si="12">IF($C39="","",IF($H39&lt;&gt;"",$H39,IF($H$51="✓ ukończony","OK","")))</f>
        <v/>
      </c>
      <c r="AC39" s="5">
        <f>MAX(0.85,MIN(1.15,1+0.05*(COUNTIF('T1'!$AB39,"za łatwe")+COUNTIF('T2'!$AB39,"za łatwe")+COUNTIF('T3'!$AB39,"za łatwe"))-0.05*(COUNTIF('T1'!$AB39,"za trudne")+COUNTIF('T2'!$AB39,"za trudne")+COUNTIF('T3'!$AB39,"za trudne"))))</f>
        <v>1</v>
      </c>
      <c r="AD39" s="5">
        <f t="shared" ref="AD39:AD50" si="13">IF(OR($Q39="masa ciała",$Q39="czas",$Q39="dystans",$Q39="ręczne ustawienie"),MAX(-3,MIN(3,ROUND(($AC39-1)/0.05,0))),0)</f>
        <v>0</v>
      </c>
    </row>
    <row r="40" ht="25.5" customHeight="1" outlineLevel="1">
      <c r="A40" s="18" t="str">
        <f>IF('T1'!$A40="","",'T1'!$A40)</f>
        <v>B1.</v>
      </c>
      <c r="B40" s="30"/>
      <c r="C40" s="31" t="str">
        <f>IF('T1'!$C40="","",'T1'!$C40)</f>
        <v/>
      </c>
      <c r="D40" s="32">
        <v>3.0</v>
      </c>
      <c r="E40" s="39">
        <f>IF($C40="",0,MIN(15,MAX(1,IF(N($O40)&gt;=1,6,IF(N($O40)&gt;=0.75,IF(PRZEL_CZESC="część 1 (objętość)",8,6),IF(PRZEL_CZESC="część 1 (objętość)",10,8)))+0+$AD40)))</f>
        <v>0</v>
      </c>
      <c r="F40" s="33">
        <v>9.0</v>
      </c>
      <c r="G40" s="34" t="str">
        <f>IF($C40="","",IF(OR($Q40="masa ciała",$Q40="czas",$Q40="dystans",$Q40="ręczne ustawienie"),$Q40,IF($C40='T1'!$C40,IF(OR($R40="",$R40=0),"— brak 1RM",MROUND($R40*$S40/100*$AC40,MAX($P40,0.5))),IF(OR($AA40="",$AA40=0),"— ustaw ręcznie",MROUND($AA40*$S40/100*$AC40,MAX($P40,0.5))))))</f>
        <v/>
      </c>
      <c r="H40" s="35"/>
      <c r="I40" s="36" t="str">
        <f t="array" ref="I40">IFERROR(IF(IFERROR(INDEX(BAZA_FILM,MATCH($C40,BAZA_EX,0)),"")="","",HYPERLINK(IFERROR(INDEX(BAZA_FILM,MATCH($C40,BAZA_EX,0)),""),"film")),"")</f>
        <v/>
      </c>
      <c r="J40" s="37" t="str">
        <f>IF('T1'!$J40="","",'T1'!$J40)</f>
        <v/>
      </c>
      <c r="K40" s="5" t="s">
        <v>90</v>
      </c>
      <c r="L40" s="5" t="str">
        <f t="array" ref="L40">IFERROR(INDEX(BAZA_ID,MATCH($C40,BAZA_EX,0)),"")</f>
        <v/>
      </c>
      <c r="M40" s="5" t="str">
        <f t="array" ref="M40">IFERROR(INDEX(BAZA_PART,MATCH($C40,BAZA_EX,0)),"")</f>
        <v/>
      </c>
      <c r="N40" s="5" t="str">
        <f t="array" ref="N40">IFERROR(INDEX(BAZA_KAT,MATCH($C40,BAZA_EX,0)),"")</f>
        <v/>
      </c>
      <c r="O40" s="5" t="str">
        <f t="array" ref="O40">IFERROR(INDEX(BAZA_COEFF,MATCH($C40,BAZA_EX,0)),"")</f>
        <v/>
      </c>
      <c r="P40" s="5" t="str">
        <f t="array" ref="P40">IFERROR(INDEX(BAZA_SKOK,MATCH($C40,BAZA_EX,0)),"")</f>
        <v/>
      </c>
      <c r="Q40" s="5" t="str">
        <f t="array" ref="Q40">IFERROR(INDEX(BAZA_PROG,MATCH($C40,BAZA_EX,0)),"")</f>
        <v/>
      </c>
      <c r="R40" s="5" t="str">
        <f>IF($C40="","",IF(SUMPRODUCT((START!$B$6:$B$69=$C40)*(START!$M$6:$M$69&gt;0))=0,"",SUMPRODUCT(MAX((START!$B$6:$B$69=$C40)*START!$M$6:$M$69))))</f>
        <v/>
      </c>
      <c r="S40" s="5" t="str">
        <f t="array" ref="S40">IFERROR(INDEX(TABELE!$B$4:$J$18,MATCH($E40,TABELE!$A$4:$A$18,0),MATCH($F40,TABELE!$B$3:$J$3,0)),"")</f>
        <v/>
      </c>
      <c r="T40" s="5">
        <f t="array" ref="T40">IFERROR(IF($C40="",0,$O40*$D40*INDEX(TABELE!$B$23:$P$33,MATCH($F40,TABELE!$A$23:$A$33,0),MATCH($E40,TABELE!$B$22:$P$22,0))),0)</f>
        <v>0</v>
      </c>
      <c r="U40" s="5">
        <f t="array" ref="U40">IFERROR(IF($C40="",0,$O40*$D40*INDEX(TABELE!$B$37:$P$47,MATCH($F40,TABELE!$A$37:$A$47,0),MATCH($E40,TABELE!$B$36:$P$36,0))),0)</f>
        <v>0</v>
      </c>
      <c r="V40" s="5">
        <f t="array" ref="V40">IFERROR(IF($C40="",0,$O40*$D40*INDEX(TABELE!$B$51:$P$61,MATCH($F40,TABELE!$A$51:$A$61,0),MATCH($E40,TABELE!$B$50:$P$50,0))),0)</f>
        <v>0</v>
      </c>
      <c r="W40" s="5" t="str">
        <f t="array" ref="W40">IFERROR(INDEX(BAZA_UWAGI,MATCH($C40,BAZA_EX,0)),"")</f>
        <v/>
      </c>
      <c r="X40" s="5">
        <f t="shared" si="11"/>
        <v>2</v>
      </c>
      <c r="Y40" s="5" t="str">
        <f t="shared" ref="Y40:Y50" si="14">IF($A40="",$Y39,LEFT($A40,1))</f>
        <v>B</v>
      </c>
      <c r="Z40" s="5">
        <f t="shared" ref="Z40:Z50" si="15">IF($A40="",$Z39,IF(LEFT($A40,1)=$Y39,$Z39,$Z39+1))</f>
        <v>2</v>
      </c>
      <c r="AA40" s="5" t="str">
        <f>IF($C40="","",IF(SUMPRODUCT((START!$B$6:$B$69=$C40)*(START!$M$6:$M$69&gt;0))=0,"",SUMPRODUCT(MAX((START!$B$6:$B$69=$C40)*START!$M$6:$M$69))))</f>
        <v/>
      </c>
      <c r="AB40" s="5" t="str">
        <f t="shared" si="12"/>
        <v/>
      </c>
      <c r="AC40" s="5">
        <f>MAX(0.85,MIN(1.15,1+0.05*(COUNTIF('T1'!$AB40,"za łatwe")+COUNTIF('T2'!$AB40,"za łatwe")+COUNTIF('T3'!$AB40,"za łatwe"))-0.05*(COUNTIF('T1'!$AB40,"za trudne")+COUNTIF('T2'!$AB40,"za trudne")+COUNTIF('T3'!$AB40,"za trudne"))))</f>
        <v>1</v>
      </c>
      <c r="AD40" s="5">
        <f t="shared" si="13"/>
        <v>0</v>
      </c>
    </row>
    <row r="41" ht="25.5" customHeight="1" outlineLevel="1">
      <c r="A41" s="18" t="str">
        <f>IF('T1'!$A41="","",'T1'!$A41)</f>
        <v>B2.</v>
      </c>
      <c r="B41" s="30"/>
      <c r="C41" s="31" t="str">
        <f>IF('T1'!$C41="","",'T1'!$C41)</f>
        <v/>
      </c>
      <c r="D41" s="32">
        <v>3.0</v>
      </c>
      <c r="E41" s="39">
        <f>IF($C41="",0,MIN(15,MAX(1,IF(N($O41)&gt;=1,6,IF(N($O41)&gt;=0.75,IF(PRZEL_CZESC="część 1 (objętość)",8,6),IF(PRZEL_CZESC="część 1 (objętość)",10,8)))+0+$AD41)))</f>
        <v>0</v>
      </c>
      <c r="F41" s="33">
        <v>9.0</v>
      </c>
      <c r="G41" s="34" t="str">
        <f>IF($C41="","",IF(OR($Q41="masa ciała",$Q41="czas",$Q41="dystans",$Q41="ręczne ustawienie"),$Q41,IF($C41='T1'!$C41,IF(OR($R41="",$R41=0),"— brak 1RM",MROUND($R41*$S41/100*$AC41,MAX($P41,0.5))),IF(OR($AA41="",$AA41=0),"— ustaw ręcznie",MROUND($AA41*$S41/100*$AC41,MAX($P41,0.5))))))</f>
        <v/>
      </c>
      <c r="H41" s="35"/>
      <c r="I41" s="36" t="str">
        <f t="array" ref="I41">IFERROR(IF(IFERROR(INDEX(BAZA_FILM,MATCH($C41,BAZA_EX,0)),"")="","",HYPERLINK(IFERROR(INDEX(BAZA_FILM,MATCH($C41,BAZA_EX,0)),""),"film")),"")</f>
        <v/>
      </c>
      <c r="J41" s="37" t="str">
        <f>IF('T1'!$J41="","",'T1'!$J41)</f>
        <v/>
      </c>
      <c r="K41" s="5" t="s">
        <v>91</v>
      </c>
      <c r="L41" s="5" t="str">
        <f t="array" ref="L41">IFERROR(INDEX(BAZA_ID,MATCH($C41,BAZA_EX,0)),"")</f>
        <v/>
      </c>
      <c r="M41" s="5" t="str">
        <f t="array" ref="M41">IFERROR(INDEX(BAZA_PART,MATCH($C41,BAZA_EX,0)),"")</f>
        <v/>
      </c>
      <c r="N41" s="5" t="str">
        <f t="array" ref="N41">IFERROR(INDEX(BAZA_KAT,MATCH($C41,BAZA_EX,0)),"")</f>
        <v/>
      </c>
      <c r="O41" s="5" t="str">
        <f t="array" ref="O41">IFERROR(INDEX(BAZA_COEFF,MATCH($C41,BAZA_EX,0)),"")</f>
        <v/>
      </c>
      <c r="P41" s="5" t="str">
        <f t="array" ref="P41">IFERROR(INDEX(BAZA_SKOK,MATCH($C41,BAZA_EX,0)),"")</f>
        <v/>
      </c>
      <c r="Q41" s="5" t="str">
        <f t="array" ref="Q41">IFERROR(INDEX(BAZA_PROG,MATCH($C41,BAZA_EX,0)),"")</f>
        <v/>
      </c>
      <c r="R41" s="5" t="str">
        <f>IF($C41="","",IF(SUMPRODUCT((START!$B$6:$B$69=$C41)*(START!$M$6:$M$69&gt;0))=0,"",SUMPRODUCT(MAX((START!$B$6:$B$69=$C41)*START!$M$6:$M$69))))</f>
        <v/>
      </c>
      <c r="S41" s="5" t="str">
        <f t="array" ref="S41">IFERROR(INDEX(TABELE!$B$4:$J$18,MATCH($E41,TABELE!$A$4:$A$18,0),MATCH($F41,TABELE!$B$3:$J$3,0)),"")</f>
        <v/>
      </c>
      <c r="T41" s="5">
        <f t="array" ref="T41">IFERROR(IF($C41="",0,$O41*$D41*INDEX(TABELE!$B$23:$P$33,MATCH($F41,TABELE!$A$23:$A$33,0),MATCH($E41,TABELE!$B$22:$P$22,0))),0)</f>
        <v>0</v>
      </c>
      <c r="U41" s="5">
        <f t="array" ref="U41">IFERROR(IF($C41="",0,$O41*$D41*INDEX(TABELE!$B$37:$P$47,MATCH($F41,TABELE!$A$37:$A$47,0),MATCH($E41,TABELE!$B$36:$P$36,0))),0)</f>
        <v>0</v>
      </c>
      <c r="V41" s="5">
        <f t="array" ref="V41">IFERROR(IF($C41="",0,$O41*$D41*INDEX(TABELE!$B$51:$P$61,MATCH($F41,TABELE!$A$51:$A$61,0),MATCH($E41,TABELE!$B$50:$P$50,0))),0)</f>
        <v>0</v>
      </c>
      <c r="W41" s="5" t="str">
        <f t="array" ref="W41">IFERROR(INDEX(BAZA_UWAGI,MATCH($C41,BAZA_EX,0)),"")</f>
        <v/>
      </c>
      <c r="X41" s="5">
        <f t="shared" si="11"/>
        <v>2</v>
      </c>
      <c r="Y41" s="5" t="str">
        <f t="shared" si="14"/>
        <v>B</v>
      </c>
      <c r="Z41" s="5">
        <f t="shared" si="15"/>
        <v>2</v>
      </c>
      <c r="AA41" s="5" t="str">
        <f>IF($C41="","",IF(SUMPRODUCT((START!$B$6:$B$69=$C41)*(START!$M$6:$M$69&gt;0))=0,"",SUMPRODUCT(MAX((START!$B$6:$B$69=$C41)*START!$M$6:$M$69))))</f>
        <v/>
      </c>
      <c r="AB41" s="5" t="str">
        <f t="shared" si="12"/>
        <v/>
      </c>
      <c r="AC41" s="5">
        <f>MAX(0.85,MIN(1.15,1+0.05*(COUNTIF('T1'!$AB41,"za łatwe")+COUNTIF('T2'!$AB41,"za łatwe")+COUNTIF('T3'!$AB41,"za łatwe"))-0.05*(COUNTIF('T1'!$AB41,"za trudne")+COUNTIF('T2'!$AB41,"za trudne")+COUNTIF('T3'!$AB41,"za trudne"))))</f>
        <v>1</v>
      </c>
      <c r="AD41" s="5">
        <f t="shared" si="13"/>
        <v>0</v>
      </c>
    </row>
    <row r="42" ht="25.5" customHeight="1" outlineLevel="1">
      <c r="A42" s="18" t="str">
        <f>IF('T1'!$A42="","",'T1'!$A42)</f>
        <v>C1.</v>
      </c>
      <c r="B42" s="30"/>
      <c r="C42" s="31" t="str">
        <f>IF('T1'!$C42="","",'T1'!$C42)</f>
        <v/>
      </c>
      <c r="D42" s="32">
        <v>3.0</v>
      </c>
      <c r="E42" s="39">
        <f>IF($C42="",0,MIN(15,MAX(1,IF(N($O42)&gt;=1,6,IF(N($O42)&gt;=0.75,IF(PRZEL_CZESC="część 1 (objętość)",8,6),IF(PRZEL_CZESC="część 1 (objętość)",10,8)))+0+$AD42)))</f>
        <v>0</v>
      </c>
      <c r="F42" s="33">
        <v>9.0</v>
      </c>
      <c r="G42" s="34" t="str">
        <f>IF($C42="","",IF(OR($Q42="masa ciała",$Q42="czas",$Q42="dystans",$Q42="ręczne ustawienie"),$Q42,IF($C42='T1'!$C42,IF(OR($R42="",$R42=0),"— brak 1RM",MROUND($R42*$S42/100*$AC42,MAX($P42,0.5))),IF(OR($AA42="",$AA42=0),"— ustaw ręcznie",MROUND($AA42*$S42/100*$AC42,MAX($P42,0.5))))))</f>
        <v/>
      </c>
      <c r="H42" s="35"/>
      <c r="I42" s="36" t="str">
        <f t="array" ref="I42">IFERROR(IF(IFERROR(INDEX(BAZA_FILM,MATCH($C42,BAZA_EX,0)),"")="","",HYPERLINK(IFERROR(INDEX(BAZA_FILM,MATCH($C42,BAZA_EX,0)),""),"film")),"")</f>
        <v/>
      </c>
      <c r="J42" s="37" t="str">
        <f>IF('T1'!$J42="","",'T1'!$J42)</f>
        <v/>
      </c>
      <c r="K42" s="5" t="s">
        <v>92</v>
      </c>
      <c r="L42" s="5" t="str">
        <f t="array" ref="L42">IFERROR(INDEX(BAZA_ID,MATCH($C42,BAZA_EX,0)),"")</f>
        <v/>
      </c>
      <c r="M42" s="5" t="str">
        <f t="array" ref="M42">IFERROR(INDEX(BAZA_PART,MATCH($C42,BAZA_EX,0)),"")</f>
        <v/>
      </c>
      <c r="N42" s="5" t="str">
        <f t="array" ref="N42">IFERROR(INDEX(BAZA_KAT,MATCH($C42,BAZA_EX,0)),"")</f>
        <v/>
      </c>
      <c r="O42" s="5" t="str">
        <f t="array" ref="O42">IFERROR(INDEX(BAZA_COEFF,MATCH($C42,BAZA_EX,0)),"")</f>
        <v/>
      </c>
      <c r="P42" s="5" t="str">
        <f t="array" ref="P42">IFERROR(INDEX(BAZA_SKOK,MATCH($C42,BAZA_EX,0)),"")</f>
        <v/>
      </c>
      <c r="Q42" s="5" t="str">
        <f t="array" ref="Q42">IFERROR(INDEX(BAZA_PROG,MATCH($C42,BAZA_EX,0)),"")</f>
        <v/>
      </c>
      <c r="R42" s="5" t="str">
        <f>IF($C42="","",IF(SUMPRODUCT((START!$B$6:$B$69=$C42)*(START!$M$6:$M$69&gt;0))=0,"",SUMPRODUCT(MAX((START!$B$6:$B$69=$C42)*START!$M$6:$M$69))))</f>
        <v/>
      </c>
      <c r="S42" s="5" t="str">
        <f t="array" ref="S42">IFERROR(INDEX(TABELE!$B$4:$J$18,MATCH($E42,TABELE!$A$4:$A$18,0),MATCH($F42,TABELE!$B$3:$J$3,0)),"")</f>
        <v/>
      </c>
      <c r="T42" s="5">
        <f t="array" ref="T42">IFERROR(IF($C42="",0,$O42*$D42*INDEX(TABELE!$B$23:$P$33,MATCH($F42,TABELE!$A$23:$A$33,0),MATCH($E42,TABELE!$B$22:$P$22,0))),0)</f>
        <v>0</v>
      </c>
      <c r="U42" s="5">
        <f t="array" ref="U42">IFERROR(IF($C42="",0,$O42*$D42*INDEX(TABELE!$B$37:$P$47,MATCH($F42,TABELE!$A$37:$A$47,0),MATCH($E42,TABELE!$B$36:$P$36,0))),0)</f>
        <v>0</v>
      </c>
      <c r="V42" s="5">
        <f t="array" ref="V42">IFERROR(IF($C42="",0,$O42*$D42*INDEX(TABELE!$B$51:$P$61,MATCH($F42,TABELE!$A$51:$A$61,0),MATCH($E42,TABELE!$B$50:$P$50,0))),0)</f>
        <v>0</v>
      </c>
      <c r="W42" s="5" t="str">
        <f t="array" ref="W42">IFERROR(INDEX(BAZA_UWAGI,MATCH($C42,BAZA_EX,0)),"")</f>
        <v/>
      </c>
      <c r="X42" s="5">
        <f t="shared" si="11"/>
        <v>3</v>
      </c>
      <c r="Y42" s="5" t="str">
        <f t="shared" si="14"/>
        <v>C</v>
      </c>
      <c r="Z42" s="5">
        <f t="shared" si="15"/>
        <v>3</v>
      </c>
      <c r="AA42" s="5" t="str">
        <f>IF($C42="","",IF(SUMPRODUCT((START!$B$6:$B$69=$C42)*(START!$M$6:$M$69&gt;0))=0,"",SUMPRODUCT(MAX((START!$B$6:$B$69=$C42)*START!$M$6:$M$69))))</f>
        <v/>
      </c>
      <c r="AB42" s="5" t="str">
        <f t="shared" si="12"/>
        <v/>
      </c>
      <c r="AC42" s="5">
        <f>MAX(0.85,MIN(1.15,1+0.05*(COUNTIF('T1'!$AB42,"za łatwe")+COUNTIF('T2'!$AB42,"za łatwe")+COUNTIF('T3'!$AB42,"za łatwe"))-0.05*(COUNTIF('T1'!$AB42,"za trudne")+COUNTIF('T2'!$AB42,"za trudne")+COUNTIF('T3'!$AB42,"za trudne"))))</f>
        <v>1</v>
      </c>
      <c r="AD42" s="5">
        <f t="shared" si="13"/>
        <v>0</v>
      </c>
    </row>
    <row r="43" ht="25.5" customHeight="1" outlineLevel="1">
      <c r="A43" s="18" t="str">
        <f>IF('T1'!$A43="","",'T1'!$A43)</f>
        <v>C2.</v>
      </c>
      <c r="B43" s="30"/>
      <c r="C43" s="31" t="str">
        <f>IF('T1'!$C43="","",'T1'!$C43)</f>
        <v/>
      </c>
      <c r="D43" s="32">
        <v>3.0</v>
      </c>
      <c r="E43" s="39">
        <f>IF($C43="",0,MIN(15,MAX(1,IF(N($O43)&gt;=1,6,IF(N($O43)&gt;=0.75,IF(PRZEL_CZESC="część 1 (objętość)",8,6),IF(PRZEL_CZESC="część 1 (objętość)",10,8)))+0+$AD43)))</f>
        <v>0</v>
      </c>
      <c r="F43" s="33">
        <v>10.0</v>
      </c>
      <c r="G43" s="34" t="str">
        <f>IF($C43="","",IF(OR($Q43="masa ciała",$Q43="czas",$Q43="dystans",$Q43="ręczne ustawienie"),$Q43,IF($C43='T1'!$C43,IF(OR($R43="",$R43=0),"— brak 1RM",MROUND($R43*$S43/100*$AC43,MAX($P43,0.5))),IF(OR($AA43="",$AA43=0),"— ustaw ręcznie",MROUND($AA43*$S43/100*$AC43,MAX($P43,0.5))))))</f>
        <v/>
      </c>
      <c r="H43" s="35"/>
      <c r="I43" s="36" t="str">
        <f t="array" ref="I43">IFERROR(IF(IFERROR(INDEX(BAZA_FILM,MATCH($C43,BAZA_EX,0)),"")="","",HYPERLINK(IFERROR(INDEX(BAZA_FILM,MATCH($C43,BAZA_EX,0)),""),"film")),"")</f>
        <v/>
      </c>
      <c r="J43" s="37" t="str">
        <f>IF('T1'!$J43="","",'T1'!$J43)</f>
        <v/>
      </c>
      <c r="K43" s="5" t="s">
        <v>94</v>
      </c>
      <c r="L43" s="5" t="str">
        <f t="array" ref="L43">IFERROR(INDEX(BAZA_ID,MATCH($C43,BAZA_EX,0)),"")</f>
        <v/>
      </c>
      <c r="M43" s="5" t="str">
        <f t="array" ref="M43">IFERROR(INDEX(BAZA_PART,MATCH($C43,BAZA_EX,0)),"")</f>
        <v/>
      </c>
      <c r="N43" s="5" t="str">
        <f t="array" ref="N43">IFERROR(INDEX(BAZA_KAT,MATCH($C43,BAZA_EX,0)),"")</f>
        <v/>
      </c>
      <c r="O43" s="5" t="str">
        <f t="array" ref="O43">IFERROR(INDEX(BAZA_COEFF,MATCH($C43,BAZA_EX,0)),"")</f>
        <v/>
      </c>
      <c r="P43" s="5" t="str">
        <f t="array" ref="P43">IFERROR(INDEX(BAZA_SKOK,MATCH($C43,BAZA_EX,0)),"")</f>
        <v/>
      </c>
      <c r="Q43" s="5" t="str">
        <f t="array" ref="Q43">IFERROR(INDEX(BAZA_PROG,MATCH($C43,BAZA_EX,0)),"")</f>
        <v/>
      </c>
      <c r="R43" s="5" t="str">
        <f>IF($C43="","",IF(SUMPRODUCT((START!$B$6:$B$69=$C43)*(START!$M$6:$M$69&gt;0))=0,"",SUMPRODUCT(MAX((START!$B$6:$B$69=$C43)*START!$M$6:$M$69))))</f>
        <v/>
      </c>
      <c r="S43" s="5" t="str">
        <f t="array" ref="S43">IFERROR(INDEX(TABELE!$B$4:$J$18,MATCH($E43,TABELE!$A$4:$A$18,0),MATCH($F43,TABELE!$B$3:$J$3,0)),"")</f>
        <v/>
      </c>
      <c r="T43" s="5">
        <f t="array" ref="T43">IFERROR(IF($C43="",0,$O43*$D43*INDEX(TABELE!$B$23:$P$33,MATCH($F43,TABELE!$A$23:$A$33,0),MATCH($E43,TABELE!$B$22:$P$22,0))),0)</f>
        <v>0</v>
      </c>
      <c r="U43" s="5">
        <f t="array" ref="U43">IFERROR(IF($C43="",0,$O43*$D43*INDEX(TABELE!$B$37:$P$47,MATCH($F43,TABELE!$A$37:$A$47,0),MATCH($E43,TABELE!$B$36:$P$36,0))),0)</f>
        <v>0</v>
      </c>
      <c r="V43" s="5">
        <f t="array" ref="V43">IFERROR(IF($C43="",0,$O43*$D43*INDEX(TABELE!$B$51:$P$61,MATCH($F43,TABELE!$A$51:$A$61,0),MATCH($E43,TABELE!$B$50:$P$50,0))),0)</f>
        <v>0</v>
      </c>
      <c r="W43" s="5" t="str">
        <f t="array" ref="W43">IFERROR(INDEX(BAZA_UWAGI,MATCH($C43,BAZA_EX,0)),"")</f>
        <v/>
      </c>
      <c r="X43" s="5">
        <f t="shared" si="11"/>
        <v>3</v>
      </c>
      <c r="Y43" s="5" t="str">
        <f t="shared" si="14"/>
        <v>C</v>
      </c>
      <c r="Z43" s="5">
        <f t="shared" si="15"/>
        <v>3</v>
      </c>
      <c r="AA43" s="5" t="str">
        <f>IF($C43="","",IF(SUMPRODUCT((START!$B$6:$B$69=$C43)*(START!$M$6:$M$69&gt;0))=0,"",SUMPRODUCT(MAX((START!$B$6:$B$69=$C43)*START!$M$6:$M$69))))</f>
        <v/>
      </c>
      <c r="AB43" s="5" t="str">
        <f t="shared" si="12"/>
        <v/>
      </c>
      <c r="AC43" s="5">
        <f>MAX(0.85,MIN(1.15,1+0.05*(COUNTIF('T1'!$AB43,"za łatwe")+COUNTIF('T2'!$AB43,"za łatwe")+COUNTIF('T3'!$AB43,"za łatwe"))-0.05*(COUNTIF('T1'!$AB43,"za trudne")+COUNTIF('T2'!$AB43,"za trudne")+COUNTIF('T3'!$AB43,"za trudne"))))</f>
        <v>1</v>
      </c>
      <c r="AD43" s="5">
        <f t="shared" si="13"/>
        <v>0</v>
      </c>
    </row>
    <row r="44" ht="25.5" customHeight="1" outlineLevel="1">
      <c r="A44" s="18" t="str">
        <f>IF('T1'!$A44="","",'T1'!$A44)</f>
        <v>D1.</v>
      </c>
      <c r="B44" s="30"/>
      <c r="C44" s="31" t="str">
        <f>IF('T1'!$C44="","",'T1'!$C44)</f>
        <v/>
      </c>
      <c r="D44" s="32">
        <v>3.0</v>
      </c>
      <c r="E44" s="39">
        <f>IF($C44="",0,MIN(15,MAX(1,IF(N($O44)&gt;=1,6,IF(N($O44)&gt;=0.75,IF(PRZEL_CZESC="część 1 (objętość)",8,6),IF(PRZEL_CZESC="część 1 (objętość)",10,8)))+0+$AD44)))</f>
        <v>0</v>
      </c>
      <c r="F44" s="33">
        <v>9.0</v>
      </c>
      <c r="G44" s="34" t="str">
        <f>IF($C44="","",IF(OR($Q44="masa ciała",$Q44="czas",$Q44="dystans",$Q44="ręczne ustawienie"),$Q44,IF($C44='T1'!$C44,IF(OR($R44="",$R44=0),"— brak 1RM",MROUND($R44*$S44/100*$AC44,MAX($P44,0.5))),IF(OR($AA44="",$AA44=0),"— ustaw ręcznie",MROUND($AA44*$S44/100*$AC44,MAX($P44,0.5))))))</f>
        <v/>
      </c>
      <c r="H44" s="35"/>
      <c r="I44" s="36" t="str">
        <f t="array" ref="I44">IFERROR(IF(IFERROR(INDEX(BAZA_FILM,MATCH($C44,BAZA_EX,0)),"")="","",HYPERLINK(IFERROR(INDEX(BAZA_FILM,MATCH($C44,BAZA_EX,0)),""),"film")),"")</f>
        <v/>
      </c>
      <c r="J44" s="37" t="str">
        <f>IF('T1'!$J44="","",'T1'!$J44)</f>
        <v/>
      </c>
      <c r="K44" s="5" t="s">
        <v>95</v>
      </c>
      <c r="L44" s="5" t="str">
        <f t="array" ref="L44">IFERROR(INDEX(BAZA_ID,MATCH($C44,BAZA_EX,0)),"")</f>
        <v/>
      </c>
      <c r="M44" s="5" t="str">
        <f t="array" ref="M44">IFERROR(INDEX(BAZA_PART,MATCH($C44,BAZA_EX,0)),"")</f>
        <v/>
      </c>
      <c r="N44" s="5" t="str">
        <f t="array" ref="N44">IFERROR(INDEX(BAZA_KAT,MATCH($C44,BAZA_EX,0)),"")</f>
        <v/>
      </c>
      <c r="O44" s="5" t="str">
        <f t="array" ref="O44">IFERROR(INDEX(BAZA_COEFF,MATCH($C44,BAZA_EX,0)),"")</f>
        <v/>
      </c>
      <c r="P44" s="5" t="str">
        <f t="array" ref="P44">IFERROR(INDEX(BAZA_SKOK,MATCH($C44,BAZA_EX,0)),"")</f>
        <v/>
      </c>
      <c r="Q44" s="5" t="str">
        <f t="array" ref="Q44">IFERROR(INDEX(BAZA_PROG,MATCH($C44,BAZA_EX,0)),"")</f>
        <v/>
      </c>
      <c r="R44" s="5" t="str">
        <f>IF($C44="","",IF(SUMPRODUCT((START!$B$6:$B$69=$C44)*(START!$M$6:$M$69&gt;0))=0,"",SUMPRODUCT(MAX((START!$B$6:$B$69=$C44)*START!$M$6:$M$69))))</f>
        <v/>
      </c>
      <c r="S44" s="5" t="str">
        <f t="array" ref="S44">IFERROR(INDEX(TABELE!$B$4:$J$18,MATCH($E44,TABELE!$A$4:$A$18,0),MATCH($F44,TABELE!$B$3:$J$3,0)),"")</f>
        <v/>
      </c>
      <c r="T44" s="5">
        <f t="array" ref="T44">IFERROR(IF($C44="",0,$O44*$D44*INDEX(TABELE!$B$23:$P$33,MATCH($F44,TABELE!$A$23:$A$33,0),MATCH($E44,TABELE!$B$22:$P$22,0))),0)</f>
        <v>0</v>
      </c>
      <c r="U44" s="5">
        <f t="array" ref="U44">IFERROR(IF($C44="",0,$O44*$D44*INDEX(TABELE!$B$37:$P$47,MATCH($F44,TABELE!$A$37:$A$47,0),MATCH($E44,TABELE!$B$36:$P$36,0))),0)</f>
        <v>0</v>
      </c>
      <c r="V44" s="5">
        <f t="array" ref="V44">IFERROR(IF($C44="",0,$O44*$D44*INDEX(TABELE!$B$51:$P$61,MATCH($F44,TABELE!$A$51:$A$61,0),MATCH($E44,TABELE!$B$50:$P$50,0))),0)</f>
        <v>0</v>
      </c>
      <c r="W44" s="5" t="str">
        <f t="array" ref="W44">IFERROR(INDEX(BAZA_UWAGI,MATCH($C44,BAZA_EX,0)),"")</f>
        <v/>
      </c>
      <c r="X44" s="5">
        <f t="shared" si="11"/>
        <v>4</v>
      </c>
      <c r="Y44" s="5" t="str">
        <f t="shared" si="14"/>
        <v>D</v>
      </c>
      <c r="Z44" s="5">
        <f t="shared" si="15"/>
        <v>4</v>
      </c>
      <c r="AA44" s="5" t="str">
        <f>IF($C44="","",IF(SUMPRODUCT((START!$B$6:$B$69=$C44)*(START!$M$6:$M$69&gt;0))=0,"",SUMPRODUCT(MAX((START!$B$6:$B$69=$C44)*START!$M$6:$M$69))))</f>
        <v/>
      </c>
      <c r="AB44" s="5" t="str">
        <f t="shared" si="12"/>
        <v/>
      </c>
      <c r="AC44" s="5">
        <f>MAX(0.85,MIN(1.15,1+0.05*(COUNTIF('T1'!$AB44,"za łatwe")+COUNTIF('T2'!$AB44,"za łatwe")+COUNTIF('T3'!$AB44,"za łatwe"))-0.05*(COUNTIF('T1'!$AB44,"za trudne")+COUNTIF('T2'!$AB44,"za trudne")+COUNTIF('T3'!$AB44,"za trudne"))))</f>
        <v>1</v>
      </c>
      <c r="AD44" s="5">
        <f t="shared" si="13"/>
        <v>0</v>
      </c>
    </row>
    <row r="45" ht="25.5" customHeight="1" outlineLevel="1">
      <c r="A45" s="18" t="str">
        <f>IF('T1'!$A45="","",'T1'!$A45)</f>
        <v>D2.</v>
      </c>
      <c r="B45" s="30"/>
      <c r="C45" s="31" t="str">
        <f>IF('T1'!$C45="","",'T1'!$C45)</f>
        <v/>
      </c>
      <c r="D45" s="32">
        <v>3.0</v>
      </c>
      <c r="E45" s="39">
        <f>IF($C45="",0,MIN(15,MAX(1,IF(N($O45)&gt;=1,6,IF(N($O45)&gt;=0.75,IF(PRZEL_CZESC="część 1 (objętość)",8,6),IF(PRZEL_CZESC="część 1 (objętość)",10,8)))+0+$AD45)))</f>
        <v>0</v>
      </c>
      <c r="F45" s="33">
        <v>10.0</v>
      </c>
      <c r="G45" s="34" t="str">
        <f>IF($C45="","",IF(OR($Q45="masa ciała",$Q45="czas",$Q45="dystans",$Q45="ręczne ustawienie"),$Q45,IF($C45='T1'!$C45,IF(OR($R45="",$R45=0),"— brak 1RM",MROUND($R45*$S45/100*$AC45,MAX($P45,0.5))),IF(OR($AA45="",$AA45=0),"— ustaw ręcznie",MROUND($AA45*$S45/100*$AC45,MAX($P45,0.5))))))</f>
        <v/>
      </c>
      <c r="H45" s="35"/>
      <c r="I45" s="36" t="str">
        <f t="array" ref="I45">IFERROR(IF(IFERROR(INDEX(BAZA_FILM,MATCH($C45,BAZA_EX,0)),"")="","",HYPERLINK(IFERROR(INDEX(BAZA_FILM,MATCH($C45,BAZA_EX,0)),""),"film")),"")</f>
        <v/>
      </c>
      <c r="J45" s="37" t="str">
        <f>IF('T1'!$J45="","",'T1'!$J45)</f>
        <v/>
      </c>
      <c r="K45" s="5" t="s">
        <v>96</v>
      </c>
      <c r="L45" s="5" t="str">
        <f t="array" ref="L45">IFERROR(INDEX(BAZA_ID,MATCH($C45,BAZA_EX,0)),"")</f>
        <v/>
      </c>
      <c r="M45" s="5" t="str">
        <f t="array" ref="M45">IFERROR(INDEX(BAZA_PART,MATCH($C45,BAZA_EX,0)),"")</f>
        <v/>
      </c>
      <c r="N45" s="5" t="str">
        <f t="array" ref="N45">IFERROR(INDEX(BAZA_KAT,MATCH($C45,BAZA_EX,0)),"")</f>
        <v/>
      </c>
      <c r="O45" s="5" t="str">
        <f t="array" ref="O45">IFERROR(INDEX(BAZA_COEFF,MATCH($C45,BAZA_EX,0)),"")</f>
        <v/>
      </c>
      <c r="P45" s="5" t="str">
        <f t="array" ref="P45">IFERROR(INDEX(BAZA_SKOK,MATCH($C45,BAZA_EX,0)),"")</f>
        <v/>
      </c>
      <c r="Q45" s="5" t="str">
        <f t="array" ref="Q45">IFERROR(INDEX(BAZA_PROG,MATCH($C45,BAZA_EX,0)),"")</f>
        <v/>
      </c>
      <c r="R45" s="5" t="str">
        <f>IF($C45="","",IF(SUMPRODUCT((START!$B$6:$B$69=$C45)*(START!$M$6:$M$69&gt;0))=0,"",SUMPRODUCT(MAX((START!$B$6:$B$69=$C45)*START!$M$6:$M$69))))</f>
        <v/>
      </c>
      <c r="S45" s="5" t="str">
        <f t="array" ref="S45">IFERROR(INDEX(TABELE!$B$4:$J$18,MATCH($E45,TABELE!$A$4:$A$18,0),MATCH($F45,TABELE!$B$3:$J$3,0)),"")</f>
        <v/>
      </c>
      <c r="T45" s="5">
        <f t="array" ref="T45">IFERROR(IF($C45="",0,$O45*$D45*INDEX(TABELE!$B$23:$P$33,MATCH($F45,TABELE!$A$23:$A$33,0),MATCH($E45,TABELE!$B$22:$P$22,0))),0)</f>
        <v>0</v>
      </c>
      <c r="U45" s="5">
        <f t="array" ref="U45">IFERROR(IF($C45="",0,$O45*$D45*INDEX(TABELE!$B$37:$P$47,MATCH($F45,TABELE!$A$37:$A$47,0),MATCH($E45,TABELE!$B$36:$P$36,0))),0)</f>
        <v>0</v>
      </c>
      <c r="V45" s="5">
        <f t="array" ref="V45">IFERROR(IF($C45="",0,$O45*$D45*INDEX(TABELE!$B$51:$P$61,MATCH($F45,TABELE!$A$51:$A$61,0),MATCH($E45,TABELE!$B$50:$P$50,0))),0)</f>
        <v>0</v>
      </c>
      <c r="W45" s="5" t="str">
        <f t="array" ref="W45">IFERROR(INDEX(BAZA_UWAGI,MATCH($C45,BAZA_EX,0)),"")</f>
        <v/>
      </c>
      <c r="X45" s="5">
        <f t="shared" si="11"/>
        <v>4</v>
      </c>
      <c r="Y45" s="5" t="str">
        <f t="shared" si="14"/>
        <v>D</v>
      </c>
      <c r="Z45" s="5">
        <f t="shared" si="15"/>
        <v>4</v>
      </c>
      <c r="AA45" s="5" t="str">
        <f>IF($C45="","",IF(SUMPRODUCT((START!$B$6:$B$69=$C45)*(START!$M$6:$M$69&gt;0))=0,"",SUMPRODUCT(MAX((START!$B$6:$B$69=$C45)*START!$M$6:$M$69))))</f>
        <v/>
      </c>
      <c r="AB45" s="5" t="str">
        <f t="shared" si="12"/>
        <v/>
      </c>
      <c r="AC45" s="5">
        <f>MAX(0.85,MIN(1.15,1+0.05*(COUNTIF('T1'!$AB45,"za łatwe")+COUNTIF('T2'!$AB45,"za łatwe")+COUNTIF('T3'!$AB45,"za łatwe"))-0.05*(COUNTIF('T1'!$AB45,"za trudne")+COUNTIF('T2'!$AB45,"za trudne")+COUNTIF('T3'!$AB45,"za trudne"))))</f>
        <v>1</v>
      </c>
      <c r="AD45" s="5">
        <f t="shared" si="13"/>
        <v>0</v>
      </c>
    </row>
    <row r="46" ht="25.5" customHeight="1" outlineLevel="1">
      <c r="A46" s="18" t="str">
        <f>IF('T1'!$A46="","",'T1'!$A46)</f>
        <v>E1.</v>
      </c>
      <c r="B46" s="30"/>
      <c r="C46" s="31" t="str">
        <f>IF('T1'!$C46="","",'T1'!$C46)</f>
        <v/>
      </c>
      <c r="D46" s="32"/>
      <c r="E46" s="39">
        <f>IF($C46="",0,MIN(15,MAX(1,IF(N($O46)&gt;=1,6,IF(N($O46)&gt;=0.75,IF(PRZEL_CZESC="część 1 (objętość)",8,6),IF(PRZEL_CZESC="część 1 (objętość)",10,8)))+0+$AD46)))</f>
        <v>0</v>
      </c>
      <c r="F46" s="33"/>
      <c r="G46" s="34" t="str">
        <f>IF($C46="","",IF(OR($Q46="masa ciała",$Q46="czas",$Q46="dystans",$Q46="ręczne ustawienie"),$Q46,IF($C46='T1'!$C46,IF(OR($R46="",$R46=0),"— brak 1RM",MROUND($R46*$S46/100*$AC46,MAX($P46,0.5))),IF(OR($AA46="",$AA46=0),"— ustaw ręcznie",MROUND($AA46*$S46/100*$AC46,MAX($P46,0.5))))))</f>
        <v/>
      </c>
      <c r="H46" s="35"/>
      <c r="I46" s="36" t="str">
        <f t="array" ref="I46">IFERROR(IF(IFERROR(INDEX(BAZA_FILM,MATCH($C46,BAZA_EX,0)),"")="","",HYPERLINK(IFERROR(INDEX(BAZA_FILM,MATCH($C46,BAZA_EX,0)),""),"film")),"")</f>
        <v/>
      </c>
      <c r="J46" s="37" t="str">
        <f>IF('T1'!$J46="","",'T1'!$J46)</f>
        <v/>
      </c>
      <c r="K46" s="5" t="s">
        <v>97</v>
      </c>
      <c r="L46" s="5" t="str">
        <f t="array" ref="L46">IFERROR(INDEX(BAZA_ID,MATCH($C46,BAZA_EX,0)),"")</f>
        <v/>
      </c>
      <c r="M46" s="5" t="str">
        <f t="array" ref="M46">IFERROR(INDEX(BAZA_PART,MATCH($C46,BAZA_EX,0)),"")</f>
        <v/>
      </c>
      <c r="N46" s="5" t="str">
        <f t="array" ref="N46">IFERROR(INDEX(BAZA_KAT,MATCH($C46,BAZA_EX,0)),"")</f>
        <v/>
      </c>
      <c r="O46" s="5" t="str">
        <f t="array" ref="O46">IFERROR(INDEX(BAZA_COEFF,MATCH($C46,BAZA_EX,0)),"")</f>
        <v/>
      </c>
      <c r="P46" s="5" t="str">
        <f t="array" ref="P46">IFERROR(INDEX(BAZA_SKOK,MATCH($C46,BAZA_EX,0)),"")</f>
        <v/>
      </c>
      <c r="Q46" s="5" t="str">
        <f t="array" ref="Q46">IFERROR(INDEX(BAZA_PROG,MATCH($C46,BAZA_EX,0)),"")</f>
        <v/>
      </c>
      <c r="R46" s="5" t="str">
        <f>IF($C46="","",IF(SUMPRODUCT((START!$B$6:$B$69=$C46)*(START!$M$6:$M$69&gt;0))=0,"",SUMPRODUCT(MAX((START!$B$6:$B$69=$C46)*START!$M$6:$M$69))))</f>
        <v/>
      </c>
      <c r="S46" s="5" t="str">
        <f t="array" ref="S46">IFERROR(INDEX(TABELE!$B$4:$J$18,MATCH($E46,TABELE!$A$4:$A$18,0),MATCH($F46,TABELE!$B$3:$J$3,0)),"")</f>
        <v/>
      </c>
      <c r="T46" s="5">
        <f t="array" ref="T46">IFERROR(IF($C46="",0,$O46*$D46*INDEX(TABELE!$B$23:$P$33,MATCH($F46,TABELE!$A$23:$A$33,0),MATCH($E46,TABELE!$B$22:$P$22,0))),0)</f>
        <v>0</v>
      </c>
      <c r="U46" s="5">
        <f t="array" ref="U46">IFERROR(IF($C46="",0,$O46*$D46*INDEX(TABELE!$B$37:$P$47,MATCH($F46,TABELE!$A$37:$A$47,0),MATCH($E46,TABELE!$B$36:$P$36,0))),0)</f>
        <v>0</v>
      </c>
      <c r="V46" s="5">
        <f t="array" ref="V46">IFERROR(IF($C46="",0,$O46*$D46*INDEX(TABELE!$B$51:$P$61,MATCH($F46,TABELE!$A$51:$A$61,0),MATCH($E46,TABELE!$B$50:$P$50,0))),0)</f>
        <v>0</v>
      </c>
      <c r="W46" s="5" t="str">
        <f t="array" ref="W46">IFERROR(INDEX(BAZA_UWAGI,MATCH($C46,BAZA_EX,0)),"")</f>
        <v/>
      </c>
      <c r="X46" s="5">
        <f t="shared" si="11"/>
        <v>5</v>
      </c>
      <c r="Y46" s="5" t="str">
        <f t="shared" si="14"/>
        <v>E</v>
      </c>
      <c r="Z46" s="5">
        <f t="shared" si="15"/>
        <v>5</v>
      </c>
      <c r="AA46" s="5" t="str">
        <f>IF($C46="","",IF(SUMPRODUCT((START!$B$6:$B$69=$C46)*(START!$M$6:$M$69&gt;0))=0,"",SUMPRODUCT(MAX((START!$B$6:$B$69=$C46)*START!$M$6:$M$69))))</f>
        <v/>
      </c>
      <c r="AB46" s="5" t="str">
        <f t="shared" si="12"/>
        <v/>
      </c>
      <c r="AC46" s="5">
        <f>MAX(0.85,MIN(1.15,1+0.05*(COUNTIF('T1'!$AB46,"za łatwe")+COUNTIF('T2'!$AB46,"za łatwe")+COUNTIF('T3'!$AB46,"za łatwe"))-0.05*(COUNTIF('T1'!$AB46,"za trudne")+COUNTIF('T2'!$AB46,"za trudne")+COUNTIF('T3'!$AB46,"za trudne"))))</f>
        <v>1</v>
      </c>
      <c r="AD46" s="5">
        <f t="shared" si="13"/>
        <v>0</v>
      </c>
    </row>
    <row r="47" ht="25.5" customHeight="1" outlineLevel="1">
      <c r="A47" s="18" t="str">
        <f>IF('T1'!$A47="","",'T1'!$A47)</f>
        <v>E2.</v>
      </c>
      <c r="B47" s="30"/>
      <c r="C47" s="31" t="str">
        <f>IF('T1'!$C47="","",'T1'!$C47)</f>
        <v/>
      </c>
      <c r="D47" s="32"/>
      <c r="E47" s="39">
        <f>IF($C47="",0,MIN(15,MAX(1,IF(N($O47)&gt;=1,6,IF(N($O47)&gt;=0.75,IF(PRZEL_CZESC="część 1 (objętość)",8,6),IF(PRZEL_CZESC="część 1 (objętość)",10,8)))+0+$AD47)))</f>
        <v>0</v>
      </c>
      <c r="F47" s="33"/>
      <c r="G47" s="34" t="str">
        <f>IF($C47="","",IF(OR($Q47="masa ciała",$Q47="czas",$Q47="dystans",$Q47="ręczne ustawienie"),$Q47,IF($C47='T1'!$C47,IF(OR($R47="",$R47=0),"— brak 1RM",MROUND($R47*$S47/100*$AC47,MAX($P47,0.5))),IF(OR($AA47="",$AA47=0),"— ustaw ręcznie",MROUND($AA47*$S47/100*$AC47,MAX($P47,0.5))))))</f>
        <v/>
      </c>
      <c r="H47" s="35"/>
      <c r="I47" s="36" t="str">
        <f t="array" ref="I47">IFERROR(IF(IFERROR(INDEX(BAZA_FILM,MATCH($C47,BAZA_EX,0)),"")="","",HYPERLINK(IFERROR(INDEX(BAZA_FILM,MATCH($C47,BAZA_EX,0)),""),"film")),"")</f>
        <v/>
      </c>
      <c r="J47" s="37" t="str">
        <f>IF('T1'!$J47="","",'T1'!$J47)</f>
        <v/>
      </c>
      <c r="K47" s="5" t="s">
        <v>98</v>
      </c>
      <c r="L47" s="5" t="str">
        <f t="array" ref="L47">IFERROR(INDEX(BAZA_ID,MATCH($C47,BAZA_EX,0)),"")</f>
        <v/>
      </c>
      <c r="M47" s="5" t="str">
        <f t="array" ref="M47">IFERROR(INDEX(BAZA_PART,MATCH($C47,BAZA_EX,0)),"")</f>
        <v/>
      </c>
      <c r="N47" s="5" t="str">
        <f t="array" ref="N47">IFERROR(INDEX(BAZA_KAT,MATCH($C47,BAZA_EX,0)),"")</f>
        <v/>
      </c>
      <c r="O47" s="5" t="str">
        <f t="array" ref="O47">IFERROR(INDEX(BAZA_COEFF,MATCH($C47,BAZA_EX,0)),"")</f>
        <v/>
      </c>
      <c r="P47" s="5" t="str">
        <f t="array" ref="P47">IFERROR(INDEX(BAZA_SKOK,MATCH($C47,BAZA_EX,0)),"")</f>
        <v/>
      </c>
      <c r="Q47" s="5" t="str">
        <f t="array" ref="Q47">IFERROR(INDEX(BAZA_PROG,MATCH($C47,BAZA_EX,0)),"")</f>
        <v/>
      </c>
      <c r="R47" s="5" t="str">
        <f>IF($C47="","",IF(SUMPRODUCT((START!$B$6:$B$69=$C47)*(START!$M$6:$M$69&gt;0))=0,"",SUMPRODUCT(MAX((START!$B$6:$B$69=$C47)*START!$M$6:$M$69))))</f>
        <v/>
      </c>
      <c r="S47" s="5" t="str">
        <f t="array" ref="S47">IFERROR(INDEX(TABELE!$B$4:$J$18,MATCH($E47,TABELE!$A$4:$A$18,0),MATCH($F47,TABELE!$B$3:$J$3,0)),"")</f>
        <v/>
      </c>
      <c r="T47" s="5">
        <f t="array" ref="T47">IFERROR(IF($C47="",0,$O47*$D47*INDEX(TABELE!$B$23:$P$33,MATCH($F47,TABELE!$A$23:$A$33,0),MATCH($E47,TABELE!$B$22:$P$22,0))),0)</f>
        <v>0</v>
      </c>
      <c r="U47" s="5">
        <f t="array" ref="U47">IFERROR(IF($C47="",0,$O47*$D47*INDEX(TABELE!$B$37:$P$47,MATCH($F47,TABELE!$A$37:$A$47,0),MATCH($E47,TABELE!$B$36:$P$36,0))),0)</f>
        <v>0</v>
      </c>
      <c r="V47" s="5">
        <f t="array" ref="V47">IFERROR(IF($C47="",0,$O47*$D47*INDEX(TABELE!$B$51:$P$61,MATCH($F47,TABELE!$A$51:$A$61,0),MATCH($E47,TABELE!$B$50:$P$50,0))),0)</f>
        <v>0</v>
      </c>
      <c r="W47" s="5" t="str">
        <f t="array" ref="W47">IFERROR(INDEX(BAZA_UWAGI,MATCH($C47,BAZA_EX,0)),"")</f>
        <v/>
      </c>
      <c r="X47" s="5">
        <f t="shared" si="11"/>
        <v>5</v>
      </c>
      <c r="Y47" s="5" t="str">
        <f t="shared" si="14"/>
        <v>E</v>
      </c>
      <c r="Z47" s="5">
        <f t="shared" si="15"/>
        <v>5</v>
      </c>
      <c r="AA47" s="5" t="str">
        <f>IF($C47="","",IF(SUMPRODUCT((START!$B$6:$B$69=$C47)*(START!$M$6:$M$69&gt;0))=0,"",SUMPRODUCT(MAX((START!$B$6:$B$69=$C47)*START!$M$6:$M$69))))</f>
        <v/>
      </c>
      <c r="AB47" s="5" t="str">
        <f t="shared" si="12"/>
        <v/>
      </c>
      <c r="AC47" s="5">
        <f>MAX(0.85,MIN(1.15,1+0.05*(COUNTIF('T1'!$AB47,"za łatwe")+COUNTIF('T2'!$AB47,"za łatwe")+COUNTIF('T3'!$AB47,"za łatwe"))-0.05*(COUNTIF('T1'!$AB47,"za trudne")+COUNTIF('T2'!$AB47,"za trudne")+COUNTIF('T3'!$AB47,"za trudne"))))</f>
        <v>1</v>
      </c>
      <c r="AD47" s="5">
        <f t="shared" si="13"/>
        <v>0</v>
      </c>
    </row>
    <row r="48" ht="25.5" customHeight="1" outlineLevel="1">
      <c r="A48" s="18" t="str">
        <f>IF('T1'!$A48="","",'T1'!$A48)</f>
        <v/>
      </c>
      <c r="B48" s="30"/>
      <c r="C48" s="31" t="str">
        <f>IF('T1'!$C48="","",'T1'!$C48)</f>
        <v/>
      </c>
      <c r="D48" s="32"/>
      <c r="E48" s="39">
        <f>IF($C48="",0,MIN(15,MAX(1,IF(N($O48)&gt;=1,6,IF(N($O48)&gt;=0.75,IF(PRZEL_CZESC="część 1 (objętość)",8,6),IF(PRZEL_CZESC="część 1 (objętość)",10,8)))+0+$AD48)))</f>
        <v>0</v>
      </c>
      <c r="F48" s="33"/>
      <c r="G48" s="34" t="str">
        <f>IF($C48="","",IF(OR($Q48="masa ciała",$Q48="czas",$Q48="dystans",$Q48="ręczne ustawienie"),$Q48,IF($C48='T1'!$C48,IF(OR($R48="",$R48=0),"— brak 1RM",MROUND($R48*$S48/100*$AC48,MAX($P48,0.5))),IF(OR($AA48="",$AA48=0),"— ustaw ręcznie",MROUND($AA48*$S48/100*$AC48,MAX($P48,0.5))))))</f>
        <v/>
      </c>
      <c r="H48" s="35"/>
      <c r="I48" s="36" t="str">
        <f t="array" ref="I48">IFERROR(IF(IFERROR(INDEX(BAZA_FILM,MATCH($C48,BAZA_EX,0)),"")="","",HYPERLINK(IFERROR(INDEX(BAZA_FILM,MATCH($C48,BAZA_EX,0)),""),"film")),"")</f>
        <v/>
      </c>
      <c r="J48" s="37" t="str">
        <f>IF('T1'!$J48="","",'T1'!$J48)</f>
        <v/>
      </c>
      <c r="K48" s="5" t="s">
        <v>99</v>
      </c>
      <c r="L48" s="5" t="str">
        <f t="array" ref="L48">IFERROR(INDEX(BAZA_ID,MATCH($C48,BAZA_EX,0)),"")</f>
        <v/>
      </c>
      <c r="M48" s="5" t="str">
        <f t="array" ref="M48">IFERROR(INDEX(BAZA_PART,MATCH($C48,BAZA_EX,0)),"")</f>
        <v/>
      </c>
      <c r="N48" s="5" t="str">
        <f t="array" ref="N48">IFERROR(INDEX(BAZA_KAT,MATCH($C48,BAZA_EX,0)),"")</f>
        <v/>
      </c>
      <c r="O48" s="5" t="str">
        <f t="array" ref="O48">IFERROR(INDEX(BAZA_COEFF,MATCH($C48,BAZA_EX,0)),"")</f>
        <v/>
      </c>
      <c r="P48" s="5" t="str">
        <f t="array" ref="P48">IFERROR(INDEX(BAZA_SKOK,MATCH($C48,BAZA_EX,0)),"")</f>
        <v/>
      </c>
      <c r="Q48" s="5" t="str">
        <f t="array" ref="Q48">IFERROR(INDEX(BAZA_PROG,MATCH($C48,BAZA_EX,0)),"")</f>
        <v/>
      </c>
      <c r="R48" s="5" t="str">
        <f>IF($C48="","",IF(SUMPRODUCT((START!$B$6:$B$69=$C48)*(START!$M$6:$M$69&gt;0))=0,"",SUMPRODUCT(MAX((START!$B$6:$B$69=$C48)*START!$M$6:$M$69))))</f>
        <v/>
      </c>
      <c r="S48" s="5" t="str">
        <f t="array" ref="S48">IFERROR(INDEX(TABELE!$B$4:$J$18,MATCH($E48,TABELE!$A$4:$A$18,0),MATCH($F48,TABELE!$B$3:$J$3,0)),"")</f>
        <v/>
      </c>
      <c r="T48" s="5">
        <f t="array" ref="T48">IFERROR(IF($C48="",0,$O48*$D48*INDEX(TABELE!$B$23:$P$33,MATCH($F48,TABELE!$A$23:$A$33,0),MATCH($E48,TABELE!$B$22:$P$22,0))),0)</f>
        <v>0</v>
      </c>
      <c r="U48" s="5">
        <f t="array" ref="U48">IFERROR(IF($C48="",0,$O48*$D48*INDEX(TABELE!$B$37:$P$47,MATCH($F48,TABELE!$A$37:$A$47,0),MATCH($E48,TABELE!$B$36:$P$36,0))),0)</f>
        <v>0</v>
      </c>
      <c r="V48" s="5">
        <f t="array" ref="V48">IFERROR(IF($C48="",0,$O48*$D48*INDEX(TABELE!$B$51:$P$61,MATCH($F48,TABELE!$A$51:$A$61,0),MATCH($E48,TABELE!$B$50:$P$50,0))),0)</f>
        <v>0</v>
      </c>
      <c r="W48" s="5" t="str">
        <f t="array" ref="W48">IFERROR(INDEX(BAZA_UWAGI,MATCH($C48,BAZA_EX,0)),"")</f>
        <v/>
      </c>
      <c r="X48" s="5" t="str">
        <f t="shared" si="11"/>
        <v/>
      </c>
      <c r="Y48" s="5" t="str">
        <f t="shared" si="14"/>
        <v>E</v>
      </c>
      <c r="Z48" s="5">
        <f t="shared" si="15"/>
        <v>5</v>
      </c>
      <c r="AA48" s="5" t="str">
        <f>IF($C48="","",IF(SUMPRODUCT((START!$B$6:$B$69=$C48)*(START!$M$6:$M$69&gt;0))=0,"",SUMPRODUCT(MAX((START!$B$6:$B$69=$C48)*START!$M$6:$M$69))))</f>
        <v/>
      </c>
      <c r="AB48" s="5" t="str">
        <f t="shared" si="12"/>
        <v/>
      </c>
      <c r="AC48" s="5">
        <f>MAX(0.85,MIN(1.15,1+0.05*(COUNTIF('T1'!$AB48,"za łatwe")+COUNTIF('T2'!$AB48,"za łatwe")+COUNTIF('T3'!$AB48,"za łatwe"))-0.05*(COUNTIF('T1'!$AB48,"za trudne")+COUNTIF('T2'!$AB48,"za trudne")+COUNTIF('T3'!$AB48,"za trudne"))))</f>
        <v>1</v>
      </c>
      <c r="AD48" s="5">
        <f t="shared" si="13"/>
        <v>0</v>
      </c>
    </row>
    <row r="49" ht="25.5" customHeight="1" outlineLevel="1">
      <c r="A49" s="18" t="str">
        <f>IF('T1'!$A49="","",'T1'!$A49)</f>
        <v/>
      </c>
      <c r="B49" s="30"/>
      <c r="C49" s="31" t="str">
        <f>IF('T1'!$C49="","",'T1'!$C49)</f>
        <v/>
      </c>
      <c r="D49" s="32"/>
      <c r="E49" s="39">
        <f>IF($C49="",0,MIN(15,MAX(1,IF(N($O49)&gt;=1,6,IF(N($O49)&gt;=0.75,IF(PRZEL_CZESC="część 1 (objętość)",8,6),IF(PRZEL_CZESC="część 1 (objętość)",10,8)))+0+$AD49)))</f>
        <v>0</v>
      </c>
      <c r="F49" s="33"/>
      <c r="G49" s="34" t="str">
        <f>IF($C49="","",IF(OR($Q49="masa ciała",$Q49="czas",$Q49="dystans",$Q49="ręczne ustawienie"),$Q49,IF($C49='T1'!$C49,IF(OR($R49="",$R49=0),"— brak 1RM",MROUND($R49*$S49/100*$AC49,MAX($P49,0.5))),IF(OR($AA49="",$AA49=0),"— ustaw ręcznie",MROUND($AA49*$S49/100*$AC49,MAX($P49,0.5))))))</f>
        <v/>
      </c>
      <c r="H49" s="35"/>
      <c r="I49" s="36" t="str">
        <f t="array" ref="I49">IFERROR(IF(IFERROR(INDEX(BAZA_FILM,MATCH($C49,BAZA_EX,0)),"")="","",HYPERLINK(IFERROR(INDEX(BAZA_FILM,MATCH($C49,BAZA_EX,0)),""),"film")),"")</f>
        <v/>
      </c>
      <c r="J49" s="37" t="str">
        <f>IF('T1'!$J49="","",'T1'!$J49)</f>
        <v/>
      </c>
      <c r="K49" s="5" t="s">
        <v>101</v>
      </c>
      <c r="L49" s="5" t="str">
        <f t="array" ref="L49">IFERROR(INDEX(BAZA_ID,MATCH($C49,BAZA_EX,0)),"")</f>
        <v/>
      </c>
      <c r="M49" s="5" t="str">
        <f t="array" ref="M49">IFERROR(INDEX(BAZA_PART,MATCH($C49,BAZA_EX,0)),"")</f>
        <v/>
      </c>
      <c r="N49" s="5" t="str">
        <f t="array" ref="N49">IFERROR(INDEX(BAZA_KAT,MATCH($C49,BAZA_EX,0)),"")</f>
        <v/>
      </c>
      <c r="O49" s="5" t="str">
        <f t="array" ref="O49">IFERROR(INDEX(BAZA_COEFF,MATCH($C49,BAZA_EX,0)),"")</f>
        <v/>
      </c>
      <c r="P49" s="5" t="str">
        <f t="array" ref="P49">IFERROR(INDEX(BAZA_SKOK,MATCH($C49,BAZA_EX,0)),"")</f>
        <v/>
      </c>
      <c r="Q49" s="5" t="str">
        <f t="array" ref="Q49">IFERROR(INDEX(BAZA_PROG,MATCH($C49,BAZA_EX,0)),"")</f>
        <v/>
      </c>
      <c r="R49" s="5" t="str">
        <f>IF($C49="","",IF(SUMPRODUCT((START!$B$6:$B$69=$C49)*(START!$M$6:$M$69&gt;0))=0,"",SUMPRODUCT(MAX((START!$B$6:$B$69=$C49)*START!$M$6:$M$69))))</f>
        <v/>
      </c>
      <c r="S49" s="5" t="str">
        <f t="array" ref="S49">IFERROR(INDEX(TABELE!$B$4:$J$18,MATCH($E49,TABELE!$A$4:$A$18,0),MATCH($F49,TABELE!$B$3:$J$3,0)),"")</f>
        <v/>
      </c>
      <c r="T49" s="5">
        <f t="array" ref="T49">IFERROR(IF($C49="",0,$O49*$D49*INDEX(TABELE!$B$23:$P$33,MATCH($F49,TABELE!$A$23:$A$33,0),MATCH($E49,TABELE!$B$22:$P$22,0))),0)</f>
        <v>0</v>
      </c>
      <c r="U49" s="5">
        <f t="array" ref="U49">IFERROR(IF($C49="",0,$O49*$D49*INDEX(TABELE!$B$37:$P$47,MATCH($F49,TABELE!$A$37:$A$47,0),MATCH($E49,TABELE!$B$36:$P$36,0))),0)</f>
        <v>0</v>
      </c>
      <c r="V49" s="5">
        <f t="array" ref="V49">IFERROR(IF($C49="",0,$O49*$D49*INDEX(TABELE!$B$51:$P$61,MATCH($F49,TABELE!$A$51:$A$61,0),MATCH($E49,TABELE!$B$50:$P$50,0))),0)</f>
        <v>0</v>
      </c>
      <c r="W49" s="5" t="str">
        <f t="array" ref="W49">IFERROR(INDEX(BAZA_UWAGI,MATCH($C49,BAZA_EX,0)),"")</f>
        <v/>
      </c>
      <c r="X49" s="5" t="str">
        <f t="shared" si="11"/>
        <v/>
      </c>
      <c r="Y49" s="5" t="str">
        <f t="shared" si="14"/>
        <v>E</v>
      </c>
      <c r="Z49" s="5">
        <f t="shared" si="15"/>
        <v>5</v>
      </c>
      <c r="AA49" s="5" t="str">
        <f>IF($C49="","",IF(SUMPRODUCT((START!$B$6:$B$69=$C49)*(START!$M$6:$M$69&gt;0))=0,"",SUMPRODUCT(MAX((START!$B$6:$B$69=$C49)*START!$M$6:$M$69))))</f>
        <v/>
      </c>
      <c r="AB49" s="5" t="str">
        <f t="shared" si="12"/>
        <v/>
      </c>
      <c r="AC49" s="5">
        <f>MAX(0.85,MIN(1.15,1+0.05*(COUNTIF('T1'!$AB49,"za łatwe")+COUNTIF('T2'!$AB49,"za łatwe")+COUNTIF('T3'!$AB49,"za łatwe"))-0.05*(COUNTIF('T1'!$AB49,"za trudne")+COUNTIF('T2'!$AB49,"za trudne")+COUNTIF('T3'!$AB49,"za trudne"))))</f>
        <v>1</v>
      </c>
      <c r="AD49" s="5">
        <f t="shared" si="13"/>
        <v>0</v>
      </c>
    </row>
    <row r="50" ht="25.5" customHeight="1" outlineLevel="1">
      <c r="A50" s="18" t="str">
        <f>IF('T1'!$A50="","",'T1'!$A50)</f>
        <v/>
      </c>
      <c r="B50" s="30"/>
      <c r="C50" s="31" t="str">
        <f>IF('T1'!$C50="","",'T1'!$C50)</f>
        <v/>
      </c>
      <c r="D50" s="32"/>
      <c r="E50" s="39">
        <f>IF($C50="",0,MIN(15,MAX(1,IF(N($O50)&gt;=1,6,IF(N($O50)&gt;=0.75,IF(PRZEL_CZESC="część 1 (objętość)",8,6),IF(PRZEL_CZESC="część 1 (objętość)",10,8)))+0+$AD50)))</f>
        <v>0</v>
      </c>
      <c r="F50" s="33"/>
      <c r="G50" s="34" t="str">
        <f>IF($C50="","",IF(OR($Q50="masa ciała",$Q50="czas",$Q50="dystans",$Q50="ręczne ustawienie"),$Q50,IF($C50='T1'!$C50,IF(OR($R50="",$R50=0),"— brak 1RM",MROUND($R50*$S50/100*$AC50,MAX($P50,0.5))),IF(OR($AA50="",$AA50=0),"— ustaw ręcznie",MROUND($AA50*$S50/100*$AC50,MAX($P50,0.5))))))</f>
        <v/>
      </c>
      <c r="H50" s="35"/>
      <c r="I50" s="36" t="str">
        <f t="array" ref="I50">IFERROR(IF(IFERROR(INDEX(BAZA_FILM,MATCH($C50,BAZA_EX,0)),"")="","",HYPERLINK(IFERROR(INDEX(BAZA_FILM,MATCH($C50,BAZA_EX,0)),""),"film")),"")</f>
        <v/>
      </c>
      <c r="J50" s="37" t="str">
        <f>IF('T1'!$J50="","",'T1'!$J50)</f>
        <v/>
      </c>
      <c r="K50" s="5" t="s">
        <v>102</v>
      </c>
      <c r="L50" s="5" t="str">
        <f t="array" ref="L50">IFERROR(INDEX(BAZA_ID,MATCH($C50,BAZA_EX,0)),"")</f>
        <v/>
      </c>
      <c r="M50" s="5" t="str">
        <f t="array" ref="M50">IFERROR(INDEX(BAZA_PART,MATCH($C50,BAZA_EX,0)),"")</f>
        <v/>
      </c>
      <c r="N50" s="5" t="str">
        <f t="array" ref="N50">IFERROR(INDEX(BAZA_KAT,MATCH($C50,BAZA_EX,0)),"")</f>
        <v/>
      </c>
      <c r="O50" s="5" t="str">
        <f t="array" ref="O50">IFERROR(INDEX(BAZA_COEFF,MATCH($C50,BAZA_EX,0)),"")</f>
        <v/>
      </c>
      <c r="P50" s="5" t="str">
        <f t="array" ref="P50">IFERROR(INDEX(BAZA_SKOK,MATCH($C50,BAZA_EX,0)),"")</f>
        <v/>
      </c>
      <c r="Q50" s="5" t="str">
        <f t="array" ref="Q50">IFERROR(INDEX(BAZA_PROG,MATCH($C50,BAZA_EX,0)),"")</f>
        <v/>
      </c>
      <c r="R50" s="5" t="str">
        <f>IF($C50="","",IF(SUMPRODUCT((START!$B$6:$B$69=$C50)*(START!$M$6:$M$69&gt;0))=0,"",SUMPRODUCT(MAX((START!$B$6:$B$69=$C50)*START!$M$6:$M$69))))</f>
        <v/>
      </c>
      <c r="S50" s="5" t="str">
        <f t="array" ref="S50">IFERROR(INDEX(TABELE!$B$4:$J$18,MATCH($E50,TABELE!$A$4:$A$18,0),MATCH($F50,TABELE!$B$3:$J$3,0)),"")</f>
        <v/>
      </c>
      <c r="T50" s="5">
        <f t="array" ref="T50">IFERROR(IF($C50="",0,$O50*$D50*INDEX(TABELE!$B$23:$P$33,MATCH($F50,TABELE!$A$23:$A$33,0),MATCH($E50,TABELE!$B$22:$P$22,0))),0)</f>
        <v>0</v>
      </c>
      <c r="U50" s="5">
        <f t="array" ref="U50">IFERROR(IF($C50="",0,$O50*$D50*INDEX(TABELE!$B$37:$P$47,MATCH($F50,TABELE!$A$37:$A$47,0),MATCH($E50,TABELE!$B$36:$P$36,0))),0)</f>
        <v>0</v>
      </c>
      <c r="V50" s="5">
        <f t="array" ref="V50">IFERROR(IF($C50="",0,$O50*$D50*INDEX(TABELE!$B$51:$P$61,MATCH($F50,TABELE!$A$51:$A$61,0),MATCH($E50,TABELE!$B$50:$P$50,0))),0)</f>
        <v>0</v>
      </c>
      <c r="W50" s="5" t="str">
        <f t="array" ref="W50">IFERROR(INDEX(BAZA_UWAGI,MATCH($C50,BAZA_EX,0)),"")</f>
        <v/>
      </c>
      <c r="X50" s="5" t="str">
        <f t="shared" si="11"/>
        <v/>
      </c>
      <c r="Y50" s="5" t="str">
        <f t="shared" si="14"/>
        <v>E</v>
      </c>
      <c r="Z50" s="5">
        <f t="shared" si="15"/>
        <v>5</v>
      </c>
      <c r="AA50" s="5" t="str">
        <f>IF($C50="","",IF(SUMPRODUCT((START!$B$6:$B$69=$C50)*(START!$M$6:$M$69&gt;0))=0,"",SUMPRODUCT(MAX((START!$B$6:$B$69=$C50)*START!$M$6:$M$69))))</f>
        <v/>
      </c>
      <c r="AB50" s="5" t="str">
        <f t="shared" si="12"/>
        <v/>
      </c>
      <c r="AC50" s="5">
        <f>MAX(0.85,MIN(1.15,1+0.05*(COUNTIF('T1'!$AB50,"za łatwe")+COUNTIF('T2'!$AB50,"za łatwe")+COUNTIF('T3'!$AB50,"za łatwe"))-0.05*(COUNTIF('T1'!$AB50,"za trudne")+COUNTIF('T2'!$AB50,"za trudne")+COUNTIF('T3'!$AB50,"za trudne"))))</f>
        <v>1</v>
      </c>
      <c r="AD50" s="5">
        <f t="shared" si="13"/>
        <v>0</v>
      </c>
    </row>
    <row r="51" ht="19.5" customHeight="1" outlineLevel="1">
      <c r="A51" s="43"/>
      <c r="B51" s="43"/>
      <c r="C51" s="44" t="s">
        <v>137</v>
      </c>
      <c r="D51" s="45">
        <f>SUMPRODUCT((C39:C50&lt;&gt;"")*D39:D50)+IF(AND($B$38="TOP SET",$C$38&lt;&gt;""),1,0)</f>
      </c>
      <c r="E51" s="46" t="str">
        <f>SUMPRODUCT((C39:C50&lt;&gt;"")*D39:D50*E39:E50)&amp;" powt."</f>
        <v>0 powt.</v>
      </c>
      <c r="F51" s="43"/>
      <c r="G51" s="47" t="str">
        <f>"stres t "&amp;TEXT(SUM(T39:T50),"0.0")</f>
        <v>stres t 0,0</v>
      </c>
      <c r="H51" s="48"/>
      <c r="I51" s="43"/>
      <c r="J51" s="4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25.5" hidden="1" customHeight="1" outlineLevel="1">
      <c r="A53" s="15" t="s">
        <v>103</v>
      </c>
      <c r="B53" s="3"/>
      <c r="C53" s="3"/>
      <c r="D53" s="3"/>
      <c r="E53" s="3"/>
      <c r="F53" s="3"/>
      <c r="G53" s="3"/>
      <c r="H53" s="3"/>
      <c r="I53" s="3"/>
      <c r="J53" s="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33.75" hidden="1" customHeight="1" outlineLevel="2">
      <c r="A54" s="17" t="str">
        <f>IF($B54="TOP SET","▲","")</f>
        <v>▲</v>
      </c>
      <c r="B54" s="19" t="str">
        <f>IF('T1'!$B54="TOP SET","TOP SET","—")</f>
        <v>TOP SET</v>
      </c>
      <c r="C54" s="22" t="str">
        <f>IF(OR($B54&lt;&gt;"TOP SET",$F54=""),"",IF(N($K54)=0,"",IF(INDEX($C$55:$C$66,$K54)="","",INDEX($C$55:$C$66,$K54))))</f>
      </c>
      <c r="D54" s="23">
        <f>IF(AND($B54="TOP SET",$F54&lt;&gt;""),1,"")</f>
      </c>
      <c r="E54" s="24" t="str">
        <f>IF(AND($B54="TOP SET",$F54&lt;&gt;""),"1 powtórzenie","")</f>
      </c>
      <c r="F54" s="25">
        <v>7.0</v>
      </c>
      <c r="G54" s="27" t="str">
        <f t="array" ref="G54">IF($B54&lt;&gt;"TOP SET","",IF($C54="","",IF(OR($Q54="masa ciała",$Q54="czas",$Q54="dystans",$Q54="ręczne ustawienie"),"—",IF($C54='T1'!$C54,IF(OR($R54="",$R54=0),"— brak 1RM",MROUND($R54*IFERROR(INDEX(TABELE!$B$4:$J$18,MATCH(1,TABELE!$A$4:$A$18,0),MATCH($F54,TABELE!$B$3:$J$3,0)),0)/100,MAX($P54,0.5))),IF(OR($AA54="",$AA54=0),"— ustaw ręcznie",MROUND($AA54*IFERROR(INDEX(TABELE!$B$4:$J$18,MATCH(1,TABELE!$A$4:$A$18,0),MATCH($F54,TABELE!$B$3:$J$3,0)),0)/100,MAX($P54,0.5)))))))</f>
      </c>
      <c r="H54" s="28"/>
      <c r="I54" s="29"/>
      <c r="J54" s="29"/>
      <c r="K54" s="5">
        <f>IFERROR(MATCH("A*",$A$55:$A$66,0),0)</f>
      </c>
      <c r="L54" s="5"/>
      <c r="M54" s="5"/>
      <c r="N54" s="5"/>
      <c r="O54" s="5"/>
      <c r="P54" s="5">
        <f>IF(N($K54)=0,"",INDEX($P$55:$P$66,$K54))</f>
      </c>
      <c r="Q54" s="5">
        <f>IF(N($K54)=0,"",INDEX($Q$55:$Q$66,$K54))</f>
      </c>
      <c r="R54" s="5">
        <f>IF(N($K54)=0,"",INDEX($R$55:$R$66,$K54))</f>
      </c>
      <c r="S54" s="5"/>
      <c r="T54" s="5"/>
      <c r="U54" s="5"/>
      <c r="V54" s="5"/>
      <c r="W54" s="5"/>
      <c r="X54" s="5"/>
      <c r="Y54" s="5"/>
      <c r="Z54" s="5"/>
      <c r="AA54" s="5">
        <f>IF(N($K54)=0,"",INDEX($AA$55:$AA$66,$K54))</f>
      </c>
    </row>
    <row r="55" ht="25.5" hidden="1" customHeight="1" outlineLevel="1">
      <c r="A55" s="18" t="str">
        <f>IF('T1'!$A55="","",'T1'!$A55)</f>
        <v>A1.</v>
      </c>
      <c r="B55" s="30"/>
      <c r="C55" s="31" t="str">
        <f>IF('T1'!$C55="","",'T1'!$C55)</f>
        <v/>
      </c>
      <c r="D55" s="32">
        <v>4.0</v>
      </c>
      <c r="E55" s="32">
        <v>5.0</v>
      </c>
      <c r="F55" s="33">
        <v>7.5</v>
      </c>
      <c r="G55" s="34" t="str">
        <f>IF($C55="","",IF(OR($Q55="masa ciała",$Q55="czas",$Q55="dystans",$Q55="ręczne ustawienie"),$Q55,IF($C55='T1'!$C55,IF(OR($R55="",$R55=0),"— brak 1RM",MROUND($R55*$S55/100*$AC55,MAX($P55,0.5))),IF(OR($AA55="",$AA55=0),"— ustaw ręcznie",MROUND($AA55*$S55/100*$AC55,MAX($P55,0.5))))))</f>
        <v/>
      </c>
      <c r="H55" s="35"/>
      <c r="I55" s="36" t="str">
        <f t="array" ref="I55">IFERROR(IF(IFERROR(INDEX(BAZA_FILM,MATCH($C55,BAZA_EX,0)),"")="","",HYPERLINK(IFERROR(INDEX(BAZA_FILM,MATCH($C55,BAZA_EX,0)),""),"film")),"")</f>
        <v/>
      </c>
      <c r="J55" s="37" t="str">
        <f>IF('T1'!$J55="","",'T1'!$J55)</f>
        <v/>
      </c>
      <c r="K55" s="5" t="s">
        <v>104</v>
      </c>
      <c r="L55" s="5" t="str">
        <f t="array" ref="L55">IFERROR(INDEX(BAZA_ID,MATCH($C55,BAZA_EX,0)),"")</f>
        <v/>
      </c>
      <c r="M55" s="5" t="str">
        <f t="array" ref="M55">IFERROR(INDEX(BAZA_PART,MATCH($C55,BAZA_EX,0)),"")</f>
        <v/>
      </c>
      <c r="N55" s="5" t="str">
        <f t="array" ref="N55">IFERROR(INDEX(BAZA_KAT,MATCH($C55,BAZA_EX,0)),"")</f>
        <v/>
      </c>
      <c r="O55" s="5" t="str">
        <f t="array" ref="O55">IFERROR(INDEX(BAZA_COEFF,MATCH($C55,BAZA_EX,0)),"")</f>
        <v/>
      </c>
      <c r="P55" s="5" t="str">
        <f t="array" ref="P55">IFERROR(INDEX(BAZA_SKOK,MATCH($C55,BAZA_EX,0)),"")</f>
        <v/>
      </c>
      <c r="Q55" s="5" t="str">
        <f t="array" ref="Q55">IFERROR(INDEX(BAZA_PROG,MATCH($C55,BAZA_EX,0)),"")</f>
        <v/>
      </c>
      <c r="R55" s="5" t="str">
        <f>IF($C55="","",IF(SUMPRODUCT((START!$B$6:$B$69=$C55)*(START!$M$6:$M$69&gt;0))=0,"",SUMPRODUCT(MAX((START!$B$6:$B$69=$C55)*START!$M$6:$M$69))))</f>
        <v/>
      </c>
      <c r="S55" s="5">
        <f t="array" ref="S55">IFERROR(INDEX(TABELE!$B$4:$J$18,MATCH($E55,TABELE!$A$4:$A$18,0),MATCH($F55,TABELE!$B$3:$J$3,0)),"")</f>
        <v>77.5</v>
      </c>
      <c r="T55" s="5">
        <f t="array" ref="T55">IFERROR(IF($C55="",0,$O55*$D55*INDEX(TABELE!$B$23:$P$33,MATCH($F55,TABELE!$A$23:$A$33,0),MATCH($E55,TABELE!$B$22:$P$22,0))),0)</f>
        <v>0</v>
      </c>
      <c r="U55" s="5">
        <f t="array" ref="U55">IFERROR(IF($C55="",0,$O55*$D55*INDEX(TABELE!$B$37:$P$47,MATCH($F55,TABELE!$A$37:$A$47,0),MATCH($E55,TABELE!$B$36:$P$36,0))),0)</f>
        <v>0</v>
      </c>
      <c r="V55" s="5">
        <f t="array" ref="V55">IFERROR(IF($C55="",0,$O55*$D55*INDEX(TABELE!$B$51:$P$61,MATCH($F55,TABELE!$A$51:$A$61,0),MATCH($E55,TABELE!$B$50:$P$50,0))),0)</f>
        <v>0</v>
      </c>
      <c r="W55" s="5" t="str">
        <f t="array" ref="W55">IFERROR(INDEX(BAZA_UWAGI,MATCH($C55,BAZA_EX,0)),"")</f>
        <v/>
      </c>
      <c r="X55" s="5">
        <f t="shared" ref="X55:X66" si="16">IF($A55="","",$Z55)</f>
        <v>1</v>
      </c>
      <c r="Y55" s="5" t="str">
        <f>IF($A55="","",LEFT($A55,1))</f>
        <v>A</v>
      </c>
      <c r="Z55" s="5">
        <f>IF($A55="",0,1)</f>
        <v>1</v>
      </c>
      <c r="AA55" s="5" t="str">
        <f>IF($C55="","",IF(SUMPRODUCT((START!$B$6:$B$69=$C55)*(START!$M$6:$M$69&gt;0))=0,"",SUMPRODUCT(MAX((START!$B$6:$B$69=$C55)*START!$M$6:$M$69))))</f>
        <v/>
      </c>
      <c r="AB55" s="5" t="str">
        <f t="shared" ref="AB55:AB66" si="17">IF($C55="","",IF($H55&lt;&gt;"",$H55,IF($H$67="✓ ukończony","OK","")))</f>
        <v/>
      </c>
      <c r="AC55" s="5">
        <f>MAX(0.85,MIN(1.15,1+0.05*(COUNTIF('T1'!$AB55,"za łatwe")+COUNTIF('T2'!$AB55,"za łatwe")+COUNTIF('T3'!$AB55,"za łatwe"))-0.05*(COUNTIF('T1'!$AB55,"za trudne")+COUNTIF('T2'!$AB55,"za trudne")+COUNTIF('T3'!$AB55,"za trudne"))))</f>
        <v>1</v>
      </c>
      <c r="AD55" s="5">
        <f t="shared" ref="AD55:AD66" si="18">IF(OR($Q55="masa ciała",$Q55="czas",$Q55="dystans",$Q55="ręczne ustawienie"),MAX(-3,MIN(3,ROUND(($AC55-1)/0.05,0))),0)</f>
        <v>0</v>
      </c>
    </row>
    <row r="56" ht="25.5" hidden="1" customHeight="1" outlineLevel="1">
      <c r="A56" s="18" t="str">
        <f>IF('T1'!$A56="","",'T1'!$A56)</f>
        <v>B1.</v>
      </c>
      <c r="B56" s="30"/>
      <c r="C56" s="31" t="str">
        <f>IF('T1'!$C56="","",'T1'!$C56)</f>
        <v/>
      </c>
      <c r="D56" s="32">
        <v>3.0</v>
      </c>
      <c r="E56" s="39">
        <f>IF($C56="",0,MIN(15,MAX(1,IF(N($O56)&gt;=1,6,IF(N($O56)&gt;=0.75,IF(PRZEL_CZESC="część 1 (objętość)",8,6),IF(PRZEL_CZESC="część 1 (objętość)",10,8)))+0+$AD56)))</f>
        <v>0</v>
      </c>
      <c r="F56" s="33">
        <v>9.0</v>
      </c>
      <c r="G56" s="34" t="str">
        <f>IF($C56="","",IF(OR($Q56="masa ciała",$Q56="czas",$Q56="dystans",$Q56="ręczne ustawienie"),$Q56,IF($C56='T1'!$C56,IF(OR($R56="",$R56=0),"— brak 1RM",MROUND($R56*$S56/100*$AC56,MAX($P56,0.5))),IF(OR($AA56="",$AA56=0),"— ustaw ręcznie",MROUND($AA56*$S56/100*$AC56,MAX($P56,0.5))))))</f>
        <v/>
      </c>
      <c r="H56" s="35"/>
      <c r="I56" s="36" t="str">
        <f t="array" ref="I56">IFERROR(IF(IFERROR(INDEX(BAZA_FILM,MATCH($C56,BAZA_EX,0)),"")="","",HYPERLINK(IFERROR(INDEX(BAZA_FILM,MATCH($C56,BAZA_EX,0)),""),"film")),"")</f>
        <v/>
      </c>
      <c r="J56" s="37" t="str">
        <f>IF('T1'!$J56="","",'T1'!$J56)</f>
        <v/>
      </c>
      <c r="K56" s="5" t="s">
        <v>105</v>
      </c>
      <c r="L56" s="5" t="str">
        <f t="array" ref="L56">IFERROR(INDEX(BAZA_ID,MATCH($C56,BAZA_EX,0)),"")</f>
        <v/>
      </c>
      <c r="M56" s="5" t="str">
        <f t="array" ref="M56">IFERROR(INDEX(BAZA_PART,MATCH($C56,BAZA_EX,0)),"")</f>
        <v/>
      </c>
      <c r="N56" s="5" t="str">
        <f t="array" ref="N56">IFERROR(INDEX(BAZA_KAT,MATCH($C56,BAZA_EX,0)),"")</f>
        <v/>
      </c>
      <c r="O56" s="5" t="str">
        <f t="array" ref="O56">IFERROR(INDEX(BAZA_COEFF,MATCH($C56,BAZA_EX,0)),"")</f>
        <v/>
      </c>
      <c r="P56" s="5" t="str">
        <f t="array" ref="P56">IFERROR(INDEX(BAZA_SKOK,MATCH($C56,BAZA_EX,0)),"")</f>
        <v/>
      </c>
      <c r="Q56" s="5" t="str">
        <f t="array" ref="Q56">IFERROR(INDEX(BAZA_PROG,MATCH($C56,BAZA_EX,0)),"")</f>
        <v/>
      </c>
      <c r="R56" s="5" t="str">
        <f>IF($C56="","",IF(SUMPRODUCT((START!$B$6:$B$69=$C56)*(START!$M$6:$M$69&gt;0))=0,"",SUMPRODUCT(MAX((START!$B$6:$B$69=$C56)*START!$M$6:$M$69))))</f>
        <v/>
      </c>
      <c r="S56" s="5" t="str">
        <f t="array" ref="S56">IFERROR(INDEX(TABELE!$B$4:$J$18,MATCH($E56,TABELE!$A$4:$A$18,0),MATCH($F56,TABELE!$B$3:$J$3,0)),"")</f>
        <v/>
      </c>
      <c r="T56" s="5">
        <f t="array" ref="T56">IFERROR(IF($C56="",0,$O56*$D56*INDEX(TABELE!$B$23:$P$33,MATCH($F56,TABELE!$A$23:$A$33,0),MATCH($E56,TABELE!$B$22:$P$22,0))),0)</f>
        <v>0</v>
      </c>
      <c r="U56" s="5">
        <f t="array" ref="U56">IFERROR(IF($C56="",0,$O56*$D56*INDEX(TABELE!$B$37:$P$47,MATCH($F56,TABELE!$A$37:$A$47,0),MATCH($E56,TABELE!$B$36:$P$36,0))),0)</f>
        <v>0</v>
      </c>
      <c r="V56" s="5">
        <f t="array" ref="V56">IFERROR(IF($C56="",0,$O56*$D56*INDEX(TABELE!$B$51:$P$61,MATCH($F56,TABELE!$A$51:$A$61,0),MATCH($E56,TABELE!$B$50:$P$50,0))),0)</f>
        <v>0</v>
      </c>
      <c r="W56" s="5" t="str">
        <f t="array" ref="W56">IFERROR(INDEX(BAZA_UWAGI,MATCH($C56,BAZA_EX,0)),"")</f>
        <v/>
      </c>
      <c r="X56" s="5">
        <f t="shared" si="16"/>
        <v>2</v>
      </c>
      <c r="Y56" s="5" t="str">
        <f t="shared" ref="Y56:Y66" si="19">IF($A56="",$Y55,LEFT($A56,1))</f>
        <v>B</v>
      </c>
      <c r="Z56" s="5">
        <f t="shared" ref="Z56:Z66" si="20">IF($A56="",$Z55,IF(LEFT($A56,1)=$Y55,$Z55,$Z55+1))</f>
        <v>2</v>
      </c>
      <c r="AA56" s="5" t="str">
        <f>IF($C56="","",IF(SUMPRODUCT((START!$B$6:$B$69=$C56)*(START!$M$6:$M$69&gt;0))=0,"",SUMPRODUCT(MAX((START!$B$6:$B$69=$C56)*START!$M$6:$M$69))))</f>
        <v/>
      </c>
      <c r="AB56" s="5" t="str">
        <f t="shared" si="17"/>
        <v/>
      </c>
      <c r="AC56" s="5">
        <f>MAX(0.85,MIN(1.15,1+0.05*(COUNTIF('T1'!$AB56,"za łatwe")+COUNTIF('T2'!$AB56,"za łatwe")+COUNTIF('T3'!$AB56,"za łatwe"))-0.05*(COUNTIF('T1'!$AB56,"za trudne")+COUNTIF('T2'!$AB56,"za trudne")+COUNTIF('T3'!$AB56,"za trudne"))))</f>
        <v>1</v>
      </c>
      <c r="AD56" s="5">
        <f t="shared" si="18"/>
        <v>0</v>
      </c>
    </row>
    <row r="57" ht="25.5" hidden="1" customHeight="1" outlineLevel="1">
      <c r="A57" s="18" t="str">
        <f>IF('T1'!$A57="","",'T1'!$A57)</f>
        <v>B2.</v>
      </c>
      <c r="B57" s="30"/>
      <c r="C57" s="31" t="str">
        <f>IF('T1'!$C57="","",'T1'!$C57)</f>
        <v/>
      </c>
      <c r="D57" s="32">
        <v>3.0</v>
      </c>
      <c r="E57" s="39">
        <f>IF($C57="",0,MIN(15,MAX(1,IF(N($O57)&gt;=1,6,IF(N($O57)&gt;=0.75,IF(PRZEL_CZESC="część 1 (objętość)",8,6),IF(PRZEL_CZESC="część 1 (objętość)",10,8)))+0+$AD57)))</f>
        <v>0</v>
      </c>
      <c r="F57" s="33">
        <v>9.0</v>
      </c>
      <c r="G57" s="34" t="str">
        <f>IF($C57="","",IF(OR($Q57="masa ciała",$Q57="czas",$Q57="dystans",$Q57="ręczne ustawienie"),$Q57,IF($C57='T1'!$C57,IF(OR($R57="",$R57=0),"— brak 1RM",MROUND($R57*$S57/100*$AC57,MAX($P57,0.5))),IF(OR($AA57="",$AA57=0),"— ustaw ręcznie",MROUND($AA57*$S57/100*$AC57,MAX($P57,0.5))))))</f>
        <v/>
      </c>
      <c r="H57" s="35"/>
      <c r="I57" s="36" t="str">
        <f t="array" ref="I57">IFERROR(IF(IFERROR(INDEX(BAZA_FILM,MATCH($C57,BAZA_EX,0)),"")="","",HYPERLINK(IFERROR(INDEX(BAZA_FILM,MATCH($C57,BAZA_EX,0)),""),"film")),"")</f>
        <v/>
      </c>
      <c r="J57" s="37" t="str">
        <f>IF('T1'!$J57="","",'T1'!$J57)</f>
        <v/>
      </c>
      <c r="K57" s="5" t="s">
        <v>106</v>
      </c>
      <c r="L57" s="5" t="str">
        <f t="array" ref="L57">IFERROR(INDEX(BAZA_ID,MATCH($C57,BAZA_EX,0)),"")</f>
        <v/>
      </c>
      <c r="M57" s="5" t="str">
        <f t="array" ref="M57">IFERROR(INDEX(BAZA_PART,MATCH($C57,BAZA_EX,0)),"")</f>
        <v/>
      </c>
      <c r="N57" s="5" t="str">
        <f t="array" ref="N57">IFERROR(INDEX(BAZA_KAT,MATCH($C57,BAZA_EX,0)),"")</f>
        <v/>
      </c>
      <c r="O57" s="5" t="str">
        <f t="array" ref="O57">IFERROR(INDEX(BAZA_COEFF,MATCH($C57,BAZA_EX,0)),"")</f>
        <v/>
      </c>
      <c r="P57" s="5" t="str">
        <f t="array" ref="P57">IFERROR(INDEX(BAZA_SKOK,MATCH($C57,BAZA_EX,0)),"")</f>
        <v/>
      </c>
      <c r="Q57" s="5" t="str">
        <f t="array" ref="Q57">IFERROR(INDEX(BAZA_PROG,MATCH($C57,BAZA_EX,0)),"")</f>
        <v/>
      </c>
      <c r="R57" s="5" t="str">
        <f>IF($C57="","",IF(SUMPRODUCT((START!$B$6:$B$69=$C57)*(START!$M$6:$M$69&gt;0))=0,"",SUMPRODUCT(MAX((START!$B$6:$B$69=$C57)*START!$M$6:$M$69))))</f>
        <v/>
      </c>
      <c r="S57" s="5" t="str">
        <f t="array" ref="S57">IFERROR(INDEX(TABELE!$B$4:$J$18,MATCH($E57,TABELE!$A$4:$A$18,0),MATCH($F57,TABELE!$B$3:$J$3,0)),"")</f>
        <v/>
      </c>
      <c r="T57" s="5">
        <f t="array" ref="T57">IFERROR(IF($C57="",0,$O57*$D57*INDEX(TABELE!$B$23:$P$33,MATCH($F57,TABELE!$A$23:$A$33,0),MATCH($E57,TABELE!$B$22:$P$22,0))),0)</f>
        <v>0</v>
      </c>
      <c r="U57" s="5">
        <f t="array" ref="U57">IFERROR(IF($C57="",0,$O57*$D57*INDEX(TABELE!$B$37:$P$47,MATCH($F57,TABELE!$A$37:$A$47,0),MATCH($E57,TABELE!$B$36:$P$36,0))),0)</f>
        <v>0</v>
      </c>
      <c r="V57" s="5">
        <f t="array" ref="V57">IFERROR(IF($C57="",0,$O57*$D57*INDEX(TABELE!$B$51:$P$61,MATCH($F57,TABELE!$A$51:$A$61,0),MATCH($E57,TABELE!$B$50:$P$50,0))),0)</f>
        <v>0</v>
      </c>
      <c r="W57" s="5" t="str">
        <f t="array" ref="W57">IFERROR(INDEX(BAZA_UWAGI,MATCH($C57,BAZA_EX,0)),"")</f>
        <v/>
      </c>
      <c r="X57" s="5">
        <f t="shared" si="16"/>
        <v>2</v>
      </c>
      <c r="Y57" s="5" t="str">
        <f t="shared" si="19"/>
        <v>B</v>
      </c>
      <c r="Z57" s="5">
        <f t="shared" si="20"/>
        <v>2</v>
      </c>
      <c r="AA57" s="5" t="str">
        <f>IF($C57="","",IF(SUMPRODUCT((START!$B$6:$B$69=$C57)*(START!$M$6:$M$69&gt;0))=0,"",SUMPRODUCT(MAX((START!$B$6:$B$69=$C57)*START!$M$6:$M$69))))</f>
        <v/>
      </c>
      <c r="AB57" s="5" t="str">
        <f t="shared" si="17"/>
        <v/>
      </c>
      <c r="AC57" s="5">
        <f>MAX(0.85,MIN(1.15,1+0.05*(COUNTIF('T1'!$AB57,"za łatwe")+COUNTIF('T2'!$AB57,"za łatwe")+COUNTIF('T3'!$AB57,"za łatwe"))-0.05*(COUNTIF('T1'!$AB57,"za trudne")+COUNTIF('T2'!$AB57,"za trudne")+COUNTIF('T3'!$AB57,"za trudne"))))</f>
        <v>1</v>
      </c>
      <c r="AD57" s="5">
        <f t="shared" si="18"/>
        <v>0</v>
      </c>
    </row>
    <row r="58" ht="25.5" hidden="1" customHeight="1" outlineLevel="1">
      <c r="A58" s="18" t="str">
        <f>IF('T1'!$A58="","",'T1'!$A58)</f>
        <v>C1.</v>
      </c>
      <c r="B58" s="30"/>
      <c r="C58" s="31" t="str">
        <f>IF('T1'!$C58="","",'T1'!$C58)</f>
        <v/>
      </c>
      <c r="D58" s="32">
        <v>3.0</v>
      </c>
      <c r="E58" s="39">
        <f>IF($C58="",0,MIN(15,MAX(1,IF(N($O58)&gt;=1,6,IF(N($O58)&gt;=0.75,IF(PRZEL_CZESC="część 1 (objętość)",8,6),IF(PRZEL_CZESC="część 1 (objętość)",10,8)))+0+$AD58)))</f>
        <v>0</v>
      </c>
      <c r="F58" s="33">
        <v>9.0</v>
      </c>
      <c r="G58" s="34" t="str">
        <f>IF($C58="","",IF(OR($Q58="masa ciała",$Q58="czas",$Q58="dystans",$Q58="ręczne ustawienie"),$Q58,IF($C58='T1'!$C58,IF(OR($R58="",$R58=0),"— brak 1RM",MROUND($R58*$S58/100*$AC58,MAX($P58,0.5))),IF(OR($AA58="",$AA58=0),"— ustaw ręcznie",MROUND($AA58*$S58/100*$AC58,MAX($P58,0.5))))))</f>
        <v/>
      </c>
      <c r="H58" s="35"/>
      <c r="I58" s="36" t="str">
        <f t="array" ref="I58">IFERROR(IF(IFERROR(INDEX(BAZA_FILM,MATCH($C58,BAZA_EX,0)),"")="","",HYPERLINK(IFERROR(INDEX(BAZA_FILM,MATCH($C58,BAZA_EX,0)),""),"film")),"")</f>
        <v/>
      </c>
      <c r="J58" s="37" t="str">
        <f>IF('T1'!$J58="","",'T1'!$J58)</f>
        <v/>
      </c>
      <c r="K58" s="5" t="s">
        <v>108</v>
      </c>
      <c r="L58" s="5" t="str">
        <f t="array" ref="L58">IFERROR(INDEX(BAZA_ID,MATCH($C58,BAZA_EX,0)),"")</f>
        <v/>
      </c>
      <c r="M58" s="5" t="str">
        <f t="array" ref="M58">IFERROR(INDEX(BAZA_PART,MATCH($C58,BAZA_EX,0)),"")</f>
        <v/>
      </c>
      <c r="N58" s="5" t="str">
        <f t="array" ref="N58">IFERROR(INDEX(BAZA_KAT,MATCH($C58,BAZA_EX,0)),"")</f>
        <v/>
      </c>
      <c r="O58" s="5" t="str">
        <f t="array" ref="O58">IFERROR(INDEX(BAZA_COEFF,MATCH($C58,BAZA_EX,0)),"")</f>
        <v/>
      </c>
      <c r="P58" s="5" t="str">
        <f t="array" ref="P58">IFERROR(INDEX(BAZA_SKOK,MATCH($C58,BAZA_EX,0)),"")</f>
        <v/>
      </c>
      <c r="Q58" s="5" t="str">
        <f t="array" ref="Q58">IFERROR(INDEX(BAZA_PROG,MATCH($C58,BAZA_EX,0)),"")</f>
        <v/>
      </c>
      <c r="R58" s="5" t="str">
        <f>IF($C58="","",IF(SUMPRODUCT((START!$B$6:$B$69=$C58)*(START!$M$6:$M$69&gt;0))=0,"",SUMPRODUCT(MAX((START!$B$6:$B$69=$C58)*START!$M$6:$M$69))))</f>
        <v/>
      </c>
      <c r="S58" s="5" t="str">
        <f t="array" ref="S58">IFERROR(INDEX(TABELE!$B$4:$J$18,MATCH($E58,TABELE!$A$4:$A$18,0),MATCH($F58,TABELE!$B$3:$J$3,0)),"")</f>
        <v/>
      </c>
      <c r="T58" s="5">
        <f t="array" ref="T58">IFERROR(IF($C58="",0,$O58*$D58*INDEX(TABELE!$B$23:$P$33,MATCH($F58,TABELE!$A$23:$A$33,0),MATCH($E58,TABELE!$B$22:$P$22,0))),0)</f>
        <v>0</v>
      </c>
      <c r="U58" s="5">
        <f t="array" ref="U58">IFERROR(IF($C58="",0,$O58*$D58*INDEX(TABELE!$B$37:$P$47,MATCH($F58,TABELE!$A$37:$A$47,0),MATCH($E58,TABELE!$B$36:$P$36,0))),0)</f>
        <v>0</v>
      </c>
      <c r="V58" s="5">
        <f t="array" ref="V58">IFERROR(IF($C58="",0,$O58*$D58*INDEX(TABELE!$B$51:$P$61,MATCH($F58,TABELE!$A$51:$A$61,0),MATCH($E58,TABELE!$B$50:$P$50,0))),0)</f>
        <v>0</v>
      </c>
      <c r="W58" s="5" t="str">
        <f t="array" ref="W58">IFERROR(INDEX(BAZA_UWAGI,MATCH($C58,BAZA_EX,0)),"")</f>
        <v/>
      </c>
      <c r="X58" s="5">
        <f t="shared" si="16"/>
        <v>3</v>
      </c>
      <c r="Y58" s="5" t="str">
        <f t="shared" si="19"/>
        <v>C</v>
      </c>
      <c r="Z58" s="5">
        <f t="shared" si="20"/>
        <v>3</v>
      </c>
      <c r="AA58" s="5" t="str">
        <f>IF($C58="","",IF(SUMPRODUCT((START!$B$6:$B$69=$C58)*(START!$M$6:$M$69&gt;0))=0,"",SUMPRODUCT(MAX((START!$B$6:$B$69=$C58)*START!$M$6:$M$69))))</f>
        <v/>
      </c>
      <c r="AB58" s="5" t="str">
        <f t="shared" si="17"/>
        <v/>
      </c>
      <c r="AC58" s="5">
        <f>MAX(0.85,MIN(1.15,1+0.05*(COUNTIF('T1'!$AB58,"za łatwe")+COUNTIF('T2'!$AB58,"za łatwe")+COUNTIF('T3'!$AB58,"za łatwe"))-0.05*(COUNTIF('T1'!$AB58,"za trudne")+COUNTIF('T2'!$AB58,"za trudne")+COUNTIF('T3'!$AB58,"za trudne"))))</f>
        <v>1</v>
      </c>
      <c r="AD58" s="5">
        <f t="shared" si="18"/>
        <v>0</v>
      </c>
    </row>
    <row r="59" ht="25.5" hidden="1" customHeight="1" outlineLevel="1">
      <c r="A59" s="18" t="str">
        <f>IF('T1'!$A59="","",'T1'!$A59)</f>
        <v>C2.</v>
      </c>
      <c r="B59" s="30"/>
      <c r="C59" s="31" t="str">
        <f>IF('T1'!$C59="","",'T1'!$C59)</f>
        <v/>
      </c>
      <c r="D59" s="32">
        <v>3.0</v>
      </c>
      <c r="E59" s="39">
        <f>IF($C59="",0,MIN(15,MAX(1,IF(N($O59)&gt;=1,6,IF(N($O59)&gt;=0.75,IF(PRZEL_CZESC="część 1 (objętość)",8,6),IF(PRZEL_CZESC="część 1 (objętość)",10,8)))+0+$AD59)))</f>
        <v>0</v>
      </c>
      <c r="F59" s="33">
        <v>10.0</v>
      </c>
      <c r="G59" s="34" t="str">
        <f>IF($C59="","",IF(OR($Q59="masa ciała",$Q59="czas",$Q59="dystans",$Q59="ręczne ustawienie"),$Q59,IF($C59='T1'!$C59,IF(OR($R59="",$R59=0),"— brak 1RM",MROUND($R59*$S59/100*$AC59,MAX($P59,0.5))),IF(OR($AA59="",$AA59=0),"— ustaw ręcznie",MROUND($AA59*$S59/100*$AC59,MAX($P59,0.5))))))</f>
        <v/>
      </c>
      <c r="H59" s="35"/>
      <c r="I59" s="36" t="str">
        <f t="array" ref="I59">IFERROR(IF(IFERROR(INDEX(BAZA_FILM,MATCH($C59,BAZA_EX,0)),"")="","",HYPERLINK(IFERROR(INDEX(BAZA_FILM,MATCH($C59,BAZA_EX,0)),""),"film")),"")</f>
        <v/>
      </c>
      <c r="J59" s="37" t="str">
        <f>IF('T1'!$J59="","",'T1'!$J59)</f>
        <v/>
      </c>
      <c r="K59" s="5" t="s">
        <v>109</v>
      </c>
      <c r="L59" s="5" t="str">
        <f t="array" ref="L59">IFERROR(INDEX(BAZA_ID,MATCH($C59,BAZA_EX,0)),"")</f>
        <v/>
      </c>
      <c r="M59" s="5" t="str">
        <f t="array" ref="M59">IFERROR(INDEX(BAZA_PART,MATCH($C59,BAZA_EX,0)),"")</f>
        <v/>
      </c>
      <c r="N59" s="5" t="str">
        <f t="array" ref="N59">IFERROR(INDEX(BAZA_KAT,MATCH($C59,BAZA_EX,0)),"")</f>
        <v/>
      </c>
      <c r="O59" s="5" t="str">
        <f t="array" ref="O59">IFERROR(INDEX(BAZA_COEFF,MATCH($C59,BAZA_EX,0)),"")</f>
        <v/>
      </c>
      <c r="P59" s="5" t="str">
        <f t="array" ref="P59">IFERROR(INDEX(BAZA_SKOK,MATCH($C59,BAZA_EX,0)),"")</f>
        <v/>
      </c>
      <c r="Q59" s="5" t="str">
        <f t="array" ref="Q59">IFERROR(INDEX(BAZA_PROG,MATCH($C59,BAZA_EX,0)),"")</f>
        <v/>
      </c>
      <c r="R59" s="5" t="str">
        <f>IF($C59="","",IF(SUMPRODUCT((START!$B$6:$B$69=$C59)*(START!$M$6:$M$69&gt;0))=0,"",SUMPRODUCT(MAX((START!$B$6:$B$69=$C59)*START!$M$6:$M$69))))</f>
        <v/>
      </c>
      <c r="S59" s="5" t="str">
        <f t="array" ref="S59">IFERROR(INDEX(TABELE!$B$4:$J$18,MATCH($E59,TABELE!$A$4:$A$18,0),MATCH($F59,TABELE!$B$3:$J$3,0)),"")</f>
        <v/>
      </c>
      <c r="T59" s="5">
        <f t="array" ref="T59">IFERROR(IF($C59="",0,$O59*$D59*INDEX(TABELE!$B$23:$P$33,MATCH($F59,TABELE!$A$23:$A$33,0),MATCH($E59,TABELE!$B$22:$P$22,0))),0)</f>
        <v>0</v>
      </c>
      <c r="U59" s="5">
        <f t="array" ref="U59">IFERROR(IF($C59="",0,$O59*$D59*INDEX(TABELE!$B$37:$P$47,MATCH($F59,TABELE!$A$37:$A$47,0),MATCH($E59,TABELE!$B$36:$P$36,0))),0)</f>
        <v>0</v>
      </c>
      <c r="V59" s="5">
        <f t="array" ref="V59">IFERROR(IF($C59="",0,$O59*$D59*INDEX(TABELE!$B$51:$P$61,MATCH($F59,TABELE!$A$51:$A$61,0),MATCH($E59,TABELE!$B$50:$P$50,0))),0)</f>
        <v>0</v>
      </c>
      <c r="W59" s="5" t="str">
        <f t="array" ref="W59">IFERROR(INDEX(BAZA_UWAGI,MATCH($C59,BAZA_EX,0)),"")</f>
        <v/>
      </c>
      <c r="X59" s="5">
        <f t="shared" si="16"/>
        <v>3</v>
      </c>
      <c r="Y59" s="5" t="str">
        <f t="shared" si="19"/>
        <v>C</v>
      </c>
      <c r="Z59" s="5">
        <f t="shared" si="20"/>
        <v>3</v>
      </c>
      <c r="AA59" s="5" t="str">
        <f>IF($C59="","",IF(SUMPRODUCT((START!$B$6:$B$69=$C59)*(START!$M$6:$M$69&gt;0))=0,"",SUMPRODUCT(MAX((START!$B$6:$B$69=$C59)*START!$M$6:$M$69))))</f>
        <v/>
      </c>
      <c r="AB59" s="5" t="str">
        <f t="shared" si="17"/>
        <v/>
      </c>
      <c r="AC59" s="5">
        <f>MAX(0.85,MIN(1.15,1+0.05*(COUNTIF('T1'!$AB59,"za łatwe")+COUNTIF('T2'!$AB59,"za łatwe")+COUNTIF('T3'!$AB59,"za łatwe"))-0.05*(COUNTIF('T1'!$AB59,"za trudne")+COUNTIF('T2'!$AB59,"za trudne")+COUNTIF('T3'!$AB59,"za trudne"))))</f>
        <v>1</v>
      </c>
      <c r="AD59" s="5">
        <f t="shared" si="18"/>
        <v>0</v>
      </c>
    </row>
    <row r="60" ht="25.5" hidden="1" customHeight="1" outlineLevel="1">
      <c r="A60" s="18" t="str">
        <f>IF('T1'!$A60="","",'T1'!$A60)</f>
        <v>D1.</v>
      </c>
      <c r="B60" s="30"/>
      <c r="C60" s="31" t="str">
        <f>IF('T1'!$C60="","",'T1'!$C60)</f>
        <v/>
      </c>
      <c r="D60" s="32">
        <v>3.0</v>
      </c>
      <c r="E60" s="39">
        <f>IF($C60="",0,MIN(15,MAX(1,IF(N($O60)&gt;=1,6,IF(N($O60)&gt;=0.75,IF(PRZEL_CZESC="część 1 (objętość)",8,6),IF(PRZEL_CZESC="część 1 (objętość)",10,8)))+0+$AD60)))</f>
        <v>0</v>
      </c>
      <c r="F60" s="33">
        <v>9.0</v>
      </c>
      <c r="G60" s="34" t="str">
        <f>IF($C60="","",IF(OR($Q60="masa ciała",$Q60="czas",$Q60="dystans",$Q60="ręczne ustawienie"),$Q60,IF($C60='T1'!$C60,IF(OR($R60="",$R60=0),"— brak 1RM",MROUND($R60*$S60/100*$AC60,MAX($P60,0.5))),IF(OR($AA60="",$AA60=0),"— ustaw ręcznie",MROUND($AA60*$S60/100*$AC60,MAX($P60,0.5))))))</f>
        <v/>
      </c>
      <c r="H60" s="35"/>
      <c r="I60" s="36" t="str">
        <f t="array" ref="I60">IFERROR(IF(IFERROR(INDEX(BAZA_FILM,MATCH($C60,BAZA_EX,0)),"")="","",HYPERLINK(IFERROR(INDEX(BAZA_FILM,MATCH($C60,BAZA_EX,0)),""),"film")),"")</f>
        <v/>
      </c>
      <c r="J60" s="37" t="str">
        <f>IF('T1'!$J60="","",'T1'!$J60)</f>
        <v/>
      </c>
      <c r="K60" s="5" t="s">
        <v>110</v>
      </c>
      <c r="L60" s="5" t="str">
        <f t="array" ref="L60">IFERROR(INDEX(BAZA_ID,MATCH($C60,BAZA_EX,0)),"")</f>
        <v/>
      </c>
      <c r="M60" s="5" t="str">
        <f t="array" ref="M60">IFERROR(INDEX(BAZA_PART,MATCH($C60,BAZA_EX,0)),"")</f>
        <v/>
      </c>
      <c r="N60" s="5" t="str">
        <f t="array" ref="N60">IFERROR(INDEX(BAZA_KAT,MATCH($C60,BAZA_EX,0)),"")</f>
        <v/>
      </c>
      <c r="O60" s="5" t="str">
        <f t="array" ref="O60">IFERROR(INDEX(BAZA_COEFF,MATCH($C60,BAZA_EX,0)),"")</f>
        <v/>
      </c>
      <c r="P60" s="5" t="str">
        <f t="array" ref="P60">IFERROR(INDEX(BAZA_SKOK,MATCH($C60,BAZA_EX,0)),"")</f>
        <v/>
      </c>
      <c r="Q60" s="5" t="str">
        <f t="array" ref="Q60">IFERROR(INDEX(BAZA_PROG,MATCH($C60,BAZA_EX,0)),"")</f>
        <v/>
      </c>
      <c r="R60" s="5" t="str">
        <f>IF($C60="","",IF(SUMPRODUCT((START!$B$6:$B$69=$C60)*(START!$M$6:$M$69&gt;0))=0,"",SUMPRODUCT(MAX((START!$B$6:$B$69=$C60)*START!$M$6:$M$69))))</f>
        <v/>
      </c>
      <c r="S60" s="5" t="str">
        <f t="array" ref="S60">IFERROR(INDEX(TABELE!$B$4:$J$18,MATCH($E60,TABELE!$A$4:$A$18,0),MATCH($F60,TABELE!$B$3:$J$3,0)),"")</f>
        <v/>
      </c>
      <c r="T60" s="5">
        <f t="array" ref="T60">IFERROR(IF($C60="",0,$O60*$D60*INDEX(TABELE!$B$23:$P$33,MATCH($F60,TABELE!$A$23:$A$33,0),MATCH($E60,TABELE!$B$22:$P$22,0))),0)</f>
        <v>0</v>
      </c>
      <c r="U60" s="5">
        <f t="array" ref="U60">IFERROR(IF($C60="",0,$O60*$D60*INDEX(TABELE!$B$37:$P$47,MATCH($F60,TABELE!$A$37:$A$47,0),MATCH($E60,TABELE!$B$36:$P$36,0))),0)</f>
        <v>0</v>
      </c>
      <c r="V60" s="5">
        <f t="array" ref="V60">IFERROR(IF($C60="",0,$O60*$D60*INDEX(TABELE!$B$51:$P$61,MATCH($F60,TABELE!$A$51:$A$61,0),MATCH($E60,TABELE!$B$50:$P$50,0))),0)</f>
        <v>0</v>
      </c>
      <c r="W60" s="5" t="str">
        <f t="array" ref="W60">IFERROR(INDEX(BAZA_UWAGI,MATCH($C60,BAZA_EX,0)),"")</f>
        <v/>
      </c>
      <c r="X60" s="5">
        <f t="shared" si="16"/>
        <v>4</v>
      </c>
      <c r="Y60" s="5" t="str">
        <f t="shared" si="19"/>
        <v>D</v>
      </c>
      <c r="Z60" s="5">
        <f t="shared" si="20"/>
        <v>4</v>
      </c>
      <c r="AA60" s="5" t="str">
        <f>IF($C60="","",IF(SUMPRODUCT((START!$B$6:$B$69=$C60)*(START!$M$6:$M$69&gt;0))=0,"",SUMPRODUCT(MAX((START!$B$6:$B$69=$C60)*START!$M$6:$M$69))))</f>
        <v/>
      </c>
      <c r="AB60" s="5" t="str">
        <f t="shared" si="17"/>
        <v/>
      </c>
      <c r="AC60" s="5">
        <f>MAX(0.85,MIN(1.15,1+0.05*(COUNTIF('T1'!$AB60,"za łatwe")+COUNTIF('T2'!$AB60,"za łatwe")+COUNTIF('T3'!$AB60,"za łatwe"))-0.05*(COUNTIF('T1'!$AB60,"za trudne")+COUNTIF('T2'!$AB60,"za trudne")+COUNTIF('T3'!$AB60,"za trudne"))))</f>
        <v>1</v>
      </c>
      <c r="AD60" s="5">
        <f t="shared" si="18"/>
        <v>0</v>
      </c>
    </row>
    <row r="61" ht="25.5" hidden="1" customHeight="1" outlineLevel="1">
      <c r="A61" s="18" t="str">
        <f>IF('T1'!$A61="","",'T1'!$A61)</f>
        <v>D2.</v>
      </c>
      <c r="B61" s="30"/>
      <c r="C61" s="31" t="str">
        <f>IF('T1'!$C61="","",'T1'!$C61)</f>
        <v/>
      </c>
      <c r="D61" s="32">
        <v>3.0</v>
      </c>
      <c r="E61" s="39">
        <f>IF($C61="",0,MIN(15,MAX(1,IF(N($O61)&gt;=1,6,IF(N($O61)&gt;=0.75,IF(PRZEL_CZESC="część 1 (objętość)",8,6),IF(PRZEL_CZESC="część 1 (objętość)",10,8)))+0+$AD61)))</f>
        <v>0</v>
      </c>
      <c r="F61" s="33">
        <v>10.0</v>
      </c>
      <c r="G61" s="34" t="str">
        <f>IF($C61="","",IF(OR($Q61="masa ciała",$Q61="czas",$Q61="dystans",$Q61="ręczne ustawienie"),$Q61,IF($C61='T1'!$C61,IF(OR($R61="",$R61=0),"— brak 1RM",MROUND($R61*$S61/100*$AC61,MAX($P61,0.5))),IF(OR($AA61="",$AA61=0),"— ustaw ręcznie",MROUND($AA61*$S61/100*$AC61,MAX($P61,0.5))))))</f>
        <v/>
      </c>
      <c r="H61" s="35"/>
      <c r="I61" s="36" t="str">
        <f t="array" ref="I61">IFERROR(IF(IFERROR(INDEX(BAZA_FILM,MATCH($C61,BAZA_EX,0)),"")="","",HYPERLINK(IFERROR(INDEX(BAZA_FILM,MATCH($C61,BAZA_EX,0)),""),"film")),"")</f>
        <v/>
      </c>
      <c r="J61" s="37" t="str">
        <f>IF('T1'!$J61="","",'T1'!$J61)</f>
        <v/>
      </c>
      <c r="K61" s="5" t="s">
        <v>112</v>
      </c>
      <c r="L61" s="5" t="str">
        <f t="array" ref="L61">IFERROR(INDEX(BAZA_ID,MATCH($C61,BAZA_EX,0)),"")</f>
        <v/>
      </c>
      <c r="M61" s="5" t="str">
        <f t="array" ref="M61">IFERROR(INDEX(BAZA_PART,MATCH($C61,BAZA_EX,0)),"")</f>
        <v/>
      </c>
      <c r="N61" s="5" t="str">
        <f t="array" ref="N61">IFERROR(INDEX(BAZA_KAT,MATCH($C61,BAZA_EX,0)),"")</f>
        <v/>
      </c>
      <c r="O61" s="5" t="str">
        <f t="array" ref="O61">IFERROR(INDEX(BAZA_COEFF,MATCH($C61,BAZA_EX,0)),"")</f>
        <v/>
      </c>
      <c r="P61" s="5" t="str">
        <f t="array" ref="P61">IFERROR(INDEX(BAZA_SKOK,MATCH($C61,BAZA_EX,0)),"")</f>
        <v/>
      </c>
      <c r="Q61" s="5" t="str">
        <f t="array" ref="Q61">IFERROR(INDEX(BAZA_PROG,MATCH($C61,BAZA_EX,0)),"")</f>
        <v/>
      </c>
      <c r="R61" s="5" t="str">
        <f>IF($C61="","",IF(SUMPRODUCT((START!$B$6:$B$69=$C61)*(START!$M$6:$M$69&gt;0))=0,"",SUMPRODUCT(MAX((START!$B$6:$B$69=$C61)*START!$M$6:$M$69))))</f>
        <v/>
      </c>
      <c r="S61" s="5" t="str">
        <f t="array" ref="S61">IFERROR(INDEX(TABELE!$B$4:$J$18,MATCH($E61,TABELE!$A$4:$A$18,0),MATCH($F61,TABELE!$B$3:$J$3,0)),"")</f>
        <v/>
      </c>
      <c r="T61" s="5">
        <f t="array" ref="T61">IFERROR(IF($C61="",0,$O61*$D61*INDEX(TABELE!$B$23:$P$33,MATCH($F61,TABELE!$A$23:$A$33,0),MATCH($E61,TABELE!$B$22:$P$22,0))),0)</f>
        <v>0</v>
      </c>
      <c r="U61" s="5">
        <f t="array" ref="U61">IFERROR(IF($C61="",0,$O61*$D61*INDEX(TABELE!$B$37:$P$47,MATCH($F61,TABELE!$A$37:$A$47,0),MATCH($E61,TABELE!$B$36:$P$36,0))),0)</f>
        <v>0</v>
      </c>
      <c r="V61" s="5">
        <f t="array" ref="V61">IFERROR(IF($C61="",0,$O61*$D61*INDEX(TABELE!$B$51:$P$61,MATCH($F61,TABELE!$A$51:$A$61,0),MATCH($E61,TABELE!$B$50:$P$50,0))),0)</f>
        <v>0</v>
      </c>
      <c r="W61" s="5" t="str">
        <f t="array" ref="W61">IFERROR(INDEX(BAZA_UWAGI,MATCH($C61,BAZA_EX,0)),"")</f>
        <v/>
      </c>
      <c r="X61" s="5">
        <f t="shared" si="16"/>
        <v>4</v>
      </c>
      <c r="Y61" s="5" t="str">
        <f t="shared" si="19"/>
        <v>D</v>
      </c>
      <c r="Z61" s="5">
        <f t="shared" si="20"/>
        <v>4</v>
      </c>
      <c r="AA61" s="5" t="str">
        <f>IF($C61="","",IF(SUMPRODUCT((START!$B$6:$B$69=$C61)*(START!$M$6:$M$69&gt;0))=0,"",SUMPRODUCT(MAX((START!$B$6:$B$69=$C61)*START!$M$6:$M$69))))</f>
        <v/>
      </c>
      <c r="AB61" s="5" t="str">
        <f t="shared" si="17"/>
        <v/>
      </c>
      <c r="AC61" s="5">
        <f>MAX(0.85,MIN(1.15,1+0.05*(COUNTIF('T1'!$AB61,"za łatwe")+COUNTIF('T2'!$AB61,"za łatwe")+COUNTIF('T3'!$AB61,"za łatwe"))-0.05*(COUNTIF('T1'!$AB61,"za trudne")+COUNTIF('T2'!$AB61,"za trudne")+COUNTIF('T3'!$AB61,"za trudne"))))</f>
        <v>1</v>
      </c>
      <c r="AD61" s="5">
        <f t="shared" si="18"/>
        <v>0</v>
      </c>
    </row>
    <row r="62" ht="25.5" hidden="1" customHeight="1" outlineLevel="1">
      <c r="A62" s="18" t="str">
        <f>IF('T1'!$A62="","",'T1'!$A62)</f>
        <v>E1.</v>
      </c>
      <c r="B62" s="30"/>
      <c r="C62" s="31" t="str">
        <f>IF('T1'!$C62="","",'T1'!$C62)</f>
        <v/>
      </c>
      <c r="D62" s="32"/>
      <c r="E62" s="39">
        <f>IF($C62="",0,MIN(15,MAX(1,IF(N($O62)&gt;=1,6,IF(N($O62)&gt;=0.75,IF(PRZEL_CZESC="część 1 (objętość)",8,6),IF(PRZEL_CZESC="część 1 (objętość)",10,8)))+0+$AD62)))</f>
        <v>0</v>
      </c>
      <c r="F62" s="33"/>
      <c r="G62" s="34" t="str">
        <f>IF($C62="","",IF(OR($Q62="masa ciała",$Q62="czas",$Q62="dystans",$Q62="ręczne ustawienie"),$Q62,IF($C62='T1'!$C62,IF(OR($R62="",$R62=0),"— brak 1RM",MROUND($R62*$S62/100*$AC62,MAX($P62,0.5))),IF(OR($AA62="",$AA62=0),"— ustaw ręcznie",MROUND($AA62*$S62/100*$AC62,MAX($P62,0.5))))))</f>
        <v/>
      </c>
      <c r="H62" s="35"/>
      <c r="I62" s="36" t="str">
        <f t="array" ref="I62">IFERROR(IF(IFERROR(INDEX(BAZA_FILM,MATCH($C62,BAZA_EX,0)),"")="","",HYPERLINK(IFERROR(INDEX(BAZA_FILM,MATCH($C62,BAZA_EX,0)),""),"film")),"")</f>
        <v/>
      </c>
      <c r="J62" s="37" t="str">
        <f>IF('T1'!$J62="","",'T1'!$J62)</f>
        <v/>
      </c>
      <c r="K62" s="5" t="s">
        <v>114</v>
      </c>
      <c r="L62" s="5" t="str">
        <f t="array" ref="L62">IFERROR(INDEX(BAZA_ID,MATCH($C62,BAZA_EX,0)),"")</f>
        <v/>
      </c>
      <c r="M62" s="5" t="str">
        <f t="array" ref="M62">IFERROR(INDEX(BAZA_PART,MATCH($C62,BAZA_EX,0)),"")</f>
        <v/>
      </c>
      <c r="N62" s="5" t="str">
        <f t="array" ref="N62">IFERROR(INDEX(BAZA_KAT,MATCH($C62,BAZA_EX,0)),"")</f>
        <v/>
      </c>
      <c r="O62" s="5" t="str">
        <f t="array" ref="O62">IFERROR(INDEX(BAZA_COEFF,MATCH($C62,BAZA_EX,0)),"")</f>
        <v/>
      </c>
      <c r="P62" s="5" t="str">
        <f t="array" ref="P62">IFERROR(INDEX(BAZA_SKOK,MATCH($C62,BAZA_EX,0)),"")</f>
        <v/>
      </c>
      <c r="Q62" s="5" t="str">
        <f t="array" ref="Q62">IFERROR(INDEX(BAZA_PROG,MATCH($C62,BAZA_EX,0)),"")</f>
        <v/>
      </c>
      <c r="R62" s="5" t="str">
        <f>IF($C62="","",IF(SUMPRODUCT((START!$B$6:$B$69=$C62)*(START!$M$6:$M$69&gt;0))=0,"",SUMPRODUCT(MAX((START!$B$6:$B$69=$C62)*START!$M$6:$M$69))))</f>
        <v/>
      </c>
      <c r="S62" s="5" t="str">
        <f t="array" ref="S62">IFERROR(INDEX(TABELE!$B$4:$J$18,MATCH($E62,TABELE!$A$4:$A$18,0),MATCH($F62,TABELE!$B$3:$J$3,0)),"")</f>
        <v/>
      </c>
      <c r="T62" s="5">
        <f t="array" ref="T62">IFERROR(IF($C62="",0,$O62*$D62*INDEX(TABELE!$B$23:$P$33,MATCH($F62,TABELE!$A$23:$A$33,0),MATCH($E62,TABELE!$B$22:$P$22,0))),0)</f>
        <v>0</v>
      </c>
      <c r="U62" s="5">
        <f t="array" ref="U62">IFERROR(IF($C62="",0,$O62*$D62*INDEX(TABELE!$B$37:$P$47,MATCH($F62,TABELE!$A$37:$A$47,0),MATCH($E62,TABELE!$B$36:$P$36,0))),0)</f>
        <v>0</v>
      </c>
      <c r="V62" s="5">
        <f t="array" ref="V62">IFERROR(IF($C62="",0,$O62*$D62*INDEX(TABELE!$B$51:$P$61,MATCH($F62,TABELE!$A$51:$A$61,0),MATCH($E62,TABELE!$B$50:$P$50,0))),0)</f>
        <v>0</v>
      </c>
      <c r="W62" s="5" t="str">
        <f t="array" ref="W62">IFERROR(INDEX(BAZA_UWAGI,MATCH($C62,BAZA_EX,0)),"")</f>
        <v/>
      </c>
      <c r="X62" s="5">
        <f t="shared" si="16"/>
        <v>5</v>
      </c>
      <c r="Y62" s="5" t="str">
        <f t="shared" si="19"/>
        <v>E</v>
      </c>
      <c r="Z62" s="5">
        <f t="shared" si="20"/>
        <v>5</v>
      </c>
      <c r="AA62" s="5" t="str">
        <f>IF($C62="","",IF(SUMPRODUCT((START!$B$6:$B$69=$C62)*(START!$M$6:$M$69&gt;0))=0,"",SUMPRODUCT(MAX((START!$B$6:$B$69=$C62)*START!$M$6:$M$69))))</f>
        <v/>
      </c>
      <c r="AB62" s="5" t="str">
        <f t="shared" si="17"/>
        <v/>
      </c>
      <c r="AC62" s="5">
        <f>MAX(0.85,MIN(1.15,1+0.05*(COUNTIF('T1'!$AB62,"za łatwe")+COUNTIF('T2'!$AB62,"za łatwe")+COUNTIF('T3'!$AB62,"za łatwe"))-0.05*(COUNTIF('T1'!$AB62,"za trudne")+COUNTIF('T2'!$AB62,"za trudne")+COUNTIF('T3'!$AB62,"za trudne"))))</f>
        <v>1</v>
      </c>
      <c r="AD62" s="5">
        <f t="shared" si="18"/>
        <v>0</v>
      </c>
    </row>
    <row r="63" ht="25.5" hidden="1" customHeight="1" outlineLevel="1">
      <c r="A63" s="18" t="str">
        <f>IF('T1'!$A63="","",'T1'!$A63)</f>
        <v>E2.</v>
      </c>
      <c r="B63" s="30"/>
      <c r="C63" s="31" t="str">
        <f>IF('T1'!$C63="","",'T1'!$C63)</f>
        <v/>
      </c>
      <c r="D63" s="32"/>
      <c r="E63" s="39">
        <f>IF($C63="",0,MIN(15,MAX(1,IF(N($O63)&gt;=1,6,IF(N($O63)&gt;=0.75,IF(PRZEL_CZESC="część 1 (objętość)",8,6),IF(PRZEL_CZESC="część 1 (objętość)",10,8)))+0+$AD63)))</f>
        <v>0</v>
      </c>
      <c r="F63" s="33"/>
      <c r="G63" s="34" t="str">
        <f>IF($C63="","",IF(OR($Q63="masa ciała",$Q63="czas",$Q63="dystans",$Q63="ręczne ustawienie"),$Q63,IF($C63='T1'!$C63,IF(OR($R63="",$R63=0),"— brak 1RM",MROUND($R63*$S63/100*$AC63,MAX($P63,0.5))),IF(OR($AA63="",$AA63=0),"— ustaw ręcznie",MROUND($AA63*$S63/100*$AC63,MAX($P63,0.5))))))</f>
        <v/>
      </c>
      <c r="H63" s="35"/>
      <c r="I63" s="36" t="str">
        <f t="array" ref="I63">IFERROR(IF(IFERROR(INDEX(BAZA_FILM,MATCH($C63,BAZA_EX,0)),"")="","",HYPERLINK(IFERROR(INDEX(BAZA_FILM,MATCH($C63,BAZA_EX,0)),""),"film")),"")</f>
        <v/>
      </c>
      <c r="J63" s="37" t="str">
        <f>IF('T1'!$J63="","",'T1'!$J63)</f>
        <v/>
      </c>
      <c r="K63" s="5" t="s">
        <v>115</v>
      </c>
      <c r="L63" s="5" t="str">
        <f t="array" ref="L63">IFERROR(INDEX(BAZA_ID,MATCH($C63,BAZA_EX,0)),"")</f>
        <v/>
      </c>
      <c r="M63" s="5" t="str">
        <f t="array" ref="M63">IFERROR(INDEX(BAZA_PART,MATCH($C63,BAZA_EX,0)),"")</f>
        <v/>
      </c>
      <c r="N63" s="5" t="str">
        <f t="array" ref="N63">IFERROR(INDEX(BAZA_KAT,MATCH($C63,BAZA_EX,0)),"")</f>
        <v/>
      </c>
      <c r="O63" s="5" t="str">
        <f t="array" ref="O63">IFERROR(INDEX(BAZA_COEFF,MATCH($C63,BAZA_EX,0)),"")</f>
        <v/>
      </c>
      <c r="P63" s="5" t="str">
        <f t="array" ref="P63">IFERROR(INDEX(BAZA_SKOK,MATCH($C63,BAZA_EX,0)),"")</f>
        <v/>
      </c>
      <c r="Q63" s="5" t="str">
        <f t="array" ref="Q63">IFERROR(INDEX(BAZA_PROG,MATCH($C63,BAZA_EX,0)),"")</f>
        <v/>
      </c>
      <c r="R63" s="5" t="str">
        <f>IF($C63="","",IF(SUMPRODUCT((START!$B$6:$B$69=$C63)*(START!$M$6:$M$69&gt;0))=0,"",SUMPRODUCT(MAX((START!$B$6:$B$69=$C63)*START!$M$6:$M$69))))</f>
        <v/>
      </c>
      <c r="S63" s="5" t="str">
        <f t="array" ref="S63">IFERROR(INDEX(TABELE!$B$4:$J$18,MATCH($E63,TABELE!$A$4:$A$18,0),MATCH($F63,TABELE!$B$3:$J$3,0)),"")</f>
        <v/>
      </c>
      <c r="T63" s="5">
        <f t="array" ref="T63">IFERROR(IF($C63="",0,$O63*$D63*INDEX(TABELE!$B$23:$P$33,MATCH($F63,TABELE!$A$23:$A$33,0),MATCH($E63,TABELE!$B$22:$P$22,0))),0)</f>
        <v>0</v>
      </c>
      <c r="U63" s="5">
        <f t="array" ref="U63">IFERROR(IF($C63="",0,$O63*$D63*INDEX(TABELE!$B$37:$P$47,MATCH($F63,TABELE!$A$37:$A$47,0),MATCH($E63,TABELE!$B$36:$P$36,0))),0)</f>
        <v>0</v>
      </c>
      <c r="V63" s="5">
        <f t="array" ref="V63">IFERROR(IF($C63="",0,$O63*$D63*INDEX(TABELE!$B$51:$P$61,MATCH($F63,TABELE!$A$51:$A$61,0),MATCH($E63,TABELE!$B$50:$P$50,0))),0)</f>
        <v>0</v>
      </c>
      <c r="W63" s="5" t="str">
        <f t="array" ref="W63">IFERROR(INDEX(BAZA_UWAGI,MATCH($C63,BAZA_EX,0)),"")</f>
        <v/>
      </c>
      <c r="X63" s="5">
        <f t="shared" si="16"/>
        <v>5</v>
      </c>
      <c r="Y63" s="5" t="str">
        <f t="shared" si="19"/>
        <v>E</v>
      </c>
      <c r="Z63" s="5">
        <f t="shared" si="20"/>
        <v>5</v>
      </c>
      <c r="AA63" s="5" t="str">
        <f>IF($C63="","",IF(SUMPRODUCT((START!$B$6:$B$69=$C63)*(START!$M$6:$M$69&gt;0))=0,"",SUMPRODUCT(MAX((START!$B$6:$B$69=$C63)*START!$M$6:$M$69))))</f>
        <v/>
      </c>
      <c r="AB63" s="5" t="str">
        <f t="shared" si="17"/>
        <v/>
      </c>
      <c r="AC63" s="5">
        <f>MAX(0.85,MIN(1.15,1+0.05*(COUNTIF('T1'!$AB63,"za łatwe")+COUNTIF('T2'!$AB63,"za łatwe")+COUNTIF('T3'!$AB63,"za łatwe"))-0.05*(COUNTIF('T1'!$AB63,"za trudne")+COUNTIF('T2'!$AB63,"za trudne")+COUNTIF('T3'!$AB63,"za trudne"))))</f>
        <v>1</v>
      </c>
      <c r="AD63" s="5">
        <f t="shared" si="18"/>
        <v>0</v>
      </c>
    </row>
    <row r="64" ht="25.5" hidden="1" customHeight="1" outlineLevel="1">
      <c r="A64" s="18" t="str">
        <f>IF('T1'!$A64="","",'T1'!$A64)</f>
        <v/>
      </c>
      <c r="B64" s="30"/>
      <c r="C64" s="31" t="str">
        <f>IF('T1'!$C64="","",'T1'!$C64)</f>
        <v/>
      </c>
      <c r="D64" s="32"/>
      <c r="E64" s="39">
        <f>IF($C64="",0,MIN(15,MAX(1,IF(N($O64)&gt;=1,6,IF(N($O64)&gt;=0.75,IF(PRZEL_CZESC="część 1 (objętość)",8,6),IF(PRZEL_CZESC="część 1 (objętość)",10,8)))+0+$AD64)))</f>
        <v>0</v>
      </c>
      <c r="F64" s="33"/>
      <c r="G64" s="34" t="str">
        <f>IF($C64="","",IF(OR($Q64="masa ciała",$Q64="czas",$Q64="dystans",$Q64="ręczne ustawienie"),$Q64,IF($C64='T1'!$C64,IF(OR($R64="",$R64=0),"— brak 1RM",MROUND($R64*$S64/100*$AC64,MAX($P64,0.5))),IF(OR($AA64="",$AA64=0),"— ustaw ręcznie",MROUND($AA64*$S64/100*$AC64,MAX($P64,0.5))))))</f>
        <v/>
      </c>
      <c r="H64" s="35"/>
      <c r="I64" s="36" t="str">
        <f t="array" ref="I64">IFERROR(IF(IFERROR(INDEX(BAZA_FILM,MATCH($C64,BAZA_EX,0)),"")="","",HYPERLINK(IFERROR(INDEX(BAZA_FILM,MATCH($C64,BAZA_EX,0)),""),"film")),"")</f>
        <v/>
      </c>
      <c r="J64" s="37" t="str">
        <f>IF('T1'!$J64="","",'T1'!$J64)</f>
        <v/>
      </c>
      <c r="K64" s="5" t="s">
        <v>116</v>
      </c>
      <c r="L64" s="5" t="str">
        <f t="array" ref="L64">IFERROR(INDEX(BAZA_ID,MATCH($C64,BAZA_EX,0)),"")</f>
        <v/>
      </c>
      <c r="M64" s="5" t="str">
        <f t="array" ref="M64">IFERROR(INDEX(BAZA_PART,MATCH($C64,BAZA_EX,0)),"")</f>
        <v/>
      </c>
      <c r="N64" s="5" t="str">
        <f t="array" ref="N64">IFERROR(INDEX(BAZA_KAT,MATCH($C64,BAZA_EX,0)),"")</f>
        <v/>
      </c>
      <c r="O64" s="5" t="str">
        <f t="array" ref="O64">IFERROR(INDEX(BAZA_COEFF,MATCH($C64,BAZA_EX,0)),"")</f>
        <v/>
      </c>
      <c r="P64" s="5" t="str">
        <f t="array" ref="P64">IFERROR(INDEX(BAZA_SKOK,MATCH($C64,BAZA_EX,0)),"")</f>
        <v/>
      </c>
      <c r="Q64" s="5" t="str">
        <f t="array" ref="Q64">IFERROR(INDEX(BAZA_PROG,MATCH($C64,BAZA_EX,0)),"")</f>
        <v/>
      </c>
      <c r="R64" s="5" t="str">
        <f>IF($C64="","",IF(SUMPRODUCT((START!$B$6:$B$69=$C64)*(START!$M$6:$M$69&gt;0))=0,"",SUMPRODUCT(MAX((START!$B$6:$B$69=$C64)*START!$M$6:$M$69))))</f>
        <v/>
      </c>
      <c r="S64" s="5" t="str">
        <f t="array" ref="S64">IFERROR(INDEX(TABELE!$B$4:$J$18,MATCH($E64,TABELE!$A$4:$A$18,0),MATCH($F64,TABELE!$B$3:$J$3,0)),"")</f>
        <v/>
      </c>
      <c r="T64" s="5">
        <f t="array" ref="T64">IFERROR(IF($C64="",0,$O64*$D64*INDEX(TABELE!$B$23:$P$33,MATCH($F64,TABELE!$A$23:$A$33,0),MATCH($E64,TABELE!$B$22:$P$22,0))),0)</f>
        <v>0</v>
      </c>
      <c r="U64" s="5">
        <f t="array" ref="U64">IFERROR(IF($C64="",0,$O64*$D64*INDEX(TABELE!$B$37:$P$47,MATCH($F64,TABELE!$A$37:$A$47,0),MATCH($E64,TABELE!$B$36:$P$36,0))),0)</f>
        <v>0</v>
      </c>
      <c r="V64" s="5">
        <f t="array" ref="V64">IFERROR(IF($C64="",0,$O64*$D64*INDEX(TABELE!$B$51:$P$61,MATCH($F64,TABELE!$A$51:$A$61,0),MATCH($E64,TABELE!$B$50:$P$50,0))),0)</f>
        <v>0</v>
      </c>
      <c r="W64" s="5" t="str">
        <f t="array" ref="W64">IFERROR(INDEX(BAZA_UWAGI,MATCH($C64,BAZA_EX,0)),"")</f>
        <v/>
      </c>
      <c r="X64" s="5" t="str">
        <f t="shared" si="16"/>
        <v/>
      </c>
      <c r="Y64" s="5" t="str">
        <f t="shared" si="19"/>
        <v>E</v>
      </c>
      <c r="Z64" s="5">
        <f t="shared" si="20"/>
        <v>5</v>
      </c>
      <c r="AA64" s="5" t="str">
        <f>IF($C64="","",IF(SUMPRODUCT((START!$B$6:$B$69=$C64)*(START!$M$6:$M$69&gt;0))=0,"",SUMPRODUCT(MAX((START!$B$6:$B$69=$C64)*START!$M$6:$M$69))))</f>
        <v/>
      </c>
      <c r="AB64" s="5" t="str">
        <f t="shared" si="17"/>
        <v/>
      </c>
      <c r="AC64" s="5">
        <f>MAX(0.85,MIN(1.15,1+0.05*(COUNTIF('T1'!$AB64,"za łatwe")+COUNTIF('T2'!$AB64,"za łatwe")+COUNTIF('T3'!$AB64,"za łatwe"))-0.05*(COUNTIF('T1'!$AB64,"za trudne")+COUNTIF('T2'!$AB64,"za trudne")+COUNTIF('T3'!$AB64,"za trudne"))))</f>
        <v>1</v>
      </c>
      <c r="AD64" s="5">
        <f t="shared" si="18"/>
        <v>0</v>
      </c>
    </row>
    <row r="65" ht="25.5" hidden="1" customHeight="1" outlineLevel="1">
      <c r="A65" s="18" t="str">
        <f>IF('T1'!$A65="","",'T1'!$A65)</f>
        <v/>
      </c>
      <c r="B65" s="30"/>
      <c r="C65" s="31" t="str">
        <f>IF('T1'!$C65="","",'T1'!$C65)</f>
        <v/>
      </c>
      <c r="D65" s="32"/>
      <c r="E65" s="39">
        <f>IF($C65="",0,MIN(15,MAX(1,IF(N($O65)&gt;=1,6,IF(N($O65)&gt;=0.75,IF(PRZEL_CZESC="część 1 (objętość)",8,6),IF(PRZEL_CZESC="część 1 (objętość)",10,8)))+0+$AD65)))</f>
        <v>0</v>
      </c>
      <c r="F65" s="33"/>
      <c r="G65" s="34" t="str">
        <f>IF($C65="","",IF(OR($Q65="masa ciała",$Q65="czas",$Q65="dystans",$Q65="ręczne ustawienie"),$Q65,IF($C65='T1'!$C65,IF(OR($R65="",$R65=0),"— brak 1RM",MROUND($R65*$S65/100*$AC65,MAX($P65,0.5))),IF(OR($AA65="",$AA65=0),"— ustaw ręcznie",MROUND($AA65*$S65/100*$AC65,MAX($P65,0.5))))))</f>
        <v/>
      </c>
      <c r="H65" s="35"/>
      <c r="I65" s="36" t="str">
        <f t="array" ref="I65">IFERROR(IF(IFERROR(INDEX(BAZA_FILM,MATCH($C65,BAZA_EX,0)),"")="","",HYPERLINK(IFERROR(INDEX(BAZA_FILM,MATCH($C65,BAZA_EX,0)),""),"film")),"")</f>
        <v/>
      </c>
      <c r="J65" s="37" t="str">
        <f>IF('T1'!$J65="","",'T1'!$J65)</f>
        <v/>
      </c>
      <c r="K65" s="5" t="s">
        <v>117</v>
      </c>
      <c r="L65" s="5" t="str">
        <f t="array" ref="L65">IFERROR(INDEX(BAZA_ID,MATCH($C65,BAZA_EX,0)),"")</f>
        <v/>
      </c>
      <c r="M65" s="5" t="str">
        <f t="array" ref="M65">IFERROR(INDEX(BAZA_PART,MATCH($C65,BAZA_EX,0)),"")</f>
        <v/>
      </c>
      <c r="N65" s="5" t="str">
        <f t="array" ref="N65">IFERROR(INDEX(BAZA_KAT,MATCH($C65,BAZA_EX,0)),"")</f>
        <v/>
      </c>
      <c r="O65" s="5" t="str">
        <f t="array" ref="O65">IFERROR(INDEX(BAZA_COEFF,MATCH($C65,BAZA_EX,0)),"")</f>
        <v/>
      </c>
      <c r="P65" s="5" t="str">
        <f t="array" ref="P65">IFERROR(INDEX(BAZA_SKOK,MATCH($C65,BAZA_EX,0)),"")</f>
        <v/>
      </c>
      <c r="Q65" s="5" t="str">
        <f t="array" ref="Q65">IFERROR(INDEX(BAZA_PROG,MATCH($C65,BAZA_EX,0)),"")</f>
        <v/>
      </c>
      <c r="R65" s="5" t="str">
        <f>IF($C65="","",IF(SUMPRODUCT((START!$B$6:$B$69=$C65)*(START!$M$6:$M$69&gt;0))=0,"",SUMPRODUCT(MAX((START!$B$6:$B$69=$C65)*START!$M$6:$M$69))))</f>
        <v/>
      </c>
      <c r="S65" s="5" t="str">
        <f t="array" ref="S65">IFERROR(INDEX(TABELE!$B$4:$J$18,MATCH($E65,TABELE!$A$4:$A$18,0),MATCH($F65,TABELE!$B$3:$J$3,0)),"")</f>
        <v/>
      </c>
      <c r="T65" s="5">
        <f t="array" ref="T65">IFERROR(IF($C65="",0,$O65*$D65*INDEX(TABELE!$B$23:$P$33,MATCH($F65,TABELE!$A$23:$A$33,0),MATCH($E65,TABELE!$B$22:$P$22,0))),0)</f>
        <v>0</v>
      </c>
      <c r="U65" s="5">
        <f t="array" ref="U65">IFERROR(IF($C65="",0,$O65*$D65*INDEX(TABELE!$B$37:$P$47,MATCH($F65,TABELE!$A$37:$A$47,0),MATCH($E65,TABELE!$B$36:$P$36,0))),0)</f>
        <v>0</v>
      </c>
      <c r="V65" s="5">
        <f t="array" ref="V65">IFERROR(IF($C65="",0,$O65*$D65*INDEX(TABELE!$B$51:$P$61,MATCH($F65,TABELE!$A$51:$A$61,0),MATCH($E65,TABELE!$B$50:$P$50,0))),0)</f>
        <v>0</v>
      </c>
      <c r="W65" s="5" t="str">
        <f t="array" ref="W65">IFERROR(INDEX(BAZA_UWAGI,MATCH($C65,BAZA_EX,0)),"")</f>
        <v/>
      </c>
      <c r="X65" s="5" t="str">
        <f t="shared" si="16"/>
        <v/>
      </c>
      <c r="Y65" s="5" t="str">
        <f t="shared" si="19"/>
        <v>E</v>
      </c>
      <c r="Z65" s="5">
        <f t="shared" si="20"/>
        <v>5</v>
      </c>
      <c r="AA65" s="5" t="str">
        <f>IF($C65="","",IF(SUMPRODUCT((START!$B$6:$B$69=$C65)*(START!$M$6:$M$69&gt;0))=0,"",SUMPRODUCT(MAX((START!$B$6:$B$69=$C65)*START!$M$6:$M$69))))</f>
        <v/>
      </c>
      <c r="AB65" s="5" t="str">
        <f t="shared" si="17"/>
        <v/>
      </c>
      <c r="AC65" s="5">
        <f>MAX(0.85,MIN(1.15,1+0.05*(COUNTIF('T1'!$AB65,"za łatwe")+COUNTIF('T2'!$AB65,"za łatwe")+COUNTIF('T3'!$AB65,"za łatwe"))-0.05*(COUNTIF('T1'!$AB65,"za trudne")+COUNTIF('T2'!$AB65,"za trudne")+COUNTIF('T3'!$AB65,"za trudne"))))</f>
        <v>1</v>
      </c>
      <c r="AD65" s="5">
        <f t="shared" si="18"/>
        <v>0</v>
      </c>
    </row>
    <row r="66" ht="25.5" hidden="1" customHeight="1" outlineLevel="1">
      <c r="A66" s="18" t="str">
        <f>IF('T1'!$A66="","",'T1'!$A66)</f>
        <v/>
      </c>
      <c r="B66" s="30"/>
      <c r="C66" s="31" t="str">
        <f>IF('T1'!$C66="","",'T1'!$C66)</f>
        <v/>
      </c>
      <c r="D66" s="32"/>
      <c r="E66" s="39">
        <f>IF($C66="",0,MIN(15,MAX(1,IF(N($O66)&gt;=1,6,IF(N($O66)&gt;=0.75,IF(PRZEL_CZESC="część 1 (objętość)",8,6),IF(PRZEL_CZESC="część 1 (objętość)",10,8)))+0+$AD66)))</f>
        <v>0</v>
      </c>
      <c r="F66" s="33"/>
      <c r="G66" s="34" t="str">
        <f>IF($C66="","",IF(OR($Q66="masa ciała",$Q66="czas",$Q66="dystans",$Q66="ręczne ustawienie"),$Q66,IF($C66='T1'!$C66,IF(OR($R66="",$R66=0),"— brak 1RM",MROUND($R66*$S66/100*$AC66,MAX($P66,0.5))),IF(OR($AA66="",$AA66=0),"— ustaw ręcznie",MROUND($AA66*$S66/100*$AC66,MAX($P66,0.5))))))</f>
        <v/>
      </c>
      <c r="H66" s="35"/>
      <c r="I66" s="36" t="str">
        <f t="array" ref="I66">IFERROR(IF(IFERROR(INDEX(BAZA_FILM,MATCH($C66,BAZA_EX,0)),"")="","",HYPERLINK(IFERROR(INDEX(BAZA_FILM,MATCH($C66,BAZA_EX,0)),""),"film")),"")</f>
        <v/>
      </c>
      <c r="J66" s="37" t="str">
        <f>IF('T1'!$J66="","",'T1'!$J66)</f>
        <v/>
      </c>
      <c r="K66" s="5" t="s">
        <v>118</v>
      </c>
      <c r="L66" s="5" t="str">
        <f t="array" ref="L66">IFERROR(INDEX(BAZA_ID,MATCH($C66,BAZA_EX,0)),"")</f>
        <v/>
      </c>
      <c r="M66" s="5" t="str">
        <f t="array" ref="M66">IFERROR(INDEX(BAZA_PART,MATCH($C66,BAZA_EX,0)),"")</f>
        <v/>
      </c>
      <c r="N66" s="5" t="str">
        <f t="array" ref="N66">IFERROR(INDEX(BAZA_KAT,MATCH($C66,BAZA_EX,0)),"")</f>
        <v/>
      </c>
      <c r="O66" s="5" t="str">
        <f t="array" ref="O66">IFERROR(INDEX(BAZA_COEFF,MATCH($C66,BAZA_EX,0)),"")</f>
        <v/>
      </c>
      <c r="P66" s="5" t="str">
        <f t="array" ref="P66">IFERROR(INDEX(BAZA_SKOK,MATCH($C66,BAZA_EX,0)),"")</f>
        <v/>
      </c>
      <c r="Q66" s="5" t="str">
        <f t="array" ref="Q66">IFERROR(INDEX(BAZA_PROG,MATCH($C66,BAZA_EX,0)),"")</f>
        <v/>
      </c>
      <c r="R66" s="5" t="str">
        <f>IF($C66="","",IF(SUMPRODUCT((START!$B$6:$B$69=$C66)*(START!$M$6:$M$69&gt;0))=0,"",SUMPRODUCT(MAX((START!$B$6:$B$69=$C66)*START!$M$6:$M$69))))</f>
        <v/>
      </c>
      <c r="S66" s="5" t="str">
        <f t="array" ref="S66">IFERROR(INDEX(TABELE!$B$4:$J$18,MATCH($E66,TABELE!$A$4:$A$18,0),MATCH($F66,TABELE!$B$3:$J$3,0)),"")</f>
        <v/>
      </c>
      <c r="T66" s="5">
        <f t="array" ref="T66">IFERROR(IF($C66="",0,$O66*$D66*INDEX(TABELE!$B$23:$P$33,MATCH($F66,TABELE!$A$23:$A$33,0),MATCH($E66,TABELE!$B$22:$P$22,0))),0)</f>
        <v>0</v>
      </c>
      <c r="U66" s="5">
        <f t="array" ref="U66">IFERROR(IF($C66="",0,$O66*$D66*INDEX(TABELE!$B$37:$P$47,MATCH($F66,TABELE!$A$37:$A$47,0),MATCH($E66,TABELE!$B$36:$P$36,0))),0)</f>
        <v>0</v>
      </c>
      <c r="V66" s="5">
        <f t="array" ref="V66">IFERROR(IF($C66="",0,$O66*$D66*INDEX(TABELE!$B$51:$P$61,MATCH($F66,TABELE!$A$51:$A$61,0),MATCH($E66,TABELE!$B$50:$P$50,0))),0)</f>
        <v>0</v>
      </c>
      <c r="W66" s="5" t="str">
        <f t="array" ref="W66">IFERROR(INDEX(BAZA_UWAGI,MATCH($C66,BAZA_EX,0)),"")</f>
        <v/>
      </c>
      <c r="X66" s="5" t="str">
        <f t="shared" si="16"/>
        <v/>
      </c>
      <c r="Y66" s="5" t="str">
        <f t="shared" si="19"/>
        <v>E</v>
      </c>
      <c r="Z66" s="5">
        <f t="shared" si="20"/>
        <v>5</v>
      </c>
      <c r="AA66" s="5" t="str">
        <f>IF($C66="","",IF(SUMPRODUCT((START!$B$6:$B$69=$C66)*(START!$M$6:$M$69&gt;0))=0,"",SUMPRODUCT(MAX((START!$B$6:$B$69=$C66)*START!$M$6:$M$69))))</f>
        <v/>
      </c>
      <c r="AB66" s="5" t="str">
        <f t="shared" si="17"/>
        <v/>
      </c>
      <c r="AC66" s="5">
        <f>MAX(0.85,MIN(1.15,1+0.05*(COUNTIF('T1'!$AB66,"za łatwe")+COUNTIF('T2'!$AB66,"za łatwe")+COUNTIF('T3'!$AB66,"za łatwe"))-0.05*(COUNTIF('T1'!$AB66,"za trudne")+COUNTIF('T2'!$AB66,"za trudne")+COUNTIF('T3'!$AB66,"za trudne"))))</f>
        <v>1</v>
      </c>
      <c r="AD66" s="5">
        <f t="shared" si="18"/>
        <v>0</v>
      </c>
    </row>
    <row r="67" ht="19.5" hidden="1" customHeight="1" outlineLevel="1">
      <c r="A67" s="43"/>
      <c r="B67" s="43"/>
      <c r="C67" s="44" t="s">
        <v>138</v>
      </c>
      <c r="D67" s="45">
        <f>SUMPRODUCT((C55:C66&lt;&gt;"")*D55:D66)+IF(AND($B$54="TOP SET",$C$54&lt;&gt;""),1,0)</f>
      </c>
      <c r="E67" s="46" t="str">
        <f>SUMPRODUCT((C55:C66&lt;&gt;"")*D55:D66*E55:E66)&amp;" powt."</f>
        <v>0 powt.</v>
      </c>
      <c r="F67" s="43"/>
      <c r="G67" s="47" t="str">
        <f>"stres t "&amp;TEXT(SUM(T55:T66),"0.0")</f>
        <v>stres t 0,0</v>
      </c>
      <c r="H67" s="48"/>
      <c r="I67" s="43"/>
      <c r="J67" s="4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25.5" hidden="1" customHeight="1" outlineLevel="1">
      <c r="A69" s="15" t="s">
        <v>119</v>
      </c>
      <c r="B69" s="3"/>
      <c r="C69" s="3"/>
      <c r="D69" s="3"/>
      <c r="E69" s="3"/>
      <c r="F69" s="3"/>
      <c r="G69" s="3"/>
      <c r="H69" s="3"/>
      <c r="I69" s="3"/>
      <c r="J69" s="4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33.75" hidden="1" customHeight="1" outlineLevel="2">
      <c r="A70" s="17" t="str">
        <f>IF($B70="TOP SET","▲","")</f>
        <v>▲</v>
      </c>
      <c r="B70" s="19" t="str">
        <f>IF('T1'!$B70="TOP SET","TOP SET","—")</f>
        <v>TOP SET</v>
      </c>
      <c r="C70" s="22" t="str">
        <f>IF(OR($B70&lt;&gt;"TOP SET",$F70=""),"",IF(N($K70)=0,"",IF(INDEX($C$71:$C$82,$K70)="","",INDEX($C$71:$C$82,$K70))))</f>
      </c>
      <c r="D70" s="23">
        <f>IF(AND($B70="TOP SET",$F70&lt;&gt;""),1,"")</f>
      </c>
      <c r="E70" s="24" t="str">
        <f>IF(AND($B70="TOP SET",$F70&lt;&gt;""),"1 powtórzenie","")</f>
      </c>
      <c r="F70" s="25">
        <v>7.0</v>
      </c>
      <c r="G70" s="27" t="str">
        <f t="array" ref="G70">IF($B70&lt;&gt;"TOP SET","",IF($C70="","",IF(OR($Q70="masa ciała",$Q70="czas",$Q70="dystans",$Q70="ręczne ustawienie"),"—",IF($C70='T1'!$C70,IF(OR($R70="",$R70=0),"— brak 1RM",MROUND($R70*IFERROR(INDEX(TABELE!$B$4:$J$18,MATCH(1,TABELE!$A$4:$A$18,0),MATCH($F70,TABELE!$B$3:$J$3,0)),0)/100,MAX($P70,0.5))),IF(OR($AA70="",$AA70=0),"— ustaw ręcznie",MROUND($AA70*IFERROR(INDEX(TABELE!$B$4:$J$18,MATCH(1,TABELE!$A$4:$A$18,0),MATCH($F70,TABELE!$B$3:$J$3,0)),0)/100,MAX($P70,0.5)))))))</f>
      </c>
      <c r="H70" s="28"/>
      <c r="I70" s="29"/>
      <c r="J70" s="29"/>
      <c r="K70" s="5">
        <f>IFERROR(MATCH("A*",$A$71:$A$82,0),0)</f>
      </c>
      <c r="L70" s="5"/>
      <c r="M70" s="5"/>
      <c r="N70" s="5"/>
      <c r="O70" s="5"/>
      <c r="P70" s="5">
        <f>IF(N($K70)=0,"",INDEX($P$71:$P$82,$K70))</f>
      </c>
      <c r="Q70" s="5">
        <f>IF(N($K70)=0,"",INDEX($Q$71:$Q$82,$K70))</f>
      </c>
      <c r="R70" s="5">
        <f>IF(N($K70)=0,"",INDEX($R$71:$R$82,$K70))</f>
      </c>
      <c r="S70" s="5"/>
      <c r="T70" s="5"/>
      <c r="U70" s="5"/>
      <c r="V70" s="5"/>
      <c r="W70" s="5"/>
      <c r="X70" s="5"/>
      <c r="Y70" s="5"/>
      <c r="Z70" s="5"/>
      <c r="AA70" s="5">
        <f>IF(N($K70)=0,"",INDEX($AA$71:$AA$82,$K70))</f>
      </c>
    </row>
    <row r="71" ht="25.5" hidden="1" customHeight="1" outlineLevel="1">
      <c r="A71" s="18" t="str">
        <f>IF('T1'!$A71="","",'T1'!$A71)</f>
        <v>A1.</v>
      </c>
      <c r="B71" s="30"/>
      <c r="C71" s="31" t="str">
        <f>IF('T1'!$C71="","",'T1'!$C71)</f>
        <v/>
      </c>
      <c r="D71" s="32">
        <v>4.0</v>
      </c>
      <c r="E71" s="32">
        <v>5.0</v>
      </c>
      <c r="F71" s="33">
        <v>7.5</v>
      </c>
      <c r="G71" s="34" t="str">
        <f>IF($C71="","",IF(OR($Q71="masa ciała",$Q71="czas",$Q71="dystans",$Q71="ręczne ustawienie"),$Q71,IF($C71='T1'!$C71,IF(OR($R71="",$R71=0),"— brak 1RM",MROUND($R71*$S71/100*$AC71,MAX($P71,0.5))),IF(OR($AA71="",$AA71=0),"— ustaw ręcznie",MROUND($AA71*$S71/100*$AC71,MAX($P71,0.5))))))</f>
        <v/>
      </c>
      <c r="H71" s="35"/>
      <c r="I71" s="36" t="str">
        <f t="array" ref="I71">IFERROR(IF(IFERROR(INDEX(BAZA_FILM,MATCH($C71,BAZA_EX,0)),"")="","",HYPERLINK(IFERROR(INDEX(BAZA_FILM,MATCH($C71,BAZA_EX,0)),""),"film")),"")</f>
        <v/>
      </c>
      <c r="J71" s="37" t="str">
        <f>IF('T1'!$J71="","",'T1'!$J71)</f>
        <v/>
      </c>
      <c r="K71" s="5" t="s">
        <v>120</v>
      </c>
      <c r="L71" s="5" t="str">
        <f t="array" ref="L71">IFERROR(INDEX(BAZA_ID,MATCH($C71,BAZA_EX,0)),"")</f>
        <v/>
      </c>
      <c r="M71" s="5" t="str">
        <f t="array" ref="M71">IFERROR(INDEX(BAZA_PART,MATCH($C71,BAZA_EX,0)),"")</f>
        <v/>
      </c>
      <c r="N71" s="5" t="str">
        <f t="array" ref="N71">IFERROR(INDEX(BAZA_KAT,MATCH($C71,BAZA_EX,0)),"")</f>
        <v/>
      </c>
      <c r="O71" s="5" t="str">
        <f t="array" ref="O71">IFERROR(INDEX(BAZA_COEFF,MATCH($C71,BAZA_EX,0)),"")</f>
        <v/>
      </c>
      <c r="P71" s="5" t="str">
        <f t="array" ref="P71">IFERROR(INDEX(BAZA_SKOK,MATCH($C71,BAZA_EX,0)),"")</f>
        <v/>
      </c>
      <c r="Q71" s="5" t="str">
        <f t="array" ref="Q71">IFERROR(INDEX(BAZA_PROG,MATCH($C71,BAZA_EX,0)),"")</f>
        <v/>
      </c>
      <c r="R71" s="5" t="str">
        <f>IF($C71="","",IF(SUMPRODUCT((START!$B$6:$B$69=$C71)*(START!$M$6:$M$69&gt;0))=0,"",SUMPRODUCT(MAX((START!$B$6:$B$69=$C71)*START!$M$6:$M$69))))</f>
        <v/>
      </c>
      <c r="S71" s="5">
        <f t="array" ref="S71">IFERROR(INDEX(TABELE!$B$4:$J$18,MATCH($E71,TABELE!$A$4:$A$18,0),MATCH($F71,TABELE!$B$3:$J$3,0)),"")</f>
        <v>77.5</v>
      </c>
      <c r="T71" s="5">
        <f t="array" ref="T71">IFERROR(IF($C71="",0,$O71*$D71*INDEX(TABELE!$B$23:$P$33,MATCH($F71,TABELE!$A$23:$A$33,0),MATCH($E71,TABELE!$B$22:$P$22,0))),0)</f>
        <v>0</v>
      </c>
      <c r="U71" s="5">
        <f t="array" ref="U71">IFERROR(IF($C71="",0,$O71*$D71*INDEX(TABELE!$B$37:$P$47,MATCH($F71,TABELE!$A$37:$A$47,0),MATCH($E71,TABELE!$B$36:$P$36,0))),0)</f>
        <v>0</v>
      </c>
      <c r="V71" s="5">
        <f t="array" ref="V71">IFERROR(IF($C71="",0,$O71*$D71*INDEX(TABELE!$B$51:$P$61,MATCH($F71,TABELE!$A$51:$A$61,0),MATCH($E71,TABELE!$B$50:$P$50,0))),0)</f>
        <v>0</v>
      </c>
      <c r="W71" s="5" t="str">
        <f t="array" ref="W71">IFERROR(INDEX(BAZA_UWAGI,MATCH($C71,BAZA_EX,0)),"")</f>
        <v/>
      </c>
      <c r="X71" s="5">
        <f t="shared" ref="X71:X82" si="21">IF($A71="","",$Z71)</f>
        <v>1</v>
      </c>
      <c r="Y71" s="5" t="str">
        <f>IF($A71="","",LEFT($A71,1))</f>
        <v>A</v>
      </c>
      <c r="Z71" s="5">
        <f>IF($A71="",0,1)</f>
        <v>1</v>
      </c>
      <c r="AA71" s="5" t="str">
        <f>IF($C71="","",IF(SUMPRODUCT((START!$B$6:$B$69=$C71)*(START!$M$6:$M$69&gt;0))=0,"",SUMPRODUCT(MAX((START!$B$6:$B$69=$C71)*START!$M$6:$M$69))))</f>
        <v/>
      </c>
      <c r="AB71" s="5" t="str">
        <f t="shared" ref="AB71:AB82" si="22">IF($C71="","",IF($H71&lt;&gt;"",$H71,IF($H$83="✓ ukończony","OK","")))</f>
        <v/>
      </c>
      <c r="AC71" s="5">
        <f>MAX(0.85,MIN(1.15,1+0.05*(COUNTIF('T1'!$AB71,"za łatwe")+COUNTIF('T2'!$AB71,"za łatwe")+COUNTIF('T3'!$AB71,"za łatwe"))-0.05*(COUNTIF('T1'!$AB71,"za trudne")+COUNTIF('T2'!$AB71,"za trudne")+COUNTIF('T3'!$AB71,"za trudne"))))</f>
        <v>1</v>
      </c>
      <c r="AD71" s="5">
        <f t="shared" ref="AD71:AD82" si="23">IF(OR($Q71="masa ciała",$Q71="czas",$Q71="dystans",$Q71="ręczne ustawienie"),MAX(-3,MIN(3,ROUND(($AC71-1)/0.05,0))),0)</f>
        <v>0</v>
      </c>
    </row>
    <row r="72" ht="25.5" hidden="1" customHeight="1" outlineLevel="1">
      <c r="A72" s="18" t="str">
        <f>IF('T1'!$A72="","",'T1'!$A72)</f>
        <v>B1.</v>
      </c>
      <c r="B72" s="30"/>
      <c r="C72" s="31" t="str">
        <f>IF('T1'!$C72="","",'T1'!$C72)</f>
        <v/>
      </c>
      <c r="D72" s="32">
        <v>3.0</v>
      </c>
      <c r="E72" s="39">
        <f>IF($C72="",0,MIN(15,MAX(1,IF(N($O72)&gt;=1,6,IF(N($O72)&gt;=0.75,IF(PRZEL_CZESC="część 1 (objętość)",8,6),IF(PRZEL_CZESC="część 1 (objętość)",10,8)))+0+$AD72)))</f>
        <v>0</v>
      </c>
      <c r="F72" s="33">
        <v>9.0</v>
      </c>
      <c r="G72" s="34" t="str">
        <f>IF($C72="","",IF(OR($Q72="masa ciała",$Q72="czas",$Q72="dystans",$Q72="ręczne ustawienie"),$Q72,IF($C72='T1'!$C72,IF(OR($R72="",$R72=0),"— brak 1RM",MROUND($R72*$S72/100*$AC72,MAX($P72,0.5))),IF(OR($AA72="",$AA72=0),"— ustaw ręcznie",MROUND($AA72*$S72/100*$AC72,MAX($P72,0.5))))))</f>
        <v/>
      </c>
      <c r="H72" s="35"/>
      <c r="I72" s="36" t="str">
        <f t="array" ref="I72">IFERROR(IF(IFERROR(INDEX(BAZA_FILM,MATCH($C72,BAZA_EX,0)),"")="","",HYPERLINK(IFERROR(INDEX(BAZA_FILM,MATCH($C72,BAZA_EX,0)),""),"film")),"")</f>
        <v/>
      </c>
      <c r="J72" s="37" t="str">
        <f>IF('T1'!$J72="","",'T1'!$J72)</f>
        <v/>
      </c>
      <c r="K72" s="5" t="s">
        <v>121</v>
      </c>
      <c r="L72" s="5" t="str">
        <f t="array" ref="L72">IFERROR(INDEX(BAZA_ID,MATCH($C72,BAZA_EX,0)),"")</f>
        <v/>
      </c>
      <c r="M72" s="5" t="str">
        <f t="array" ref="M72">IFERROR(INDEX(BAZA_PART,MATCH($C72,BAZA_EX,0)),"")</f>
        <v/>
      </c>
      <c r="N72" s="5" t="str">
        <f t="array" ref="N72">IFERROR(INDEX(BAZA_KAT,MATCH($C72,BAZA_EX,0)),"")</f>
        <v/>
      </c>
      <c r="O72" s="5" t="str">
        <f t="array" ref="O72">IFERROR(INDEX(BAZA_COEFF,MATCH($C72,BAZA_EX,0)),"")</f>
        <v/>
      </c>
      <c r="P72" s="5" t="str">
        <f t="array" ref="P72">IFERROR(INDEX(BAZA_SKOK,MATCH($C72,BAZA_EX,0)),"")</f>
        <v/>
      </c>
      <c r="Q72" s="5" t="str">
        <f t="array" ref="Q72">IFERROR(INDEX(BAZA_PROG,MATCH($C72,BAZA_EX,0)),"")</f>
        <v/>
      </c>
      <c r="R72" s="5" t="str">
        <f>IF($C72="","",IF(SUMPRODUCT((START!$B$6:$B$69=$C72)*(START!$M$6:$M$69&gt;0))=0,"",SUMPRODUCT(MAX((START!$B$6:$B$69=$C72)*START!$M$6:$M$69))))</f>
        <v/>
      </c>
      <c r="S72" s="5" t="str">
        <f t="array" ref="S72">IFERROR(INDEX(TABELE!$B$4:$J$18,MATCH($E72,TABELE!$A$4:$A$18,0),MATCH($F72,TABELE!$B$3:$J$3,0)),"")</f>
        <v/>
      </c>
      <c r="T72" s="5">
        <f t="array" ref="T72">IFERROR(IF($C72="",0,$O72*$D72*INDEX(TABELE!$B$23:$P$33,MATCH($F72,TABELE!$A$23:$A$33,0),MATCH($E72,TABELE!$B$22:$P$22,0))),0)</f>
        <v>0</v>
      </c>
      <c r="U72" s="5">
        <f t="array" ref="U72">IFERROR(IF($C72="",0,$O72*$D72*INDEX(TABELE!$B$37:$P$47,MATCH($F72,TABELE!$A$37:$A$47,0),MATCH($E72,TABELE!$B$36:$P$36,0))),0)</f>
        <v>0</v>
      </c>
      <c r="V72" s="5">
        <f t="array" ref="V72">IFERROR(IF($C72="",0,$O72*$D72*INDEX(TABELE!$B$51:$P$61,MATCH($F72,TABELE!$A$51:$A$61,0),MATCH($E72,TABELE!$B$50:$P$50,0))),0)</f>
        <v>0</v>
      </c>
      <c r="W72" s="5" t="str">
        <f t="array" ref="W72">IFERROR(INDEX(BAZA_UWAGI,MATCH($C72,BAZA_EX,0)),"")</f>
        <v/>
      </c>
      <c r="X72" s="5">
        <f t="shared" si="21"/>
        <v>2</v>
      </c>
      <c r="Y72" s="5" t="str">
        <f t="shared" ref="Y72:Y82" si="24">IF($A72="",$Y71,LEFT($A72,1))</f>
        <v>B</v>
      </c>
      <c r="Z72" s="5">
        <f t="shared" ref="Z72:Z82" si="25">IF($A72="",$Z71,IF(LEFT($A72,1)=$Y71,$Z71,$Z71+1))</f>
        <v>2</v>
      </c>
      <c r="AA72" s="5" t="str">
        <f>IF($C72="","",IF(SUMPRODUCT((START!$B$6:$B$69=$C72)*(START!$M$6:$M$69&gt;0))=0,"",SUMPRODUCT(MAX((START!$B$6:$B$69=$C72)*START!$M$6:$M$69))))</f>
        <v/>
      </c>
      <c r="AB72" s="5" t="str">
        <f t="shared" si="22"/>
        <v/>
      </c>
      <c r="AC72" s="5">
        <f>MAX(0.85,MIN(1.15,1+0.05*(COUNTIF('T1'!$AB72,"za łatwe")+COUNTIF('T2'!$AB72,"za łatwe")+COUNTIF('T3'!$AB72,"za łatwe"))-0.05*(COUNTIF('T1'!$AB72,"za trudne")+COUNTIF('T2'!$AB72,"za trudne")+COUNTIF('T3'!$AB72,"za trudne"))))</f>
        <v>1</v>
      </c>
      <c r="AD72" s="5">
        <f t="shared" si="23"/>
        <v>0</v>
      </c>
    </row>
    <row r="73" ht="25.5" hidden="1" customHeight="1" outlineLevel="1">
      <c r="A73" s="18" t="str">
        <f>IF('T1'!$A73="","",'T1'!$A73)</f>
        <v>B2.</v>
      </c>
      <c r="B73" s="30"/>
      <c r="C73" s="31" t="str">
        <f>IF('T1'!$C73="","",'T1'!$C73)</f>
        <v/>
      </c>
      <c r="D73" s="32">
        <v>3.0</v>
      </c>
      <c r="E73" s="39">
        <f>IF($C73="",0,MIN(15,MAX(1,IF(N($O73)&gt;=1,6,IF(N($O73)&gt;=0.75,IF(PRZEL_CZESC="część 1 (objętość)",8,6),IF(PRZEL_CZESC="część 1 (objętość)",10,8)))+0+$AD73)))</f>
        <v>0</v>
      </c>
      <c r="F73" s="33">
        <v>9.0</v>
      </c>
      <c r="G73" s="34" t="str">
        <f>IF($C73="","",IF(OR($Q73="masa ciała",$Q73="czas",$Q73="dystans",$Q73="ręczne ustawienie"),$Q73,IF($C73='T1'!$C73,IF(OR($R73="",$R73=0),"— brak 1RM",MROUND($R73*$S73/100*$AC73,MAX($P73,0.5))),IF(OR($AA73="",$AA73=0),"— ustaw ręcznie",MROUND($AA73*$S73/100*$AC73,MAX($P73,0.5))))))</f>
        <v/>
      </c>
      <c r="H73" s="35"/>
      <c r="I73" s="36" t="str">
        <f t="array" ref="I73">IFERROR(IF(IFERROR(INDEX(BAZA_FILM,MATCH($C73,BAZA_EX,0)),"")="","",HYPERLINK(IFERROR(INDEX(BAZA_FILM,MATCH($C73,BAZA_EX,0)),""),"film")),"")</f>
        <v/>
      </c>
      <c r="J73" s="37" t="str">
        <f>IF('T1'!$J73="","",'T1'!$J73)</f>
        <v/>
      </c>
      <c r="K73" s="5" t="s">
        <v>122</v>
      </c>
      <c r="L73" s="5" t="str">
        <f t="array" ref="L73">IFERROR(INDEX(BAZA_ID,MATCH($C73,BAZA_EX,0)),"")</f>
        <v/>
      </c>
      <c r="M73" s="5" t="str">
        <f t="array" ref="M73">IFERROR(INDEX(BAZA_PART,MATCH($C73,BAZA_EX,0)),"")</f>
        <v/>
      </c>
      <c r="N73" s="5" t="str">
        <f t="array" ref="N73">IFERROR(INDEX(BAZA_KAT,MATCH($C73,BAZA_EX,0)),"")</f>
        <v/>
      </c>
      <c r="O73" s="5" t="str">
        <f t="array" ref="O73">IFERROR(INDEX(BAZA_COEFF,MATCH($C73,BAZA_EX,0)),"")</f>
        <v/>
      </c>
      <c r="P73" s="5" t="str">
        <f t="array" ref="P73">IFERROR(INDEX(BAZA_SKOK,MATCH($C73,BAZA_EX,0)),"")</f>
        <v/>
      </c>
      <c r="Q73" s="5" t="str">
        <f t="array" ref="Q73">IFERROR(INDEX(BAZA_PROG,MATCH($C73,BAZA_EX,0)),"")</f>
        <v/>
      </c>
      <c r="R73" s="5" t="str">
        <f>IF($C73="","",IF(SUMPRODUCT((START!$B$6:$B$69=$C73)*(START!$M$6:$M$69&gt;0))=0,"",SUMPRODUCT(MAX((START!$B$6:$B$69=$C73)*START!$M$6:$M$69))))</f>
        <v/>
      </c>
      <c r="S73" s="5" t="str">
        <f t="array" ref="S73">IFERROR(INDEX(TABELE!$B$4:$J$18,MATCH($E73,TABELE!$A$4:$A$18,0),MATCH($F73,TABELE!$B$3:$J$3,0)),"")</f>
        <v/>
      </c>
      <c r="T73" s="5">
        <f t="array" ref="T73">IFERROR(IF($C73="",0,$O73*$D73*INDEX(TABELE!$B$23:$P$33,MATCH($F73,TABELE!$A$23:$A$33,0),MATCH($E73,TABELE!$B$22:$P$22,0))),0)</f>
        <v>0</v>
      </c>
      <c r="U73" s="5">
        <f t="array" ref="U73">IFERROR(IF($C73="",0,$O73*$D73*INDEX(TABELE!$B$37:$P$47,MATCH($F73,TABELE!$A$37:$A$47,0),MATCH($E73,TABELE!$B$36:$P$36,0))),0)</f>
        <v>0</v>
      </c>
      <c r="V73" s="5">
        <f t="array" ref="V73">IFERROR(IF($C73="",0,$O73*$D73*INDEX(TABELE!$B$51:$P$61,MATCH($F73,TABELE!$A$51:$A$61,0),MATCH($E73,TABELE!$B$50:$P$50,0))),0)</f>
        <v>0</v>
      </c>
      <c r="W73" s="5" t="str">
        <f t="array" ref="W73">IFERROR(INDEX(BAZA_UWAGI,MATCH($C73,BAZA_EX,0)),"")</f>
        <v/>
      </c>
      <c r="X73" s="5">
        <f t="shared" si="21"/>
        <v>2</v>
      </c>
      <c r="Y73" s="5" t="str">
        <f t="shared" si="24"/>
        <v>B</v>
      </c>
      <c r="Z73" s="5">
        <f t="shared" si="25"/>
        <v>2</v>
      </c>
      <c r="AA73" s="5" t="str">
        <f>IF($C73="","",IF(SUMPRODUCT((START!$B$6:$B$69=$C73)*(START!$M$6:$M$69&gt;0))=0,"",SUMPRODUCT(MAX((START!$B$6:$B$69=$C73)*START!$M$6:$M$69))))</f>
        <v/>
      </c>
      <c r="AB73" s="5" t="str">
        <f t="shared" si="22"/>
        <v/>
      </c>
      <c r="AC73" s="5">
        <f>MAX(0.85,MIN(1.15,1+0.05*(COUNTIF('T1'!$AB73,"za łatwe")+COUNTIF('T2'!$AB73,"za łatwe")+COUNTIF('T3'!$AB73,"za łatwe"))-0.05*(COUNTIF('T1'!$AB73,"za trudne")+COUNTIF('T2'!$AB73,"za trudne")+COUNTIF('T3'!$AB73,"za trudne"))))</f>
        <v>1</v>
      </c>
      <c r="AD73" s="5">
        <f t="shared" si="23"/>
        <v>0</v>
      </c>
    </row>
    <row r="74" ht="25.5" hidden="1" customHeight="1" outlineLevel="1">
      <c r="A74" s="18" t="str">
        <f>IF('T1'!$A74="","",'T1'!$A74)</f>
        <v>C1.</v>
      </c>
      <c r="B74" s="30"/>
      <c r="C74" s="31" t="str">
        <f>IF('T1'!$C74="","",'T1'!$C74)</f>
        <v/>
      </c>
      <c r="D74" s="32">
        <v>3.0</v>
      </c>
      <c r="E74" s="39">
        <f>IF($C74="",0,MIN(15,MAX(1,IF(N($O74)&gt;=1,6,IF(N($O74)&gt;=0.75,IF(PRZEL_CZESC="część 1 (objętość)",8,6),IF(PRZEL_CZESC="część 1 (objętość)",10,8)))+0+$AD74)))</f>
        <v>0</v>
      </c>
      <c r="F74" s="33">
        <v>9.0</v>
      </c>
      <c r="G74" s="34" t="str">
        <f>IF($C74="","",IF(OR($Q74="masa ciała",$Q74="czas",$Q74="dystans",$Q74="ręczne ustawienie"),$Q74,IF($C74='T1'!$C74,IF(OR($R74="",$R74=0),"— brak 1RM",MROUND($R74*$S74/100*$AC74,MAX($P74,0.5))),IF(OR($AA74="",$AA74=0),"— ustaw ręcznie",MROUND($AA74*$S74/100*$AC74,MAX($P74,0.5))))))</f>
        <v/>
      </c>
      <c r="H74" s="35"/>
      <c r="I74" s="36" t="str">
        <f t="array" ref="I74">IFERROR(IF(IFERROR(INDEX(BAZA_FILM,MATCH($C74,BAZA_EX,0)),"")="","",HYPERLINK(IFERROR(INDEX(BAZA_FILM,MATCH($C74,BAZA_EX,0)),""),"film")),"")</f>
        <v/>
      </c>
      <c r="J74" s="37" t="str">
        <f>IF('T1'!$J74="","",'T1'!$J74)</f>
        <v/>
      </c>
      <c r="K74" s="5" t="s">
        <v>123</v>
      </c>
      <c r="L74" s="5" t="str">
        <f t="array" ref="L74">IFERROR(INDEX(BAZA_ID,MATCH($C74,BAZA_EX,0)),"")</f>
        <v/>
      </c>
      <c r="M74" s="5" t="str">
        <f t="array" ref="M74">IFERROR(INDEX(BAZA_PART,MATCH($C74,BAZA_EX,0)),"")</f>
        <v/>
      </c>
      <c r="N74" s="5" t="str">
        <f t="array" ref="N74">IFERROR(INDEX(BAZA_KAT,MATCH($C74,BAZA_EX,0)),"")</f>
        <v/>
      </c>
      <c r="O74" s="5" t="str">
        <f t="array" ref="O74">IFERROR(INDEX(BAZA_COEFF,MATCH($C74,BAZA_EX,0)),"")</f>
        <v/>
      </c>
      <c r="P74" s="5" t="str">
        <f t="array" ref="P74">IFERROR(INDEX(BAZA_SKOK,MATCH($C74,BAZA_EX,0)),"")</f>
        <v/>
      </c>
      <c r="Q74" s="5" t="str">
        <f t="array" ref="Q74">IFERROR(INDEX(BAZA_PROG,MATCH($C74,BAZA_EX,0)),"")</f>
        <v/>
      </c>
      <c r="R74" s="5" t="str">
        <f>IF($C74="","",IF(SUMPRODUCT((START!$B$6:$B$69=$C74)*(START!$M$6:$M$69&gt;0))=0,"",SUMPRODUCT(MAX((START!$B$6:$B$69=$C74)*START!$M$6:$M$69))))</f>
        <v/>
      </c>
      <c r="S74" s="5" t="str">
        <f t="array" ref="S74">IFERROR(INDEX(TABELE!$B$4:$J$18,MATCH($E74,TABELE!$A$4:$A$18,0),MATCH($F74,TABELE!$B$3:$J$3,0)),"")</f>
        <v/>
      </c>
      <c r="T74" s="5">
        <f t="array" ref="T74">IFERROR(IF($C74="",0,$O74*$D74*INDEX(TABELE!$B$23:$P$33,MATCH($F74,TABELE!$A$23:$A$33,0),MATCH($E74,TABELE!$B$22:$P$22,0))),0)</f>
        <v>0</v>
      </c>
      <c r="U74" s="5">
        <f t="array" ref="U74">IFERROR(IF($C74="",0,$O74*$D74*INDEX(TABELE!$B$37:$P$47,MATCH($F74,TABELE!$A$37:$A$47,0),MATCH($E74,TABELE!$B$36:$P$36,0))),0)</f>
        <v>0</v>
      </c>
      <c r="V74" s="5">
        <f t="array" ref="V74">IFERROR(IF($C74="",0,$O74*$D74*INDEX(TABELE!$B$51:$P$61,MATCH($F74,TABELE!$A$51:$A$61,0),MATCH($E74,TABELE!$B$50:$P$50,0))),0)</f>
        <v>0</v>
      </c>
      <c r="W74" s="5" t="str">
        <f t="array" ref="W74">IFERROR(INDEX(BAZA_UWAGI,MATCH($C74,BAZA_EX,0)),"")</f>
        <v/>
      </c>
      <c r="X74" s="5">
        <f t="shared" si="21"/>
        <v>3</v>
      </c>
      <c r="Y74" s="5" t="str">
        <f t="shared" si="24"/>
        <v>C</v>
      </c>
      <c r="Z74" s="5">
        <f t="shared" si="25"/>
        <v>3</v>
      </c>
      <c r="AA74" s="5" t="str">
        <f>IF($C74="","",IF(SUMPRODUCT((START!$B$6:$B$69=$C74)*(START!$M$6:$M$69&gt;0))=0,"",SUMPRODUCT(MAX((START!$B$6:$B$69=$C74)*START!$M$6:$M$69))))</f>
        <v/>
      </c>
      <c r="AB74" s="5" t="str">
        <f t="shared" si="22"/>
        <v/>
      </c>
      <c r="AC74" s="5">
        <f>MAX(0.85,MIN(1.15,1+0.05*(COUNTIF('T1'!$AB74,"za łatwe")+COUNTIF('T2'!$AB74,"za łatwe")+COUNTIF('T3'!$AB74,"za łatwe"))-0.05*(COUNTIF('T1'!$AB74,"za trudne")+COUNTIF('T2'!$AB74,"za trudne")+COUNTIF('T3'!$AB74,"za trudne"))))</f>
        <v>1</v>
      </c>
      <c r="AD74" s="5">
        <f t="shared" si="23"/>
        <v>0</v>
      </c>
    </row>
    <row r="75" ht="25.5" hidden="1" customHeight="1" outlineLevel="1">
      <c r="A75" s="18" t="str">
        <f>IF('T1'!$A75="","",'T1'!$A75)</f>
        <v>C2.</v>
      </c>
      <c r="B75" s="30"/>
      <c r="C75" s="31" t="str">
        <f>IF('T1'!$C75="","",'T1'!$C75)</f>
        <v/>
      </c>
      <c r="D75" s="32">
        <v>3.0</v>
      </c>
      <c r="E75" s="39">
        <f>IF($C75="",0,MIN(15,MAX(1,IF(N($O75)&gt;=1,6,IF(N($O75)&gt;=0.75,IF(PRZEL_CZESC="część 1 (objętość)",8,6),IF(PRZEL_CZESC="część 1 (objętość)",10,8)))+0+$AD75)))</f>
        <v>0</v>
      </c>
      <c r="F75" s="33">
        <v>10.0</v>
      </c>
      <c r="G75" s="34" t="str">
        <f>IF($C75="","",IF(OR($Q75="masa ciała",$Q75="czas",$Q75="dystans",$Q75="ręczne ustawienie"),$Q75,IF($C75='T1'!$C75,IF(OR($R75="",$R75=0),"— brak 1RM",MROUND($R75*$S75/100*$AC75,MAX($P75,0.5))),IF(OR($AA75="",$AA75=0),"— ustaw ręcznie",MROUND($AA75*$S75/100*$AC75,MAX($P75,0.5))))))</f>
        <v/>
      </c>
      <c r="H75" s="35"/>
      <c r="I75" s="36" t="str">
        <f t="array" ref="I75">IFERROR(IF(IFERROR(INDEX(BAZA_FILM,MATCH($C75,BAZA_EX,0)),"")="","",HYPERLINK(IFERROR(INDEX(BAZA_FILM,MATCH($C75,BAZA_EX,0)),""),"film")),"")</f>
        <v/>
      </c>
      <c r="J75" s="37" t="str">
        <f>IF('T1'!$J75="","",'T1'!$J75)</f>
        <v/>
      </c>
      <c r="K75" s="5" t="s">
        <v>124</v>
      </c>
      <c r="L75" s="5" t="str">
        <f t="array" ref="L75">IFERROR(INDEX(BAZA_ID,MATCH($C75,BAZA_EX,0)),"")</f>
        <v/>
      </c>
      <c r="M75" s="5" t="str">
        <f t="array" ref="M75">IFERROR(INDEX(BAZA_PART,MATCH($C75,BAZA_EX,0)),"")</f>
        <v/>
      </c>
      <c r="N75" s="5" t="str">
        <f t="array" ref="N75">IFERROR(INDEX(BAZA_KAT,MATCH($C75,BAZA_EX,0)),"")</f>
        <v/>
      </c>
      <c r="O75" s="5" t="str">
        <f t="array" ref="O75">IFERROR(INDEX(BAZA_COEFF,MATCH($C75,BAZA_EX,0)),"")</f>
        <v/>
      </c>
      <c r="P75" s="5" t="str">
        <f t="array" ref="P75">IFERROR(INDEX(BAZA_SKOK,MATCH($C75,BAZA_EX,0)),"")</f>
        <v/>
      </c>
      <c r="Q75" s="5" t="str">
        <f t="array" ref="Q75">IFERROR(INDEX(BAZA_PROG,MATCH($C75,BAZA_EX,0)),"")</f>
        <v/>
      </c>
      <c r="R75" s="5" t="str">
        <f>IF($C75="","",IF(SUMPRODUCT((START!$B$6:$B$69=$C75)*(START!$M$6:$M$69&gt;0))=0,"",SUMPRODUCT(MAX((START!$B$6:$B$69=$C75)*START!$M$6:$M$69))))</f>
        <v/>
      </c>
      <c r="S75" s="5" t="str">
        <f t="array" ref="S75">IFERROR(INDEX(TABELE!$B$4:$J$18,MATCH($E75,TABELE!$A$4:$A$18,0),MATCH($F75,TABELE!$B$3:$J$3,0)),"")</f>
        <v/>
      </c>
      <c r="T75" s="5">
        <f t="array" ref="T75">IFERROR(IF($C75="",0,$O75*$D75*INDEX(TABELE!$B$23:$P$33,MATCH($F75,TABELE!$A$23:$A$33,0),MATCH($E75,TABELE!$B$22:$P$22,0))),0)</f>
        <v>0</v>
      </c>
      <c r="U75" s="5">
        <f t="array" ref="U75">IFERROR(IF($C75="",0,$O75*$D75*INDEX(TABELE!$B$37:$P$47,MATCH($F75,TABELE!$A$37:$A$47,0),MATCH($E75,TABELE!$B$36:$P$36,0))),0)</f>
        <v>0</v>
      </c>
      <c r="V75" s="5">
        <f t="array" ref="V75">IFERROR(IF($C75="",0,$O75*$D75*INDEX(TABELE!$B$51:$P$61,MATCH($F75,TABELE!$A$51:$A$61,0),MATCH($E75,TABELE!$B$50:$P$50,0))),0)</f>
        <v>0</v>
      </c>
      <c r="W75" s="5" t="str">
        <f t="array" ref="W75">IFERROR(INDEX(BAZA_UWAGI,MATCH($C75,BAZA_EX,0)),"")</f>
        <v/>
      </c>
      <c r="X75" s="5">
        <f t="shared" si="21"/>
        <v>3</v>
      </c>
      <c r="Y75" s="5" t="str">
        <f t="shared" si="24"/>
        <v>C</v>
      </c>
      <c r="Z75" s="5">
        <f t="shared" si="25"/>
        <v>3</v>
      </c>
      <c r="AA75" s="5" t="str">
        <f>IF($C75="","",IF(SUMPRODUCT((START!$B$6:$B$69=$C75)*(START!$M$6:$M$69&gt;0))=0,"",SUMPRODUCT(MAX((START!$B$6:$B$69=$C75)*START!$M$6:$M$69))))</f>
        <v/>
      </c>
      <c r="AB75" s="5" t="str">
        <f t="shared" si="22"/>
        <v/>
      </c>
      <c r="AC75" s="5">
        <f>MAX(0.85,MIN(1.15,1+0.05*(COUNTIF('T1'!$AB75,"za łatwe")+COUNTIF('T2'!$AB75,"za łatwe")+COUNTIF('T3'!$AB75,"za łatwe"))-0.05*(COUNTIF('T1'!$AB75,"za trudne")+COUNTIF('T2'!$AB75,"za trudne")+COUNTIF('T3'!$AB75,"za trudne"))))</f>
        <v>1</v>
      </c>
      <c r="AD75" s="5">
        <f t="shared" si="23"/>
        <v>0</v>
      </c>
    </row>
    <row r="76" ht="25.5" hidden="1" customHeight="1" outlineLevel="1">
      <c r="A76" s="18" t="str">
        <f>IF('T1'!$A76="","",'T1'!$A76)</f>
        <v>D1.</v>
      </c>
      <c r="B76" s="30"/>
      <c r="C76" s="31" t="str">
        <f>IF('T1'!$C76="","",'T1'!$C76)</f>
        <v/>
      </c>
      <c r="D76" s="32">
        <v>3.0</v>
      </c>
      <c r="E76" s="39">
        <f>IF($C76="",0,MIN(15,MAX(1,IF(N($O76)&gt;=1,6,IF(N($O76)&gt;=0.75,IF(PRZEL_CZESC="część 1 (objętość)",8,6),IF(PRZEL_CZESC="część 1 (objętość)",10,8)))+0+$AD76)))</f>
        <v>0</v>
      </c>
      <c r="F76" s="33">
        <v>9.0</v>
      </c>
      <c r="G76" s="34" t="str">
        <f>IF($C76="","",IF(OR($Q76="masa ciała",$Q76="czas",$Q76="dystans",$Q76="ręczne ustawienie"),$Q76,IF($C76='T1'!$C76,IF(OR($R76="",$R76=0),"— brak 1RM",MROUND($R76*$S76/100*$AC76,MAX($P76,0.5))),IF(OR($AA76="",$AA76=0),"— ustaw ręcznie",MROUND($AA76*$S76/100*$AC76,MAX($P76,0.5))))))</f>
        <v/>
      </c>
      <c r="H76" s="35"/>
      <c r="I76" s="36" t="str">
        <f t="array" ref="I76">IFERROR(IF(IFERROR(INDEX(BAZA_FILM,MATCH($C76,BAZA_EX,0)),"")="","",HYPERLINK(IFERROR(INDEX(BAZA_FILM,MATCH($C76,BAZA_EX,0)),""),"film")),"")</f>
        <v/>
      </c>
      <c r="J76" s="37" t="str">
        <f>IF('T1'!$J76="","",'T1'!$J76)</f>
        <v/>
      </c>
      <c r="K76" s="5" t="s">
        <v>125</v>
      </c>
      <c r="L76" s="5" t="str">
        <f t="array" ref="L76">IFERROR(INDEX(BAZA_ID,MATCH($C76,BAZA_EX,0)),"")</f>
        <v/>
      </c>
      <c r="M76" s="5" t="str">
        <f t="array" ref="M76">IFERROR(INDEX(BAZA_PART,MATCH($C76,BAZA_EX,0)),"")</f>
        <v/>
      </c>
      <c r="N76" s="5" t="str">
        <f t="array" ref="N76">IFERROR(INDEX(BAZA_KAT,MATCH($C76,BAZA_EX,0)),"")</f>
        <v/>
      </c>
      <c r="O76" s="5" t="str">
        <f t="array" ref="O76">IFERROR(INDEX(BAZA_COEFF,MATCH($C76,BAZA_EX,0)),"")</f>
        <v/>
      </c>
      <c r="P76" s="5" t="str">
        <f t="array" ref="P76">IFERROR(INDEX(BAZA_SKOK,MATCH($C76,BAZA_EX,0)),"")</f>
        <v/>
      </c>
      <c r="Q76" s="5" t="str">
        <f t="array" ref="Q76">IFERROR(INDEX(BAZA_PROG,MATCH($C76,BAZA_EX,0)),"")</f>
        <v/>
      </c>
      <c r="R76" s="5" t="str">
        <f>IF($C76="","",IF(SUMPRODUCT((START!$B$6:$B$69=$C76)*(START!$M$6:$M$69&gt;0))=0,"",SUMPRODUCT(MAX((START!$B$6:$B$69=$C76)*START!$M$6:$M$69))))</f>
        <v/>
      </c>
      <c r="S76" s="5" t="str">
        <f t="array" ref="S76">IFERROR(INDEX(TABELE!$B$4:$J$18,MATCH($E76,TABELE!$A$4:$A$18,0),MATCH($F76,TABELE!$B$3:$J$3,0)),"")</f>
        <v/>
      </c>
      <c r="T76" s="5">
        <f t="array" ref="T76">IFERROR(IF($C76="",0,$O76*$D76*INDEX(TABELE!$B$23:$P$33,MATCH($F76,TABELE!$A$23:$A$33,0),MATCH($E76,TABELE!$B$22:$P$22,0))),0)</f>
        <v>0</v>
      </c>
      <c r="U76" s="5">
        <f t="array" ref="U76">IFERROR(IF($C76="",0,$O76*$D76*INDEX(TABELE!$B$37:$P$47,MATCH($F76,TABELE!$A$37:$A$47,0),MATCH($E76,TABELE!$B$36:$P$36,0))),0)</f>
        <v>0</v>
      </c>
      <c r="V76" s="5">
        <f t="array" ref="V76">IFERROR(IF($C76="",0,$O76*$D76*INDEX(TABELE!$B$51:$P$61,MATCH($F76,TABELE!$A$51:$A$61,0),MATCH($E76,TABELE!$B$50:$P$50,0))),0)</f>
        <v>0</v>
      </c>
      <c r="W76" s="5" t="str">
        <f t="array" ref="W76">IFERROR(INDEX(BAZA_UWAGI,MATCH($C76,BAZA_EX,0)),"")</f>
        <v/>
      </c>
      <c r="X76" s="5">
        <f t="shared" si="21"/>
        <v>4</v>
      </c>
      <c r="Y76" s="5" t="str">
        <f t="shared" si="24"/>
        <v>D</v>
      </c>
      <c r="Z76" s="5">
        <f t="shared" si="25"/>
        <v>4</v>
      </c>
      <c r="AA76" s="5" t="str">
        <f>IF($C76="","",IF(SUMPRODUCT((START!$B$6:$B$69=$C76)*(START!$M$6:$M$69&gt;0))=0,"",SUMPRODUCT(MAX((START!$B$6:$B$69=$C76)*START!$M$6:$M$69))))</f>
        <v/>
      </c>
      <c r="AB76" s="5" t="str">
        <f t="shared" si="22"/>
        <v/>
      </c>
      <c r="AC76" s="5">
        <f>MAX(0.85,MIN(1.15,1+0.05*(COUNTIF('T1'!$AB76,"za łatwe")+COUNTIF('T2'!$AB76,"za łatwe")+COUNTIF('T3'!$AB76,"za łatwe"))-0.05*(COUNTIF('T1'!$AB76,"za trudne")+COUNTIF('T2'!$AB76,"za trudne")+COUNTIF('T3'!$AB76,"za trudne"))))</f>
        <v>1</v>
      </c>
      <c r="AD76" s="5">
        <f t="shared" si="23"/>
        <v>0</v>
      </c>
    </row>
    <row r="77" ht="25.5" hidden="1" customHeight="1" outlineLevel="1">
      <c r="A77" s="18" t="str">
        <f>IF('T1'!$A77="","",'T1'!$A77)</f>
        <v>D2.</v>
      </c>
      <c r="B77" s="30"/>
      <c r="C77" s="31" t="str">
        <f>IF('T1'!$C77="","",'T1'!$C77)</f>
        <v/>
      </c>
      <c r="D77" s="32">
        <v>3.0</v>
      </c>
      <c r="E77" s="39">
        <f>IF($C77="",0,MIN(15,MAX(1,IF(N($O77)&gt;=1,6,IF(N($O77)&gt;=0.75,IF(PRZEL_CZESC="część 1 (objętość)",8,6),IF(PRZEL_CZESC="część 1 (objętość)",10,8)))+0+$AD77)))</f>
        <v>0</v>
      </c>
      <c r="F77" s="33">
        <v>10.0</v>
      </c>
      <c r="G77" s="34" t="str">
        <f>IF($C77="","",IF(OR($Q77="masa ciała",$Q77="czas",$Q77="dystans",$Q77="ręczne ustawienie"),$Q77,IF($C77='T1'!$C77,IF(OR($R77="",$R77=0),"— brak 1RM",MROUND($R77*$S77/100*$AC77,MAX($P77,0.5))),IF(OR($AA77="",$AA77=0),"— ustaw ręcznie",MROUND($AA77*$S77/100*$AC77,MAX($P77,0.5))))))</f>
        <v/>
      </c>
      <c r="H77" s="35"/>
      <c r="I77" s="36" t="str">
        <f t="array" ref="I77">IFERROR(IF(IFERROR(INDEX(BAZA_FILM,MATCH($C77,BAZA_EX,0)),"")="","",HYPERLINK(IFERROR(INDEX(BAZA_FILM,MATCH($C77,BAZA_EX,0)),""),"film")),"")</f>
        <v/>
      </c>
      <c r="J77" s="37" t="str">
        <f>IF('T1'!$J77="","",'T1'!$J77)</f>
        <v/>
      </c>
      <c r="K77" s="5" t="s">
        <v>126</v>
      </c>
      <c r="L77" s="5" t="str">
        <f t="array" ref="L77">IFERROR(INDEX(BAZA_ID,MATCH($C77,BAZA_EX,0)),"")</f>
        <v/>
      </c>
      <c r="M77" s="5" t="str">
        <f t="array" ref="M77">IFERROR(INDEX(BAZA_PART,MATCH($C77,BAZA_EX,0)),"")</f>
        <v/>
      </c>
      <c r="N77" s="5" t="str">
        <f t="array" ref="N77">IFERROR(INDEX(BAZA_KAT,MATCH($C77,BAZA_EX,0)),"")</f>
        <v/>
      </c>
      <c r="O77" s="5" t="str">
        <f t="array" ref="O77">IFERROR(INDEX(BAZA_COEFF,MATCH($C77,BAZA_EX,0)),"")</f>
        <v/>
      </c>
      <c r="P77" s="5" t="str">
        <f t="array" ref="P77">IFERROR(INDEX(BAZA_SKOK,MATCH($C77,BAZA_EX,0)),"")</f>
        <v/>
      </c>
      <c r="Q77" s="5" t="str">
        <f t="array" ref="Q77">IFERROR(INDEX(BAZA_PROG,MATCH($C77,BAZA_EX,0)),"")</f>
        <v/>
      </c>
      <c r="R77" s="5" t="str">
        <f>IF($C77="","",IF(SUMPRODUCT((START!$B$6:$B$69=$C77)*(START!$M$6:$M$69&gt;0))=0,"",SUMPRODUCT(MAX((START!$B$6:$B$69=$C77)*START!$M$6:$M$69))))</f>
        <v/>
      </c>
      <c r="S77" s="5" t="str">
        <f t="array" ref="S77">IFERROR(INDEX(TABELE!$B$4:$J$18,MATCH($E77,TABELE!$A$4:$A$18,0),MATCH($F77,TABELE!$B$3:$J$3,0)),"")</f>
        <v/>
      </c>
      <c r="T77" s="5">
        <f t="array" ref="T77">IFERROR(IF($C77="",0,$O77*$D77*INDEX(TABELE!$B$23:$P$33,MATCH($F77,TABELE!$A$23:$A$33,0),MATCH($E77,TABELE!$B$22:$P$22,0))),0)</f>
        <v>0</v>
      </c>
      <c r="U77" s="5">
        <f t="array" ref="U77">IFERROR(IF($C77="",0,$O77*$D77*INDEX(TABELE!$B$37:$P$47,MATCH($F77,TABELE!$A$37:$A$47,0),MATCH($E77,TABELE!$B$36:$P$36,0))),0)</f>
        <v>0</v>
      </c>
      <c r="V77" s="5">
        <f t="array" ref="V77">IFERROR(IF($C77="",0,$O77*$D77*INDEX(TABELE!$B$51:$P$61,MATCH($F77,TABELE!$A$51:$A$61,0),MATCH($E77,TABELE!$B$50:$P$50,0))),0)</f>
        <v>0</v>
      </c>
      <c r="W77" s="5" t="str">
        <f t="array" ref="W77">IFERROR(INDEX(BAZA_UWAGI,MATCH($C77,BAZA_EX,0)),"")</f>
        <v/>
      </c>
      <c r="X77" s="5">
        <f t="shared" si="21"/>
        <v>4</v>
      </c>
      <c r="Y77" s="5" t="str">
        <f t="shared" si="24"/>
        <v>D</v>
      </c>
      <c r="Z77" s="5">
        <f t="shared" si="25"/>
        <v>4</v>
      </c>
      <c r="AA77" s="5" t="str">
        <f>IF($C77="","",IF(SUMPRODUCT((START!$B$6:$B$69=$C77)*(START!$M$6:$M$69&gt;0))=0,"",SUMPRODUCT(MAX((START!$B$6:$B$69=$C77)*START!$M$6:$M$69))))</f>
        <v/>
      </c>
      <c r="AB77" s="5" t="str">
        <f t="shared" si="22"/>
        <v/>
      </c>
      <c r="AC77" s="5">
        <f>MAX(0.85,MIN(1.15,1+0.05*(COUNTIF('T1'!$AB77,"za łatwe")+COUNTIF('T2'!$AB77,"za łatwe")+COUNTIF('T3'!$AB77,"za łatwe"))-0.05*(COUNTIF('T1'!$AB77,"za trudne")+COUNTIF('T2'!$AB77,"za trudne")+COUNTIF('T3'!$AB77,"za trudne"))))</f>
        <v>1</v>
      </c>
      <c r="AD77" s="5">
        <f t="shared" si="23"/>
        <v>0</v>
      </c>
    </row>
    <row r="78" ht="25.5" hidden="1" customHeight="1" outlineLevel="1">
      <c r="A78" s="18" t="str">
        <f>IF('T1'!$A78="","",'T1'!$A78)</f>
        <v>E1.</v>
      </c>
      <c r="B78" s="30"/>
      <c r="C78" s="31" t="str">
        <f>IF('T1'!$C78="","",'T1'!$C78)</f>
        <v/>
      </c>
      <c r="D78" s="32"/>
      <c r="E78" s="39">
        <f>IF($C78="",0,MIN(15,MAX(1,IF(N($O78)&gt;=1,6,IF(N($O78)&gt;=0.75,IF(PRZEL_CZESC="część 1 (objętość)",8,6),IF(PRZEL_CZESC="część 1 (objętość)",10,8)))+0+$AD78)))</f>
        <v>0</v>
      </c>
      <c r="F78" s="33"/>
      <c r="G78" s="34" t="str">
        <f>IF($C78="","",IF(OR($Q78="masa ciała",$Q78="czas",$Q78="dystans",$Q78="ręczne ustawienie"),$Q78,IF($C78='T1'!$C78,IF(OR($R78="",$R78=0),"— brak 1RM",MROUND($R78*$S78/100*$AC78,MAX($P78,0.5))),IF(OR($AA78="",$AA78=0),"— ustaw ręcznie",MROUND($AA78*$S78/100*$AC78,MAX($P78,0.5))))))</f>
        <v/>
      </c>
      <c r="H78" s="35"/>
      <c r="I78" s="36" t="str">
        <f t="array" ref="I78">IFERROR(IF(IFERROR(INDEX(BAZA_FILM,MATCH($C78,BAZA_EX,0)),"")="","",HYPERLINK(IFERROR(INDEX(BAZA_FILM,MATCH($C78,BAZA_EX,0)),""),"film")),"")</f>
        <v/>
      </c>
      <c r="J78" s="37" t="str">
        <f>IF('T1'!$J78="","",'T1'!$J78)</f>
        <v/>
      </c>
      <c r="K78" s="5" t="s">
        <v>127</v>
      </c>
      <c r="L78" s="5" t="str">
        <f t="array" ref="L78">IFERROR(INDEX(BAZA_ID,MATCH($C78,BAZA_EX,0)),"")</f>
        <v/>
      </c>
      <c r="M78" s="5" t="str">
        <f t="array" ref="M78">IFERROR(INDEX(BAZA_PART,MATCH($C78,BAZA_EX,0)),"")</f>
        <v/>
      </c>
      <c r="N78" s="5" t="str">
        <f t="array" ref="N78">IFERROR(INDEX(BAZA_KAT,MATCH($C78,BAZA_EX,0)),"")</f>
        <v/>
      </c>
      <c r="O78" s="5" t="str">
        <f t="array" ref="O78">IFERROR(INDEX(BAZA_COEFF,MATCH($C78,BAZA_EX,0)),"")</f>
        <v/>
      </c>
      <c r="P78" s="5" t="str">
        <f t="array" ref="P78">IFERROR(INDEX(BAZA_SKOK,MATCH($C78,BAZA_EX,0)),"")</f>
        <v/>
      </c>
      <c r="Q78" s="5" t="str">
        <f t="array" ref="Q78">IFERROR(INDEX(BAZA_PROG,MATCH($C78,BAZA_EX,0)),"")</f>
        <v/>
      </c>
      <c r="R78" s="5" t="str">
        <f>IF($C78="","",IF(SUMPRODUCT((START!$B$6:$B$69=$C78)*(START!$M$6:$M$69&gt;0))=0,"",SUMPRODUCT(MAX((START!$B$6:$B$69=$C78)*START!$M$6:$M$69))))</f>
        <v/>
      </c>
      <c r="S78" s="5" t="str">
        <f t="array" ref="S78">IFERROR(INDEX(TABELE!$B$4:$J$18,MATCH($E78,TABELE!$A$4:$A$18,0),MATCH($F78,TABELE!$B$3:$J$3,0)),"")</f>
        <v/>
      </c>
      <c r="T78" s="5">
        <f t="array" ref="T78">IFERROR(IF($C78="",0,$O78*$D78*INDEX(TABELE!$B$23:$P$33,MATCH($F78,TABELE!$A$23:$A$33,0),MATCH($E78,TABELE!$B$22:$P$22,0))),0)</f>
        <v>0</v>
      </c>
      <c r="U78" s="5">
        <f t="array" ref="U78">IFERROR(IF($C78="",0,$O78*$D78*INDEX(TABELE!$B$37:$P$47,MATCH($F78,TABELE!$A$37:$A$47,0),MATCH($E78,TABELE!$B$36:$P$36,0))),0)</f>
        <v>0</v>
      </c>
      <c r="V78" s="5">
        <f t="array" ref="V78">IFERROR(IF($C78="",0,$O78*$D78*INDEX(TABELE!$B$51:$P$61,MATCH($F78,TABELE!$A$51:$A$61,0),MATCH($E78,TABELE!$B$50:$P$50,0))),0)</f>
        <v>0</v>
      </c>
      <c r="W78" s="5" t="str">
        <f t="array" ref="W78">IFERROR(INDEX(BAZA_UWAGI,MATCH($C78,BAZA_EX,0)),"")</f>
        <v/>
      </c>
      <c r="X78" s="5">
        <f t="shared" si="21"/>
        <v>5</v>
      </c>
      <c r="Y78" s="5" t="str">
        <f t="shared" si="24"/>
        <v>E</v>
      </c>
      <c r="Z78" s="5">
        <f t="shared" si="25"/>
        <v>5</v>
      </c>
      <c r="AA78" s="5" t="str">
        <f>IF($C78="","",IF(SUMPRODUCT((START!$B$6:$B$69=$C78)*(START!$M$6:$M$69&gt;0))=0,"",SUMPRODUCT(MAX((START!$B$6:$B$69=$C78)*START!$M$6:$M$69))))</f>
        <v/>
      </c>
      <c r="AB78" s="5" t="str">
        <f t="shared" si="22"/>
        <v/>
      </c>
      <c r="AC78" s="5">
        <f>MAX(0.85,MIN(1.15,1+0.05*(COUNTIF('T1'!$AB78,"za łatwe")+COUNTIF('T2'!$AB78,"za łatwe")+COUNTIF('T3'!$AB78,"za łatwe"))-0.05*(COUNTIF('T1'!$AB78,"za trudne")+COUNTIF('T2'!$AB78,"za trudne")+COUNTIF('T3'!$AB78,"za trudne"))))</f>
        <v>1</v>
      </c>
      <c r="AD78" s="5">
        <f t="shared" si="23"/>
        <v>0</v>
      </c>
    </row>
    <row r="79" ht="25.5" hidden="1" customHeight="1" outlineLevel="1">
      <c r="A79" s="18" t="str">
        <f>IF('T1'!$A79="","",'T1'!$A79)</f>
        <v>E2.</v>
      </c>
      <c r="B79" s="30"/>
      <c r="C79" s="31" t="str">
        <f>IF('T1'!$C79="","",'T1'!$C79)</f>
        <v/>
      </c>
      <c r="D79" s="32"/>
      <c r="E79" s="39">
        <f>IF($C79="",0,MIN(15,MAX(1,IF(N($O79)&gt;=1,6,IF(N($O79)&gt;=0.75,IF(PRZEL_CZESC="część 1 (objętość)",8,6),IF(PRZEL_CZESC="część 1 (objętość)",10,8)))+0+$AD79)))</f>
        <v>0</v>
      </c>
      <c r="F79" s="33"/>
      <c r="G79" s="34" t="str">
        <f>IF($C79="","",IF(OR($Q79="masa ciała",$Q79="czas",$Q79="dystans",$Q79="ręczne ustawienie"),$Q79,IF($C79='T1'!$C79,IF(OR($R79="",$R79=0),"— brak 1RM",MROUND($R79*$S79/100*$AC79,MAX($P79,0.5))),IF(OR($AA79="",$AA79=0),"— ustaw ręcznie",MROUND($AA79*$S79/100*$AC79,MAX($P79,0.5))))))</f>
        <v/>
      </c>
      <c r="H79" s="35"/>
      <c r="I79" s="36" t="str">
        <f t="array" ref="I79">IFERROR(IF(IFERROR(INDEX(BAZA_FILM,MATCH($C79,BAZA_EX,0)),"")="","",HYPERLINK(IFERROR(INDEX(BAZA_FILM,MATCH($C79,BAZA_EX,0)),""),"film")),"")</f>
        <v/>
      </c>
      <c r="J79" s="37" t="str">
        <f>IF('T1'!$J79="","",'T1'!$J79)</f>
        <v/>
      </c>
      <c r="K79" s="5" t="s">
        <v>128</v>
      </c>
      <c r="L79" s="5" t="str">
        <f t="array" ref="L79">IFERROR(INDEX(BAZA_ID,MATCH($C79,BAZA_EX,0)),"")</f>
        <v/>
      </c>
      <c r="M79" s="5" t="str">
        <f t="array" ref="M79">IFERROR(INDEX(BAZA_PART,MATCH($C79,BAZA_EX,0)),"")</f>
        <v/>
      </c>
      <c r="N79" s="5" t="str">
        <f t="array" ref="N79">IFERROR(INDEX(BAZA_KAT,MATCH($C79,BAZA_EX,0)),"")</f>
        <v/>
      </c>
      <c r="O79" s="5" t="str">
        <f t="array" ref="O79">IFERROR(INDEX(BAZA_COEFF,MATCH($C79,BAZA_EX,0)),"")</f>
        <v/>
      </c>
      <c r="P79" s="5" t="str">
        <f t="array" ref="P79">IFERROR(INDEX(BAZA_SKOK,MATCH($C79,BAZA_EX,0)),"")</f>
        <v/>
      </c>
      <c r="Q79" s="5" t="str">
        <f t="array" ref="Q79">IFERROR(INDEX(BAZA_PROG,MATCH($C79,BAZA_EX,0)),"")</f>
        <v/>
      </c>
      <c r="R79" s="5" t="str">
        <f>IF($C79="","",IF(SUMPRODUCT((START!$B$6:$B$69=$C79)*(START!$M$6:$M$69&gt;0))=0,"",SUMPRODUCT(MAX((START!$B$6:$B$69=$C79)*START!$M$6:$M$69))))</f>
        <v/>
      </c>
      <c r="S79" s="5" t="str">
        <f t="array" ref="S79">IFERROR(INDEX(TABELE!$B$4:$J$18,MATCH($E79,TABELE!$A$4:$A$18,0),MATCH($F79,TABELE!$B$3:$J$3,0)),"")</f>
        <v/>
      </c>
      <c r="T79" s="5">
        <f t="array" ref="T79">IFERROR(IF($C79="",0,$O79*$D79*INDEX(TABELE!$B$23:$P$33,MATCH($F79,TABELE!$A$23:$A$33,0),MATCH($E79,TABELE!$B$22:$P$22,0))),0)</f>
        <v>0</v>
      </c>
      <c r="U79" s="5">
        <f t="array" ref="U79">IFERROR(IF($C79="",0,$O79*$D79*INDEX(TABELE!$B$37:$P$47,MATCH($F79,TABELE!$A$37:$A$47,0),MATCH($E79,TABELE!$B$36:$P$36,0))),0)</f>
        <v>0</v>
      </c>
      <c r="V79" s="5">
        <f t="array" ref="V79">IFERROR(IF($C79="",0,$O79*$D79*INDEX(TABELE!$B$51:$P$61,MATCH($F79,TABELE!$A$51:$A$61,0),MATCH($E79,TABELE!$B$50:$P$50,0))),0)</f>
        <v>0</v>
      </c>
      <c r="W79" s="5" t="str">
        <f t="array" ref="W79">IFERROR(INDEX(BAZA_UWAGI,MATCH($C79,BAZA_EX,0)),"")</f>
        <v/>
      </c>
      <c r="X79" s="5">
        <f t="shared" si="21"/>
        <v>5</v>
      </c>
      <c r="Y79" s="5" t="str">
        <f t="shared" si="24"/>
        <v>E</v>
      </c>
      <c r="Z79" s="5">
        <f t="shared" si="25"/>
        <v>5</v>
      </c>
      <c r="AA79" s="5" t="str">
        <f>IF($C79="","",IF(SUMPRODUCT((START!$B$6:$B$69=$C79)*(START!$M$6:$M$69&gt;0))=0,"",SUMPRODUCT(MAX((START!$B$6:$B$69=$C79)*START!$M$6:$M$69))))</f>
        <v/>
      </c>
      <c r="AB79" s="5" t="str">
        <f t="shared" si="22"/>
        <v/>
      </c>
      <c r="AC79" s="5">
        <f>MAX(0.85,MIN(1.15,1+0.05*(COUNTIF('T1'!$AB79,"za łatwe")+COUNTIF('T2'!$AB79,"za łatwe")+COUNTIF('T3'!$AB79,"za łatwe"))-0.05*(COUNTIF('T1'!$AB79,"za trudne")+COUNTIF('T2'!$AB79,"za trudne")+COUNTIF('T3'!$AB79,"za trudne"))))</f>
        <v>1</v>
      </c>
      <c r="AD79" s="5">
        <f t="shared" si="23"/>
        <v>0</v>
      </c>
    </row>
    <row r="80" ht="25.5" hidden="1" customHeight="1" outlineLevel="1">
      <c r="A80" s="18" t="str">
        <f>IF('T1'!$A80="","",'T1'!$A80)</f>
        <v/>
      </c>
      <c r="B80" s="30"/>
      <c r="C80" s="31" t="str">
        <f>IF('T1'!$C80="","",'T1'!$C80)</f>
        <v/>
      </c>
      <c r="D80" s="32"/>
      <c r="E80" s="39">
        <f>IF($C80="",0,MIN(15,MAX(1,IF(N($O80)&gt;=1,6,IF(N($O80)&gt;=0.75,IF(PRZEL_CZESC="część 1 (objętość)",8,6),IF(PRZEL_CZESC="część 1 (objętość)",10,8)))+0+$AD80)))</f>
        <v>0</v>
      </c>
      <c r="F80" s="33"/>
      <c r="G80" s="34" t="str">
        <f>IF($C80="","",IF(OR($Q80="masa ciała",$Q80="czas",$Q80="dystans",$Q80="ręczne ustawienie"),$Q80,IF($C80='T1'!$C80,IF(OR($R80="",$R80=0),"— brak 1RM",MROUND($R80*$S80/100*$AC80,MAX($P80,0.5))),IF(OR($AA80="",$AA80=0),"— ustaw ręcznie",MROUND($AA80*$S80/100*$AC80,MAX($P80,0.5))))))</f>
        <v/>
      </c>
      <c r="H80" s="35"/>
      <c r="I80" s="36" t="str">
        <f t="array" ref="I80">IFERROR(IF(IFERROR(INDEX(BAZA_FILM,MATCH($C80,BAZA_EX,0)),"")="","",HYPERLINK(IFERROR(INDEX(BAZA_FILM,MATCH($C80,BAZA_EX,0)),""),"film")),"")</f>
        <v/>
      </c>
      <c r="J80" s="37" t="str">
        <f>IF('T1'!$J80="","",'T1'!$J80)</f>
        <v/>
      </c>
      <c r="K80" s="5" t="s">
        <v>129</v>
      </c>
      <c r="L80" s="5" t="str">
        <f t="array" ref="L80">IFERROR(INDEX(BAZA_ID,MATCH($C80,BAZA_EX,0)),"")</f>
        <v/>
      </c>
      <c r="M80" s="5" t="str">
        <f t="array" ref="M80">IFERROR(INDEX(BAZA_PART,MATCH($C80,BAZA_EX,0)),"")</f>
        <v/>
      </c>
      <c r="N80" s="5" t="str">
        <f t="array" ref="N80">IFERROR(INDEX(BAZA_KAT,MATCH($C80,BAZA_EX,0)),"")</f>
        <v/>
      </c>
      <c r="O80" s="5" t="str">
        <f t="array" ref="O80">IFERROR(INDEX(BAZA_COEFF,MATCH($C80,BAZA_EX,0)),"")</f>
        <v/>
      </c>
      <c r="P80" s="5" t="str">
        <f t="array" ref="P80">IFERROR(INDEX(BAZA_SKOK,MATCH($C80,BAZA_EX,0)),"")</f>
        <v/>
      </c>
      <c r="Q80" s="5" t="str">
        <f t="array" ref="Q80">IFERROR(INDEX(BAZA_PROG,MATCH($C80,BAZA_EX,0)),"")</f>
        <v/>
      </c>
      <c r="R80" s="5" t="str">
        <f>IF($C80="","",IF(SUMPRODUCT((START!$B$6:$B$69=$C80)*(START!$M$6:$M$69&gt;0))=0,"",SUMPRODUCT(MAX((START!$B$6:$B$69=$C80)*START!$M$6:$M$69))))</f>
        <v/>
      </c>
      <c r="S80" s="5" t="str">
        <f t="array" ref="S80">IFERROR(INDEX(TABELE!$B$4:$J$18,MATCH($E80,TABELE!$A$4:$A$18,0),MATCH($F80,TABELE!$B$3:$J$3,0)),"")</f>
        <v/>
      </c>
      <c r="T80" s="5">
        <f t="array" ref="T80">IFERROR(IF($C80="",0,$O80*$D80*INDEX(TABELE!$B$23:$P$33,MATCH($F80,TABELE!$A$23:$A$33,0),MATCH($E80,TABELE!$B$22:$P$22,0))),0)</f>
        <v>0</v>
      </c>
      <c r="U80" s="5">
        <f t="array" ref="U80">IFERROR(IF($C80="",0,$O80*$D80*INDEX(TABELE!$B$37:$P$47,MATCH($F80,TABELE!$A$37:$A$47,0),MATCH($E80,TABELE!$B$36:$P$36,0))),0)</f>
        <v>0</v>
      </c>
      <c r="V80" s="5">
        <f t="array" ref="V80">IFERROR(IF($C80="",0,$O80*$D80*INDEX(TABELE!$B$51:$P$61,MATCH($F80,TABELE!$A$51:$A$61,0),MATCH($E80,TABELE!$B$50:$P$50,0))),0)</f>
        <v>0</v>
      </c>
      <c r="W80" s="5" t="str">
        <f t="array" ref="W80">IFERROR(INDEX(BAZA_UWAGI,MATCH($C80,BAZA_EX,0)),"")</f>
        <v/>
      </c>
      <c r="X80" s="5" t="str">
        <f t="shared" si="21"/>
        <v/>
      </c>
      <c r="Y80" s="5" t="str">
        <f t="shared" si="24"/>
        <v>E</v>
      </c>
      <c r="Z80" s="5">
        <f t="shared" si="25"/>
        <v>5</v>
      </c>
      <c r="AA80" s="5" t="str">
        <f>IF($C80="","",IF(SUMPRODUCT((START!$B$6:$B$69=$C80)*(START!$M$6:$M$69&gt;0))=0,"",SUMPRODUCT(MAX((START!$B$6:$B$69=$C80)*START!$M$6:$M$69))))</f>
        <v/>
      </c>
      <c r="AB80" s="5" t="str">
        <f t="shared" si="22"/>
        <v/>
      </c>
      <c r="AC80" s="5">
        <f>MAX(0.85,MIN(1.15,1+0.05*(COUNTIF('T1'!$AB80,"za łatwe")+COUNTIF('T2'!$AB80,"za łatwe")+COUNTIF('T3'!$AB80,"za łatwe"))-0.05*(COUNTIF('T1'!$AB80,"za trudne")+COUNTIF('T2'!$AB80,"za trudne")+COUNTIF('T3'!$AB80,"za trudne"))))</f>
        <v>1</v>
      </c>
      <c r="AD80" s="5">
        <f t="shared" si="23"/>
        <v>0</v>
      </c>
    </row>
    <row r="81" ht="25.5" hidden="1" customHeight="1" outlineLevel="1">
      <c r="A81" s="18" t="str">
        <f>IF('T1'!$A81="","",'T1'!$A81)</f>
        <v/>
      </c>
      <c r="B81" s="30"/>
      <c r="C81" s="31" t="str">
        <f>IF('T1'!$C81="","",'T1'!$C81)</f>
        <v/>
      </c>
      <c r="D81" s="32"/>
      <c r="E81" s="39">
        <f>IF($C81="",0,MIN(15,MAX(1,IF(N($O81)&gt;=1,6,IF(N($O81)&gt;=0.75,IF(PRZEL_CZESC="część 1 (objętość)",8,6),IF(PRZEL_CZESC="część 1 (objętość)",10,8)))+0+$AD81)))</f>
        <v>0</v>
      </c>
      <c r="F81" s="33"/>
      <c r="G81" s="34" t="str">
        <f>IF($C81="","",IF(OR($Q81="masa ciała",$Q81="czas",$Q81="dystans",$Q81="ręczne ustawienie"),$Q81,IF($C81='T1'!$C81,IF(OR($R81="",$R81=0),"— brak 1RM",MROUND($R81*$S81/100*$AC81,MAX($P81,0.5))),IF(OR($AA81="",$AA81=0),"— ustaw ręcznie",MROUND($AA81*$S81/100*$AC81,MAX($P81,0.5))))))</f>
        <v/>
      </c>
      <c r="H81" s="35"/>
      <c r="I81" s="36" t="str">
        <f t="array" ref="I81">IFERROR(IF(IFERROR(INDEX(BAZA_FILM,MATCH($C81,BAZA_EX,0)),"")="","",HYPERLINK(IFERROR(INDEX(BAZA_FILM,MATCH($C81,BAZA_EX,0)),""),"film")),"")</f>
        <v/>
      </c>
      <c r="J81" s="37" t="str">
        <f>IF('T1'!$J81="","",'T1'!$J81)</f>
        <v/>
      </c>
      <c r="K81" s="5" t="s">
        <v>130</v>
      </c>
      <c r="L81" s="5" t="str">
        <f t="array" ref="L81">IFERROR(INDEX(BAZA_ID,MATCH($C81,BAZA_EX,0)),"")</f>
        <v/>
      </c>
      <c r="M81" s="5" t="str">
        <f t="array" ref="M81">IFERROR(INDEX(BAZA_PART,MATCH($C81,BAZA_EX,0)),"")</f>
        <v/>
      </c>
      <c r="N81" s="5" t="str">
        <f t="array" ref="N81">IFERROR(INDEX(BAZA_KAT,MATCH($C81,BAZA_EX,0)),"")</f>
        <v/>
      </c>
      <c r="O81" s="5" t="str">
        <f t="array" ref="O81">IFERROR(INDEX(BAZA_COEFF,MATCH($C81,BAZA_EX,0)),"")</f>
        <v/>
      </c>
      <c r="P81" s="5" t="str">
        <f t="array" ref="P81">IFERROR(INDEX(BAZA_SKOK,MATCH($C81,BAZA_EX,0)),"")</f>
        <v/>
      </c>
      <c r="Q81" s="5" t="str">
        <f t="array" ref="Q81">IFERROR(INDEX(BAZA_PROG,MATCH($C81,BAZA_EX,0)),"")</f>
        <v/>
      </c>
      <c r="R81" s="5" t="str">
        <f>IF($C81="","",IF(SUMPRODUCT((START!$B$6:$B$69=$C81)*(START!$M$6:$M$69&gt;0))=0,"",SUMPRODUCT(MAX((START!$B$6:$B$69=$C81)*START!$M$6:$M$69))))</f>
        <v/>
      </c>
      <c r="S81" s="5" t="str">
        <f t="array" ref="S81">IFERROR(INDEX(TABELE!$B$4:$J$18,MATCH($E81,TABELE!$A$4:$A$18,0),MATCH($F81,TABELE!$B$3:$J$3,0)),"")</f>
        <v/>
      </c>
      <c r="T81" s="5">
        <f t="array" ref="T81">IFERROR(IF($C81="",0,$O81*$D81*INDEX(TABELE!$B$23:$P$33,MATCH($F81,TABELE!$A$23:$A$33,0),MATCH($E81,TABELE!$B$22:$P$22,0))),0)</f>
        <v>0</v>
      </c>
      <c r="U81" s="5">
        <f t="array" ref="U81">IFERROR(IF($C81="",0,$O81*$D81*INDEX(TABELE!$B$37:$P$47,MATCH($F81,TABELE!$A$37:$A$47,0),MATCH($E81,TABELE!$B$36:$P$36,0))),0)</f>
        <v>0</v>
      </c>
      <c r="V81" s="5">
        <f t="array" ref="V81">IFERROR(IF($C81="",0,$O81*$D81*INDEX(TABELE!$B$51:$P$61,MATCH($F81,TABELE!$A$51:$A$61,0),MATCH($E81,TABELE!$B$50:$P$50,0))),0)</f>
        <v>0</v>
      </c>
      <c r="W81" s="5" t="str">
        <f t="array" ref="W81">IFERROR(INDEX(BAZA_UWAGI,MATCH($C81,BAZA_EX,0)),"")</f>
        <v/>
      </c>
      <c r="X81" s="5" t="str">
        <f t="shared" si="21"/>
        <v/>
      </c>
      <c r="Y81" s="5" t="str">
        <f t="shared" si="24"/>
        <v>E</v>
      </c>
      <c r="Z81" s="5">
        <f t="shared" si="25"/>
        <v>5</v>
      </c>
      <c r="AA81" s="5" t="str">
        <f>IF($C81="","",IF(SUMPRODUCT((START!$B$6:$B$69=$C81)*(START!$M$6:$M$69&gt;0))=0,"",SUMPRODUCT(MAX((START!$B$6:$B$69=$C81)*START!$M$6:$M$69))))</f>
        <v/>
      </c>
      <c r="AB81" s="5" t="str">
        <f t="shared" si="22"/>
        <v/>
      </c>
      <c r="AC81" s="5">
        <f>MAX(0.85,MIN(1.15,1+0.05*(COUNTIF('T1'!$AB81,"za łatwe")+COUNTIF('T2'!$AB81,"za łatwe")+COUNTIF('T3'!$AB81,"za łatwe"))-0.05*(COUNTIF('T1'!$AB81,"za trudne")+COUNTIF('T2'!$AB81,"za trudne")+COUNTIF('T3'!$AB81,"za trudne"))))</f>
        <v>1</v>
      </c>
      <c r="AD81" s="5">
        <f t="shared" si="23"/>
        <v>0</v>
      </c>
    </row>
    <row r="82" ht="25.5" hidden="1" customHeight="1" outlineLevel="1">
      <c r="A82" s="18" t="str">
        <f>IF('T1'!$A82="","",'T1'!$A82)</f>
        <v/>
      </c>
      <c r="B82" s="30"/>
      <c r="C82" s="31" t="str">
        <f>IF('T1'!$C82="","",'T1'!$C82)</f>
        <v/>
      </c>
      <c r="D82" s="32"/>
      <c r="E82" s="39">
        <f>IF($C82="",0,MIN(15,MAX(1,IF(N($O82)&gt;=1,6,IF(N($O82)&gt;=0.75,IF(PRZEL_CZESC="część 1 (objętość)",8,6),IF(PRZEL_CZESC="część 1 (objętość)",10,8)))+0+$AD82)))</f>
        <v>0</v>
      </c>
      <c r="F82" s="33"/>
      <c r="G82" s="34" t="str">
        <f>IF($C82="","",IF(OR($Q82="masa ciała",$Q82="czas",$Q82="dystans",$Q82="ręczne ustawienie"),$Q82,IF($C82='T1'!$C82,IF(OR($R82="",$R82=0),"— brak 1RM",MROUND($R82*$S82/100*$AC82,MAX($P82,0.5))),IF(OR($AA82="",$AA82=0),"— ustaw ręcznie",MROUND($AA82*$S82/100*$AC82,MAX($P82,0.5))))))</f>
        <v/>
      </c>
      <c r="H82" s="35"/>
      <c r="I82" s="36" t="str">
        <f t="array" ref="I82">IFERROR(IF(IFERROR(INDEX(BAZA_FILM,MATCH($C82,BAZA_EX,0)),"")="","",HYPERLINK(IFERROR(INDEX(BAZA_FILM,MATCH($C82,BAZA_EX,0)),""),"film")),"")</f>
        <v/>
      </c>
      <c r="J82" s="37" t="str">
        <f>IF('T1'!$J82="","",'T1'!$J82)</f>
        <v/>
      </c>
      <c r="K82" s="5" t="s">
        <v>131</v>
      </c>
      <c r="L82" s="5" t="str">
        <f t="array" ref="L82">IFERROR(INDEX(BAZA_ID,MATCH($C82,BAZA_EX,0)),"")</f>
        <v/>
      </c>
      <c r="M82" s="5" t="str">
        <f t="array" ref="M82">IFERROR(INDEX(BAZA_PART,MATCH($C82,BAZA_EX,0)),"")</f>
        <v/>
      </c>
      <c r="N82" s="5" t="str">
        <f t="array" ref="N82">IFERROR(INDEX(BAZA_KAT,MATCH($C82,BAZA_EX,0)),"")</f>
        <v/>
      </c>
      <c r="O82" s="5" t="str">
        <f t="array" ref="O82">IFERROR(INDEX(BAZA_COEFF,MATCH($C82,BAZA_EX,0)),"")</f>
        <v/>
      </c>
      <c r="P82" s="5" t="str">
        <f t="array" ref="P82">IFERROR(INDEX(BAZA_SKOK,MATCH($C82,BAZA_EX,0)),"")</f>
        <v/>
      </c>
      <c r="Q82" s="5" t="str">
        <f t="array" ref="Q82">IFERROR(INDEX(BAZA_PROG,MATCH($C82,BAZA_EX,0)),"")</f>
        <v/>
      </c>
      <c r="R82" s="5" t="str">
        <f>IF($C82="","",IF(SUMPRODUCT((START!$B$6:$B$69=$C82)*(START!$M$6:$M$69&gt;0))=0,"",SUMPRODUCT(MAX((START!$B$6:$B$69=$C82)*START!$M$6:$M$69))))</f>
        <v/>
      </c>
      <c r="S82" s="5" t="str">
        <f t="array" ref="S82">IFERROR(INDEX(TABELE!$B$4:$J$18,MATCH($E82,TABELE!$A$4:$A$18,0),MATCH($F82,TABELE!$B$3:$J$3,0)),"")</f>
        <v/>
      </c>
      <c r="T82" s="5">
        <f t="array" ref="T82">IFERROR(IF($C82="",0,$O82*$D82*INDEX(TABELE!$B$23:$P$33,MATCH($F82,TABELE!$A$23:$A$33,0),MATCH($E82,TABELE!$B$22:$P$22,0))),0)</f>
        <v>0</v>
      </c>
      <c r="U82" s="5">
        <f t="array" ref="U82">IFERROR(IF($C82="",0,$O82*$D82*INDEX(TABELE!$B$37:$P$47,MATCH($F82,TABELE!$A$37:$A$47,0),MATCH($E82,TABELE!$B$36:$P$36,0))),0)</f>
        <v>0</v>
      </c>
      <c r="V82" s="5">
        <f t="array" ref="V82">IFERROR(IF($C82="",0,$O82*$D82*INDEX(TABELE!$B$51:$P$61,MATCH($F82,TABELE!$A$51:$A$61,0),MATCH($E82,TABELE!$B$50:$P$50,0))),0)</f>
        <v>0</v>
      </c>
      <c r="W82" s="5" t="str">
        <f t="array" ref="W82">IFERROR(INDEX(BAZA_UWAGI,MATCH($C82,BAZA_EX,0)),"")</f>
        <v/>
      </c>
      <c r="X82" s="5" t="str">
        <f t="shared" si="21"/>
        <v/>
      </c>
      <c r="Y82" s="5" t="str">
        <f t="shared" si="24"/>
        <v>E</v>
      </c>
      <c r="Z82" s="5">
        <f t="shared" si="25"/>
        <v>5</v>
      </c>
      <c r="AA82" s="5" t="str">
        <f>IF($C82="","",IF(SUMPRODUCT((START!$B$6:$B$69=$C82)*(START!$M$6:$M$69&gt;0))=0,"",SUMPRODUCT(MAX((START!$B$6:$B$69=$C82)*START!$M$6:$M$69))))</f>
        <v/>
      </c>
      <c r="AB82" s="5" t="str">
        <f t="shared" si="22"/>
        <v/>
      </c>
      <c r="AC82" s="5">
        <f>MAX(0.85,MIN(1.15,1+0.05*(COUNTIF('T1'!$AB82,"za łatwe")+COUNTIF('T2'!$AB82,"za łatwe")+COUNTIF('T3'!$AB82,"za łatwe"))-0.05*(COUNTIF('T1'!$AB82,"za trudne")+COUNTIF('T2'!$AB82,"za trudne")+COUNTIF('T3'!$AB82,"za trudne"))))</f>
        <v>1</v>
      </c>
      <c r="AD82" s="5">
        <f t="shared" si="23"/>
        <v>0</v>
      </c>
    </row>
    <row r="83" ht="19.5" hidden="1" customHeight="1" outlineLevel="1">
      <c r="A83" s="43"/>
      <c r="B83" s="43"/>
      <c r="C83" s="44" t="s">
        <v>139</v>
      </c>
      <c r="D83" s="45">
        <f>SUMPRODUCT((C71:C82&lt;&gt;"")*D71:D82)+IF(AND($B$70="TOP SET",$C$70&lt;&gt;""),1,0)</f>
      </c>
      <c r="E83" s="46" t="str">
        <f>SUMPRODUCT((C71:C82&lt;&gt;"")*D71:D82*E71:E82)&amp;" powt."</f>
        <v>0 powt.</v>
      </c>
      <c r="F83" s="43"/>
      <c r="G83" s="47" t="str">
        <f>"stres t "&amp;TEXT(SUM(T71:T82),"0.0")</f>
        <v>stres t 0,0</v>
      </c>
      <c r="H83" s="48"/>
      <c r="I83" s="43"/>
      <c r="J83" s="43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21.75" customHeight="1">
      <c r="A85" s="49" t="s">
        <v>214</v>
      </c>
      <c r="B85" s="3"/>
      <c r="C85" s="3"/>
      <c r="D85" s="3"/>
      <c r="E85" s="3"/>
      <c r="F85" s="3"/>
      <c r="G85" s="3"/>
      <c r="H85" s="3"/>
      <c r="I85" s="3"/>
      <c r="J85" s="4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8.0" customHeight="1">
      <c r="A86" s="50"/>
      <c r="B86" s="51" t="s">
        <v>141</v>
      </c>
      <c r="C86" s="50"/>
      <c r="D86" s="51" t="s">
        <v>142</v>
      </c>
      <c r="E86" s="51" t="s">
        <v>143</v>
      </c>
      <c r="F86" s="51" t="s">
        <v>144</v>
      </c>
      <c r="G86" s="51" t="s">
        <v>145</v>
      </c>
      <c r="H86" s="51" t="s">
        <v>146</v>
      </c>
      <c r="I86" s="51" t="s">
        <v>147</v>
      </c>
      <c r="J86" s="50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9.5" customHeight="1">
      <c r="A87" s="52"/>
      <c r="B87" s="20" t="s">
        <v>148</v>
      </c>
      <c r="C87" s="53" t="str">
        <f t="shared" ref="C87:C91" si="26">IF(MAX($D$87:$D$91)=0,"",REPT("█",ROUND($D87/MAX($D$87:$D$91)*14,0))&amp;REPT("░",14-ROUND($D87/MAX($D$87:$D$91)*14,0)))</f>
        <v>░░░░░░░░░░░░░░</v>
      </c>
      <c r="D87" s="54">
        <f>SUMIF(M7:M18,$K87,T7:T18)+SUMIF(M23:M34,$K87,T23:T34)+SUMIF(M39:M50,$K87,T39:T50)+SUMIF(M55:M66,$K87,T55:T66)+SUMIF(M71:M82,$K87,T71:T82)</f>
        <v>0</v>
      </c>
      <c r="E87" s="55" t="str">
        <f t="shared" ref="E87:E91" si="27">IF(SUM($D$87:$D$91)=0,"",TEXT($D87/SUM($D$87:$D$91),"0%"))</f>
        <v>0%</v>
      </c>
      <c r="F87" s="33">
        <f>SUMIF(M7:M18,$K87,U7:U18)+SUMIF(M23:M34,$K87,U23:U34)+SUMIF(M39:M50,$K87,U39:U50)+SUMIF(M55:M66,$K87,U55:U66)+SUMIF(M71:M82,$K87,U71:U82)</f>
        <v>0</v>
      </c>
      <c r="G87" s="33">
        <f>SUMIF(M7:M18,$K87,V7:V18)+SUMIF(M23:M34,$K87,V23:V34)+SUMIF(M39:M50,$K87,V39:V50)+SUMIF(M55:M66,$K87,V55:V66)+SUMIF(M71:M82,$K87,V71:V82)</f>
        <v>0</v>
      </c>
      <c r="H87" s="56">
        <f t="shared" ref="H87:H91" si="28">SUMIF($M$7:$M$18,$K87,$D$7:$D$18)+SUMIF($M$23:$M$34,$K87,$D$23:$D$34)+SUMIF($M$39:$M$50,$K87,$D$39:$D$50)+SUMIF($M$55:$M$66,$K87,$D$55:$D$66)+SUMIF($M$71:$M$82,$K87,$D$71:$D$82)</f>
        <v>0</v>
      </c>
      <c r="I87" s="56">
        <f t="shared" ref="I87:I91" si="29">SUMPRODUCT(($M$7:$M$18=$K87)*$D$7:$D$18*$E$7:$E$18)+SUMPRODUCT(($M$23:$M$34=$K87)*$D$23:$D$34*$E$23:$E$34)+SUMPRODUCT(($M$39:$M$50=$K87)*$D$39:$D$50*$E$39:$E$50)+SUMPRODUCT(($M$55:$M$66=$K87)*$D$55:$D$66*$E$55:$E$66)+SUMPRODUCT(($M$71:$M$82=$K87)*$D$71:$D$82*$E$71:$E$82)</f>
        <v>0</v>
      </c>
      <c r="J87" s="52"/>
      <c r="K87" s="5" t="s">
        <v>149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9.5" customHeight="1">
      <c r="A88" s="52"/>
      <c r="B88" s="20" t="s">
        <v>150</v>
      </c>
      <c r="C88" s="53" t="str">
        <f t="shared" si="26"/>
        <v>░░░░░░░░░░░░░░</v>
      </c>
      <c r="D88" s="54">
        <f>SUMIF(M7:M18,$K88,T7:T18)+SUMIF(M23:M34,$K88,T23:T34)+SUMIF(M39:M50,$K88,T39:T50)+SUMIF(M55:M66,$K88,T55:T66)+SUMIF(M71:M82,$K88,T71:T82)</f>
        <v>0</v>
      </c>
      <c r="E88" s="55" t="str">
        <f t="shared" si="27"/>
        <v>0%</v>
      </c>
      <c r="F88" s="33">
        <f>SUMIF(M7:M18,$K88,U7:U18)+SUMIF(M23:M34,$K88,U23:U34)+SUMIF(M39:M50,$K88,U39:U50)+SUMIF(M55:M66,$K88,U55:U66)+SUMIF(M71:M82,$K88,U71:U82)</f>
        <v>0</v>
      </c>
      <c r="G88" s="33">
        <f>SUMIF(M7:M18,$K88,V7:V18)+SUMIF(M23:M34,$K88,V23:V34)+SUMIF(M39:M50,$K88,V39:V50)+SUMIF(M55:M66,$K88,V55:V66)+SUMIF(M71:M82,$K88,V71:V82)</f>
        <v>0</v>
      </c>
      <c r="H88" s="56">
        <f t="shared" si="28"/>
        <v>0</v>
      </c>
      <c r="I88" s="56">
        <f t="shared" si="29"/>
        <v>0</v>
      </c>
      <c r="J88" s="52"/>
      <c r="K88" s="5" t="s">
        <v>151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9.5" customHeight="1">
      <c r="A89" s="52"/>
      <c r="B89" s="20" t="s">
        <v>152</v>
      </c>
      <c r="C89" s="53" t="str">
        <f t="shared" si="26"/>
        <v>░░░░░░░░░░░░░░</v>
      </c>
      <c r="D89" s="54">
        <f>SUMIF(M7:M18,$K89,T7:T18)+SUMIF(M23:M34,$K89,T23:T34)+SUMIF(M39:M50,$K89,T39:T50)+SUMIF(M55:M66,$K89,T55:T66)+SUMIF(M71:M82,$K89,T71:T82)</f>
        <v>0</v>
      </c>
      <c r="E89" s="55" t="str">
        <f t="shared" si="27"/>
        <v>0%</v>
      </c>
      <c r="F89" s="33">
        <f>SUMIF(M7:M18,$K89,U7:U18)+SUMIF(M23:M34,$K89,U23:U34)+SUMIF(M39:M50,$K89,U39:U50)+SUMIF(M55:M66,$K89,U55:U66)+SUMIF(M71:M82,$K89,U71:U82)</f>
        <v>0</v>
      </c>
      <c r="G89" s="33">
        <f>SUMIF(M7:M18,$K89,V7:V18)+SUMIF(M23:M34,$K89,V23:V34)+SUMIF(M39:M50,$K89,V39:V50)+SUMIF(M55:M66,$K89,V55:V66)+SUMIF(M71:M82,$K89,V71:V82)</f>
        <v>0</v>
      </c>
      <c r="H89" s="56">
        <f t="shared" si="28"/>
        <v>0</v>
      </c>
      <c r="I89" s="56">
        <f t="shared" si="29"/>
        <v>0</v>
      </c>
      <c r="J89" s="52"/>
      <c r="K89" s="5" t="s">
        <v>153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9.5" customHeight="1">
      <c r="A90" s="52"/>
      <c r="B90" s="20" t="s">
        <v>154</v>
      </c>
      <c r="C90" s="53" t="str">
        <f t="shared" si="26"/>
        <v>░░░░░░░░░░░░░░</v>
      </c>
      <c r="D90" s="54">
        <f>SUMIF(M7:M18,$K90,T7:T18)+SUMIF(M23:M34,$K90,T23:T34)+SUMIF(M39:M50,$K90,T39:T50)+SUMIF(M55:M66,$K90,T55:T66)+SUMIF(M71:M82,$K90,T71:T82)</f>
        <v>0</v>
      </c>
      <c r="E90" s="55" t="str">
        <f t="shared" si="27"/>
        <v>0%</v>
      </c>
      <c r="F90" s="33">
        <f>SUMIF(M7:M18,$K90,U7:U18)+SUMIF(M23:M34,$K90,U23:U34)+SUMIF(M39:M50,$K90,U39:U50)+SUMIF(M55:M66,$K90,U55:U66)+SUMIF(M71:M82,$K90,U71:U82)</f>
        <v>0</v>
      </c>
      <c r="G90" s="33">
        <f>SUMIF(M7:M18,$K90,V7:V18)+SUMIF(M23:M34,$K90,V23:V34)+SUMIF(M39:M50,$K90,V39:V50)+SUMIF(M55:M66,$K90,V55:V66)+SUMIF(M71:M82,$K90,V71:V82)</f>
        <v>0</v>
      </c>
      <c r="H90" s="56">
        <f t="shared" si="28"/>
        <v>0</v>
      </c>
      <c r="I90" s="56">
        <f t="shared" si="29"/>
        <v>0</v>
      </c>
      <c r="J90" s="52"/>
      <c r="K90" s="5" t="s">
        <v>155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9.5" customHeight="1">
      <c r="A91" s="52"/>
      <c r="B91" s="20" t="s">
        <v>156</v>
      </c>
      <c r="C91" s="53" t="str">
        <f t="shared" si="26"/>
        <v>██████████████</v>
      </c>
      <c r="D91" s="54">
        <f>SUMIF(M7:M18,$K91,T7:T18)+SUMIF(M23:M34,$K91,T23:T34)+SUMIF(M39:M50,$K91,T39:T50)+SUMIF(M55:M66,$K91,T55:T66)+SUMIF(M71:M82,$K91,T71:T82)</f>
        <v>1.35</v>
      </c>
      <c r="E91" s="55" t="str">
        <f t="shared" si="27"/>
        <v>100%</v>
      </c>
      <c r="F91" s="33">
        <f>SUMIF(M7:M18,$K91,U7:U18)+SUMIF(M23:M34,$K91,U23:U34)+SUMIF(M39:M50,$K91,U39:U50)+SUMIF(M55:M66,$K91,U55:U66)+SUMIF(M71:M82,$K91,U71:U82)</f>
        <v>0.75</v>
      </c>
      <c r="G91" s="33">
        <f>SUMIF(M7:M18,$K91,V7:V18)+SUMIF(M23:M34,$K91,V23:V34)+SUMIF(M39:M50,$K91,V39:V50)+SUMIF(M55:M66,$K91,V55:V66)+SUMIF(M71:M82,$K91,V71:V82)</f>
        <v>2.1</v>
      </c>
      <c r="H91" s="56">
        <f t="shared" si="28"/>
        <v>3</v>
      </c>
      <c r="I91" s="56">
        <f t="shared" si="29"/>
        <v>30</v>
      </c>
      <c r="J91" s="52"/>
      <c r="K91" s="5" t="s">
        <v>157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2"/>
      <c r="B92" s="57" t="s">
        <v>158</v>
      </c>
      <c r="C92" s="52"/>
      <c r="D92" s="58">
        <f>$D$87+$D$88</f>
        <v>0</v>
      </c>
      <c r="E92" s="18" t="str">
        <f t="shared" ref="E92:E93" si="30">IF(($D92+$N92)=0,"",TEXT($D92/($D92+$N92),"0%")&amp;" / "&amp;TEXT($N92/($D92+$N92),"0%"))</f>
        <v/>
      </c>
      <c r="F92" s="52"/>
      <c r="G92" s="52"/>
      <c r="H92" s="52"/>
      <c r="I92" s="52"/>
      <c r="J92" s="52"/>
      <c r="K92" s="5"/>
      <c r="L92" s="5"/>
      <c r="M92" s="5"/>
      <c r="N92" s="59">
        <f>$D$89+$D$90</f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2"/>
      <c r="B93" s="57" t="s">
        <v>159</v>
      </c>
      <c r="C93" s="52"/>
      <c r="D93" s="58">
        <f>SUM($F$87:$F$91)</f>
        <v>0.75</v>
      </c>
      <c r="E93" s="18" t="str">
        <f t="shared" si="30"/>
        <v>26% / 74%</v>
      </c>
      <c r="F93" s="52"/>
      <c r="G93" s="52"/>
      <c r="H93" s="52"/>
      <c r="I93" s="52"/>
      <c r="J93" s="52"/>
      <c r="K93" s="5"/>
      <c r="L93" s="5"/>
      <c r="M93" s="5"/>
      <c r="N93" s="59">
        <f>SUM($G$87:$G$91)</f>
        <v>2.1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21.75" customHeight="1">
      <c r="A94" s="29"/>
      <c r="B94" s="60" t="s">
        <v>160</v>
      </c>
      <c r="C94" s="29"/>
      <c r="D94" s="61">
        <f>SUM($D$87:$D$91)</f>
        <v>1.35</v>
      </c>
      <c r="E94" s="29"/>
      <c r="F94" s="29"/>
      <c r="G94" s="29"/>
      <c r="H94" s="62">
        <f>SUM($H$87:$H$91)</f>
        <v>3</v>
      </c>
      <c r="I94" s="62">
        <f>SUM($I$87:$I$91)</f>
        <v>30</v>
      </c>
      <c r="J94" s="29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21.75" hidden="1" customHeight="1" outlineLevel="1">
      <c r="A96" s="49" t="s">
        <v>215</v>
      </c>
      <c r="B96" s="3"/>
      <c r="C96" s="3"/>
      <c r="D96" s="3"/>
      <c r="E96" s="3"/>
      <c r="F96" s="3"/>
      <c r="G96" s="3"/>
      <c r="H96" s="3"/>
      <c r="I96" s="3"/>
      <c r="J96" s="4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25.5" hidden="1" customHeight="1" outlineLevel="1">
      <c r="A97" s="5"/>
      <c r="B97" s="10" t="s">
        <v>162</v>
      </c>
      <c r="C97" s="63" t="str">
        <f>IF(ODDECH!$B$5="","— wpisz wynik TWOT w zakładce ODDECH",ODDECH!$B$8)</f>
        <v>— wpisz wynik TWOT w zakładce ODDECH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25.5" hidden="1" customHeight="1" outlineLevel="1">
      <c r="A98" s="5"/>
      <c r="B98" s="10" t="s">
        <v>163</v>
      </c>
      <c r="C98" s="63" t="str">
        <f>IF(ODDECH!$B$5="","",ODDECH!$B$9)</f>
        <v/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25.5" hidden="1" customHeight="1" outlineLevel="1">
      <c r="A99" s="5"/>
      <c r="B99" s="10" t="s">
        <v>164</v>
      </c>
      <c r="C99" s="63" t="str">
        <f>IF(ODDECH!$B$5="","",ODDECH!$B$10)</f>
        <v/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25.5" hidden="1" customHeight="1" outlineLevel="1">
      <c r="A100" s="5"/>
      <c r="B100" s="10" t="s">
        <v>165</v>
      </c>
      <c r="C100" s="63" t="str">
        <f>IF(ODDECH!$B$5="","",ODDECH!$B$11)</f>
        <v/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25.5" hidden="1" customHeight="1" outlineLevel="1">
      <c r="A101" s="5"/>
      <c r="B101" s="10" t="s">
        <v>166</v>
      </c>
      <c r="C101" s="63" t="str">
        <f>IF(ODDECH!$B$5="","",ODDECH!$B$12)</f>
        <v/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33.75" hidden="1" customHeight="1" outlineLevel="1">
      <c r="A102" s="5"/>
      <c r="B102" s="10" t="s">
        <v>167</v>
      </c>
      <c r="C102" s="63" t="str">
        <f>IF(ODDECH!$B$5="","",ODDECH!$A$14)</f>
        <v/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21.75" hidden="1" customHeight="1" outlineLevel="1">
      <c r="A104" s="49" t="s">
        <v>216</v>
      </c>
      <c r="B104" s="3"/>
      <c r="C104" s="3"/>
      <c r="D104" s="3"/>
      <c r="E104" s="3"/>
      <c r="F104" s="3"/>
      <c r="G104" s="3"/>
      <c r="H104" s="3"/>
      <c r="I104" s="3"/>
      <c r="J104" s="4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25.5" hidden="1" customHeight="1" outlineLevel="1">
      <c r="A105" s="5"/>
      <c r="B105" s="10" t="s">
        <v>169</v>
      </c>
      <c r="C105" s="63" t="str">
        <f>IF(OR(BIEG!$B$7="",BIEG!$B$8=""),"— uzupełnij dane w zakładce BIEG","łącznie "&amp;TEXT(SUM(BIEG!$O$47:$O$51),"0.0")&amp;" km  ·  "&amp;SUM(BIEG!$N$47:$N$51)&amp;" min")</f>
        <v>— uzupełnij dane w zakładce BIEG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25.5" hidden="1" customHeight="1" outlineLevel="1">
      <c r="A106" s="5"/>
      <c r="B106" s="10" t="str">
        <f>IF(N(BIEG!$B$9)&gt;=1,"jednostka 1","")</f>
        <v/>
      </c>
      <c r="C106" s="63" t="str">
        <f>IF(OR(BIEG!$B$7="",BIEG!$B$8=""),"",BIEG!$I$47)</f>
        <v/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25.5" hidden="1" customHeight="1" outlineLevel="1">
      <c r="A107" s="5"/>
      <c r="B107" s="10" t="str">
        <f>IF(N(BIEG!$B$9)&gt;=2,"jednostka 2","")</f>
        <v/>
      </c>
      <c r="C107" s="63" t="str">
        <f>IF(OR(BIEG!$B$7="",BIEG!$B$8=""),"",BIEG!$I$48)</f>
        <v/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25.5" hidden="1" customHeight="1" outlineLevel="1">
      <c r="A108" s="5"/>
      <c r="B108" s="10" t="str">
        <f>IF(N(BIEG!$B$9)&gt;=3,"jednostka 3","")</f>
        <v/>
      </c>
      <c r="C108" s="63" t="str">
        <f>IF(OR(BIEG!$B$7="",BIEG!$B$8=""),"",BIEG!$I$49)</f>
        <v/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25.5" hidden="1" customHeight="1" outlineLevel="1">
      <c r="A109" s="5"/>
      <c r="B109" s="10" t="str">
        <f>IF(N(BIEG!$B$9)&gt;=4,"jednostka 4","")</f>
        <v/>
      </c>
      <c r="C109" s="63" t="str">
        <f>IF(OR(BIEG!$B$7="",BIEG!$B$8=""),"",BIEG!$I$50)</f>
        <v/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25.5" hidden="1" customHeight="1" outlineLevel="1">
      <c r="A110" s="5"/>
      <c r="B110" s="10" t="str">
        <f>IF(N(BIEG!$B$9)&gt;=5,"jednostka 5","")</f>
        <v/>
      </c>
      <c r="C110" s="63" t="str">
        <f>IF(OR(BIEG!$B$7="",BIEG!$B$8=""),"",BIEG!$I$51)</f>
        <v/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J1"/>
    <mergeCell ref="A5:J5"/>
    <mergeCell ref="A21:J21"/>
    <mergeCell ref="A37:J37"/>
    <mergeCell ref="A53:J53"/>
    <mergeCell ref="A69:J69"/>
    <mergeCell ref="A85:J85"/>
    <mergeCell ref="A104:J104"/>
    <mergeCell ref="C105:J105"/>
    <mergeCell ref="C106:J106"/>
    <mergeCell ref="C107:J107"/>
    <mergeCell ref="C108:J108"/>
    <mergeCell ref="C109:J109"/>
    <mergeCell ref="C110:J110"/>
    <mergeCell ref="A96:J96"/>
    <mergeCell ref="C97:J97"/>
    <mergeCell ref="C98:J98"/>
    <mergeCell ref="C99:J99"/>
    <mergeCell ref="C100:J100"/>
    <mergeCell ref="C101:J101"/>
    <mergeCell ref="C102:J102"/>
  </mergeCells>
  <conditionalFormatting sqref="A7:J18">
    <cfRule type="expression" dxfId="2" priority="1">
      <formula>AND($A7&lt;&gt;"",N($X7)&lt;&gt;N($X6))</formula>
    </cfRule>
  </conditionalFormatting>
  <conditionalFormatting sqref="A7:J18">
    <cfRule type="expression" dxfId="3" priority="2">
      <formula>AND($A7&lt;&gt;"",MOD(N($X7),2)=0)</formula>
    </cfRule>
  </conditionalFormatting>
  <conditionalFormatting sqref="C7:C18">
    <cfRule type="expression" dxfId="4" priority="3">
      <formula>AND($C7&lt;&gt;"",$J7&lt;&gt;"",$N7&lt;&gt;$J7)</formula>
    </cfRule>
  </conditionalFormatting>
  <conditionalFormatting sqref="A23:J34">
    <cfRule type="expression" dxfId="2" priority="4">
      <formula>AND($A23&lt;&gt;"",N($X23)&lt;&gt;N($X22))</formula>
    </cfRule>
  </conditionalFormatting>
  <conditionalFormatting sqref="A23:J34">
    <cfRule type="expression" dxfId="3" priority="5">
      <formula>AND($A23&lt;&gt;"",MOD(N($X23),2)=0)</formula>
    </cfRule>
  </conditionalFormatting>
  <conditionalFormatting sqref="C23:C34">
    <cfRule type="expression" dxfId="4" priority="6">
      <formula>AND($C23&lt;&gt;"",$J23&lt;&gt;"",$N23&lt;&gt;$J23)</formula>
    </cfRule>
  </conditionalFormatting>
  <conditionalFormatting sqref="A39:J50">
    <cfRule type="expression" dxfId="2" priority="7">
      <formula>AND($A39&lt;&gt;"",N($X39)&lt;&gt;N($X38))</formula>
    </cfRule>
  </conditionalFormatting>
  <conditionalFormatting sqref="A39:J50">
    <cfRule type="expression" dxfId="3" priority="8">
      <formula>AND($A39&lt;&gt;"",MOD(N($X39),2)=0)</formula>
    </cfRule>
  </conditionalFormatting>
  <conditionalFormatting sqref="C39:C50">
    <cfRule type="expression" dxfId="4" priority="9">
      <formula>AND($C39&lt;&gt;"",$J39&lt;&gt;"",$N39&lt;&gt;$J39)</formula>
    </cfRule>
  </conditionalFormatting>
  <conditionalFormatting sqref="G6:G18">
    <cfRule type="expression" dxfId="0" priority="10">
      <formula>$G6="— ustaw ręcznie"</formula>
    </cfRule>
  </conditionalFormatting>
  <conditionalFormatting sqref="G22:G34">
    <cfRule type="expression" dxfId="0" priority="11">
      <formula>$G22="— ustaw ręcznie"</formula>
    </cfRule>
  </conditionalFormatting>
  <conditionalFormatting sqref="G38:G50">
    <cfRule type="expression" dxfId="0" priority="12">
      <formula>$G38="— ustaw ręcznie"</formula>
    </cfRule>
  </conditionalFormatting>
  <conditionalFormatting sqref="A55:J66">
    <cfRule type="expression" dxfId="3" priority="13">
      <formula>AND($A55&lt;&gt;"",MOD(N($X55),2)=0)</formula>
    </cfRule>
  </conditionalFormatting>
  <conditionalFormatting sqref="C55:C66">
    <cfRule type="expression" dxfId="5" priority="14">
      <formula>AND($C55&lt;&gt;"",$J55&lt;&gt;"",$N55&lt;&gt;$J55)</formula>
    </cfRule>
  </conditionalFormatting>
  <conditionalFormatting sqref="G54:G66">
    <cfRule type="expression" dxfId="0" priority="15">
      <formula>$G54="— ustaw ręcznie"</formula>
    </cfRule>
  </conditionalFormatting>
  <conditionalFormatting sqref="A71:J82">
    <cfRule type="expression" dxfId="3" priority="16">
      <formula>AND($A71&lt;&gt;"",MOD(N($X71),2)=0)</formula>
    </cfRule>
  </conditionalFormatting>
  <conditionalFormatting sqref="C71:C82">
    <cfRule type="expression" dxfId="5" priority="17">
      <formula>AND($C71&lt;&gt;"",$J71&lt;&gt;"",$N71&lt;&gt;$J71)</formula>
    </cfRule>
  </conditionalFormatting>
  <conditionalFormatting sqref="G70:G82">
    <cfRule type="expression" dxfId="0" priority="18">
      <formula>$G70="— ustaw ręcznie"</formula>
    </cfRule>
  </conditionalFormatting>
  <conditionalFormatting sqref="E7:E18">
    <cfRule type="expression" dxfId="6" priority="19">
      <formula>AND($C7&lt;&gt;"",N($E7)&gt;15)</formula>
    </cfRule>
  </conditionalFormatting>
  <conditionalFormatting sqref="E23:E34">
    <cfRule type="expression" dxfId="6" priority="20">
      <formula>AND($C23&lt;&gt;"",N($E23)&gt;15)</formula>
    </cfRule>
  </conditionalFormatting>
  <conditionalFormatting sqref="E39:E50">
    <cfRule type="expression" dxfId="6" priority="21">
      <formula>AND($C39&lt;&gt;"",N($E39)&gt;15)</formula>
    </cfRule>
  </conditionalFormatting>
  <conditionalFormatting sqref="E55:E66">
    <cfRule type="expression" dxfId="6" priority="22">
      <formula>AND($C55&lt;&gt;"",N($E55)&gt;15)</formula>
    </cfRule>
  </conditionalFormatting>
  <conditionalFormatting sqref="E71:E82">
    <cfRule type="expression" dxfId="6" priority="23">
      <formula>AND($C71&lt;&gt;"",N($E71)&gt;15)</formula>
    </cfRule>
  </conditionalFormatting>
  <dataValidations>
    <dataValidation type="list" allowBlank="1" sqref="C75">
      <formula1>LISTY!$C$75:$GT$75</formula1>
    </dataValidation>
    <dataValidation type="list" allowBlank="1" sqref="C41">
      <formula1>LISTY!$C$41:$GT$41</formula1>
    </dataValidation>
    <dataValidation type="list" allowBlank="1" sqref="C32">
      <formula1>LISTY!$C$32:$GT$32</formula1>
    </dataValidation>
    <dataValidation type="list" allowBlank="1" sqref="C12">
      <formula1>LISTY!$C$12:$GT$12</formula1>
    </dataValidation>
    <dataValidation type="list" allowBlank="1" sqref="C17">
      <formula1>LISTY!$C$17:$GT$17</formula1>
    </dataValidation>
    <dataValidation type="list" allowBlank="1" sqref="C61">
      <formula1>LISTY!$C$61:$GT$61</formula1>
    </dataValidation>
    <dataValidation type="list" allowBlank="1" sqref="C55">
      <formula1>LISTY!$C$55:$GT$55</formula1>
    </dataValidation>
    <dataValidation type="list" allowBlank="1" sqref="C57">
      <formula1>LISTY!$C$57:$GT$57</formula1>
    </dataValidation>
    <dataValidation type="list" allowBlank="1" sqref="C26">
      <formula1>LISTY!$C$26:$GT$26</formula1>
    </dataValidation>
    <dataValidation type="list" allowBlank="1" sqref="C23">
      <formula1>LISTY!$C$23:$GT$23</formula1>
    </dataValidation>
    <dataValidation type="list" allowBlank="1" sqref="C66">
      <formula1>LISTY!$C$66:$GT$66</formula1>
    </dataValidation>
    <dataValidation type="list" allowBlank="1" sqref="C46">
      <formula1>LISTY!$C$46:$GT$46</formula1>
    </dataValidation>
    <dataValidation type="list" allowBlank="1" sqref="C72">
      <formula1>LISTY!$C$72:$GT$72</formula1>
    </dataValidation>
    <dataValidation type="list" allowBlank="1" sqref="C34">
      <formula1>LISTY!$C$34:$GT$34</formula1>
    </dataValidation>
    <dataValidation type="list" allowBlank="1" sqref="C25">
      <formula1>LISTY!$C$25:$GT$25</formula1>
    </dataValidation>
    <dataValidation type="list" allowBlank="1" sqref="C59">
      <formula1>LISTY!$C$59:$GT$59</formula1>
    </dataValidation>
    <dataValidation type="list" allowBlank="1" sqref="C77">
      <formula1>LISTY!$C$77:$GT$77</formula1>
    </dataValidation>
    <dataValidation type="list" allowBlank="1" sqref="C43">
      <formula1>LISTY!$C$43:$GT$43</formula1>
    </dataValidation>
    <dataValidation type="list" allowBlank="1" sqref="C39">
      <formula1>LISTY!$C$39:$GT$39</formula1>
    </dataValidation>
    <dataValidation type="list" allowBlank="1" sqref="C63">
      <formula1>LISTY!$C$63:$GT$63</formula1>
    </dataValidation>
    <dataValidation type="list" allowBlank="1" sqref="C45">
      <formula1>LISTY!$C$45:$GT$45</formula1>
    </dataValidation>
    <dataValidation type="list" allowBlank="1" sqref="C40">
      <formula1>LISTY!$C$40:$GT$40</formula1>
    </dataValidation>
    <dataValidation type="list" allowBlank="1" sqref="C11">
      <formula1>LISTY!$C$11:$GT$11</formula1>
    </dataValidation>
    <dataValidation type="list" allowBlank="1" sqref="C14">
      <formula1>LISTY!$C$14:$GT$14</formula1>
    </dataValidation>
    <dataValidation type="list" allowBlank="1" sqref="C80">
      <formula1>LISTY!$C$80:$GT$80</formula1>
    </dataValidation>
    <dataValidation type="list" allowBlank="1" sqref="H6:H18 H22:H34 H38:H50 H54:H66 H70:H82">
      <formula1>"OK,za łatwe,za trudne"</formula1>
    </dataValidation>
    <dataValidation type="list" allowBlank="1" sqref="C28">
      <formula1>LISTY!$C$28:$GT$28</formula1>
    </dataValidation>
    <dataValidation type="list" allowBlank="1" sqref="C74">
      <formula1>LISTY!$C$74:$GT$74</formula1>
    </dataValidation>
    <dataValidation type="list" allowBlank="1" sqref="H19 H35 H51 H67 H83">
      <formula1>"✓ ukończony"</formula1>
    </dataValidation>
    <dataValidation type="list" allowBlank="1" sqref="C60">
      <formula1>LISTY!$C$60:$GT$60</formula1>
    </dataValidation>
    <dataValidation type="list" allowBlank="1" sqref="C48">
      <formula1>LISTY!$C$48:$GT$48</formula1>
    </dataValidation>
    <dataValidation type="list" allowBlank="1" sqref="C27">
      <formula1>LISTY!$C$27:$GT$27</formula1>
    </dataValidation>
    <dataValidation type="list" allowBlank="1" sqref="C13">
      <formula1>LISTY!$C$13:$GT$13</formula1>
    </dataValidation>
    <dataValidation type="list" allowBlank="1" sqref="C31">
      <formula1>LISTY!$C$31:$GT$31</formula1>
    </dataValidation>
    <dataValidation type="list" allowBlank="1" sqref="C47">
      <formula1>LISTY!$C$47:$GT$47</formula1>
    </dataValidation>
    <dataValidation type="list" allowBlank="1" sqref="C65">
      <formula1>LISTY!$C$65:$GT$65</formula1>
    </dataValidation>
    <dataValidation type="list" allowBlank="1" sqref="C71">
      <formula1>LISTY!$C$71:$GT$71</formula1>
    </dataValidation>
    <dataValidation type="list" allowBlank="1" sqref="C7">
      <formula1>LISTY!$C$7:$GT$7</formula1>
    </dataValidation>
    <dataValidation type="list" allowBlank="1" sqref="C33">
      <formula1>LISTY!$C$33:$GT$33</formula1>
    </dataValidation>
    <dataValidation type="list" allowBlank="1" sqref="C76">
      <formula1>LISTY!$C$76:$GT$76</formula1>
    </dataValidation>
    <dataValidation type="list" allowBlank="1" sqref="C79">
      <formula1>LISTY!$C$79:$GT$79</formula1>
    </dataValidation>
    <dataValidation type="list" allowBlank="1" sqref="C16">
      <formula1>LISTY!$C$16:$GT$16</formula1>
    </dataValidation>
    <dataValidation type="list" allowBlank="1" sqref="C42">
      <formula1>LISTY!$C$42:$GT$42</formula1>
    </dataValidation>
    <dataValidation type="list" allowBlank="1" sqref="C62">
      <formula1>LISTY!$C$62:$GT$62</formula1>
    </dataValidation>
    <dataValidation type="list" allowBlank="1" sqref="C56">
      <formula1>LISTY!$C$56:$GT$56</formula1>
    </dataValidation>
    <dataValidation type="list" allowBlank="1" sqref="C15">
      <formula1>LISTY!$C$15:$GT$15</formula1>
    </dataValidation>
    <dataValidation type="list" allowBlank="1" sqref="C10">
      <formula1>LISTY!$C$10:$GT$10</formula1>
    </dataValidation>
    <dataValidation type="list" allowBlank="1" sqref="C82">
      <formula1>LISTY!$C$82:$GT$82</formula1>
    </dataValidation>
    <dataValidation type="list" allowBlank="1" sqref="C9">
      <formula1>LISTY!$C$9:$GT$9</formula1>
    </dataValidation>
    <dataValidation type="list" allowBlank="1" sqref="C29">
      <formula1>LISTY!$C$29:$GT$29</formula1>
    </dataValidation>
    <dataValidation type="list" allowBlank="1" sqref="C73">
      <formula1>LISTY!$C$73:$GT$73</formula1>
    </dataValidation>
    <dataValidation type="list" allowBlank="1" sqref="C81">
      <formula1>LISTY!$C$81:$GT$81</formula1>
    </dataValidation>
    <dataValidation type="list" allowBlank="1" sqref="C49">
      <formula1>LISTY!$C$49:$GT$49</formula1>
    </dataValidation>
    <dataValidation type="list" allowBlank="1" sqref="C30">
      <formula1>LISTY!$C$30:$GT$30</formula1>
    </dataValidation>
    <dataValidation type="list" allowBlank="1" sqref="J7:J18 J23:J34 J39:J50 J55:J66 J71:J82">
      <formula1>"Lower push,Lower pull,Upper push horizontal,Upper push vertical,Upper pull horizontal,Upper pull vertical,Core,Bicep,Tricep"</formula1>
    </dataValidation>
    <dataValidation type="list" allowBlank="1" sqref="C8">
      <formula1>LISTY!$C$8:$GT$8</formula1>
    </dataValidation>
    <dataValidation type="list" allowBlank="1" sqref="C24">
      <formula1>LISTY!$C$24:$GT$24</formula1>
    </dataValidation>
    <dataValidation type="list" allowBlank="1" sqref="C18">
      <formula1>LISTY!$C$18:$GT$18</formula1>
    </dataValidation>
    <dataValidation type="list" allowBlank="1" sqref="C50">
      <formula1>LISTY!$C$50:$GT$50</formula1>
    </dataValidation>
    <dataValidation type="list" allowBlank="1" sqref="C78">
      <formula1>LISTY!$C$78:$GT$78</formula1>
    </dataValidation>
    <dataValidation type="list" allowBlank="1" sqref="C44">
      <formula1>LISTY!$C$44:$GT$44</formula1>
    </dataValidation>
    <dataValidation type="list" allowBlank="1" sqref="C58">
      <formula1>LISTY!$C$58:$GT$58</formula1>
    </dataValidation>
    <dataValidation type="list" allowBlank="1" sqref="C64">
      <formula1>LISTY!$C$64:$GT$64</formula1>
    </dataValidation>
  </dataValidations>
  <printOptions/>
  <pageMargins bottom="1.0" footer="0.0" header="0.0" left="0.75" right="0.75" top="1.0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6B78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2"/>
  <cols>
    <col customWidth="1" min="1" max="1" width="7.0"/>
    <col customWidth="1" min="2" max="2" width="16.0"/>
    <col customWidth="1" min="3" max="3" width="32.0"/>
    <col customWidth="1" min="4" max="4" width="7.0"/>
    <col customWidth="1" min="5" max="5" width="13.0"/>
    <col customWidth="1" min="6" max="6" width="6.0"/>
    <col customWidth="1" min="7" max="7" width="12.0"/>
    <col customWidth="1" min="8" max="8" width="5.0"/>
    <col customWidth="1" min="9" max="9" width="7.0"/>
    <col customWidth="1" hidden="1" min="10" max="10" width="17.0"/>
    <col customWidth="1" hidden="1" min="11" max="26" width="11.0"/>
    <col customWidth="1" hidden="1" min="27" max="27" width="13.0"/>
  </cols>
  <sheetData>
    <row r="1" ht="30.0" customHeight="1">
      <c r="A1" s="2" t="s">
        <v>172</v>
      </c>
      <c r="B1" s="3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9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9.5" customHeight="1">
      <c r="A4" s="13" t="s">
        <v>8</v>
      </c>
      <c r="B4" s="13"/>
      <c r="C4" s="13" t="s">
        <v>10</v>
      </c>
      <c r="D4" s="13" t="s">
        <v>11</v>
      </c>
      <c r="E4" s="13" t="s">
        <v>12</v>
      </c>
      <c r="F4" s="13" t="s">
        <v>13</v>
      </c>
      <c r="G4" s="13" t="s">
        <v>14</v>
      </c>
      <c r="H4" s="13" t="s">
        <v>15</v>
      </c>
      <c r="I4" s="13" t="s">
        <v>17</v>
      </c>
      <c r="J4" s="14" t="s">
        <v>18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 t="s">
        <v>25</v>
      </c>
    </row>
    <row r="5" ht="25.5" customHeight="1" outlineLevel="1">
      <c r="A5" s="15" t="s">
        <v>23</v>
      </c>
      <c r="B5" s="3"/>
      <c r="C5" s="3"/>
      <c r="D5" s="3"/>
      <c r="E5" s="3"/>
      <c r="F5" s="3"/>
      <c r="G5" s="3"/>
      <c r="H5" s="3"/>
      <c r="I5" s="3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33.75" customHeight="1" outlineLevel="2">
      <c r="A6" s="17" t="str">
        <f>IF($B6="TOP SET","▲","")</f>
        <v>▲</v>
      </c>
      <c r="B6" s="19" t="str">
        <f>IF('T1'!$B6="TOP SET","TOP SET","—")</f>
        <v>TOP SET</v>
      </c>
      <c r="C6" s="22" t="str">
        <f>IF(OR($B6&lt;&gt;"TOP SET",$F6=""),"",IF(N($K6)=0,"",IF(INDEX($C$7:$C$18,$K6)="","",INDEX($C$7:$C$18,$K6))))</f>
      </c>
      <c r="D6" s="23">
        <f>IF(AND($B6="TOP SET",$F6&lt;&gt;""),1,"")</f>
      </c>
      <c r="E6" s="24" t="str">
        <f>IF(AND($B6="TOP SET",$F6&lt;&gt;""),"1 powtórzenie","")</f>
      </c>
      <c r="F6" s="25">
        <v>7.5</v>
      </c>
      <c r="G6" s="27" t="str">
        <f t="array" ref="G6">IF($B6&lt;&gt;"TOP SET","",IF($C6="","",IF(OR($Q6="masa ciała",$Q6="czas",$Q6="dystans",$Q6="ręczne ustawienie"),"—",IF($C6='T1'!$C6,IF(OR($R6="",$R6=0),"— brak 1RM",MROUND($R6*IFERROR(INDEX(TABELE!$B$4:$J$18,MATCH(1,TABELE!$A$4:$A$18,0),MATCH($F6,TABELE!$B$3:$J$3,0)),0)/100,MAX($P6,0.5))),IF(OR($AA6="",$AA6=0),"— ustaw ręcznie",MROUND($AA6*IFERROR(INDEX(TABELE!$B$4:$J$18,MATCH(1,TABELE!$A$4:$A$18,0),MATCH($F6,TABELE!$B$3:$J$3,0)),0)/100,MAX($P6,0.5)))))))</f>
      </c>
      <c r="H6" s="28"/>
      <c r="I6" s="29"/>
      <c r="J6" s="29"/>
      <c r="K6" s="5">
        <f>IFERROR(MATCH("A*",$A$7:$A$18,0),0)</f>
      </c>
      <c r="L6" s="5"/>
      <c r="M6" s="5"/>
      <c r="N6" s="5"/>
      <c r="O6" s="5"/>
      <c r="P6" s="5">
        <f>IF(N($K6)=0,"",INDEX($P$7:$P$18,$K6))</f>
      </c>
      <c r="Q6" s="5">
        <f>IF(N($K6)=0,"",INDEX($Q$7:$Q$18,$K6))</f>
      </c>
      <c r="R6" s="5">
        <f>IF(N($K6)=0,"",INDEX($R$7:$R$18,$K6))</f>
      </c>
      <c r="S6" s="5"/>
      <c r="T6" s="5"/>
      <c r="U6" s="5"/>
      <c r="V6" s="5"/>
      <c r="W6" s="5"/>
      <c r="X6" s="5"/>
      <c r="Y6" s="5"/>
      <c r="Z6" s="5"/>
      <c r="AA6" s="5">
        <f>IF(N($K6)=0,"",INDEX($AA$7:$AA$18,$K6))</f>
      </c>
    </row>
    <row r="7" ht="25.5" customHeight="1" outlineLevel="1">
      <c r="A7" s="18" t="str">
        <f>IF('T1'!$A7="","",'T1'!$A7)</f>
        <v>A1.</v>
      </c>
      <c r="B7" s="30"/>
      <c r="C7" s="31" t="str">
        <f>IF('T1'!$C7="","",'T1'!$C7)</f>
        <v/>
      </c>
      <c r="D7" s="32">
        <v>5.0</v>
      </c>
      <c r="E7" s="32">
        <v>4.0</v>
      </c>
      <c r="F7" s="33">
        <v>7.5</v>
      </c>
      <c r="G7" s="34" t="str">
        <f>IF($C7="","",IF(OR($Q7="masa ciała",$Q7="czas",$Q7="dystans",$Q7="ręczne ustawienie"),$Q7,IF($C7='T1'!$C7,IF(AND(LEFT($A7,1)&lt;&gt;"A",PRZEL_AKCESORIA="trzymaj z bloku"),IF(NOT(ISNUMBER('T4'!$G7)),'T4'!$G7,MROUND('T4'!$G7*$AC7/(MAX('T4'!$AC7,0.0001)),MAX($P7,0.5))),IF(OR($R7="",$R7=0),"— brak 1RM",MROUND($R7*$S7/100*$AC7,MAX($P7,0.5)))),IF(OR($AA7="",$AA7=0),"— ustaw ręcznie",MROUND($AA7*$S7/100*$AC7,MAX($P7,0.5))))))</f>
        <v/>
      </c>
      <c r="H7" s="35"/>
      <c r="I7" s="36" t="str">
        <f t="array" ref="I7">IFERROR(IF(IFERROR(INDEX(BAZA_FILM,MATCH($C7,BAZA_EX,0)),"")="","",HYPERLINK(IFERROR(INDEX(BAZA_FILM,MATCH($C7,BAZA_EX,0)),""),"film")),"")</f>
        <v/>
      </c>
      <c r="J7" s="37" t="str">
        <f>IF('T1'!$J7="","",'T1'!$J7)</f>
        <v/>
      </c>
      <c r="K7" s="5" t="s">
        <v>33</v>
      </c>
      <c r="L7" s="5" t="str">
        <f t="array" ref="L7">IFERROR(INDEX(BAZA_ID,MATCH($C7,BAZA_EX,0)),"")</f>
        <v/>
      </c>
      <c r="M7" s="5" t="str">
        <f t="array" ref="M7">IFERROR(INDEX(BAZA_PART,MATCH($C7,BAZA_EX,0)),"")</f>
        <v/>
      </c>
      <c r="N7" s="5" t="str">
        <f t="array" ref="N7">IFERROR(INDEX(BAZA_KAT,MATCH($C7,BAZA_EX,0)),"")</f>
        <v/>
      </c>
      <c r="O7" s="5" t="str">
        <f t="array" ref="O7">IFERROR(INDEX(BAZA_COEFF,MATCH($C7,BAZA_EX,0)),"")</f>
        <v/>
      </c>
      <c r="P7" s="5" t="str">
        <f t="array" ref="P7">IFERROR(INDEX(BAZA_SKOK,MATCH($C7,BAZA_EX,0)),"")</f>
        <v/>
      </c>
      <c r="Q7" s="5" t="str">
        <f t="array" ref="Q7">IFERROR(INDEX(BAZA_PROG,MATCH($C7,BAZA_EX,0)),"")</f>
        <v/>
      </c>
      <c r="R7" s="5" t="str">
        <f>IF($C7="","",IF(SUMPRODUCT((START!$B$6:$B$69=$C7)*(START!$M$6:$M$69&gt;0))=0,"",SUMPRODUCT(MAX((START!$B$6:$B$69=$C7)*START!$M$6:$M$69))))</f>
        <v/>
      </c>
      <c r="S7" s="5">
        <f t="array" ref="S7">IFERROR(INDEX(TABELE!$B$4:$J$18,MATCH($E7,TABELE!$A$4:$A$18,0),MATCH($F7,TABELE!$B$3:$J$3,0)),"")</f>
        <v>80.5</v>
      </c>
      <c r="T7" s="5">
        <f t="array" ref="T7">IFERROR(IF($C7="",0,$O7*$D7*INDEX(TABELE!$B$23:$P$33,MATCH($F7,TABELE!$A$23:$A$33,0),MATCH($E7,TABELE!$B$22:$P$22,0))),0)</f>
        <v>0</v>
      </c>
      <c r="U7" s="5">
        <f t="array" ref="U7">IFERROR(IF($C7="",0,$O7*$D7*INDEX(TABELE!$B$37:$P$47,MATCH($F7,TABELE!$A$37:$A$47,0),MATCH($E7,TABELE!$B$36:$P$36,0))),0)</f>
        <v>0</v>
      </c>
      <c r="V7" s="5">
        <f t="array" ref="V7">IFERROR(IF($C7="",0,$O7*$D7*INDEX(TABELE!$B$51:$P$61,MATCH($F7,TABELE!$A$51:$A$61,0),MATCH($E7,TABELE!$B$50:$P$50,0))),0)</f>
        <v>0</v>
      </c>
      <c r="W7" s="5" t="str">
        <f t="array" ref="W7">IFERROR(INDEX(BAZA_UWAGI,MATCH($C7,BAZA_EX,0)),"")</f>
        <v/>
      </c>
      <c r="X7" s="5">
        <f t="shared" ref="X7:X18" si="1">IF($A7="","",$Z7)</f>
        <v>1</v>
      </c>
      <c r="Y7" s="5" t="str">
        <f>IF($A7="","",LEFT($A7,1))</f>
        <v>A</v>
      </c>
      <c r="Z7" s="5">
        <f>IF($A7="",0,1)</f>
        <v>1</v>
      </c>
      <c r="AA7" s="5" t="str">
        <f>IF($C7="","",IF(SUMPRODUCT((START!$B$6:$B$69=$C7)*(START!$M$6:$M$69&gt;0))=0,"",SUMPRODUCT(MAX((START!$B$6:$B$69=$C7)*START!$M$6:$M$69))))</f>
        <v/>
      </c>
      <c r="AB7" s="5" t="str">
        <f t="shared" ref="AB7:AB18" si="2">IF($C7="","",IF($H7&lt;&gt;"",$H7,IF($H$19="✓ ukończony","OK","")))</f>
        <v/>
      </c>
      <c r="AC7" s="5">
        <f>MAX(0.85,MIN(1.15,1+0.05*(COUNTIF('T1'!$AB7,"za łatwe")+COUNTIF('T2'!$AB7,"za łatwe")+COUNTIF('T3'!$AB7,"za łatwe")+COUNTIF('T4'!$AB7,"za łatwe"))-0.05*(COUNTIF('T1'!$AB7,"za trudne")+COUNTIF('T2'!$AB7,"za trudne")+COUNTIF('T3'!$AB7,"za trudne")+COUNTIF('T4'!$AB7,"za trudne"))))</f>
        <v>1</v>
      </c>
      <c r="AD7" s="5">
        <f t="shared" ref="AD7:AD18" si="3">IF(OR($Q7="masa ciała",$Q7="czas",$Q7="dystans",$Q7="ręczne ustawienie"),MAX(-3,MIN(3,ROUND(($AC7-1)/0.05,0))),0)</f>
        <v>0</v>
      </c>
    </row>
    <row r="8" ht="25.5" customHeight="1" outlineLevel="1">
      <c r="A8" s="18" t="str">
        <f>IF('T1'!$A8="","",'T1'!$A8)</f>
        <v>B1.</v>
      </c>
      <c r="B8" s="30"/>
      <c r="C8" s="31" t="str">
        <f>IF('T1'!$C8="","",'T1'!$C8)</f>
        <v>Allah</v>
      </c>
      <c r="D8" s="32">
        <v>3.0</v>
      </c>
      <c r="E8" s="39">
        <f>IF($C8="",0,MIN(15,MAX(1,IF(N($O8)&gt;=1,6,IF(N($O8)&gt;=0.75,IF(PRZEL_CZESC="część 1 (objętość)",8,6),IF(PRZEL_CZESC="część 1 (objętość)",10,8)))+1+$AD8)))</f>
        <v>11</v>
      </c>
      <c r="F8" s="33">
        <v>9.0</v>
      </c>
      <c r="G8" s="34" t="str">
        <f>IF($C8="","",IF(OR($Q8="masa ciała",$Q8="czas",$Q8="dystans",$Q8="ręczne ustawienie"),$Q8,IF($C8='T1'!$C8,IF(AND(LEFT($A8,1)&lt;&gt;"A",PRZEL_AKCESORIA="trzymaj z bloku"),IF(NOT(ISNUMBER('T4'!$G8)),'T4'!$G8,MROUND('T4'!$G8*$AC8/(MAX('T4'!$AC8,0.0001)),MAX($P8,0.5))),IF(OR($R8="",$R8=0),"— brak 1RM",MROUND($R8*$S8/100*$AC8,MAX($P8,0.5)))),IF(OR($AA8="",$AA8=0),"— ustaw ręcznie",MROUND($AA8*$S8/100*$AC8,MAX($P8,0.5))))))</f>
        <v>— brak 1RM</v>
      </c>
      <c r="H8" s="35"/>
      <c r="I8" s="40" t="str">
        <f t="array" ref="I8">IFERROR(IF(IFERROR(INDEX(BAZA_FILM,MATCH($C8,BAZA_EX,0)),"")="","",HYPERLINK(IFERROR(INDEX(BAZA_FILM,MATCH($C8,BAZA_EX,0)),""),"film")),"")</f>
        <v>film</v>
      </c>
      <c r="J8" s="37" t="str">
        <f>IF('T1'!$J8="","",'T1'!$J8)</f>
        <v/>
      </c>
      <c r="K8" s="5" t="s">
        <v>46</v>
      </c>
      <c r="L8" s="5" t="str">
        <f t="array" ref="L8">IFERROR(INDEX(BAZA_ID,MATCH($C8,BAZA_EX,0)),"")</f>
        <v>EX-0003</v>
      </c>
      <c r="M8" s="5" t="str">
        <f t="array" ref="M8">IFERROR(INDEX(BAZA_PART,MATCH($C8,BAZA_EX,0)),"")</f>
        <v>c</v>
      </c>
      <c r="N8" s="5" t="str">
        <f t="array" ref="N8">IFERROR(INDEX(BAZA_KAT,MATCH($C8,BAZA_EX,0)),"")</f>
        <v>Core</v>
      </c>
      <c r="O8" s="5">
        <f t="array" ref="O8">IFERROR(INDEX(BAZA_COEFF,MATCH($C8,BAZA_EX,0)),"")</f>
        <v>0.5</v>
      </c>
      <c r="P8" s="5">
        <f t="array" ref="P8">IFERROR(INDEX(BAZA_SKOK,MATCH($C8,BAZA_EX,0)),"")</f>
        <v>2.5</v>
      </c>
      <c r="Q8" s="5" t="str">
        <f t="array" ref="Q8">IFERROR(INDEX(BAZA_PROG,MATCH($C8,BAZA_EX,0)),"")</f>
        <v>kg</v>
      </c>
      <c r="R8" s="5" t="str">
        <f>IF($C8="","",IF(SUMPRODUCT((START!$B$6:$B$69=$C8)*(START!$M$6:$M$69&gt;0))=0,"",SUMPRODUCT(MAX((START!$B$6:$B$69=$C8)*START!$M$6:$M$69))))</f>
        <v/>
      </c>
      <c r="S8" s="5">
        <f t="array" ref="S8">IFERROR(INDEX(TABELE!$B$4:$J$18,MATCH($E8,TABELE!$A$4:$A$18,0),MATCH($F8,TABELE!$B$3:$J$3,0)),"")</f>
        <v>68.5</v>
      </c>
      <c r="T8" s="5">
        <f t="array" ref="T8">IFERROR(IF($C8="",0,$O8*$D8*INDEX(TABELE!$B$23:$P$33,MATCH($F8,TABELE!$A$23:$A$33,0),MATCH($E8,TABELE!$B$22:$P$22,0))),0)</f>
        <v>1.35</v>
      </c>
      <c r="U8" s="5">
        <f t="array" ref="U8">IFERROR(IF($C8="",0,$O8*$D8*INDEX(TABELE!$B$37:$P$47,MATCH($F8,TABELE!$A$37:$A$47,0),MATCH($E8,TABELE!$B$36:$P$36,0))),0)</f>
        <v>0.6</v>
      </c>
      <c r="V8" s="5">
        <f t="array" ref="V8">IFERROR(IF($C8="",0,$O8*$D8*INDEX(TABELE!$B$51:$P$61,MATCH($F8,TABELE!$A$51:$A$61,0),MATCH($E8,TABELE!$B$50:$P$50,0))),0)</f>
        <v>2.1</v>
      </c>
      <c r="W8" s="5" t="str">
        <f t="array" ref="W8">IFERROR(INDEX(BAZA_UWAGI,MATCH($C8,BAZA_EX,0)),"")</f>
        <v/>
      </c>
      <c r="X8" s="5">
        <f t="shared" si="1"/>
        <v>2</v>
      </c>
      <c r="Y8" s="5" t="str">
        <f t="shared" ref="Y8:Y18" si="4">IF($A8="",$Y7,LEFT($A8,1))</f>
        <v>B</v>
      </c>
      <c r="Z8" s="5">
        <f t="shared" ref="Z8:Z18" si="5">IF($A8="",$Z7,IF(LEFT($A8,1)=$Y7,$Z7,$Z7+1))</f>
        <v>2</v>
      </c>
      <c r="AA8" s="5" t="str">
        <f>IF($C8="","",IF(SUMPRODUCT((START!$B$6:$B$69=$C8)*(START!$M$6:$M$69&gt;0))=0,"",SUMPRODUCT(MAX((START!$B$6:$B$69=$C8)*START!$M$6:$M$69))))</f>
        <v/>
      </c>
      <c r="AB8" s="5" t="str">
        <f t="shared" si="2"/>
        <v/>
      </c>
      <c r="AC8" s="5">
        <f>MAX(0.85,MIN(1.15,1+0.05*(COUNTIF('T1'!$AB8,"za łatwe")+COUNTIF('T2'!$AB8,"za łatwe")+COUNTIF('T3'!$AB8,"za łatwe")+COUNTIF('T4'!$AB8,"za łatwe"))-0.05*(COUNTIF('T1'!$AB8,"za trudne")+COUNTIF('T2'!$AB8,"za trudne")+COUNTIF('T3'!$AB8,"za trudne")+COUNTIF('T4'!$AB8,"za trudne"))))</f>
        <v>1</v>
      </c>
      <c r="AD8" s="5">
        <f t="shared" si="3"/>
        <v>0</v>
      </c>
    </row>
    <row r="9" ht="25.5" customHeight="1" outlineLevel="1">
      <c r="A9" s="18" t="str">
        <f>IF('T1'!$A9="","",'T1'!$A9)</f>
        <v>B2.</v>
      </c>
      <c r="B9" s="30"/>
      <c r="C9" s="31" t="str">
        <f>IF('T1'!$C9="","",'T1'!$C9)</f>
        <v/>
      </c>
      <c r="D9" s="32">
        <v>3.0</v>
      </c>
      <c r="E9" s="39">
        <f>IF($C9="",0,MIN(15,MAX(1,IF(N($O9)&gt;=1,6,IF(N($O9)&gt;=0.75,IF(PRZEL_CZESC="część 1 (objętość)",8,6),IF(PRZEL_CZESC="część 1 (objętość)",10,8)))+1+$AD9)))</f>
        <v>0</v>
      </c>
      <c r="F9" s="33">
        <v>9.0</v>
      </c>
      <c r="G9" s="34" t="str">
        <f>IF($C9="","",IF(OR($Q9="masa ciała",$Q9="czas",$Q9="dystans",$Q9="ręczne ustawienie"),$Q9,IF($C9='T1'!$C9,IF(AND(LEFT($A9,1)&lt;&gt;"A",PRZEL_AKCESORIA="trzymaj z bloku"),IF(NOT(ISNUMBER('T4'!$G9)),'T4'!$G9,MROUND('T4'!$G9*$AC9/(MAX('T4'!$AC9,0.0001)),MAX($P9,0.5))),IF(OR($R9="",$R9=0),"— brak 1RM",MROUND($R9*$S9/100*$AC9,MAX($P9,0.5)))),IF(OR($AA9="",$AA9=0),"— ustaw ręcznie",MROUND($AA9*$S9/100*$AC9,MAX($P9,0.5))))))</f>
        <v/>
      </c>
      <c r="H9" s="35"/>
      <c r="I9" s="36" t="str">
        <f t="array" ref="I9">IFERROR(IF(IFERROR(INDEX(BAZA_FILM,MATCH($C9,BAZA_EX,0)),"")="","",HYPERLINK(IFERROR(INDEX(BAZA_FILM,MATCH($C9,BAZA_EX,0)),""),"film")),"")</f>
        <v/>
      </c>
      <c r="J9" s="37" t="str">
        <f>IF('T1'!$J9="","",'T1'!$J9)</f>
        <v/>
      </c>
      <c r="K9" s="5" t="s">
        <v>51</v>
      </c>
      <c r="L9" s="5" t="str">
        <f t="array" ref="L9">IFERROR(INDEX(BAZA_ID,MATCH($C9,BAZA_EX,0)),"")</f>
        <v/>
      </c>
      <c r="M9" s="5" t="str">
        <f t="array" ref="M9">IFERROR(INDEX(BAZA_PART,MATCH($C9,BAZA_EX,0)),"")</f>
        <v/>
      </c>
      <c r="N9" s="5" t="str">
        <f t="array" ref="N9">IFERROR(INDEX(BAZA_KAT,MATCH($C9,BAZA_EX,0)),"")</f>
        <v/>
      </c>
      <c r="O9" s="5" t="str">
        <f t="array" ref="O9">IFERROR(INDEX(BAZA_COEFF,MATCH($C9,BAZA_EX,0)),"")</f>
        <v/>
      </c>
      <c r="P9" s="5" t="str">
        <f t="array" ref="P9">IFERROR(INDEX(BAZA_SKOK,MATCH($C9,BAZA_EX,0)),"")</f>
        <v/>
      </c>
      <c r="Q9" s="5" t="str">
        <f t="array" ref="Q9">IFERROR(INDEX(BAZA_PROG,MATCH($C9,BAZA_EX,0)),"")</f>
        <v/>
      </c>
      <c r="R9" s="5" t="str">
        <f>IF($C9="","",IF(SUMPRODUCT((START!$B$6:$B$69=$C9)*(START!$M$6:$M$69&gt;0))=0,"",SUMPRODUCT(MAX((START!$B$6:$B$69=$C9)*START!$M$6:$M$69))))</f>
        <v/>
      </c>
      <c r="S9" s="5" t="str">
        <f t="array" ref="S9">IFERROR(INDEX(TABELE!$B$4:$J$18,MATCH($E9,TABELE!$A$4:$A$18,0),MATCH($F9,TABELE!$B$3:$J$3,0)),"")</f>
        <v/>
      </c>
      <c r="T9" s="5">
        <f t="array" ref="T9">IFERROR(IF($C9="",0,$O9*$D9*INDEX(TABELE!$B$23:$P$33,MATCH($F9,TABELE!$A$23:$A$33,0),MATCH($E9,TABELE!$B$22:$P$22,0))),0)</f>
        <v>0</v>
      </c>
      <c r="U9" s="5">
        <f t="array" ref="U9">IFERROR(IF($C9="",0,$O9*$D9*INDEX(TABELE!$B$37:$P$47,MATCH($F9,TABELE!$A$37:$A$47,0),MATCH($E9,TABELE!$B$36:$P$36,0))),0)</f>
        <v>0</v>
      </c>
      <c r="V9" s="5">
        <f t="array" ref="V9">IFERROR(IF($C9="",0,$O9*$D9*INDEX(TABELE!$B$51:$P$61,MATCH($F9,TABELE!$A$51:$A$61,0),MATCH($E9,TABELE!$B$50:$P$50,0))),0)</f>
        <v>0</v>
      </c>
      <c r="W9" s="5" t="str">
        <f t="array" ref="W9">IFERROR(INDEX(BAZA_UWAGI,MATCH($C9,BAZA_EX,0)),"")</f>
        <v/>
      </c>
      <c r="X9" s="5">
        <f t="shared" si="1"/>
        <v>2</v>
      </c>
      <c r="Y9" s="5" t="str">
        <f t="shared" si="4"/>
        <v>B</v>
      </c>
      <c r="Z9" s="5">
        <f t="shared" si="5"/>
        <v>2</v>
      </c>
      <c r="AA9" s="5" t="str">
        <f>IF($C9="","",IF(SUMPRODUCT((START!$B$6:$B$69=$C9)*(START!$M$6:$M$69&gt;0))=0,"",SUMPRODUCT(MAX((START!$B$6:$B$69=$C9)*START!$M$6:$M$69))))</f>
        <v/>
      </c>
      <c r="AB9" s="5" t="str">
        <f t="shared" si="2"/>
        <v/>
      </c>
      <c r="AC9" s="5">
        <f>MAX(0.85,MIN(1.15,1+0.05*(COUNTIF('T1'!$AB9,"za łatwe")+COUNTIF('T2'!$AB9,"za łatwe")+COUNTIF('T3'!$AB9,"za łatwe")+COUNTIF('T4'!$AB9,"za łatwe"))-0.05*(COUNTIF('T1'!$AB9,"za trudne")+COUNTIF('T2'!$AB9,"za trudne")+COUNTIF('T3'!$AB9,"za trudne")+COUNTIF('T4'!$AB9,"za trudne"))))</f>
        <v>1</v>
      </c>
      <c r="AD9" s="5">
        <f t="shared" si="3"/>
        <v>0</v>
      </c>
    </row>
    <row r="10" ht="25.5" customHeight="1" outlineLevel="1">
      <c r="A10" s="18" t="str">
        <f>IF('T1'!$A10="","",'T1'!$A10)</f>
        <v>C1.</v>
      </c>
      <c r="B10" s="30"/>
      <c r="C10" s="31" t="str">
        <f>IF('T1'!$C10="","",'T1'!$C10)</f>
        <v/>
      </c>
      <c r="D10" s="32">
        <v>3.0</v>
      </c>
      <c r="E10" s="39">
        <f>IF($C10="",0,MIN(15,MAX(1,IF(N($O10)&gt;=1,6,IF(N($O10)&gt;=0.75,IF(PRZEL_CZESC="część 1 (objętość)",8,6),IF(PRZEL_CZESC="część 1 (objętość)",10,8)))+1+$AD10)))</f>
        <v>0</v>
      </c>
      <c r="F10" s="33">
        <v>9.0</v>
      </c>
      <c r="G10" s="34" t="str">
        <f>IF($C10="","",IF(OR($Q10="masa ciała",$Q10="czas",$Q10="dystans",$Q10="ręczne ustawienie"),$Q10,IF($C10='T1'!$C10,IF(AND(LEFT($A10,1)&lt;&gt;"A",PRZEL_AKCESORIA="trzymaj z bloku"),IF(NOT(ISNUMBER('T4'!$G10)),'T4'!$G10,MROUND('T4'!$G10*$AC10/(MAX('T4'!$AC10,0.0001)),MAX($P10,0.5))),IF(OR($R10="",$R10=0),"— brak 1RM",MROUND($R10*$S10/100*$AC10,MAX($P10,0.5)))),IF(OR($AA10="",$AA10=0),"— ustaw ręcznie",MROUND($AA10*$S10/100*$AC10,MAX($P10,0.5))))))</f>
        <v/>
      </c>
      <c r="H10" s="35"/>
      <c r="I10" s="36" t="str">
        <f t="array" ref="I10">IFERROR(IF(IFERROR(INDEX(BAZA_FILM,MATCH($C10,BAZA_EX,0)),"")="","",HYPERLINK(IFERROR(INDEX(BAZA_FILM,MATCH($C10,BAZA_EX,0)),""),"film")),"")</f>
        <v/>
      </c>
      <c r="J10" s="37" t="str">
        <f>IF('T1'!$J10="","",'T1'!$J10)</f>
        <v/>
      </c>
      <c r="K10" s="5" t="s">
        <v>57</v>
      </c>
      <c r="L10" s="5" t="str">
        <f t="array" ref="L10">IFERROR(INDEX(BAZA_ID,MATCH($C10,BAZA_EX,0)),"")</f>
        <v/>
      </c>
      <c r="M10" s="5" t="str">
        <f t="array" ref="M10">IFERROR(INDEX(BAZA_PART,MATCH($C10,BAZA_EX,0)),"")</f>
        <v/>
      </c>
      <c r="N10" s="5" t="str">
        <f t="array" ref="N10">IFERROR(INDEX(BAZA_KAT,MATCH($C10,BAZA_EX,0)),"")</f>
        <v/>
      </c>
      <c r="O10" s="5" t="str">
        <f t="array" ref="O10">IFERROR(INDEX(BAZA_COEFF,MATCH($C10,BAZA_EX,0)),"")</f>
        <v/>
      </c>
      <c r="P10" s="5" t="str">
        <f t="array" ref="P10">IFERROR(INDEX(BAZA_SKOK,MATCH($C10,BAZA_EX,0)),"")</f>
        <v/>
      </c>
      <c r="Q10" s="5" t="str">
        <f t="array" ref="Q10">IFERROR(INDEX(BAZA_PROG,MATCH($C10,BAZA_EX,0)),"")</f>
        <v/>
      </c>
      <c r="R10" s="5" t="str">
        <f>IF($C10="","",IF(SUMPRODUCT((START!$B$6:$B$69=$C10)*(START!$M$6:$M$69&gt;0))=0,"",SUMPRODUCT(MAX((START!$B$6:$B$69=$C10)*START!$M$6:$M$69))))</f>
        <v/>
      </c>
      <c r="S10" s="5" t="str">
        <f t="array" ref="S10">IFERROR(INDEX(TABELE!$B$4:$J$18,MATCH($E10,TABELE!$A$4:$A$18,0),MATCH($F10,TABELE!$B$3:$J$3,0)),"")</f>
        <v/>
      </c>
      <c r="T10" s="5">
        <f t="array" ref="T10">IFERROR(IF($C10="",0,$O10*$D10*INDEX(TABELE!$B$23:$P$33,MATCH($F10,TABELE!$A$23:$A$33,0),MATCH($E10,TABELE!$B$22:$P$22,0))),0)</f>
        <v>0</v>
      </c>
      <c r="U10" s="5">
        <f t="array" ref="U10">IFERROR(IF($C10="",0,$O10*$D10*INDEX(TABELE!$B$37:$P$47,MATCH($F10,TABELE!$A$37:$A$47,0),MATCH($E10,TABELE!$B$36:$P$36,0))),0)</f>
        <v>0</v>
      </c>
      <c r="V10" s="5">
        <f t="array" ref="V10">IFERROR(IF($C10="",0,$O10*$D10*INDEX(TABELE!$B$51:$P$61,MATCH($F10,TABELE!$A$51:$A$61,0),MATCH($E10,TABELE!$B$50:$P$50,0))),0)</f>
        <v>0</v>
      </c>
      <c r="W10" s="5" t="str">
        <f t="array" ref="W10">IFERROR(INDEX(BAZA_UWAGI,MATCH($C10,BAZA_EX,0)),"")</f>
        <v/>
      </c>
      <c r="X10" s="5">
        <f t="shared" si="1"/>
        <v>3</v>
      </c>
      <c r="Y10" s="5" t="str">
        <f t="shared" si="4"/>
        <v>C</v>
      </c>
      <c r="Z10" s="5">
        <f t="shared" si="5"/>
        <v>3</v>
      </c>
      <c r="AA10" s="5" t="str">
        <f>IF($C10="","",IF(SUMPRODUCT((START!$B$6:$B$69=$C10)*(START!$M$6:$M$69&gt;0))=0,"",SUMPRODUCT(MAX((START!$B$6:$B$69=$C10)*START!$M$6:$M$69))))</f>
        <v/>
      </c>
      <c r="AB10" s="5" t="str">
        <f t="shared" si="2"/>
        <v/>
      </c>
      <c r="AC10" s="5">
        <f>MAX(0.85,MIN(1.15,1+0.05*(COUNTIF('T1'!$AB10,"za łatwe")+COUNTIF('T2'!$AB10,"za łatwe")+COUNTIF('T3'!$AB10,"za łatwe")+COUNTIF('T4'!$AB10,"za łatwe"))-0.05*(COUNTIF('T1'!$AB10,"za trudne")+COUNTIF('T2'!$AB10,"za trudne")+COUNTIF('T3'!$AB10,"za trudne")+COUNTIF('T4'!$AB10,"za trudne"))))</f>
        <v>1</v>
      </c>
      <c r="AD10" s="5">
        <f t="shared" si="3"/>
        <v>0</v>
      </c>
    </row>
    <row r="11" ht="25.5" customHeight="1" outlineLevel="1">
      <c r="A11" s="18" t="str">
        <f>IF('T1'!$A11="","",'T1'!$A11)</f>
        <v>C2.</v>
      </c>
      <c r="B11" s="30"/>
      <c r="C11" s="31" t="str">
        <f>IF('T1'!$C11="","",'T1'!$C11)</f>
        <v/>
      </c>
      <c r="D11" s="32">
        <v>3.0</v>
      </c>
      <c r="E11" s="39">
        <f>IF($C11="",0,MIN(15,MAX(1,IF(N($O11)&gt;=1,6,IF(N($O11)&gt;=0.75,IF(PRZEL_CZESC="część 1 (objętość)",8,6),IF(PRZEL_CZESC="część 1 (objętość)",10,8)))+1+$AD11)))</f>
        <v>0</v>
      </c>
      <c r="F11" s="33">
        <v>10.0</v>
      </c>
      <c r="G11" s="34" t="str">
        <f>IF($C11="","",IF(OR($Q11="masa ciała",$Q11="czas",$Q11="dystans",$Q11="ręczne ustawienie"),$Q11,IF($C11='T1'!$C11,IF(AND(LEFT($A11,1)&lt;&gt;"A",PRZEL_AKCESORIA="trzymaj z bloku"),IF(NOT(ISNUMBER('T4'!$G11)),'T4'!$G11,MROUND('T4'!$G11*$AC11/(MAX('T4'!$AC11,0.0001)),MAX($P11,0.5))),IF(OR($R11="",$R11=0),"— brak 1RM",MROUND($R11*$S11/100*$AC11,MAX($P11,0.5)))),IF(OR($AA11="",$AA11=0),"— ustaw ręcznie",MROUND($AA11*$S11/100*$AC11,MAX($P11,0.5))))))</f>
        <v/>
      </c>
      <c r="H11" s="35"/>
      <c r="I11" s="36" t="str">
        <f t="array" ref="I11">IFERROR(IF(IFERROR(INDEX(BAZA_FILM,MATCH($C11,BAZA_EX,0)),"")="","",HYPERLINK(IFERROR(INDEX(BAZA_FILM,MATCH($C11,BAZA_EX,0)),""),"film")),"")</f>
        <v/>
      </c>
      <c r="J11" s="37" t="str">
        <f>IF('T1'!$J11="","",'T1'!$J11)</f>
        <v/>
      </c>
      <c r="K11" s="5" t="s">
        <v>62</v>
      </c>
      <c r="L11" s="5" t="str">
        <f t="array" ref="L11">IFERROR(INDEX(BAZA_ID,MATCH($C11,BAZA_EX,0)),"")</f>
        <v/>
      </c>
      <c r="M11" s="5" t="str">
        <f t="array" ref="M11">IFERROR(INDEX(BAZA_PART,MATCH($C11,BAZA_EX,0)),"")</f>
        <v/>
      </c>
      <c r="N11" s="5" t="str">
        <f t="array" ref="N11">IFERROR(INDEX(BAZA_KAT,MATCH($C11,BAZA_EX,0)),"")</f>
        <v/>
      </c>
      <c r="O11" s="5" t="str">
        <f t="array" ref="O11">IFERROR(INDEX(BAZA_COEFF,MATCH($C11,BAZA_EX,0)),"")</f>
        <v/>
      </c>
      <c r="P11" s="5" t="str">
        <f t="array" ref="P11">IFERROR(INDEX(BAZA_SKOK,MATCH($C11,BAZA_EX,0)),"")</f>
        <v/>
      </c>
      <c r="Q11" s="5" t="str">
        <f t="array" ref="Q11">IFERROR(INDEX(BAZA_PROG,MATCH($C11,BAZA_EX,0)),"")</f>
        <v/>
      </c>
      <c r="R11" s="5" t="str">
        <f>IF($C11="","",IF(SUMPRODUCT((START!$B$6:$B$69=$C11)*(START!$M$6:$M$69&gt;0))=0,"",SUMPRODUCT(MAX((START!$B$6:$B$69=$C11)*START!$M$6:$M$69))))</f>
        <v/>
      </c>
      <c r="S11" s="5" t="str">
        <f t="array" ref="S11">IFERROR(INDEX(TABELE!$B$4:$J$18,MATCH($E11,TABELE!$A$4:$A$18,0),MATCH($F11,TABELE!$B$3:$J$3,0)),"")</f>
        <v/>
      </c>
      <c r="T11" s="5">
        <f t="array" ref="T11">IFERROR(IF($C11="",0,$O11*$D11*INDEX(TABELE!$B$23:$P$33,MATCH($F11,TABELE!$A$23:$A$33,0),MATCH($E11,TABELE!$B$22:$P$22,0))),0)</f>
        <v>0</v>
      </c>
      <c r="U11" s="5">
        <f t="array" ref="U11">IFERROR(IF($C11="",0,$O11*$D11*INDEX(TABELE!$B$37:$P$47,MATCH($F11,TABELE!$A$37:$A$47,0),MATCH($E11,TABELE!$B$36:$P$36,0))),0)</f>
        <v>0</v>
      </c>
      <c r="V11" s="5">
        <f t="array" ref="V11">IFERROR(IF($C11="",0,$O11*$D11*INDEX(TABELE!$B$51:$P$61,MATCH($F11,TABELE!$A$51:$A$61,0),MATCH($E11,TABELE!$B$50:$P$50,0))),0)</f>
        <v>0</v>
      </c>
      <c r="W11" s="5" t="str">
        <f t="array" ref="W11">IFERROR(INDEX(BAZA_UWAGI,MATCH($C11,BAZA_EX,0)),"")</f>
        <v/>
      </c>
      <c r="X11" s="5">
        <f t="shared" si="1"/>
        <v>3</v>
      </c>
      <c r="Y11" s="5" t="str">
        <f t="shared" si="4"/>
        <v>C</v>
      </c>
      <c r="Z11" s="5">
        <f t="shared" si="5"/>
        <v>3</v>
      </c>
      <c r="AA11" s="5" t="str">
        <f>IF($C11="","",IF(SUMPRODUCT((START!$B$6:$B$69=$C11)*(START!$M$6:$M$69&gt;0))=0,"",SUMPRODUCT(MAX((START!$B$6:$B$69=$C11)*START!$M$6:$M$69))))</f>
        <v/>
      </c>
      <c r="AB11" s="5" t="str">
        <f t="shared" si="2"/>
        <v/>
      </c>
      <c r="AC11" s="5">
        <f>MAX(0.85,MIN(1.15,1+0.05*(COUNTIF('T1'!$AB11,"za łatwe")+COUNTIF('T2'!$AB11,"za łatwe")+COUNTIF('T3'!$AB11,"za łatwe")+COUNTIF('T4'!$AB11,"za łatwe"))-0.05*(COUNTIF('T1'!$AB11,"za trudne")+COUNTIF('T2'!$AB11,"za trudne")+COUNTIF('T3'!$AB11,"za trudne")+COUNTIF('T4'!$AB11,"za trudne"))))</f>
        <v>1</v>
      </c>
      <c r="AD11" s="5">
        <f t="shared" si="3"/>
        <v>0</v>
      </c>
    </row>
    <row r="12" ht="25.5" customHeight="1" outlineLevel="1">
      <c r="A12" s="18" t="str">
        <f>IF('T1'!$A12="","",'T1'!$A12)</f>
        <v>D1.</v>
      </c>
      <c r="B12" s="30"/>
      <c r="C12" s="31" t="str">
        <f>IF('T1'!$C12="","",'T1'!$C12)</f>
        <v/>
      </c>
      <c r="D12" s="32">
        <v>3.0</v>
      </c>
      <c r="E12" s="39">
        <f>IF($C12="",0,MIN(15,MAX(1,IF(N($O12)&gt;=1,6,IF(N($O12)&gt;=0.75,IF(PRZEL_CZESC="część 1 (objętość)",8,6),IF(PRZEL_CZESC="część 1 (objętość)",10,8)))+1+$AD12)))</f>
        <v>0</v>
      </c>
      <c r="F12" s="33">
        <v>9.0</v>
      </c>
      <c r="G12" s="34" t="str">
        <f>IF($C12="","",IF(OR($Q12="masa ciała",$Q12="czas",$Q12="dystans",$Q12="ręczne ustawienie"),$Q12,IF($C12='T1'!$C12,IF(AND(LEFT($A12,1)&lt;&gt;"A",PRZEL_AKCESORIA="trzymaj z bloku"),IF(NOT(ISNUMBER('T4'!$G12)),'T4'!$G12,MROUND('T4'!$G12*$AC12/(MAX('T4'!$AC12,0.0001)),MAX($P12,0.5))),IF(OR($R12="",$R12=0),"— brak 1RM",MROUND($R12*$S12/100*$AC12,MAX($P12,0.5)))),IF(OR($AA12="",$AA12=0),"— ustaw ręcznie",MROUND($AA12*$S12/100*$AC12,MAX($P12,0.5))))))</f>
        <v/>
      </c>
      <c r="H12" s="35"/>
      <c r="I12" s="36" t="str">
        <f t="array" ref="I12">IFERROR(IF(IFERROR(INDEX(BAZA_FILM,MATCH($C12,BAZA_EX,0)),"")="","",HYPERLINK(IFERROR(INDEX(BAZA_FILM,MATCH($C12,BAZA_EX,0)),""),"film")),"")</f>
        <v/>
      </c>
      <c r="J12" s="37" t="str">
        <f>IF('T1'!$J12="","",'T1'!$J12)</f>
        <v/>
      </c>
      <c r="K12" s="5" t="s">
        <v>63</v>
      </c>
      <c r="L12" s="5" t="str">
        <f t="array" ref="L12">IFERROR(INDEX(BAZA_ID,MATCH($C12,BAZA_EX,0)),"")</f>
        <v/>
      </c>
      <c r="M12" s="5" t="str">
        <f t="array" ref="M12">IFERROR(INDEX(BAZA_PART,MATCH($C12,BAZA_EX,0)),"")</f>
        <v/>
      </c>
      <c r="N12" s="5" t="str">
        <f t="array" ref="N12">IFERROR(INDEX(BAZA_KAT,MATCH($C12,BAZA_EX,0)),"")</f>
        <v/>
      </c>
      <c r="O12" s="5" t="str">
        <f t="array" ref="O12">IFERROR(INDEX(BAZA_COEFF,MATCH($C12,BAZA_EX,0)),"")</f>
        <v/>
      </c>
      <c r="P12" s="5" t="str">
        <f t="array" ref="P12">IFERROR(INDEX(BAZA_SKOK,MATCH($C12,BAZA_EX,0)),"")</f>
        <v/>
      </c>
      <c r="Q12" s="5" t="str">
        <f t="array" ref="Q12">IFERROR(INDEX(BAZA_PROG,MATCH($C12,BAZA_EX,0)),"")</f>
        <v/>
      </c>
      <c r="R12" s="5" t="str">
        <f>IF($C12="","",IF(SUMPRODUCT((START!$B$6:$B$69=$C12)*(START!$M$6:$M$69&gt;0))=0,"",SUMPRODUCT(MAX((START!$B$6:$B$69=$C12)*START!$M$6:$M$69))))</f>
        <v/>
      </c>
      <c r="S12" s="5" t="str">
        <f t="array" ref="S12">IFERROR(INDEX(TABELE!$B$4:$J$18,MATCH($E12,TABELE!$A$4:$A$18,0),MATCH($F12,TABELE!$B$3:$J$3,0)),"")</f>
        <v/>
      </c>
      <c r="T12" s="5">
        <f t="array" ref="T12">IFERROR(IF($C12="",0,$O12*$D12*INDEX(TABELE!$B$23:$P$33,MATCH($F12,TABELE!$A$23:$A$33,0),MATCH($E12,TABELE!$B$22:$P$22,0))),0)</f>
        <v>0</v>
      </c>
      <c r="U12" s="5">
        <f t="array" ref="U12">IFERROR(IF($C12="",0,$O12*$D12*INDEX(TABELE!$B$37:$P$47,MATCH($F12,TABELE!$A$37:$A$47,0),MATCH($E12,TABELE!$B$36:$P$36,0))),0)</f>
        <v>0</v>
      </c>
      <c r="V12" s="5">
        <f t="array" ref="V12">IFERROR(IF($C12="",0,$O12*$D12*INDEX(TABELE!$B$51:$P$61,MATCH($F12,TABELE!$A$51:$A$61,0),MATCH($E12,TABELE!$B$50:$P$50,0))),0)</f>
        <v>0</v>
      </c>
      <c r="W12" s="5" t="str">
        <f t="array" ref="W12">IFERROR(INDEX(BAZA_UWAGI,MATCH($C12,BAZA_EX,0)),"")</f>
        <v/>
      </c>
      <c r="X12" s="5">
        <f t="shared" si="1"/>
        <v>4</v>
      </c>
      <c r="Y12" s="5" t="str">
        <f t="shared" si="4"/>
        <v>D</v>
      </c>
      <c r="Z12" s="5">
        <f t="shared" si="5"/>
        <v>4</v>
      </c>
      <c r="AA12" s="5" t="str">
        <f>IF($C12="","",IF(SUMPRODUCT((START!$B$6:$B$69=$C12)*(START!$M$6:$M$69&gt;0))=0,"",SUMPRODUCT(MAX((START!$B$6:$B$69=$C12)*START!$M$6:$M$69))))</f>
        <v/>
      </c>
      <c r="AB12" s="5" t="str">
        <f t="shared" si="2"/>
        <v/>
      </c>
      <c r="AC12" s="5">
        <f>MAX(0.85,MIN(1.15,1+0.05*(COUNTIF('T1'!$AB12,"za łatwe")+COUNTIF('T2'!$AB12,"za łatwe")+COUNTIF('T3'!$AB12,"za łatwe")+COUNTIF('T4'!$AB12,"za łatwe"))-0.05*(COUNTIF('T1'!$AB12,"za trudne")+COUNTIF('T2'!$AB12,"za trudne")+COUNTIF('T3'!$AB12,"za trudne")+COUNTIF('T4'!$AB12,"za trudne"))))</f>
        <v>1</v>
      </c>
      <c r="AD12" s="5">
        <f t="shared" si="3"/>
        <v>0</v>
      </c>
    </row>
    <row r="13" ht="25.5" customHeight="1" outlineLevel="1">
      <c r="A13" s="18" t="str">
        <f>IF('T1'!$A13="","",'T1'!$A13)</f>
        <v>D2.</v>
      </c>
      <c r="B13" s="30"/>
      <c r="C13" s="31" t="str">
        <f>IF('T1'!$C13="","",'T1'!$C13)</f>
        <v/>
      </c>
      <c r="D13" s="32">
        <v>3.0</v>
      </c>
      <c r="E13" s="39">
        <f>IF($C13="",0,MIN(15,MAX(1,IF(N($O13)&gt;=1,6,IF(N($O13)&gt;=0.75,IF(PRZEL_CZESC="część 1 (objętość)",8,6),IF(PRZEL_CZESC="część 1 (objętość)",10,8)))+1+$AD13)))</f>
        <v>0</v>
      </c>
      <c r="F13" s="33">
        <v>10.0</v>
      </c>
      <c r="G13" s="34" t="str">
        <f>IF($C13="","",IF(OR($Q13="masa ciała",$Q13="czas",$Q13="dystans",$Q13="ręczne ustawienie"),$Q13,IF($C13='T1'!$C13,IF(AND(LEFT($A13,1)&lt;&gt;"A",PRZEL_AKCESORIA="trzymaj z bloku"),IF(NOT(ISNUMBER('T4'!$G13)),'T4'!$G13,MROUND('T4'!$G13*$AC13/(MAX('T4'!$AC13,0.0001)),MAX($P13,0.5))),IF(OR($R13="",$R13=0),"— brak 1RM",MROUND($R13*$S13/100*$AC13,MAX($P13,0.5)))),IF(OR($AA13="",$AA13=0),"— ustaw ręcznie",MROUND($AA13*$S13/100*$AC13,MAX($P13,0.5))))))</f>
        <v/>
      </c>
      <c r="H13" s="35"/>
      <c r="I13" s="36" t="str">
        <f t="array" ref="I13">IFERROR(IF(IFERROR(INDEX(BAZA_FILM,MATCH($C13,BAZA_EX,0)),"")="","",HYPERLINK(IFERROR(INDEX(BAZA_FILM,MATCH($C13,BAZA_EX,0)),""),"film")),"")</f>
        <v/>
      </c>
      <c r="J13" s="37" t="str">
        <f>IF('T1'!$J13="","",'T1'!$J13)</f>
        <v/>
      </c>
      <c r="K13" s="5" t="s">
        <v>66</v>
      </c>
      <c r="L13" s="5" t="str">
        <f t="array" ref="L13">IFERROR(INDEX(BAZA_ID,MATCH($C13,BAZA_EX,0)),"")</f>
        <v/>
      </c>
      <c r="M13" s="5" t="str">
        <f t="array" ref="M13">IFERROR(INDEX(BAZA_PART,MATCH($C13,BAZA_EX,0)),"")</f>
        <v/>
      </c>
      <c r="N13" s="5" t="str">
        <f t="array" ref="N13">IFERROR(INDEX(BAZA_KAT,MATCH($C13,BAZA_EX,0)),"")</f>
        <v/>
      </c>
      <c r="O13" s="5" t="str">
        <f t="array" ref="O13">IFERROR(INDEX(BAZA_COEFF,MATCH($C13,BAZA_EX,0)),"")</f>
        <v/>
      </c>
      <c r="P13" s="5" t="str">
        <f t="array" ref="P13">IFERROR(INDEX(BAZA_SKOK,MATCH($C13,BAZA_EX,0)),"")</f>
        <v/>
      </c>
      <c r="Q13" s="5" t="str">
        <f t="array" ref="Q13">IFERROR(INDEX(BAZA_PROG,MATCH($C13,BAZA_EX,0)),"")</f>
        <v/>
      </c>
      <c r="R13" s="5" t="str">
        <f>IF($C13="","",IF(SUMPRODUCT((START!$B$6:$B$69=$C13)*(START!$M$6:$M$69&gt;0))=0,"",SUMPRODUCT(MAX((START!$B$6:$B$69=$C13)*START!$M$6:$M$69))))</f>
        <v/>
      </c>
      <c r="S13" s="5" t="str">
        <f t="array" ref="S13">IFERROR(INDEX(TABELE!$B$4:$J$18,MATCH($E13,TABELE!$A$4:$A$18,0),MATCH($F13,TABELE!$B$3:$J$3,0)),"")</f>
        <v/>
      </c>
      <c r="T13" s="5">
        <f t="array" ref="T13">IFERROR(IF($C13="",0,$O13*$D13*INDEX(TABELE!$B$23:$P$33,MATCH($F13,TABELE!$A$23:$A$33,0),MATCH($E13,TABELE!$B$22:$P$22,0))),0)</f>
        <v>0</v>
      </c>
      <c r="U13" s="5">
        <f t="array" ref="U13">IFERROR(IF($C13="",0,$O13*$D13*INDEX(TABELE!$B$37:$P$47,MATCH($F13,TABELE!$A$37:$A$47,0),MATCH($E13,TABELE!$B$36:$P$36,0))),0)</f>
        <v>0</v>
      </c>
      <c r="V13" s="5">
        <f t="array" ref="V13">IFERROR(IF($C13="",0,$O13*$D13*INDEX(TABELE!$B$51:$P$61,MATCH($F13,TABELE!$A$51:$A$61,0),MATCH($E13,TABELE!$B$50:$P$50,0))),0)</f>
        <v>0</v>
      </c>
      <c r="W13" s="5" t="str">
        <f t="array" ref="W13">IFERROR(INDEX(BAZA_UWAGI,MATCH($C13,BAZA_EX,0)),"")</f>
        <v/>
      </c>
      <c r="X13" s="5">
        <f t="shared" si="1"/>
        <v>4</v>
      </c>
      <c r="Y13" s="5" t="str">
        <f t="shared" si="4"/>
        <v>D</v>
      </c>
      <c r="Z13" s="5">
        <f t="shared" si="5"/>
        <v>4</v>
      </c>
      <c r="AA13" s="5" t="str">
        <f>IF($C13="","",IF(SUMPRODUCT((START!$B$6:$B$69=$C13)*(START!$M$6:$M$69&gt;0))=0,"",SUMPRODUCT(MAX((START!$B$6:$B$69=$C13)*START!$M$6:$M$69))))</f>
        <v/>
      </c>
      <c r="AB13" s="5" t="str">
        <f t="shared" si="2"/>
        <v/>
      </c>
      <c r="AC13" s="5">
        <f>MAX(0.85,MIN(1.15,1+0.05*(COUNTIF('T1'!$AB13,"za łatwe")+COUNTIF('T2'!$AB13,"za łatwe")+COUNTIF('T3'!$AB13,"za łatwe")+COUNTIF('T4'!$AB13,"za łatwe"))-0.05*(COUNTIF('T1'!$AB13,"za trudne")+COUNTIF('T2'!$AB13,"za trudne")+COUNTIF('T3'!$AB13,"za trudne")+COUNTIF('T4'!$AB13,"za trudne"))))</f>
        <v>1</v>
      </c>
      <c r="AD13" s="5">
        <f t="shared" si="3"/>
        <v>0</v>
      </c>
    </row>
    <row r="14" ht="25.5" customHeight="1" outlineLevel="1">
      <c r="A14" s="18" t="str">
        <f>IF('T1'!$A14="","",'T1'!$A14)</f>
        <v>E1.</v>
      </c>
      <c r="B14" s="30"/>
      <c r="C14" s="31" t="str">
        <f>IF('T1'!$C14="","",'T1'!$C14)</f>
        <v/>
      </c>
      <c r="D14" s="32"/>
      <c r="E14" s="39">
        <f>IF($C14="",0,MIN(15,MAX(1,IF(N($O14)&gt;=1,6,IF(N($O14)&gt;=0.75,IF(PRZEL_CZESC="część 1 (objętość)",8,6),IF(PRZEL_CZESC="część 1 (objętość)",10,8)))+1+$AD14)))</f>
        <v>0</v>
      </c>
      <c r="F14" s="33"/>
      <c r="G14" s="34" t="str">
        <f>IF($C14="","",IF(OR($Q14="masa ciała",$Q14="czas",$Q14="dystans",$Q14="ręczne ustawienie"),$Q14,IF($C14='T1'!$C14,IF(AND(LEFT($A14,1)&lt;&gt;"A",PRZEL_AKCESORIA="trzymaj z bloku"),IF(NOT(ISNUMBER('T4'!$G14)),'T4'!$G14,MROUND('T4'!$G14*$AC14/(MAX('T4'!$AC14,0.0001)),MAX($P14,0.5))),IF(OR($R14="",$R14=0),"— brak 1RM",MROUND($R14*$S14/100*$AC14,MAX($P14,0.5)))),IF(OR($AA14="",$AA14=0),"— ustaw ręcznie",MROUND($AA14*$S14/100*$AC14,MAX($P14,0.5))))))</f>
        <v/>
      </c>
      <c r="H14" s="35"/>
      <c r="I14" s="36" t="str">
        <f t="array" ref="I14">IFERROR(IF(IFERROR(INDEX(BAZA_FILM,MATCH($C14,BAZA_EX,0)),"")="","",HYPERLINK(IFERROR(INDEX(BAZA_FILM,MATCH($C14,BAZA_EX,0)),""),"film")),"")</f>
        <v/>
      </c>
      <c r="J14" s="37" t="str">
        <f>IF('T1'!$J14="","",'T1'!$J14)</f>
        <v/>
      </c>
      <c r="K14" s="5" t="s">
        <v>67</v>
      </c>
      <c r="L14" s="5" t="str">
        <f t="array" ref="L14">IFERROR(INDEX(BAZA_ID,MATCH($C14,BAZA_EX,0)),"")</f>
        <v/>
      </c>
      <c r="M14" s="5" t="str">
        <f t="array" ref="M14">IFERROR(INDEX(BAZA_PART,MATCH($C14,BAZA_EX,0)),"")</f>
        <v/>
      </c>
      <c r="N14" s="5" t="str">
        <f t="array" ref="N14">IFERROR(INDEX(BAZA_KAT,MATCH($C14,BAZA_EX,0)),"")</f>
        <v/>
      </c>
      <c r="O14" s="5" t="str">
        <f t="array" ref="O14">IFERROR(INDEX(BAZA_COEFF,MATCH($C14,BAZA_EX,0)),"")</f>
        <v/>
      </c>
      <c r="P14" s="5" t="str">
        <f t="array" ref="P14">IFERROR(INDEX(BAZA_SKOK,MATCH($C14,BAZA_EX,0)),"")</f>
        <v/>
      </c>
      <c r="Q14" s="5" t="str">
        <f t="array" ref="Q14">IFERROR(INDEX(BAZA_PROG,MATCH($C14,BAZA_EX,0)),"")</f>
        <v/>
      </c>
      <c r="R14" s="5" t="str">
        <f>IF($C14="","",IF(SUMPRODUCT((START!$B$6:$B$69=$C14)*(START!$M$6:$M$69&gt;0))=0,"",SUMPRODUCT(MAX((START!$B$6:$B$69=$C14)*START!$M$6:$M$69))))</f>
        <v/>
      </c>
      <c r="S14" s="5" t="str">
        <f t="array" ref="S14">IFERROR(INDEX(TABELE!$B$4:$J$18,MATCH($E14,TABELE!$A$4:$A$18,0),MATCH($F14,TABELE!$B$3:$J$3,0)),"")</f>
        <v/>
      </c>
      <c r="T14" s="5">
        <f t="array" ref="T14">IFERROR(IF($C14="",0,$O14*$D14*INDEX(TABELE!$B$23:$P$33,MATCH($F14,TABELE!$A$23:$A$33,0),MATCH($E14,TABELE!$B$22:$P$22,0))),0)</f>
        <v>0</v>
      </c>
      <c r="U14" s="5">
        <f t="array" ref="U14">IFERROR(IF($C14="",0,$O14*$D14*INDEX(TABELE!$B$37:$P$47,MATCH($F14,TABELE!$A$37:$A$47,0),MATCH($E14,TABELE!$B$36:$P$36,0))),0)</f>
        <v>0</v>
      </c>
      <c r="V14" s="5">
        <f t="array" ref="V14">IFERROR(IF($C14="",0,$O14*$D14*INDEX(TABELE!$B$51:$P$61,MATCH($F14,TABELE!$A$51:$A$61,0),MATCH($E14,TABELE!$B$50:$P$50,0))),0)</f>
        <v>0</v>
      </c>
      <c r="W14" s="5" t="str">
        <f t="array" ref="W14">IFERROR(INDEX(BAZA_UWAGI,MATCH($C14,BAZA_EX,0)),"")</f>
        <v/>
      </c>
      <c r="X14" s="5">
        <f t="shared" si="1"/>
        <v>5</v>
      </c>
      <c r="Y14" s="5" t="str">
        <f t="shared" si="4"/>
        <v>E</v>
      </c>
      <c r="Z14" s="5">
        <f t="shared" si="5"/>
        <v>5</v>
      </c>
      <c r="AA14" s="5" t="str">
        <f>IF($C14="","",IF(SUMPRODUCT((START!$B$6:$B$69=$C14)*(START!$M$6:$M$69&gt;0))=0,"",SUMPRODUCT(MAX((START!$B$6:$B$69=$C14)*START!$M$6:$M$69))))</f>
        <v/>
      </c>
      <c r="AB14" s="5" t="str">
        <f t="shared" si="2"/>
        <v/>
      </c>
      <c r="AC14" s="5">
        <f>MAX(0.85,MIN(1.15,1+0.05*(COUNTIF('T1'!$AB14,"za łatwe")+COUNTIF('T2'!$AB14,"za łatwe")+COUNTIF('T3'!$AB14,"za łatwe")+COUNTIF('T4'!$AB14,"za łatwe"))-0.05*(COUNTIF('T1'!$AB14,"za trudne")+COUNTIF('T2'!$AB14,"za trudne")+COUNTIF('T3'!$AB14,"za trudne")+COUNTIF('T4'!$AB14,"za trudne"))))</f>
        <v>1</v>
      </c>
      <c r="AD14" s="5">
        <f t="shared" si="3"/>
        <v>0</v>
      </c>
    </row>
    <row r="15" ht="25.5" customHeight="1" outlineLevel="1">
      <c r="A15" s="18" t="str">
        <f>IF('T1'!$A15="","",'T1'!$A15)</f>
        <v>E2.</v>
      </c>
      <c r="B15" s="30"/>
      <c r="C15" s="31" t="str">
        <f>IF('T1'!$C15="","",'T1'!$C15)</f>
        <v/>
      </c>
      <c r="D15" s="32"/>
      <c r="E15" s="39">
        <f>IF($C15="",0,MIN(15,MAX(1,IF(N($O15)&gt;=1,6,IF(N($O15)&gt;=0.75,IF(PRZEL_CZESC="część 1 (objętość)",8,6),IF(PRZEL_CZESC="część 1 (objętość)",10,8)))+1+$AD15)))</f>
        <v>0</v>
      </c>
      <c r="F15" s="33"/>
      <c r="G15" s="34" t="str">
        <f>IF($C15="","",IF(OR($Q15="masa ciała",$Q15="czas",$Q15="dystans",$Q15="ręczne ustawienie"),$Q15,IF($C15='T1'!$C15,IF(AND(LEFT($A15,1)&lt;&gt;"A",PRZEL_AKCESORIA="trzymaj z bloku"),IF(NOT(ISNUMBER('T4'!$G15)),'T4'!$G15,MROUND('T4'!$G15*$AC15/(MAX('T4'!$AC15,0.0001)),MAX($P15,0.5))),IF(OR($R15="",$R15=0),"— brak 1RM",MROUND($R15*$S15/100*$AC15,MAX($P15,0.5)))),IF(OR($AA15="",$AA15=0),"— ustaw ręcznie",MROUND($AA15*$S15/100*$AC15,MAX($P15,0.5))))))</f>
        <v/>
      </c>
      <c r="H15" s="35"/>
      <c r="I15" s="36" t="str">
        <f t="array" ref="I15">IFERROR(IF(IFERROR(INDEX(BAZA_FILM,MATCH($C15,BAZA_EX,0)),"")="","",HYPERLINK(IFERROR(INDEX(BAZA_FILM,MATCH($C15,BAZA_EX,0)),""),"film")),"")</f>
        <v/>
      </c>
      <c r="J15" s="37" t="str">
        <f>IF('T1'!$J15="","",'T1'!$J15)</f>
        <v/>
      </c>
      <c r="K15" s="5" t="s">
        <v>68</v>
      </c>
      <c r="L15" s="5" t="str">
        <f t="array" ref="L15">IFERROR(INDEX(BAZA_ID,MATCH($C15,BAZA_EX,0)),"")</f>
        <v/>
      </c>
      <c r="M15" s="5" t="str">
        <f t="array" ref="M15">IFERROR(INDEX(BAZA_PART,MATCH($C15,BAZA_EX,0)),"")</f>
        <v/>
      </c>
      <c r="N15" s="5" t="str">
        <f t="array" ref="N15">IFERROR(INDEX(BAZA_KAT,MATCH($C15,BAZA_EX,0)),"")</f>
        <v/>
      </c>
      <c r="O15" s="5" t="str">
        <f t="array" ref="O15">IFERROR(INDEX(BAZA_COEFF,MATCH($C15,BAZA_EX,0)),"")</f>
        <v/>
      </c>
      <c r="P15" s="5" t="str">
        <f t="array" ref="P15">IFERROR(INDEX(BAZA_SKOK,MATCH($C15,BAZA_EX,0)),"")</f>
        <v/>
      </c>
      <c r="Q15" s="5" t="str">
        <f t="array" ref="Q15">IFERROR(INDEX(BAZA_PROG,MATCH($C15,BAZA_EX,0)),"")</f>
        <v/>
      </c>
      <c r="R15" s="5" t="str">
        <f>IF($C15="","",IF(SUMPRODUCT((START!$B$6:$B$69=$C15)*(START!$M$6:$M$69&gt;0))=0,"",SUMPRODUCT(MAX((START!$B$6:$B$69=$C15)*START!$M$6:$M$69))))</f>
        <v/>
      </c>
      <c r="S15" s="5" t="str">
        <f t="array" ref="S15">IFERROR(INDEX(TABELE!$B$4:$J$18,MATCH($E15,TABELE!$A$4:$A$18,0),MATCH($F15,TABELE!$B$3:$J$3,0)),"")</f>
        <v/>
      </c>
      <c r="T15" s="5">
        <f t="array" ref="T15">IFERROR(IF($C15="",0,$O15*$D15*INDEX(TABELE!$B$23:$P$33,MATCH($F15,TABELE!$A$23:$A$33,0),MATCH($E15,TABELE!$B$22:$P$22,0))),0)</f>
        <v>0</v>
      </c>
      <c r="U15" s="5">
        <f t="array" ref="U15">IFERROR(IF($C15="",0,$O15*$D15*INDEX(TABELE!$B$37:$P$47,MATCH($F15,TABELE!$A$37:$A$47,0),MATCH($E15,TABELE!$B$36:$P$36,0))),0)</f>
        <v>0</v>
      </c>
      <c r="V15" s="5">
        <f t="array" ref="V15">IFERROR(IF($C15="",0,$O15*$D15*INDEX(TABELE!$B$51:$P$61,MATCH($F15,TABELE!$A$51:$A$61,0),MATCH($E15,TABELE!$B$50:$P$50,0))),0)</f>
        <v>0</v>
      </c>
      <c r="W15" s="5" t="str">
        <f t="array" ref="W15">IFERROR(INDEX(BAZA_UWAGI,MATCH($C15,BAZA_EX,0)),"")</f>
        <v/>
      </c>
      <c r="X15" s="5">
        <f t="shared" si="1"/>
        <v>5</v>
      </c>
      <c r="Y15" s="5" t="str">
        <f t="shared" si="4"/>
        <v>E</v>
      </c>
      <c r="Z15" s="5">
        <f t="shared" si="5"/>
        <v>5</v>
      </c>
      <c r="AA15" s="5" t="str">
        <f>IF($C15="","",IF(SUMPRODUCT((START!$B$6:$B$69=$C15)*(START!$M$6:$M$69&gt;0))=0,"",SUMPRODUCT(MAX((START!$B$6:$B$69=$C15)*START!$M$6:$M$69))))</f>
        <v/>
      </c>
      <c r="AB15" s="5" t="str">
        <f t="shared" si="2"/>
        <v/>
      </c>
      <c r="AC15" s="5">
        <f>MAX(0.85,MIN(1.15,1+0.05*(COUNTIF('T1'!$AB15,"za łatwe")+COUNTIF('T2'!$AB15,"za łatwe")+COUNTIF('T3'!$AB15,"za łatwe")+COUNTIF('T4'!$AB15,"za łatwe"))-0.05*(COUNTIF('T1'!$AB15,"za trudne")+COUNTIF('T2'!$AB15,"za trudne")+COUNTIF('T3'!$AB15,"za trudne")+COUNTIF('T4'!$AB15,"za trudne"))))</f>
        <v>1</v>
      </c>
      <c r="AD15" s="5">
        <f t="shared" si="3"/>
        <v>0</v>
      </c>
    </row>
    <row r="16" ht="25.5" customHeight="1" outlineLevel="1">
      <c r="A16" s="18" t="str">
        <f>IF('T1'!$A16="","",'T1'!$A16)</f>
        <v/>
      </c>
      <c r="B16" s="30"/>
      <c r="C16" s="31" t="str">
        <f>IF('T1'!$C16="","",'T1'!$C16)</f>
        <v/>
      </c>
      <c r="D16" s="32"/>
      <c r="E16" s="39">
        <f>IF($C16="",0,MIN(15,MAX(1,IF(N($O16)&gt;=1,6,IF(N($O16)&gt;=0.75,IF(PRZEL_CZESC="część 1 (objętość)",8,6),IF(PRZEL_CZESC="część 1 (objętość)",10,8)))+1+$AD16)))</f>
        <v>0</v>
      </c>
      <c r="F16" s="33"/>
      <c r="G16" s="34" t="str">
        <f>IF($C16="","",IF(OR($Q16="masa ciała",$Q16="czas",$Q16="dystans",$Q16="ręczne ustawienie"),$Q16,IF($C16='T1'!$C16,IF(AND(LEFT($A16,1)&lt;&gt;"A",PRZEL_AKCESORIA="trzymaj z bloku"),IF(NOT(ISNUMBER('T4'!$G16)),'T4'!$G16,MROUND('T4'!$G16*$AC16/(MAX('T4'!$AC16,0.0001)),MAX($P16,0.5))),IF(OR($R16="",$R16=0),"— brak 1RM",MROUND($R16*$S16/100*$AC16,MAX($P16,0.5)))),IF(OR($AA16="",$AA16=0),"— ustaw ręcznie",MROUND($AA16*$S16/100*$AC16,MAX($P16,0.5))))))</f>
        <v/>
      </c>
      <c r="H16" s="35"/>
      <c r="I16" s="36" t="str">
        <f t="array" ref="I16">IFERROR(IF(IFERROR(INDEX(BAZA_FILM,MATCH($C16,BAZA_EX,0)),"")="","",HYPERLINK(IFERROR(INDEX(BAZA_FILM,MATCH($C16,BAZA_EX,0)),""),"film")),"")</f>
        <v/>
      </c>
      <c r="J16" s="37" t="str">
        <f>IF('T1'!$J16="","",'T1'!$J16)</f>
        <v/>
      </c>
      <c r="K16" s="5" t="s">
        <v>69</v>
      </c>
      <c r="L16" s="5" t="str">
        <f t="array" ref="L16">IFERROR(INDEX(BAZA_ID,MATCH($C16,BAZA_EX,0)),"")</f>
        <v/>
      </c>
      <c r="M16" s="5" t="str">
        <f t="array" ref="M16">IFERROR(INDEX(BAZA_PART,MATCH($C16,BAZA_EX,0)),"")</f>
        <v/>
      </c>
      <c r="N16" s="5" t="str">
        <f t="array" ref="N16">IFERROR(INDEX(BAZA_KAT,MATCH($C16,BAZA_EX,0)),"")</f>
        <v/>
      </c>
      <c r="O16" s="5" t="str">
        <f t="array" ref="O16">IFERROR(INDEX(BAZA_COEFF,MATCH($C16,BAZA_EX,0)),"")</f>
        <v/>
      </c>
      <c r="P16" s="5" t="str">
        <f t="array" ref="P16">IFERROR(INDEX(BAZA_SKOK,MATCH($C16,BAZA_EX,0)),"")</f>
        <v/>
      </c>
      <c r="Q16" s="5" t="str">
        <f t="array" ref="Q16">IFERROR(INDEX(BAZA_PROG,MATCH($C16,BAZA_EX,0)),"")</f>
        <v/>
      </c>
      <c r="R16" s="5" t="str">
        <f>IF($C16="","",IF(SUMPRODUCT((START!$B$6:$B$69=$C16)*(START!$M$6:$M$69&gt;0))=0,"",SUMPRODUCT(MAX((START!$B$6:$B$69=$C16)*START!$M$6:$M$69))))</f>
        <v/>
      </c>
      <c r="S16" s="5" t="str">
        <f t="array" ref="S16">IFERROR(INDEX(TABELE!$B$4:$J$18,MATCH($E16,TABELE!$A$4:$A$18,0),MATCH($F16,TABELE!$B$3:$J$3,0)),"")</f>
        <v/>
      </c>
      <c r="T16" s="5">
        <f t="array" ref="T16">IFERROR(IF($C16="",0,$O16*$D16*INDEX(TABELE!$B$23:$P$33,MATCH($F16,TABELE!$A$23:$A$33,0),MATCH($E16,TABELE!$B$22:$P$22,0))),0)</f>
        <v>0</v>
      </c>
      <c r="U16" s="5">
        <f t="array" ref="U16">IFERROR(IF($C16="",0,$O16*$D16*INDEX(TABELE!$B$37:$P$47,MATCH($F16,TABELE!$A$37:$A$47,0),MATCH($E16,TABELE!$B$36:$P$36,0))),0)</f>
        <v>0</v>
      </c>
      <c r="V16" s="5">
        <f t="array" ref="V16">IFERROR(IF($C16="",0,$O16*$D16*INDEX(TABELE!$B$51:$P$61,MATCH($F16,TABELE!$A$51:$A$61,0),MATCH($E16,TABELE!$B$50:$P$50,0))),0)</f>
        <v>0</v>
      </c>
      <c r="W16" s="5" t="str">
        <f t="array" ref="W16">IFERROR(INDEX(BAZA_UWAGI,MATCH($C16,BAZA_EX,0)),"")</f>
        <v/>
      </c>
      <c r="X16" s="5" t="str">
        <f t="shared" si="1"/>
        <v/>
      </c>
      <c r="Y16" s="5" t="str">
        <f t="shared" si="4"/>
        <v>E</v>
      </c>
      <c r="Z16" s="5">
        <f t="shared" si="5"/>
        <v>5</v>
      </c>
      <c r="AA16" s="5" t="str">
        <f>IF($C16="","",IF(SUMPRODUCT((START!$B$6:$B$69=$C16)*(START!$M$6:$M$69&gt;0))=0,"",SUMPRODUCT(MAX((START!$B$6:$B$69=$C16)*START!$M$6:$M$69))))</f>
        <v/>
      </c>
      <c r="AB16" s="5" t="str">
        <f t="shared" si="2"/>
        <v/>
      </c>
      <c r="AC16" s="5">
        <f>MAX(0.85,MIN(1.15,1+0.05*(COUNTIF('T1'!$AB16,"za łatwe")+COUNTIF('T2'!$AB16,"za łatwe")+COUNTIF('T3'!$AB16,"za łatwe")+COUNTIF('T4'!$AB16,"za łatwe"))-0.05*(COUNTIF('T1'!$AB16,"za trudne")+COUNTIF('T2'!$AB16,"za trudne")+COUNTIF('T3'!$AB16,"za trudne")+COUNTIF('T4'!$AB16,"za trudne"))))</f>
        <v>1</v>
      </c>
      <c r="AD16" s="5">
        <f t="shared" si="3"/>
        <v>0</v>
      </c>
    </row>
    <row r="17" ht="25.5" customHeight="1" outlineLevel="1">
      <c r="A17" s="18" t="str">
        <f>IF('T1'!$A17="","",'T1'!$A17)</f>
        <v/>
      </c>
      <c r="B17" s="30"/>
      <c r="C17" s="31" t="str">
        <f>IF('T1'!$C17="","",'T1'!$C17)</f>
        <v/>
      </c>
      <c r="D17" s="32"/>
      <c r="E17" s="39">
        <f>IF($C17="",0,MIN(15,MAX(1,IF(N($O17)&gt;=1,6,IF(N($O17)&gt;=0.75,IF(PRZEL_CZESC="część 1 (objętość)",8,6),IF(PRZEL_CZESC="część 1 (objętość)",10,8)))+1+$AD17)))</f>
        <v>0</v>
      </c>
      <c r="F17" s="33"/>
      <c r="G17" s="34" t="str">
        <f>IF($C17="","",IF(OR($Q17="masa ciała",$Q17="czas",$Q17="dystans",$Q17="ręczne ustawienie"),$Q17,IF($C17='T1'!$C17,IF(AND(LEFT($A17,1)&lt;&gt;"A",PRZEL_AKCESORIA="trzymaj z bloku"),IF(NOT(ISNUMBER('T4'!$G17)),'T4'!$G17,MROUND('T4'!$G17*$AC17/(MAX('T4'!$AC17,0.0001)),MAX($P17,0.5))),IF(OR($R17="",$R17=0),"— brak 1RM",MROUND($R17*$S17/100*$AC17,MAX($P17,0.5)))),IF(OR($AA17="",$AA17=0),"— ustaw ręcznie",MROUND($AA17*$S17/100*$AC17,MAX($P17,0.5))))))</f>
        <v/>
      </c>
      <c r="H17" s="35"/>
      <c r="I17" s="36" t="str">
        <f t="array" ref="I17">IFERROR(IF(IFERROR(INDEX(BAZA_FILM,MATCH($C17,BAZA_EX,0)),"")="","",HYPERLINK(IFERROR(INDEX(BAZA_FILM,MATCH($C17,BAZA_EX,0)),""),"film")),"")</f>
        <v/>
      </c>
      <c r="J17" s="37" t="str">
        <f>IF('T1'!$J17="","",'T1'!$J17)</f>
        <v/>
      </c>
      <c r="K17" s="5" t="s">
        <v>70</v>
      </c>
      <c r="L17" s="5" t="str">
        <f t="array" ref="L17">IFERROR(INDEX(BAZA_ID,MATCH($C17,BAZA_EX,0)),"")</f>
        <v/>
      </c>
      <c r="M17" s="5" t="str">
        <f t="array" ref="M17">IFERROR(INDEX(BAZA_PART,MATCH($C17,BAZA_EX,0)),"")</f>
        <v/>
      </c>
      <c r="N17" s="5" t="str">
        <f t="array" ref="N17">IFERROR(INDEX(BAZA_KAT,MATCH($C17,BAZA_EX,0)),"")</f>
        <v/>
      </c>
      <c r="O17" s="5" t="str">
        <f t="array" ref="O17">IFERROR(INDEX(BAZA_COEFF,MATCH($C17,BAZA_EX,0)),"")</f>
        <v/>
      </c>
      <c r="P17" s="5" t="str">
        <f t="array" ref="P17">IFERROR(INDEX(BAZA_SKOK,MATCH($C17,BAZA_EX,0)),"")</f>
        <v/>
      </c>
      <c r="Q17" s="5" t="str">
        <f t="array" ref="Q17">IFERROR(INDEX(BAZA_PROG,MATCH($C17,BAZA_EX,0)),"")</f>
        <v/>
      </c>
      <c r="R17" s="5" t="str">
        <f>IF($C17="","",IF(SUMPRODUCT((START!$B$6:$B$69=$C17)*(START!$M$6:$M$69&gt;0))=0,"",SUMPRODUCT(MAX((START!$B$6:$B$69=$C17)*START!$M$6:$M$69))))</f>
        <v/>
      </c>
      <c r="S17" s="5" t="str">
        <f t="array" ref="S17">IFERROR(INDEX(TABELE!$B$4:$J$18,MATCH($E17,TABELE!$A$4:$A$18,0),MATCH($F17,TABELE!$B$3:$J$3,0)),"")</f>
        <v/>
      </c>
      <c r="T17" s="5">
        <f t="array" ref="T17">IFERROR(IF($C17="",0,$O17*$D17*INDEX(TABELE!$B$23:$P$33,MATCH($F17,TABELE!$A$23:$A$33,0),MATCH($E17,TABELE!$B$22:$P$22,0))),0)</f>
        <v>0</v>
      </c>
      <c r="U17" s="5">
        <f t="array" ref="U17">IFERROR(IF($C17="",0,$O17*$D17*INDEX(TABELE!$B$37:$P$47,MATCH($F17,TABELE!$A$37:$A$47,0),MATCH($E17,TABELE!$B$36:$P$36,0))),0)</f>
        <v>0</v>
      </c>
      <c r="V17" s="5">
        <f t="array" ref="V17">IFERROR(IF($C17="",0,$O17*$D17*INDEX(TABELE!$B$51:$P$61,MATCH($F17,TABELE!$A$51:$A$61,0),MATCH($E17,TABELE!$B$50:$P$50,0))),0)</f>
        <v>0</v>
      </c>
      <c r="W17" s="5" t="str">
        <f t="array" ref="W17">IFERROR(INDEX(BAZA_UWAGI,MATCH($C17,BAZA_EX,0)),"")</f>
        <v/>
      </c>
      <c r="X17" s="5" t="str">
        <f t="shared" si="1"/>
        <v/>
      </c>
      <c r="Y17" s="5" t="str">
        <f t="shared" si="4"/>
        <v>E</v>
      </c>
      <c r="Z17" s="5">
        <f t="shared" si="5"/>
        <v>5</v>
      </c>
      <c r="AA17" s="5" t="str">
        <f>IF($C17="","",IF(SUMPRODUCT((START!$B$6:$B$69=$C17)*(START!$M$6:$M$69&gt;0))=0,"",SUMPRODUCT(MAX((START!$B$6:$B$69=$C17)*START!$M$6:$M$69))))</f>
        <v/>
      </c>
      <c r="AB17" s="5" t="str">
        <f t="shared" si="2"/>
        <v/>
      </c>
      <c r="AC17" s="5">
        <f>MAX(0.85,MIN(1.15,1+0.05*(COUNTIF('T1'!$AB17,"za łatwe")+COUNTIF('T2'!$AB17,"za łatwe")+COUNTIF('T3'!$AB17,"za łatwe")+COUNTIF('T4'!$AB17,"za łatwe"))-0.05*(COUNTIF('T1'!$AB17,"za trudne")+COUNTIF('T2'!$AB17,"za trudne")+COUNTIF('T3'!$AB17,"za trudne")+COUNTIF('T4'!$AB17,"za trudne"))))</f>
        <v>1</v>
      </c>
      <c r="AD17" s="5">
        <f t="shared" si="3"/>
        <v>0</v>
      </c>
    </row>
    <row r="18" ht="25.5" customHeight="1" outlineLevel="1">
      <c r="A18" s="18" t="str">
        <f>IF('T1'!$A18="","",'T1'!$A18)</f>
        <v/>
      </c>
      <c r="B18" s="30"/>
      <c r="C18" s="31" t="str">
        <f>IF('T1'!$C18="","",'T1'!$C18)</f>
        <v/>
      </c>
      <c r="D18" s="32"/>
      <c r="E18" s="39">
        <f>IF($C18="",0,MIN(15,MAX(1,IF(N($O18)&gt;=1,6,IF(N($O18)&gt;=0.75,IF(PRZEL_CZESC="część 1 (objętość)",8,6),IF(PRZEL_CZESC="część 1 (objętość)",10,8)))+1+$AD18)))</f>
        <v>0</v>
      </c>
      <c r="F18" s="33"/>
      <c r="G18" s="34" t="str">
        <f>IF($C18="","",IF(OR($Q18="masa ciała",$Q18="czas",$Q18="dystans",$Q18="ręczne ustawienie"),$Q18,IF($C18='T1'!$C18,IF(AND(LEFT($A18,1)&lt;&gt;"A",PRZEL_AKCESORIA="trzymaj z bloku"),IF(NOT(ISNUMBER('T4'!$G18)),'T4'!$G18,MROUND('T4'!$G18*$AC18/(MAX('T4'!$AC18,0.0001)),MAX($P18,0.5))),IF(OR($R18="",$R18=0),"— brak 1RM",MROUND($R18*$S18/100*$AC18,MAX($P18,0.5)))),IF(OR($AA18="",$AA18=0),"— ustaw ręcznie",MROUND($AA18*$S18/100*$AC18,MAX($P18,0.5))))))</f>
        <v/>
      </c>
      <c r="H18" s="35"/>
      <c r="I18" s="36" t="str">
        <f t="array" ref="I18">IFERROR(IF(IFERROR(INDEX(BAZA_FILM,MATCH($C18,BAZA_EX,0)),"")="","",HYPERLINK(IFERROR(INDEX(BAZA_FILM,MATCH($C18,BAZA_EX,0)),""),"film")),"")</f>
        <v/>
      </c>
      <c r="J18" s="37" t="str">
        <f>IF('T1'!$J18="","",'T1'!$J18)</f>
        <v/>
      </c>
      <c r="K18" s="5" t="s">
        <v>72</v>
      </c>
      <c r="L18" s="5" t="str">
        <f t="array" ref="L18">IFERROR(INDEX(BAZA_ID,MATCH($C18,BAZA_EX,0)),"")</f>
        <v/>
      </c>
      <c r="M18" s="5" t="str">
        <f t="array" ref="M18">IFERROR(INDEX(BAZA_PART,MATCH($C18,BAZA_EX,0)),"")</f>
        <v/>
      </c>
      <c r="N18" s="5" t="str">
        <f t="array" ref="N18">IFERROR(INDEX(BAZA_KAT,MATCH($C18,BAZA_EX,0)),"")</f>
        <v/>
      </c>
      <c r="O18" s="5" t="str">
        <f t="array" ref="O18">IFERROR(INDEX(BAZA_COEFF,MATCH($C18,BAZA_EX,0)),"")</f>
        <v/>
      </c>
      <c r="P18" s="5" t="str">
        <f t="array" ref="P18">IFERROR(INDEX(BAZA_SKOK,MATCH($C18,BAZA_EX,0)),"")</f>
        <v/>
      </c>
      <c r="Q18" s="5" t="str">
        <f t="array" ref="Q18">IFERROR(INDEX(BAZA_PROG,MATCH($C18,BAZA_EX,0)),"")</f>
        <v/>
      </c>
      <c r="R18" s="5" t="str">
        <f>IF($C18="","",IF(SUMPRODUCT((START!$B$6:$B$69=$C18)*(START!$M$6:$M$69&gt;0))=0,"",SUMPRODUCT(MAX((START!$B$6:$B$69=$C18)*START!$M$6:$M$69))))</f>
        <v/>
      </c>
      <c r="S18" s="5" t="str">
        <f t="array" ref="S18">IFERROR(INDEX(TABELE!$B$4:$J$18,MATCH($E18,TABELE!$A$4:$A$18,0),MATCH($F18,TABELE!$B$3:$J$3,0)),"")</f>
        <v/>
      </c>
      <c r="T18" s="5">
        <f t="array" ref="T18">IFERROR(IF($C18="",0,$O18*$D18*INDEX(TABELE!$B$23:$P$33,MATCH($F18,TABELE!$A$23:$A$33,0),MATCH($E18,TABELE!$B$22:$P$22,0))),0)</f>
        <v>0</v>
      </c>
      <c r="U18" s="5">
        <f t="array" ref="U18">IFERROR(IF($C18="",0,$O18*$D18*INDEX(TABELE!$B$37:$P$47,MATCH($F18,TABELE!$A$37:$A$47,0),MATCH($E18,TABELE!$B$36:$P$36,0))),0)</f>
        <v>0</v>
      </c>
      <c r="V18" s="5">
        <f t="array" ref="V18">IFERROR(IF($C18="",0,$O18*$D18*INDEX(TABELE!$B$51:$P$61,MATCH($F18,TABELE!$A$51:$A$61,0),MATCH($E18,TABELE!$B$50:$P$50,0))),0)</f>
        <v>0</v>
      </c>
      <c r="W18" s="5" t="str">
        <f t="array" ref="W18">IFERROR(INDEX(BAZA_UWAGI,MATCH($C18,BAZA_EX,0)),"")</f>
        <v/>
      </c>
      <c r="X18" s="5" t="str">
        <f t="shared" si="1"/>
        <v/>
      </c>
      <c r="Y18" s="5" t="str">
        <f t="shared" si="4"/>
        <v>E</v>
      </c>
      <c r="Z18" s="5">
        <f t="shared" si="5"/>
        <v>5</v>
      </c>
      <c r="AA18" s="5" t="str">
        <f>IF($C18="","",IF(SUMPRODUCT((START!$B$6:$B$69=$C18)*(START!$M$6:$M$69&gt;0))=0,"",SUMPRODUCT(MAX((START!$B$6:$B$69=$C18)*START!$M$6:$M$69))))</f>
        <v/>
      </c>
      <c r="AB18" s="5" t="str">
        <f t="shared" si="2"/>
        <v/>
      </c>
      <c r="AC18" s="5">
        <f>MAX(0.85,MIN(1.15,1+0.05*(COUNTIF('T1'!$AB18,"za łatwe")+COUNTIF('T2'!$AB18,"za łatwe")+COUNTIF('T3'!$AB18,"za łatwe")+COUNTIF('T4'!$AB18,"za łatwe"))-0.05*(COUNTIF('T1'!$AB18,"za trudne")+COUNTIF('T2'!$AB18,"za trudne")+COUNTIF('T3'!$AB18,"za trudne")+COUNTIF('T4'!$AB18,"za trudne"))))</f>
        <v>1</v>
      </c>
      <c r="AD18" s="5">
        <f t="shared" si="3"/>
        <v>0</v>
      </c>
    </row>
    <row r="19" ht="19.5" customHeight="1" outlineLevel="1">
      <c r="A19" s="43"/>
      <c r="B19" s="43"/>
      <c r="C19" s="44" t="s">
        <v>134</v>
      </c>
      <c r="D19" s="45">
        <f>SUMPRODUCT((C7:C18&lt;&gt;"")*D7:D18)+IF(AND($B$6="TOP SET",$C$6&lt;&gt;""),1,0)</f>
      </c>
      <c r="E19" s="46" t="str">
        <f>SUMPRODUCT((C7:C18&lt;&gt;"")*D7:D18*E7:E18)&amp;" powt."</f>
        <v>33 powt.</v>
      </c>
      <c r="F19" s="43"/>
      <c r="G19" s="47" t="str">
        <f>"stres t "&amp;TEXT(SUM(T7:T18),"0.0")</f>
        <v>stres t 1,4</v>
      </c>
      <c r="H19" s="48"/>
      <c r="I19" s="43"/>
      <c r="J19" s="4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25.5" customHeight="1" outlineLevel="1">
      <c r="A21" s="15" t="s">
        <v>73</v>
      </c>
      <c r="B21" s="3"/>
      <c r="C21" s="3"/>
      <c r="D21" s="3"/>
      <c r="E21" s="3"/>
      <c r="F21" s="3"/>
      <c r="G21" s="3"/>
      <c r="H21" s="3"/>
      <c r="I21" s="3"/>
      <c r="J21" s="4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33.75" customHeight="1" outlineLevel="2">
      <c r="A22" s="17" t="str">
        <f>IF($B22="TOP SET","▲","")</f>
        <v>▲</v>
      </c>
      <c r="B22" s="19" t="str">
        <f>IF('T1'!$B22="TOP SET","TOP SET","—")</f>
        <v>TOP SET</v>
      </c>
      <c r="C22" s="22" t="str">
        <f>IF(OR($B22&lt;&gt;"TOP SET",$F22=""),"",IF(N($K22)=0,"",IF(INDEX($C$23:$C$34,$K22)="","",INDEX($C$23:$C$34,$K22))))</f>
      </c>
      <c r="D22" s="23">
        <f>IF(AND($B22="TOP SET",$F22&lt;&gt;""),1,"")</f>
      </c>
      <c r="E22" s="24" t="str">
        <f>IF(AND($B22="TOP SET",$F22&lt;&gt;""),"1 powtórzenie","")</f>
      </c>
      <c r="F22" s="25">
        <v>7.5</v>
      </c>
      <c r="G22" s="27" t="str">
        <f t="array" ref="G22">IF($B22&lt;&gt;"TOP SET","",IF($C22="","",IF(OR($Q22="masa ciała",$Q22="czas",$Q22="dystans",$Q22="ręczne ustawienie"),"—",IF($C22='T1'!$C22,IF(OR($R22="",$R22=0),"— brak 1RM",MROUND($R22*IFERROR(INDEX(TABELE!$B$4:$J$18,MATCH(1,TABELE!$A$4:$A$18,0),MATCH($F22,TABELE!$B$3:$J$3,0)),0)/100,MAX($P22,0.5))),IF(OR($AA22="",$AA22=0),"— ustaw ręcznie",MROUND($AA22*IFERROR(INDEX(TABELE!$B$4:$J$18,MATCH(1,TABELE!$A$4:$A$18,0),MATCH($F22,TABELE!$B$3:$J$3,0)),0)/100,MAX($P22,0.5)))))))</f>
      </c>
      <c r="H22" s="28"/>
      <c r="I22" s="29"/>
      <c r="J22" s="29"/>
      <c r="K22" s="5">
        <f>IFERROR(MATCH("A*",$A$23:$A$34,0),0)</f>
      </c>
      <c r="L22" s="5"/>
      <c r="M22" s="5"/>
      <c r="N22" s="5"/>
      <c r="O22" s="5"/>
      <c r="P22" s="5">
        <f>IF(N($K22)=0,"",INDEX($P$23:$P$34,$K22))</f>
      </c>
      <c r="Q22" s="5">
        <f>IF(N($K22)=0,"",INDEX($Q$23:$Q$34,$K22))</f>
      </c>
      <c r="R22" s="5">
        <f>IF(N($K22)=0,"",INDEX($R$23:$R$34,$K22))</f>
      </c>
      <c r="S22" s="5"/>
      <c r="T22" s="5"/>
      <c r="U22" s="5"/>
      <c r="V22" s="5"/>
      <c r="W22" s="5"/>
      <c r="X22" s="5"/>
      <c r="Y22" s="5"/>
      <c r="Z22" s="5"/>
      <c r="AA22" s="5">
        <f>IF(N($K22)=0,"",INDEX($AA$23:$AA$34,$K22))</f>
      </c>
    </row>
    <row r="23" ht="25.5" customHeight="1" outlineLevel="1">
      <c r="A23" s="18" t="str">
        <f>IF('T1'!$A23="","",'T1'!$A23)</f>
        <v>A1.</v>
      </c>
      <c r="B23" s="30"/>
      <c r="C23" s="31" t="str">
        <f>IF('T1'!$C23="","",'T1'!$C23)</f>
        <v/>
      </c>
      <c r="D23" s="32">
        <v>5.0</v>
      </c>
      <c r="E23" s="32">
        <v>4.0</v>
      </c>
      <c r="F23" s="33">
        <v>7.5</v>
      </c>
      <c r="G23" s="34" t="str">
        <f>IF($C23="","",IF(OR($Q23="masa ciała",$Q23="czas",$Q23="dystans",$Q23="ręczne ustawienie"),$Q23,IF($C23='T1'!$C23,IF(AND(LEFT($A23,1)&lt;&gt;"A",PRZEL_AKCESORIA="trzymaj z bloku"),IF(NOT(ISNUMBER('T4'!$G23)),'T4'!$G23,MROUND('T4'!$G23*$AC23/(MAX('T4'!$AC23,0.0001)),MAX($P23,0.5))),IF(OR($R23="",$R23=0),"— brak 1RM",MROUND($R23*$S23/100*$AC23,MAX($P23,0.5)))),IF(OR($AA23="",$AA23=0),"— ustaw ręcznie",MROUND($AA23*$S23/100*$AC23,MAX($P23,0.5))))))</f>
        <v/>
      </c>
      <c r="H23" s="35"/>
      <c r="I23" s="36" t="str">
        <f t="array" ref="I23">IFERROR(IF(IFERROR(INDEX(BAZA_FILM,MATCH($C23,BAZA_EX,0)),"")="","",HYPERLINK(IFERROR(INDEX(BAZA_FILM,MATCH($C23,BAZA_EX,0)),""),"film")),"")</f>
        <v/>
      </c>
      <c r="J23" s="37" t="str">
        <f>IF('T1'!$J23="","",'T1'!$J23)</f>
        <v/>
      </c>
      <c r="K23" s="5" t="s">
        <v>74</v>
      </c>
      <c r="L23" s="5" t="str">
        <f t="array" ref="L23">IFERROR(INDEX(BAZA_ID,MATCH($C23,BAZA_EX,0)),"")</f>
        <v/>
      </c>
      <c r="M23" s="5" t="str">
        <f t="array" ref="M23">IFERROR(INDEX(BAZA_PART,MATCH($C23,BAZA_EX,0)),"")</f>
        <v/>
      </c>
      <c r="N23" s="5" t="str">
        <f t="array" ref="N23">IFERROR(INDEX(BAZA_KAT,MATCH($C23,BAZA_EX,0)),"")</f>
        <v/>
      </c>
      <c r="O23" s="5" t="str">
        <f t="array" ref="O23">IFERROR(INDEX(BAZA_COEFF,MATCH($C23,BAZA_EX,0)),"")</f>
        <v/>
      </c>
      <c r="P23" s="5" t="str">
        <f t="array" ref="P23">IFERROR(INDEX(BAZA_SKOK,MATCH($C23,BAZA_EX,0)),"")</f>
        <v/>
      </c>
      <c r="Q23" s="5" t="str">
        <f t="array" ref="Q23">IFERROR(INDEX(BAZA_PROG,MATCH($C23,BAZA_EX,0)),"")</f>
        <v/>
      </c>
      <c r="R23" s="5" t="str">
        <f>IF($C23="","",IF(SUMPRODUCT((START!$B$6:$B$69=$C23)*(START!$M$6:$M$69&gt;0))=0,"",SUMPRODUCT(MAX((START!$B$6:$B$69=$C23)*START!$M$6:$M$69))))</f>
        <v/>
      </c>
      <c r="S23" s="5">
        <f t="array" ref="S23">IFERROR(INDEX(TABELE!$B$4:$J$18,MATCH($E23,TABELE!$A$4:$A$18,0),MATCH($F23,TABELE!$B$3:$J$3,0)),"")</f>
        <v>80.5</v>
      </c>
      <c r="T23" s="5">
        <f t="array" ref="T23">IFERROR(IF($C23="",0,$O23*$D23*INDEX(TABELE!$B$23:$P$33,MATCH($F23,TABELE!$A$23:$A$33,0),MATCH($E23,TABELE!$B$22:$P$22,0))),0)</f>
        <v>0</v>
      </c>
      <c r="U23" s="5">
        <f t="array" ref="U23">IFERROR(IF($C23="",0,$O23*$D23*INDEX(TABELE!$B$37:$P$47,MATCH($F23,TABELE!$A$37:$A$47,0),MATCH($E23,TABELE!$B$36:$P$36,0))),0)</f>
        <v>0</v>
      </c>
      <c r="V23" s="5">
        <f t="array" ref="V23">IFERROR(IF($C23="",0,$O23*$D23*INDEX(TABELE!$B$51:$P$61,MATCH($F23,TABELE!$A$51:$A$61,0),MATCH($E23,TABELE!$B$50:$P$50,0))),0)</f>
        <v>0</v>
      </c>
      <c r="W23" s="5" t="str">
        <f t="array" ref="W23">IFERROR(INDEX(BAZA_UWAGI,MATCH($C23,BAZA_EX,0)),"")</f>
        <v/>
      </c>
      <c r="X23" s="5">
        <f t="shared" ref="X23:X34" si="6">IF($A23="","",$Z23)</f>
        <v>1</v>
      </c>
      <c r="Y23" s="5" t="str">
        <f>IF($A23="","",LEFT($A23,1))</f>
        <v>A</v>
      </c>
      <c r="Z23" s="5">
        <f>IF($A23="",0,1)</f>
        <v>1</v>
      </c>
      <c r="AA23" s="5" t="str">
        <f>IF($C23="","",IF(SUMPRODUCT((START!$B$6:$B$69=$C23)*(START!$M$6:$M$69&gt;0))=0,"",SUMPRODUCT(MAX((START!$B$6:$B$69=$C23)*START!$M$6:$M$69))))</f>
        <v/>
      </c>
      <c r="AB23" s="5" t="str">
        <f t="shared" ref="AB23:AB34" si="7">IF($C23="","",IF($H23&lt;&gt;"",$H23,IF($H$35="✓ ukończony","OK","")))</f>
        <v/>
      </c>
      <c r="AC23" s="5">
        <f>MAX(0.85,MIN(1.15,1+0.05*(COUNTIF('T1'!$AB23,"za łatwe")+COUNTIF('T2'!$AB23,"za łatwe")+COUNTIF('T3'!$AB23,"za łatwe")+COUNTIF('T4'!$AB23,"za łatwe"))-0.05*(COUNTIF('T1'!$AB23,"za trudne")+COUNTIF('T2'!$AB23,"za trudne")+COUNTIF('T3'!$AB23,"za trudne")+COUNTIF('T4'!$AB23,"za trudne"))))</f>
        <v>1</v>
      </c>
      <c r="AD23" s="5">
        <f t="shared" ref="AD23:AD34" si="8">IF(OR($Q23="masa ciała",$Q23="czas",$Q23="dystans",$Q23="ręczne ustawienie"),MAX(-3,MIN(3,ROUND(($AC23-1)/0.05,0))),0)</f>
        <v>0</v>
      </c>
    </row>
    <row r="24" ht="25.5" customHeight="1" outlineLevel="1">
      <c r="A24" s="18" t="str">
        <f>IF('T1'!$A24="","",'T1'!$A24)</f>
        <v>B1.</v>
      </c>
      <c r="B24" s="30"/>
      <c r="C24" s="31" t="str">
        <f>IF('T1'!$C24="","",'T1'!$C24)</f>
        <v/>
      </c>
      <c r="D24" s="32">
        <v>3.0</v>
      </c>
      <c r="E24" s="39">
        <f>IF($C24="",0,MIN(15,MAX(1,IF(N($O24)&gt;=1,6,IF(N($O24)&gt;=0.75,IF(PRZEL_CZESC="część 1 (objętość)",8,6),IF(PRZEL_CZESC="część 1 (objętość)",10,8)))+1+$AD24)))</f>
        <v>0</v>
      </c>
      <c r="F24" s="33">
        <v>9.0</v>
      </c>
      <c r="G24" s="34" t="str">
        <f>IF($C24="","",IF(OR($Q24="masa ciała",$Q24="czas",$Q24="dystans",$Q24="ręczne ustawienie"),$Q24,IF($C24='T1'!$C24,IF(AND(LEFT($A24,1)&lt;&gt;"A",PRZEL_AKCESORIA="trzymaj z bloku"),IF(NOT(ISNUMBER('T4'!$G24)),'T4'!$G24,MROUND('T4'!$G24*$AC24/(MAX('T4'!$AC24,0.0001)),MAX($P24,0.5))),IF(OR($R24="",$R24=0),"— brak 1RM",MROUND($R24*$S24/100*$AC24,MAX($P24,0.5)))),IF(OR($AA24="",$AA24=0),"— ustaw ręcznie",MROUND($AA24*$S24/100*$AC24,MAX($P24,0.5))))))</f>
        <v/>
      </c>
      <c r="H24" s="35"/>
      <c r="I24" s="36" t="str">
        <f t="array" ref="I24">IFERROR(IF(IFERROR(INDEX(BAZA_FILM,MATCH($C24,BAZA_EX,0)),"")="","",HYPERLINK(IFERROR(INDEX(BAZA_FILM,MATCH($C24,BAZA_EX,0)),""),"film")),"")</f>
        <v/>
      </c>
      <c r="J24" s="37" t="str">
        <f>IF('T1'!$J24="","",'T1'!$J24)</f>
        <v/>
      </c>
      <c r="K24" s="5" t="s">
        <v>75</v>
      </c>
      <c r="L24" s="5" t="str">
        <f t="array" ref="L24">IFERROR(INDEX(BAZA_ID,MATCH($C24,BAZA_EX,0)),"")</f>
        <v/>
      </c>
      <c r="M24" s="5" t="str">
        <f t="array" ref="M24">IFERROR(INDEX(BAZA_PART,MATCH($C24,BAZA_EX,0)),"")</f>
        <v/>
      </c>
      <c r="N24" s="5" t="str">
        <f t="array" ref="N24">IFERROR(INDEX(BAZA_KAT,MATCH($C24,BAZA_EX,0)),"")</f>
        <v/>
      </c>
      <c r="O24" s="5" t="str">
        <f t="array" ref="O24">IFERROR(INDEX(BAZA_COEFF,MATCH($C24,BAZA_EX,0)),"")</f>
        <v/>
      </c>
      <c r="P24" s="5" t="str">
        <f t="array" ref="P24">IFERROR(INDEX(BAZA_SKOK,MATCH($C24,BAZA_EX,0)),"")</f>
        <v/>
      </c>
      <c r="Q24" s="5" t="str">
        <f t="array" ref="Q24">IFERROR(INDEX(BAZA_PROG,MATCH($C24,BAZA_EX,0)),"")</f>
        <v/>
      </c>
      <c r="R24" s="5" t="str">
        <f>IF($C24="","",IF(SUMPRODUCT((START!$B$6:$B$69=$C24)*(START!$M$6:$M$69&gt;0))=0,"",SUMPRODUCT(MAX((START!$B$6:$B$69=$C24)*START!$M$6:$M$69))))</f>
        <v/>
      </c>
      <c r="S24" s="5" t="str">
        <f t="array" ref="S24">IFERROR(INDEX(TABELE!$B$4:$J$18,MATCH($E24,TABELE!$A$4:$A$18,0),MATCH($F24,TABELE!$B$3:$J$3,0)),"")</f>
        <v/>
      </c>
      <c r="T24" s="5">
        <f t="array" ref="T24">IFERROR(IF($C24="",0,$O24*$D24*INDEX(TABELE!$B$23:$P$33,MATCH($F24,TABELE!$A$23:$A$33,0),MATCH($E24,TABELE!$B$22:$P$22,0))),0)</f>
        <v>0</v>
      </c>
      <c r="U24" s="5">
        <f t="array" ref="U24">IFERROR(IF($C24="",0,$O24*$D24*INDEX(TABELE!$B$37:$P$47,MATCH($F24,TABELE!$A$37:$A$47,0),MATCH($E24,TABELE!$B$36:$P$36,0))),0)</f>
        <v>0</v>
      </c>
      <c r="V24" s="5">
        <f t="array" ref="V24">IFERROR(IF($C24="",0,$O24*$D24*INDEX(TABELE!$B$51:$P$61,MATCH($F24,TABELE!$A$51:$A$61,0),MATCH($E24,TABELE!$B$50:$P$50,0))),0)</f>
        <v>0</v>
      </c>
      <c r="W24" s="5" t="str">
        <f t="array" ref="W24">IFERROR(INDEX(BAZA_UWAGI,MATCH($C24,BAZA_EX,0)),"")</f>
        <v/>
      </c>
      <c r="X24" s="5">
        <f t="shared" si="6"/>
        <v>2</v>
      </c>
      <c r="Y24" s="5" t="str">
        <f t="shared" ref="Y24:Y34" si="9">IF($A24="",$Y23,LEFT($A24,1))</f>
        <v>B</v>
      </c>
      <c r="Z24" s="5">
        <f t="shared" ref="Z24:Z34" si="10">IF($A24="",$Z23,IF(LEFT($A24,1)=$Y23,$Z23,$Z23+1))</f>
        <v>2</v>
      </c>
      <c r="AA24" s="5" t="str">
        <f>IF($C24="","",IF(SUMPRODUCT((START!$B$6:$B$69=$C24)*(START!$M$6:$M$69&gt;0))=0,"",SUMPRODUCT(MAX((START!$B$6:$B$69=$C24)*START!$M$6:$M$69))))</f>
        <v/>
      </c>
      <c r="AB24" s="5" t="str">
        <f t="shared" si="7"/>
        <v/>
      </c>
      <c r="AC24" s="5">
        <f>MAX(0.85,MIN(1.15,1+0.05*(COUNTIF('T1'!$AB24,"za łatwe")+COUNTIF('T2'!$AB24,"za łatwe")+COUNTIF('T3'!$AB24,"za łatwe")+COUNTIF('T4'!$AB24,"za łatwe"))-0.05*(COUNTIF('T1'!$AB24,"za trudne")+COUNTIF('T2'!$AB24,"za trudne")+COUNTIF('T3'!$AB24,"za trudne")+COUNTIF('T4'!$AB24,"za trudne"))))</f>
        <v>1</v>
      </c>
      <c r="AD24" s="5">
        <f t="shared" si="8"/>
        <v>0</v>
      </c>
    </row>
    <row r="25" ht="25.5" customHeight="1" outlineLevel="1">
      <c r="A25" s="18" t="str">
        <f>IF('T1'!$A25="","",'T1'!$A25)</f>
        <v>B2.</v>
      </c>
      <c r="B25" s="30"/>
      <c r="C25" s="31" t="str">
        <f>IF('T1'!$C25="","",'T1'!$C25)</f>
        <v/>
      </c>
      <c r="D25" s="32">
        <v>3.0</v>
      </c>
      <c r="E25" s="39">
        <f>IF($C25="",0,MIN(15,MAX(1,IF(N($O25)&gt;=1,6,IF(N($O25)&gt;=0.75,IF(PRZEL_CZESC="część 1 (objętość)",8,6),IF(PRZEL_CZESC="część 1 (objętość)",10,8)))+1+$AD25)))</f>
        <v>0</v>
      </c>
      <c r="F25" s="33">
        <v>9.0</v>
      </c>
      <c r="G25" s="34" t="str">
        <f>IF($C25="","",IF(OR($Q25="masa ciała",$Q25="czas",$Q25="dystans",$Q25="ręczne ustawienie"),$Q25,IF($C25='T1'!$C25,IF(AND(LEFT($A25,1)&lt;&gt;"A",PRZEL_AKCESORIA="trzymaj z bloku"),IF(NOT(ISNUMBER('T4'!$G25)),'T4'!$G25,MROUND('T4'!$G25*$AC25/(MAX('T4'!$AC25,0.0001)),MAX($P25,0.5))),IF(OR($R25="",$R25=0),"— brak 1RM",MROUND($R25*$S25/100*$AC25,MAX($P25,0.5)))),IF(OR($AA25="",$AA25=0),"— ustaw ręcznie",MROUND($AA25*$S25/100*$AC25,MAX($P25,0.5))))))</f>
        <v/>
      </c>
      <c r="H25" s="35"/>
      <c r="I25" s="36" t="str">
        <f t="array" ref="I25">IFERROR(IF(IFERROR(INDEX(BAZA_FILM,MATCH($C25,BAZA_EX,0)),"")="","",HYPERLINK(IFERROR(INDEX(BAZA_FILM,MATCH($C25,BAZA_EX,0)),""),"film")),"")</f>
        <v/>
      </c>
      <c r="J25" s="37" t="str">
        <f>IF('T1'!$J25="","",'T1'!$J25)</f>
        <v/>
      </c>
      <c r="K25" s="5" t="s">
        <v>76</v>
      </c>
      <c r="L25" s="5" t="str">
        <f t="array" ref="L25">IFERROR(INDEX(BAZA_ID,MATCH($C25,BAZA_EX,0)),"")</f>
        <v/>
      </c>
      <c r="M25" s="5" t="str">
        <f t="array" ref="M25">IFERROR(INDEX(BAZA_PART,MATCH($C25,BAZA_EX,0)),"")</f>
        <v/>
      </c>
      <c r="N25" s="5" t="str">
        <f t="array" ref="N25">IFERROR(INDEX(BAZA_KAT,MATCH($C25,BAZA_EX,0)),"")</f>
        <v/>
      </c>
      <c r="O25" s="5" t="str">
        <f t="array" ref="O25">IFERROR(INDEX(BAZA_COEFF,MATCH($C25,BAZA_EX,0)),"")</f>
        <v/>
      </c>
      <c r="P25" s="5" t="str">
        <f t="array" ref="P25">IFERROR(INDEX(BAZA_SKOK,MATCH($C25,BAZA_EX,0)),"")</f>
        <v/>
      </c>
      <c r="Q25" s="5" t="str">
        <f t="array" ref="Q25">IFERROR(INDEX(BAZA_PROG,MATCH($C25,BAZA_EX,0)),"")</f>
        <v/>
      </c>
      <c r="R25" s="5" t="str">
        <f>IF($C25="","",IF(SUMPRODUCT((START!$B$6:$B$69=$C25)*(START!$M$6:$M$69&gt;0))=0,"",SUMPRODUCT(MAX((START!$B$6:$B$69=$C25)*START!$M$6:$M$69))))</f>
        <v/>
      </c>
      <c r="S25" s="5" t="str">
        <f t="array" ref="S25">IFERROR(INDEX(TABELE!$B$4:$J$18,MATCH($E25,TABELE!$A$4:$A$18,0),MATCH($F25,TABELE!$B$3:$J$3,0)),"")</f>
        <v/>
      </c>
      <c r="T25" s="5">
        <f t="array" ref="T25">IFERROR(IF($C25="",0,$O25*$D25*INDEX(TABELE!$B$23:$P$33,MATCH($F25,TABELE!$A$23:$A$33,0),MATCH($E25,TABELE!$B$22:$P$22,0))),0)</f>
        <v>0</v>
      </c>
      <c r="U25" s="5">
        <f t="array" ref="U25">IFERROR(IF($C25="",0,$O25*$D25*INDEX(TABELE!$B$37:$P$47,MATCH($F25,TABELE!$A$37:$A$47,0),MATCH($E25,TABELE!$B$36:$P$36,0))),0)</f>
        <v>0</v>
      </c>
      <c r="V25" s="5">
        <f t="array" ref="V25">IFERROR(IF($C25="",0,$O25*$D25*INDEX(TABELE!$B$51:$P$61,MATCH($F25,TABELE!$A$51:$A$61,0),MATCH($E25,TABELE!$B$50:$P$50,0))),0)</f>
        <v>0</v>
      </c>
      <c r="W25" s="5" t="str">
        <f t="array" ref="W25">IFERROR(INDEX(BAZA_UWAGI,MATCH($C25,BAZA_EX,0)),"")</f>
        <v/>
      </c>
      <c r="X25" s="5">
        <f t="shared" si="6"/>
        <v>2</v>
      </c>
      <c r="Y25" s="5" t="str">
        <f t="shared" si="9"/>
        <v>B</v>
      </c>
      <c r="Z25" s="5">
        <f t="shared" si="10"/>
        <v>2</v>
      </c>
      <c r="AA25" s="5" t="str">
        <f>IF($C25="","",IF(SUMPRODUCT((START!$B$6:$B$69=$C25)*(START!$M$6:$M$69&gt;0))=0,"",SUMPRODUCT(MAX((START!$B$6:$B$69=$C25)*START!$M$6:$M$69))))</f>
        <v/>
      </c>
      <c r="AB25" s="5" t="str">
        <f t="shared" si="7"/>
        <v/>
      </c>
      <c r="AC25" s="5">
        <f>MAX(0.85,MIN(1.15,1+0.05*(COUNTIF('T1'!$AB25,"za łatwe")+COUNTIF('T2'!$AB25,"za łatwe")+COUNTIF('T3'!$AB25,"za łatwe")+COUNTIF('T4'!$AB25,"za łatwe"))-0.05*(COUNTIF('T1'!$AB25,"za trudne")+COUNTIF('T2'!$AB25,"za trudne")+COUNTIF('T3'!$AB25,"za trudne")+COUNTIF('T4'!$AB25,"za trudne"))))</f>
        <v>1</v>
      </c>
      <c r="AD25" s="5">
        <f t="shared" si="8"/>
        <v>0</v>
      </c>
    </row>
    <row r="26" ht="25.5" customHeight="1" outlineLevel="1">
      <c r="A26" s="18" t="str">
        <f>IF('T1'!$A26="","",'T1'!$A26)</f>
        <v>C1.</v>
      </c>
      <c r="B26" s="30"/>
      <c r="C26" s="31" t="str">
        <f>IF('T1'!$C26="","",'T1'!$C26)</f>
        <v/>
      </c>
      <c r="D26" s="32">
        <v>3.0</v>
      </c>
      <c r="E26" s="39">
        <f>IF($C26="",0,MIN(15,MAX(1,IF(N($O26)&gt;=1,6,IF(N($O26)&gt;=0.75,IF(PRZEL_CZESC="część 1 (objętość)",8,6),IF(PRZEL_CZESC="część 1 (objętość)",10,8)))+1+$AD26)))</f>
        <v>0</v>
      </c>
      <c r="F26" s="33">
        <v>9.0</v>
      </c>
      <c r="G26" s="34" t="str">
        <f>IF($C26="","",IF(OR($Q26="masa ciała",$Q26="czas",$Q26="dystans",$Q26="ręczne ustawienie"),$Q26,IF($C26='T1'!$C26,IF(AND(LEFT($A26,1)&lt;&gt;"A",PRZEL_AKCESORIA="trzymaj z bloku"),IF(NOT(ISNUMBER('T4'!$G26)),'T4'!$G26,MROUND('T4'!$G26*$AC26/(MAX('T4'!$AC26,0.0001)),MAX($P26,0.5))),IF(OR($R26="",$R26=0),"— brak 1RM",MROUND($R26*$S26/100*$AC26,MAX($P26,0.5)))),IF(OR($AA26="",$AA26=0),"— ustaw ręcznie",MROUND($AA26*$S26/100*$AC26,MAX($P26,0.5))))))</f>
        <v/>
      </c>
      <c r="H26" s="35"/>
      <c r="I26" s="36" t="str">
        <f t="array" ref="I26">IFERROR(IF(IFERROR(INDEX(BAZA_FILM,MATCH($C26,BAZA_EX,0)),"")="","",HYPERLINK(IFERROR(INDEX(BAZA_FILM,MATCH($C26,BAZA_EX,0)),""),"film")),"")</f>
        <v/>
      </c>
      <c r="J26" s="37" t="str">
        <f>IF('T1'!$J26="","",'T1'!$J26)</f>
        <v/>
      </c>
      <c r="K26" s="5" t="s">
        <v>77</v>
      </c>
      <c r="L26" s="5" t="str">
        <f t="array" ref="L26">IFERROR(INDEX(BAZA_ID,MATCH($C26,BAZA_EX,0)),"")</f>
        <v/>
      </c>
      <c r="M26" s="5" t="str">
        <f t="array" ref="M26">IFERROR(INDEX(BAZA_PART,MATCH($C26,BAZA_EX,0)),"")</f>
        <v/>
      </c>
      <c r="N26" s="5" t="str">
        <f t="array" ref="N26">IFERROR(INDEX(BAZA_KAT,MATCH($C26,BAZA_EX,0)),"")</f>
        <v/>
      </c>
      <c r="O26" s="5" t="str">
        <f t="array" ref="O26">IFERROR(INDEX(BAZA_COEFF,MATCH($C26,BAZA_EX,0)),"")</f>
        <v/>
      </c>
      <c r="P26" s="5" t="str">
        <f t="array" ref="P26">IFERROR(INDEX(BAZA_SKOK,MATCH($C26,BAZA_EX,0)),"")</f>
        <v/>
      </c>
      <c r="Q26" s="5" t="str">
        <f t="array" ref="Q26">IFERROR(INDEX(BAZA_PROG,MATCH($C26,BAZA_EX,0)),"")</f>
        <v/>
      </c>
      <c r="R26" s="5" t="str">
        <f>IF($C26="","",IF(SUMPRODUCT((START!$B$6:$B$69=$C26)*(START!$M$6:$M$69&gt;0))=0,"",SUMPRODUCT(MAX((START!$B$6:$B$69=$C26)*START!$M$6:$M$69))))</f>
        <v/>
      </c>
      <c r="S26" s="5" t="str">
        <f t="array" ref="S26">IFERROR(INDEX(TABELE!$B$4:$J$18,MATCH($E26,TABELE!$A$4:$A$18,0),MATCH($F26,TABELE!$B$3:$J$3,0)),"")</f>
        <v/>
      </c>
      <c r="T26" s="5">
        <f t="array" ref="T26">IFERROR(IF($C26="",0,$O26*$D26*INDEX(TABELE!$B$23:$P$33,MATCH($F26,TABELE!$A$23:$A$33,0),MATCH($E26,TABELE!$B$22:$P$22,0))),0)</f>
        <v>0</v>
      </c>
      <c r="U26" s="5">
        <f t="array" ref="U26">IFERROR(IF($C26="",0,$O26*$D26*INDEX(TABELE!$B$37:$P$47,MATCH($F26,TABELE!$A$37:$A$47,0),MATCH($E26,TABELE!$B$36:$P$36,0))),0)</f>
        <v>0</v>
      </c>
      <c r="V26" s="5">
        <f t="array" ref="V26">IFERROR(IF($C26="",0,$O26*$D26*INDEX(TABELE!$B$51:$P$61,MATCH($F26,TABELE!$A$51:$A$61,0),MATCH($E26,TABELE!$B$50:$P$50,0))),0)</f>
        <v>0</v>
      </c>
      <c r="W26" s="5" t="str">
        <f t="array" ref="W26">IFERROR(INDEX(BAZA_UWAGI,MATCH($C26,BAZA_EX,0)),"")</f>
        <v/>
      </c>
      <c r="X26" s="5">
        <f t="shared" si="6"/>
        <v>3</v>
      </c>
      <c r="Y26" s="5" t="str">
        <f t="shared" si="9"/>
        <v>C</v>
      </c>
      <c r="Z26" s="5">
        <f t="shared" si="10"/>
        <v>3</v>
      </c>
      <c r="AA26" s="5" t="str">
        <f>IF($C26="","",IF(SUMPRODUCT((START!$B$6:$B$69=$C26)*(START!$M$6:$M$69&gt;0))=0,"",SUMPRODUCT(MAX((START!$B$6:$B$69=$C26)*START!$M$6:$M$69))))</f>
        <v/>
      </c>
      <c r="AB26" s="5" t="str">
        <f t="shared" si="7"/>
        <v/>
      </c>
      <c r="AC26" s="5">
        <f>MAX(0.85,MIN(1.15,1+0.05*(COUNTIF('T1'!$AB26,"za łatwe")+COUNTIF('T2'!$AB26,"za łatwe")+COUNTIF('T3'!$AB26,"za łatwe")+COUNTIF('T4'!$AB26,"za łatwe"))-0.05*(COUNTIF('T1'!$AB26,"za trudne")+COUNTIF('T2'!$AB26,"za trudne")+COUNTIF('T3'!$AB26,"za trudne")+COUNTIF('T4'!$AB26,"za trudne"))))</f>
        <v>1</v>
      </c>
      <c r="AD26" s="5">
        <f t="shared" si="8"/>
        <v>0</v>
      </c>
    </row>
    <row r="27" ht="25.5" customHeight="1" outlineLevel="1">
      <c r="A27" s="18" t="str">
        <f>IF('T1'!$A27="","",'T1'!$A27)</f>
        <v>C2.</v>
      </c>
      <c r="B27" s="30"/>
      <c r="C27" s="31" t="str">
        <f>IF('T1'!$C27="","",'T1'!$C27)</f>
        <v/>
      </c>
      <c r="D27" s="32">
        <v>3.0</v>
      </c>
      <c r="E27" s="39">
        <f>IF($C27="",0,MIN(15,MAX(1,IF(N($O27)&gt;=1,6,IF(N($O27)&gt;=0.75,IF(PRZEL_CZESC="część 1 (objętość)",8,6),IF(PRZEL_CZESC="część 1 (objętość)",10,8)))+1+$AD27)))</f>
        <v>0</v>
      </c>
      <c r="F27" s="33">
        <v>10.0</v>
      </c>
      <c r="G27" s="34" t="str">
        <f>IF($C27="","",IF(OR($Q27="masa ciała",$Q27="czas",$Q27="dystans",$Q27="ręczne ustawienie"),$Q27,IF($C27='T1'!$C27,IF(AND(LEFT($A27,1)&lt;&gt;"A",PRZEL_AKCESORIA="trzymaj z bloku"),IF(NOT(ISNUMBER('T4'!$G27)),'T4'!$G27,MROUND('T4'!$G27*$AC27/(MAX('T4'!$AC27,0.0001)),MAX($P27,0.5))),IF(OR($R27="",$R27=0),"— brak 1RM",MROUND($R27*$S27/100*$AC27,MAX($P27,0.5)))),IF(OR($AA27="",$AA27=0),"— ustaw ręcznie",MROUND($AA27*$S27/100*$AC27,MAX($P27,0.5))))))</f>
        <v/>
      </c>
      <c r="H27" s="35"/>
      <c r="I27" s="36" t="str">
        <f t="array" ref="I27">IFERROR(IF(IFERROR(INDEX(BAZA_FILM,MATCH($C27,BAZA_EX,0)),"")="","",HYPERLINK(IFERROR(INDEX(BAZA_FILM,MATCH($C27,BAZA_EX,0)),""),"film")),"")</f>
        <v/>
      </c>
      <c r="J27" s="37" t="str">
        <f>IF('T1'!$J27="","",'T1'!$J27)</f>
        <v/>
      </c>
      <c r="K27" s="5" t="s">
        <v>79</v>
      </c>
      <c r="L27" s="5" t="str">
        <f t="array" ref="L27">IFERROR(INDEX(BAZA_ID,MATCH($C27,BAZA_EX,0)),"")</f>
        <v/>
      </c>
      <c r="M27" s="5" t="str">
        <f t="array" ref="M27">IFERROR(INDEX(BAZA_PART,MATCH($C27,BAZA_EX,0)),"")</f>
        <v/>
      </c>
      <c r="N27" s="5" t="str">
        <f t="array" ref="N27">IFERROR(INDEX(BAZA_KAT,MATCH($C27,BAZA_EX,0)),"")</f>
        <v/>
      </c>
      <c r="O27" s="5" t="str">
        <f t="array" ref="O27">IFERROR(INDEX(BAZA_COEFF,MATCH($C27,BAZA_EX,0)),"")</f>
        <v/>
      </c>
      <c r="P27" s="5" t="str">
        <f t="array" ref="P27">IFERROR(INDEX(BAZA_SKOK,MATCH($C27,BAZA_EX,0)),"")</f>
        <v/>
      </c>
      <c r="Q27" s="5" t="str">
        <f t="array" ref="Q27">IFERROR(INDEX(BAZA_PROG,MATCH($C27,BAZA_EX,0)),"")</f>
        <v/>
      </c>
      <c r="R27" s="5" t="str">
        <f>IF($C27="","",IF(SUMPRODUCT((START!$B$6:$B$69=$C27)*(START!$M$6:$M$69&gt;0))=0,"",SUMPRODUCT(MAX((START!$B$6:$B$69=$C27)*START!$M$6:$M$69))))</f>
        <v/>
      </c>
      <c r="S27" s="5" t="str">
        <f t="array" ref="S27">IFERROR(INDEX(TABELE!$B$4:$J$18,MATCH($E27,TABELE!$A$4:$A$18,0),MATCH($F27,TABELE!$B$3:$J$3,0)),"")</f>
        <v/>
      </c>
      <c r="T27" s="5">
        <f t="array" ref="T27">IFERROR(IF($C27="",0,$O27*$D27*INDEX(TABELE!$B$23:$P$33,MATCH($F27,TABELE!$A$23:$A$33,0),MATCH($E27,TABELE!$B$22:$P$22,0))),0)</f>
        <v>0</v>
      </c>
      <c r="U27" s="5">
        <f t="array" ref="U27">IFERROR(IF($C27="",0,$O27*$D27*INDEX(TABELE!$B$37:$P$47,MATCH($F27,TABELE!$A$37:$A$47,0),MATCH($E27,TABELE!$B$36:$P$36,0))),0)</f>
        <v>0</v>
      </c>
      <c r="V27" s="5">
        <f t="array" ref="V27">IFERROR(IF($C27="",0,$O27*$D27*INDEX(TABELE!$B$51:$P$61,MATCH($F27,TABELE!$A$51:$A$61,0),MATCH($E27,TABELE!$B$50:$P$50,0))),0)</f>
        <v>0</v>
      </c>
      <c r="W27" s="5" t="str">
        <f t="array" ref="W27">IFERROR(INDEX(BAZA_UWAGI,MATCH($C27,BAZA_EX,0)),"")</f>
        <v/>
      </c>
      <c r="X27" s="5">
        <f t="shared" si="6"/>
        <v>3</v>
      </c>
      <c r="Y27" s="5" t="str">
        <f t="shared" si="9"/>
        <v>C</v>
      </c>
      <c r="Z27" s="5">
        <f t="shared" si="10"/>
        <v>3</v>
      </c>
      <c r="AA27" s="5" t="str">
        <f>IF($C27="","",IF(SUMPRODUCT((START!$B$6:$B$69=$C27)*(START!$M$6:$M$69&gt;0))=0,"",SUMPRODUCT(MAX((START!$B$6:$B$69=$C27)*START!$M$6:$M$69))))</f>
        <v/>
      </c>
      <c r="AB27" s="5" t="str">
        <f t="shared" si="7"/>
        <v/>
      </c>
      <c r="AC27" s="5">
        <f>MAX(0.85,MIN(1.15,1+0.05*(COUNTIF('T1'!$AB27,"za łatwe")+COUNTIF('T2'!$AB27,"za łatwe")+COUNTIF('T3'!$AB27,"za łatwe")+COUNTIF('T4'!$AB27,"za łatwe"))-0.05*(COUNTIF('T1'!$AB27,"za trudne")+COUNTIF('T2'!$AB27,"za trudne")+COUNTIF('T3'!$AB27,"za trudne")+COUNTIF('T4'!$AB27,"za trudne"))))</f>
        <v>1</v>
      </c>
      <c r="AD27" s="5">
        <f t="shared" si="8"/>
        <v>0</v>
      </c>
    </row>
    <row r="28" ht="25.5" customHeight="1" outlineLevel="1">
      <c r="A28" s="18" t="str">
        <f>IF('T1'!$A28="","",'T1'!$A28)</f>
        <v>D1.</v>
      </c>
      <c r="B28" s="30"/>
      <c r="C28" s="31" t="str">
        <f>IF('T1'!$C28="","",'T1'!$C28)</f>
        <v/>
      </c>
      <c r="D28" s="32">
        <v>3.0</v>
      </c>
      <c r="E28" s="39">
        <f>IF($C28="",0,MIN(15,MAX(1,IF(N($O28)&gt;=1,6,IF(N($O28)&gt;=0.75,IF(PRZEL_CZESC="część 1 (objętość)",8,6),IF(PRZEL_CZESC="część 1 (objętość)",10,8)))+1+$AD28)))</f>
        <v>0</v>
      </c>
      <c r="F28" s="33">
        <v>9.0</v>
      </c>
      <c r="G28" s="34" t="str">
        <f>IF($C28="","",IF(OR($Q28="masa ciała",$Q28="czas",$Q28="dystans",$Q28="ręczne ustawienie"),$Q28,IF($C28='T1'!$C28,IF(AND(LEFT($A28,1)&lt;&gt;"A",PRZEL_AKCESORIA="trzymaj z bloku"),IF(NOT(ISNUMBER('T4'!$G28)),'T4'!$G28,MROUND('T4'!$G28*$AC28/(MAX('T4'!$AC28,0.0001)),MAX($P28,0.5))),IF(OR($R28="",$R28=0),"— brak 1RM",MROUND($R28*$S28/100*$AC28,MAX($P28,0.5)))),IF(OR($AA28="",$AA28=0),"— ustaw ręcznie",MROUND($AA28*$S28/100*$AC28,MAX($P28,0.5))))))</f>
        <v/>
      </c>
      <c r="H28" s="35"/>
      <c r="I28" s="36" t="str">
        <f t="array" ref="I28">IFERROR(IF(IFERROR(INDEX(BAZA_FILM,MATCH($C28,BAZA_EX,0)),"")="","",HYPERLINK(IFERROR(INDEX(BAZA_FILM,MATCH($C28,BAZA_EX,0)),""),"film")),"")</f>
        <v/>
      </c>
      <c r="J28" s="37" t="str">
        <f>IF('T1'!$J28="","",'T1'!$J28)</f>
        <v/>
      </c>
      <c r="K28" s="5" t="s">
        <v>80</v>
      </c>
      <c r="L28" s="5" t="str">
        <f t="array" ref="L28">IFERROR(INDEX(BAZA_ID,MATCH($C28,BAZA_EX,0)),"")</f>
        <v/>
      </c>
      <c r="M28" s="5" t="str">
        <f t="array" ref="M28">IFERROR(INDEX(BAZA_PART,MATCH($C28,BAZA_EX,0)),"")</f>
        <v/>
      </c>
      <c r="N28" s="5" t="str">
        <f t="array" ref="N28">IFERROR(INDEX(BAZA_KAT,MATCH($C28,BAZA_EX,0)),"")</f>
        <v/>
      </c>
      <c r="O28" s="5" t="str">
        <f t="array" ref="O28">IFERROR(INDEX(BAZA_COEFF,MATCH($C28,BAZA_EX,0)),"")</f>
        <v/>
      </c>
      <c r="P28" s="5" t="str">
        <f t="array" ref="P28">IFERROR(INDEX(BAZA_SKOK,MATCH($C28,BAZA_EX,0)),"")</f>
        <v/>
      </c>
      <c r="Q28" s="5" t="str">
        <f t="array" ref="Q28">IFERROR(INDEX(BAZA_PROG,MATCH($C28,BAZA_EX,0)),"")</f>
        <v/>
      </c>
      <c r="R28" s="5" t="str">
        <f>IF($C28="","",IF(SUMPRODUCT((START!$B$6:$B$69=$C28)*(START!$M$6:$M$69&gt;0))=0,"",SUMPRODUCT(MAX((START!$B$6:$B$69=$C28)*START!$M$6:$M$69))))</f>
        <v/>
      </c>
      <c r="S28" s="5" t="str">
        <f t="array" ref="S28">IFERROR(INDEX(TABELE!$B$4:$J$18,MATCH($E28,TABELE!$A$4:$A$18,0),MATCH($F28,TABELE!$B$3:$J$3,0)),"")</f>
        <v/>
      </c>
      <c r="T28" s="5">
        <f t="array" ref="T28">IFERROR(IF($C28="",0,$O28*$D28*INDEX(TABELE!$B$23:$P$33,MATCH($F28,TABELE!$A$23:$A$33,0),MATCH($E28,TABELE!$B$22:$P$22,0))),0)</f>
        <v>0</v>
      </c>
      <c r="U28" s="5">
        <f t="array" ref="U28">IFERROR(IF($C28="",0,$O28*$D28*INDEX(TABELE!$B$37:$P$47,MATCH($F28,TABELE!$A$37:$A$47,0),MATCH($E28,TABELE!$B$36:$P$36,0))),0)</f>
        <v>0</v>
      </c>
      <c r="V28" s="5">
        <f t="array" ref="V28">IFERROR(IF($C28="",0,$O28*$D28*INDEX(TABELE!$B$51:$P$61,MATCH($F28,TABELE!$A$51:$A$61,0),MATCH($E28,TABELE!$B$50:$P$50,0))),0)</f>
        <v>0</v>
      </c>
      <c r="W28" s="5" t="str">
        <f t="array" ref="W28">IFERROR(INDEX(BAZA_UWAGI,MATCH($C28,BAZA_EX,0)),"")</f>
        <v/>
      </c>
      <c r="X28" s="5">
        <f t="shared" si="6"/>
        <v>4</v>
      </c>
      <c r="Y28" s="5" t="str">
        <f t="shared" si="9"/>
        <v>D</v>
      </c>
      <c r="Z28" s="5">
        <f t="shared" si="10"/>
        <v>4</v>
      </c>
      <c r="AA28" s="5" t="str">
        <f>IF($C28="","",IF(SUMPRODUCT((START!$B$6:$B$69=$C28)*(START!$M$6:$M$69&gt;0))=0,"",SUMPRODUCT(MAX((START!$B$6:$B$69=$C28)*START!$M$6:$M$69))))</f>
        <v/>
      </c>
      <c r="AB28" s="5" t="str">
        <f t="shared" si="7"/>
        <v/>
      </c>
      <c r="AC28" s="5">
        <f>MAX(0.85,MIN(1.15,1+0.05*(COUNTIF('T1'!$AB28,"za łatwe")+COUNTIF('T2'!$AB28,"za łatwe")+COUNTIF('T3'!$AB28,"za łatwe")+COUNTIF('T4'!$AB28,"za łatwe"))-0.05*(COUNTIF('T1'!$AB28,"za trudne")+COUNTIF('T2'!$AB28,"za trudne")+COUNTIF('T3'!$AB28,"za trudne")+COUNTIF('T4'!$AB28,"za trudne"))))</f>
        <v>1</v>
      </c>
      <c r="AD28" s="5">
        <f t="shared" si="8"/>
        <v>0</v>
      </c>
    </row>
    <row r="29" ht="25.5" customHeight="1" outlineLevel="1">
      <c r="A29" s="18" t="str">
        <f>IF('T1'!$A29="","",'T1'!$A29)</f>
        <v>D2.</v>
      </c>
      <c r="B29" s="30"/>
      <c r="C29" s="31" t="str">
        <f>IF('T1'!$C29="","",'T1'!$C29)</f>
        <v/>
      </c>
      <c r="D29" s="32">
        <v>3.0</v>
      </c>
      <c r="E29" s="39">
        <f>IF($C29="",0,MIN(15,MAX(1,IF(N($O29)&gt;=1,6,IF(N($O29)&gt;=0.75,IF(PRZEL_CZESC="część 1 (objętość)",8,6),IF(PRZEL_CZESC="część 1 (objętość)",10,8)))+1+$AD29)))</f>
        <v>0</v>
      </c>
      <c r="F29" s="33">
        <v>10.0</v>
      </c>
      <c r="G29" s="34" t="str">
        <f>IF($C29="","",IF(OR($Q29="masa ciała",$Q29="czas",$Q29="dystans",$Q29="ręczne ustawienie"),$Q29,IF($C29='T1'!$C29,IF(AND(LEFT($A29,1)&lt;&gt;"A",PRZEL_AKCESORIA="trzymaj z bloku"),IF(NOT(ISNUMBER('T4'!$G29)),'T4'!$G29,MROUND('T4'!$G29*$AC29/(MAX('T4'!$AC29,0.0001)),MAX($P29,0.5))),IF(OR($R29="",$R29=0),"— brak 1RM",MROUND($R29*$S29/100*$AC29,MAX($P29,0.5)))),IF(OR($AA29="",$AA29=0),"— ustaw ręcznie",MROUND($AA29*$S29/100*$AC29,MAX($P29,0.5))))))</f>
        <v/>
      </c>
      <c r="H29" s="35"/>
      <c r="I29" s="36" t="str">
        <f t="array" ref="I29">IFERROR(IF(IFERROR(INDEX(BAZA_FILM,MATCH($C29,BAZA_EX,0)),"")="","",HYPERLINK(IFERROR(INDEX(BAZA_FILM,MATCH($C29,BAZA_EX,0)),""),"film")),"")</f>
        <v/>
      </c>
      <c r="J29" s="37" t="str">
        <f>IF('T1'!$J29="","",'T1'!$J29)</f>
        <v/>
      </c>
      <c r="K29" s="5" t="s">
        <v>81</v>
      </c>
      <c r="L29" s="5" t="str">
        <f t="array" ref="L29">IFERROR(INDEX(BAZA_ID,MATCH($C29,BAZA_EX,0)),"")</f>
        <v/>
      </c>
      <c r="M29" s="5" t="str">
        <f t="array" ref="M29">IFERROR(INDEX(BAZA_PART,MATCH($C29,BAZA_EX,0)),"")</f>
        <v/>
      </c>
      <c r="N29" s="5" t="str">
        <f t="array" ref="N29">IFERROR(INDEX(BAZA_KAT,MATCH($C29,BAZA_EX,0)),"")</f>
        <v/>
      </c>
      <c r="O29" s="5" t="str">
        <f t="array" ref="O29">IFERROR(INDEX(BAZA_COEFF,MATCH($C29,BAZA_EX,0)),"")</f>
        <v/>
      </c>
      <c r="P29" s="5" t="str">
        <f t="array" ref="P29">IFERROR(INDEX(BAZA_SKOK,MATCH($C29,BAZA_EX,0)),"")</f>
        <v/>
      </c>
      <c r="Q29" s="5" t="str">
        <f t="array" ref="Q29">IFERROR(INDEX(BAZA_PROG,MATCH($C29,BAZA_EX,0)),"")</f>
        <v/>
      </c>
      <c r="R29" s="5" t="str">
        <f>IF($C29="","",IF(SUMPRODUCT((START!$B$6:$B$69=$C29)*(START!$M$6:$M$69&gt;0))=0,"",SUMPRODUCT(MAX((START!$B$6:$B$69=$C29)*START!$M$6:$M$69))))</f>
        <v/>
      </c>
      <c r="S29" s="5" t="str">
        <f t="array" ref="S29">IFERROR(INDEX(TABELE!$B$4:$J$18,MATCH($E29,TABELE!$A$4:$A$18,0),MATCH($F29,TABELE!$B$3:$J$3,0)),"")</f>
        <v/>
      </c>
      <c r="T29" s="5">
        <f t="array" ref="T29">IFERROR(IF($C29="",0,$O29*$D29*INDEX(TABELE!$B$23:$P$33,MATCH($F29,TABELE!$A$23:$A$33,0),MATCH($E29,TABELE!$B$22:$P$22,0))),0)</f>
        <v>0</v>
      </c>
      <c r="U29" s="5">
        <f t="array" ref="U29">IFERROR(IF($C29="",0,$O29*$D29*INDEX(TABELE!$B$37:$P$47,MATCH($F29,TABELE!$A$37:$A$47,0),MATCH($E29,TABELE!$B$36:$P$36,0))),0)</f>
        <v>0</v>
      </c>
      <c r="V29" s="5">
        <f t="array" ref="V29">IFERROR(IF($C29="",0,$O29*$D29*INDEX(TABELE!$B$51:$P$61,MATCH($F29,TABELE!$A$51:$A$61,0),MATCH($E29,TABELE!$B$50:$P$50,0))),0)</f>
        <v>0</v>
      </c>
      <c r="W29" s="5" t="str">
        <f t="array" ref="W29">IFERROR(INDEX(BAZA_UWAGI,MATCH($C29,BAZA_EX,0)),"")</f>
        <v/>
      </c>
      <c r="X29" s="5">
        <f t="shared" si="6"/>
        <v>4</v>
      </c>
      <c r="Y29" s="5" t="str">
        <f t="shared" si="9"/>
        <v>D</v>
      </c>
      <c r="Z29" s="5">
        <f t="shared" si="10"/>
        <v>4</v>
      </c>
      <c r="AA29" s="5" t="str">
        <f>IF($C29="","",IF(SUMPRODUCT((START!$B$6:$B$69=$C29)*(START!$M$6:$M$69&gt;0))=0,"",SUMPRODUCT(MAX((START!$B$6:$B$69=$C29)*START!$M$6:$M$69))))</f>
        <v/>
      </c>
      <c r="AB29" s="5" t="str">
        <f t="shared" si="7"/>
        <v/>
      </c>
      <c r="AC29" s="5">
        <f>MAX(0.85,MIN(1.15,1+0.05*(COUNTIF('T1'!$AB29,"za łatwe")+COUNTIF('T2'!$AB29,"za łatwe")+COUNTIF('T3'!$AB29,"za łatwe")+COUNTIF('T4'!$AB29,"za łatwe"))-0.05*(COUNTIF('T1'!$AB29,"za trudne")+COUNTIF('T2'!$AB29,"za trudne")+COUNTIF('T3'!$AB29,"za trudne")+COUNTIF('T4'!$AB29,"za trudne"))))</f>
        <v>1</v>
      </c>
      <c r="AD29" s="5">
        <f t="shared" si="8"/>
        <v>0</v>
      </c>
    </row>
    <row r="30" ht="25.5" customHeight="1" outlineLevel="1">
      <c r="A30" s="18" t="str">
        <f>IF('T1'!$A30="","",'T1'!$A30)</f>
        <v>E1.</v>
      </c>
      <c r="B30" s="30"/>
      <c r="C30" s="31" t="str">
        <f>IF('T1'!$C30="","",'T1'!$C30)</f>
        <v/>
      </c>
      <c r="D30" s="32"/>
      <c r="E30" s="39">
        <f>IF($C30="",0,MIN(15,MAX(1,IF(N($O30)&gt;=1,6,IF(N($O30)&gt;=0.75,IF(PRZEL_CZESC="część 1 (objętość)",8,6),IF(PRZEL_CZESC="część 1 (objętość)",10,8)))+1+$AD30)))</f>
        <v>0</v>
      </c>
      <c r="F30" s="33"/>
      <c r="G30" s="34" t="str">
        <f>IF($C30="","",IF(OR($Q30="masa ciała",$Q30="czas",$Q30="dystans",$Q30="ręczne ustawienie"),$Q30,IF($C30='T1'!$C30,IF(AND(LEFT($A30,1)&lt;&gt;"A",PRZEL_AKCESORIA="trzymaj z bloku"),IF(NOT(ISNUMBER('T4'!$G30)),'T4'!$G30,MROUND('T4'!$G30*$AC30/(MAX('T4'!$AC30,0.0001)),MAX($P30,0.5))),IF(OR($R30="",$R30=0),"— brak 1RM",MROUND($R30*$S30/100*$AC30,MAX($P30,0.5)))),IF(OR($AA30="",$AA30=0),"— ustaw ręcznie",MROUND($AA30*$S30/100*$AC30,MAX($P30,0.5))))))</f>
        <v/>
      </c>
      <c r="H30" s="35"/>
      <c r="I30" s="36" t="str">
        <f t="array" ref="I30">IFERROR(IF(IFERROR(INDEX(BAZA_FILM,MATCH($C30,BAZA_EX,0)),"")="","",HYPERLINK(IFERROR(INDEX(BAZA_FILM,MATCH($C30,BAZA_EX,0)),""),"film")),"")</f>
        <v/>
      </c>
      <c r="J30" s="37" t="str">
        <f>IF('T1'!$J30="","",'T1'!$J30)</f>
        <v/>
      </c>
      <c r="K30" s="5" t="s">
        <v>82</v>
      </c>
      <c r="L30" s="5" t="str">
        <f t="array" ref="L30">IFERROR(INDEX(BAZA_ID,MATCH($C30,BAZA_EX,0)),"")</f>
        <v/>
      </c>
      <c r="M30" s="5" t="str">
        <f t="array" ref="M30">IFERROR(INDEX(BAZA_PART,MATCH($C30,BAZA_EX,0)),"")</f>
        <v/>
      </c>
      <c r="N30" s="5" t="str">
        <f t="array" ref="N30">IFERROR(INDEX(BAZA_KAT,MATCH($C30,BAZA_EX,0)),"")</f>
        <v/>
      </c>
      <c r="O30" s="5" t="str">
        <f t="array" ref="O30">IFERROR(INDEX(BAZA_COEFF,MATCH($C30,BAZA_EX,0)),"")</f>
        <v/>
      </c>
      <c r="P30" s="5" t="str">
        <f t="array" ref="P30">IFERROR(INDEX(BAZA_SKOK,MATCH($C30,BAZA_EX,0)),"")</f>
        <v/>
      </c>
      <c r="Q30" s="5" t="str">
        <f t="array" ref="Q30">IFERROR(INDEX(BAZA_PROG,MATCH($C30,BAZA_EX,0)),"")</f>
        <v/>
      </c>
      <c r="R30" s="5" t="str">
        <f>IF($C30="","",IF(SUMPRODUCT((START!$B$6:$B$69=$C30)*(START!$M$6:$M$69&gt;0))=0,"",SUMPRODUCT(MAX((START!$B$6:$B$69=$C30)*START!$M$6:$M$69))))</f>
        <v/>
      </c>
      <c r="S30" s="5" t="str">
        <f t="array" ref="S30">IFERROR(INDEX(TABELE!$B$4:$J$18,MATCH($E30,TABELE!$A$4:$A$18,0),MATCH($F30,TABELE!$B$3:$J$3,0)),"")</f>
        <v/>
      </c>
      <c r="T30" s="5">
        <f t="array" ref="T30">IFERROR(IF($C30="",0,$O30*$D30*INDEX(TABELE!$B$23:$P$33,MATCH($F30,TABELE!$A$23:$A$33,0),MATCH($E30,TABELE!$B$22:$P$22,0))),0)</f>
        <v>0</v>
      </c>
      <c r="U30" s="5">
        <f t="array" ref="U30">IFERROR(IF($C30="",0,$O30*$D30*INDEX(TABELE!$B$37:$P$47,MATCH($F30,TABELE!$A$37:$A$47,0),MATCH($E30,TABELE!$B$36:$P$36,0))),0)</f>
        <v>0</v>
      </c>
      <c r="V30" s="5">
        <f t="array" ref="V30">IFERROR(IF($C30="",0,$O30*$D30*INDEX(TABELE!$B$51:$P$61,MATCH($F30,TABELE!$A$51:$A$61,0),MATCH($E30,TABELE!$B$50:$P$50,0))),0)</f>
        <v>0</v>
      </c>
      <c r="W30" s="5" t="str">
        <f t="array" ref="W30">IFERROR(INDEX(BAZA_UWAGI,MATCH($C30,BAZA_EX,0)),"")</f>
        <v/>
      </c>
      <c r="X30" s="5">
        <f t="shared" si="6"/>
        <v>5</v>
      </c>
      <c r="Y30" s="5" t="str">
        <f t="shared" si="9"/>
        <v>E</v>
      </c>
      <c r="Z30" s="5">
        <f t="shared" si="10"/>
        <v>5</v>
      </c>
      <c r="AA30" s="5" t="str">
        <f>IF($C30="","",IF(SUMPRODUCT((START!$B$6:$B$69=$C30)*(START!$M$6:$M$69&gt;0))=0,"",SUMPRODUCT(MAX((START!$B$6:$B$69=$C30)*START!$M$6:$M$69))))</f>
        <v/>
      </c>
      <c r="AB30" s="5" t="str">
        <f t="shared" si="7"/>
        <v/>
      </c>
      <c r="AC30" s="5">
        <f>MAX(0.85,MIN(1.15,1+0.05*(COUNTIF('T1'!$AB30,"za łatwe")+COUNTIF('T2'!$AB30,"za łatwe")+COUNTIF('T3'!$AB30,"za łatwe")+COUNTIF('T4'!$AB30,"za łatwe"))-0.05*(COUNTIF('T1'!$AB30,"za trudne")+COUNTIF('T2'!$AB30,"za trudne")+COUNTIF('T3'!$AB30,"za trudne")+COUNTIF('T4'!$AB30,"za trudne"))))</f>
        <v>1</v>
      </c>
      <c r="AD30" s="5">
        <f t="shared" si="8"/>
        <v>0</v>
      </c>
    </row>
    <row r="31" ht="25.5" customHeight="1" outlineLevel="1">
      <c r="A31" s="18" t="str">
        <f>IF('T1'!$A31="","",'T1'!$A31)</f>
        <v>E2.</v>
      </c>
      <c r="B31" s="30"/>
      <c r="C31" s="31" t="str">
        <f>IF('T1'!$C31="","",'T1'!$C31)</f>
        <v/>
      </c>
      <c r="D31" s="32"/>
      <c r="E31" s="39">
        <f>IF($C31="",0,MIN(15,MAX(1,IF(N($O31)&gt;=1,6,IF(N($O31)&gt;=0.75,IF(PRZEL_CZESC="część 1 (objętość)",8,6),IF(PRZEL_CZESC="część 1 (objętość)",10,8)))+1+$AD31)))</f>
        <v>0</v>
      </c>
      <c r="F31" s="33"/>
      <c r="G31" s="34" t="str">
        <f>IF($C31="","",IF(OR($Q31="masa ciała",$Q31="czas",$Q31="dystans",$Q31="ręczne ustawienie"),$Q31,IF($C31='T1'!$C31,IF(AND(LEFT($A31,1)&lt;&gt;"A",PRZEL_AKCESORIA="trzymaj z bloku"),IF(NOT(ISNUMBER('T4'!$G31)),'T4'!$G31,MROUND('T4'!$G31*$AC31/(MAX('T4'!$AC31,0.0001)),MAX($P31,0.5))),IF(OR($R31="",$R31=0),"— brak 1RM",MROUND($R31*$S31/100*$AC31,MAX($P31,0.5)))),IF(OR($AA31="",$AA31=0),"— ustaw ręcznie",MROUND($AA31*$S31/100*$AC31,MAX($P31,0.5))))))</f>
        <v/>
      </c>
      <c r="H31" s="35"/>
      <c r="I31" s="36" t="str">
        <f t="array" ref="I31">IFERROR(IF(IFERROR(INDEX(BAZA_FILM,MATCH($C31,BAZA_EX,0)),"")="","",HYPERLINK(IFERROR(INDEX(BAZA_FILM,MATCH($C31,BAZA_EX,0)),""),"film")),"")</f>
        <v/>
      </c>
      <c r="J31" s="37" t="str">
        <f>IF('T1'!$J31="","",'T1'!$J31)</f>
        <v/>
      </c>
      <c r="K31" s="5" t="s">
        <v>83</v>
      </c>
      <c r="L31" s="5" t="str">
        <f t="array" ref="L31">IFERROR(INDEX(BAZA_ID,MATCH($C31,BAZA_EX,0)),"")</f>
        <v/>
      </c>
      <c r="M31" s="5" t="str">
        <f t="array" ref="M31">IFERROR(INDEX(BAZA_PART,MATCH($C31,BAZA_EX,0)),"")</f>
        <v/>
      </c>
      <c r="N31" s="5" t="str">
        <f t="array" ref="N31">IFERROR(INDEX(BAZA_KAT,MATCH($C31,BAZA_EX,0)),"")</f>
        <v/>
      </c>
      <c r="O31" s="5" t="str">
        <f t="array" ref="O31">IFERROR(INDEX(BAZA_COEFF,MATCH($C31,BAZA_EX,0)),"")</f>
        <v/>
      </c>
      <c r="P31" s="5" t="str">
        <f t="array" ref="P31">IFERROR(INDEX(BAZA_SKOK,MATCH($C31,BAZA_EX,0)),"")</f>
        <v/>
      </c>
      <c r="Q31" s="5" t="str">
        <f t="array" ref="Q31">IFERROR(INDEX(BAZA_PROG,MATCH($C31,BAZA_EX,0)),"")</f>
        <v/>
      </c>
      <c r="R31" s="5" t="str">
        <f>IF($C31="","",IF(SUMPRODUCT((START!$B$6:$B$69=$C31)*(START!$M$6:$M$69&gt;0))=0,"",SUMPRODUCT(MAX((START!$B$6:$B$69=$C31)*START!$M$6:$M$69))))</f>
        <v/>
      </c>
      <c r="S31" s="5" t="str">
        <f t="array" ref="S31">IFERROR(INDEX(TABELE!$B$4:$J$18,MATCH($E31,TABELE!$A$4:$A$18,0),MATCH($F31,TABELE!$B$3:$J$3,0)),"")</f>
        <v/>
      </c>
      <c r="T31" s="5">
        <f t="array" ref="T31">IFERROR(IF($C31="",0,$O31*$D31*INDEX(TABELE!$B$23:$P$33,MATCH($F31,TABELE!$A$23:$A$33,0),MATCH($E31,TABELE!$B$22:$P$22,0))),0)</f>
        <v>0</v>
      </c>
      <c r="U31" s="5">
        <f t="array" ref="U31">IFERROR(IF($C31="",0,$O31*$D31*INDEX(TABELE!$B$37:$P$47,MATCH($F31,TABELE!$A$37:$A$47,0),MATCH($E31,TABELE!$B$36:$P$36,0))),0)</f>
        <v>0</v>
      </c>
      <c r="V31" s="5">
        <f t="array" ref="V31">IFERROR(IF($C31="",0,$O31*$D31*INDEX(TABELE!$B$51:$P$61,MATCH($F31,TABELE!$A$51:$A$61,0),MATCH($E31,TABELE!$B$50:$P$50,0))),0)</f>
        <v>0</v>
      </c>
      <c r="W31" s="5" t="str">
        <f t="array" ref="W31">IFERROR(INDEX(BAZA_UWAGI,MATCH($C31,BAZA_EX,0)),"")</f>
        <v/>
      </c>
      <c r="X31" s="5">
        <f t="shared" si="6"/>
        <v>5</v>
      </c>
      <c r="Y31" s="5" t="str">
        <f t="shared" si="9"/>
        <v>E</v>
      </c>
      <c r="Z31" s="5">
        <f t="shared" si="10"/>
        <v>5</v>
      </c>
      <c r="AA31" s="5" t="str">
        <f>IF($C31="","",IF(SUMPRODUCT((START!$B$6:$B$69=$C31)*(START!$M$6:$M$69&gt;0))=0,"",SUMPRODUCT(MAX((START!$B$6:$B$69=$C31)*START!$M$6:$M$69))))</f>
        <v/>
      </c>
      <c r="AB31" s="5" t="str">
        <f t="shared" si="7"/>
        <v/>
      </c>
      <c r="AC31" s="5">
        <f>MAX(0.85,MIN(1.15,1+0.05*(COUNTIF('T1'!$AB31,"za łatwe")+COUNTIF('T2'!$AB31,"za łatwe")+COUNTIF('T3'!$AB31,"za łatwe")+COUNTIF('T4'!$AB31,"za łatwe"))-0.05*(COUNTIF('T1'!$AB31,"za trudne")+COUNTIF('T2'!$AB31,"za trudne")+COUNTIF('T3'!$AB31,"za trudne")+COUNTIF('T4'!$AB31,"za trudne"))))</f>
        <v>1</v>
      </c>
      <c r="AD31" s="5">
        <f t="shared" si="8"/>
        <v>0</v>
      </c>
    </row>
    <row r="32" ht="25.5" customHeight="1" outlineLevel="1">
      <c r="A32" s="18" t="str">
        <f>IF('T1'!$A32="","",'T1'!$A32)</f>
        <v/>
      </c>
      <c r="B32" s="30"/>
      <c r="C32" s="31" t="str">
        <f>IF('T1'!$C32="","",'T1'!$C32)</f>
        <v/>
      </c>
      <c r="D32" s="32"/>
      <c r="E32" s="39">
        <f>IF($C32="",0,MIN(15,MAX(1,IF(N($O32)&gt;=1,6,IF(N($O32)&gt;=0.75,IF(PRZEL_CZESC="część 1 (objętość)",8,6),IF(PRZEL_CZESC="część 1 (objętość)",10,8)))+1+$AD32)))</f>
        <v>0</v>
      </c>
      <c r="F32" s="33"/>
      <c r="G32" s="34" t="str">
        <f>IF($C32="","",IF(OR($Q32="masa ciała",$Q32="czas",$Q32="dystans",$Q32="ręczne ustawienie"),$Q32,IF($C32='T1'!$C32,IF(AND(LEFT($A32,1)&lt;&gt;"A",PRZEL_AKCESORIA="trzymaj z bloku"),IF(NOT(ISNUMBER('T4'!$G32)),'T4'!$G32,MROUND('T4'!$G32*$AC32/(MAX('T4'!$AC32,0.0001)),MAX($P32,0.5))),IF(OR($R32="",$R32=0),"— brak 1RM",MROUND($R32*$S32/100*$AC32,MAX($P32,0.5)))),IF(OR($AA32="",$AA32=0),"— ustaw ręcznie",MROUND($AA32*$S32/100*$AC32,MAX($P32,0.5))))))</f>
        <v/>
      </c>
      <c r="H32" s="35"/>
      <c r="I32" s="36" t="str">
        <f t="array" ref="I32">IFERROR(IF(IFERROR(INDEX(BAZA_FILM,MATCH($C32,BAZA_EX,0)),"")="","",HYPERLINK(IFERROR(INDEX(BAZA_FILM,MATCH($C32,BAZA_EX,0)),""),"film")),"")</f>
        <v/>
      </c>
      <c r="J32" s="37" t="str">
        <f>IF('T1'!$J32="","",'T1'!$J32)</f>
        <v/>
      </c>
      <c r="K32" s="5" t="s">
        <v>85</v>
      </c>
      <c r="L32" s="5" t="str">
        <f t="array" ref="L32">IFERROR(INDEX(BAZA_ID,MATCH($C32,BAZA_EX,0)),"")</f>
        <v/>
      </c>
      <c r="M32" s="5" t="str">
        <f t="array" ref="M32">IFERROR(INDEX(BAZA_PART,MATCH($C32,BAZA_EX,0)),"")</f>
        <v/>
      </c>
      <c r="N32" s="5" t="str">
        <f t="array" ref="N32">IFERROR(INDEX(BAZA_KAT,MATCH($C32,BAZA_EX,0)),"")</f>
        <v/>
      </c>
      <c r="O32" s="5" t="str">
        <f t="array" ref="O32">IFERROR(INDEX(BAZA_COEFF,MATCH($C32,BAZA_EX,0)),"")</f>
        <v/>
      </c>
      <c r="P32" s="5" t="str">
        <f t="array" ref="P32">IFERROR(INDEX(BAZA_SKOK,MATCH($C32,BAZA_EX,0)),"")</f>
        <v/>
      </c>
      <c r="Q32" s="5" t="str">
        <f t="array" ref="Q32">IFERROR(INDEX(BAZA_PROG,MATCH($C32,BAZA_EX,0)),"")</f>
        <v/>
      </c>
      <c r="R32" s="5" t="str">
        <f>IF($C32="","",IF(SUMPRODUCT((START!$B$6:$B$69=$C32)*(START!$M$6:$M$69&gt;0))=0,"",SUMPRODUCT(MAX((START!$B$6:$B$69=$C32)*START!$M$6:$M$69))))</f>
        <v/>
      </c>
      <c r="S32" s="5" t="str">
        <f t="array" ref="S32">IFERROR(INDEX(TABELE!$B$4:$J$18,MATCH($E32,TABELE!$A$4:$A$18,0),MATCH($F32,TABELE!$B$3:$J$3,0)),"")</f>
        <v/>
      </c>
      <c r="T32" s="5">
        <f t="array" ref="T32">IFERROR(IF($C32="",0,$O32*$D32*INDEX(TABELE!$B$23:$P$33,MATCH($F32,TABELE!$A$23:$A$33,0),MATCH($E32,TABELE!$B$22:$P$22,0))),0)</f>
        <v>0</v>
      </c>
      <c r="U32" s="5">
        <f t="array" ref="U32">IFERROR(IF($C32="",0,$O32*$D32*INDEX(TABELE!$B$37:$P$47,MATCH($F32,TABELE!$A$37:$A$47,0),MATCH($E32,TABELE!$B$36:$P$36,0))),0)</f>
        <v>0</v>
      </c>
      <c r="V32" s="5">
        <f t="array" ref="V32">IFERROR(IF($C32="",0,$O32*$D32*INDEX(TABELE!$B$51:$P$61,MATCH($F32,TABELE!$A$51:$A$61,0),MATCH($E32,TABELE!$B$50:$P$50,0))),0)</f>
        <v>0</v>
      </c>
      <c r="W32" s="5" t="str">
        <f t="array" ref="W32">IFERROR(INDEX(BAZA_UWAGI,MATCH($C32,BAZA_EX,0)),"")</f>
        <v/>
      </c>
      <c r="X32" s="5" t="str">
        <f t="shared" si="6"/>
        <v/>
      </c>
      <c r="Y32" s="5" t="str">
        <f t="shared" si="9"/>
        <v>E</v>
      </c>
      <c r="Z32" s="5">
        <f t="shared" si="10"/>
        <v>5</v>
      </c>
      <c r="AA32" s="5" t="str">
        <f>IF($C32="","",IF(SUMPRODUCT((START!$B$6:$B$69=$C32)*(START!$M$6:$M$69&gt;0))=0,"",SUMPRODUCT(MAX((START!$B$6:$B$69=$C32)*START!$M$6:$M$69))))</f>
        <v/>
      </c>
      <c r="AB32" s="5" t="str">
        <f t="shared" si="7"/>
        <v/>
      </c>
      <c r="AC32" s="5">
        <f>MAX(0.85,MIN(1.15,1+0.05*(COUNTIF('T1'!$AB32,"za łatwe")+COUNTIF('T2'!$AB32,"za łatwe")+COUNTIF('T3'!$AB32,"za łatwe")+COUNTIF('T4'!$AB32,"za łatwe"))-0.05*(COUNTIF('T1'!$AB32,"za trudne")+COUNTIF('T2'!$AB32,"za trudne")+COUNTIF('T3'!$AB32,"za trudne")+COUNTIF('T4'!$AB32,"za trudne"))))</f>
        <v>1</v>
      </c>
      <c r="AD32" s="5">
        <f t="shared" si="8"/>
        <v>0</v>
      </c>
    </row>
    <row r="33" ht="25.5" customHeight="1" outlineLevel="1">
      <c r="A33" s="18" t="str">
        <f>IF('T1'!$A33="","",'T1'!$A33)</f>
        <v/>
      </c>
      <c r="B33" s="30"/>
      <c r="C33" s="31" t="str">
        <f>IF('T1'!$C33="","",'T1'!$C33)</f>
        <v/>
      </c>
      <c r="D33" s="32"/>
      <c r="E33" s="39">
        <f>IF($C33="",0,MIN(15,MAX(1,IF(N($O33)&gt;=1,6,IF(N($O33)&gt;=0.75,IF(PRZEL_CZESC="część 1 (objętość)",8,6),IF(PRZEL_CZESC="część 1 (objętość)",10,8)))+1+$AD33)))</f>
        <v>0</v>
      </c>
      <c r="F33" s="33"/>
      <c r="G33" s="34" t="str">
        <f>IF($C33="","",IF(OR($Q33="masa ciała",$Q33="czas",$Q33="dystans",$Q33="ręczne ustawienie"),$Q33,IF($C33='T1'!$C33,IF(AND(LEFT($A33,1)&lt;&gt;"A",PRZEL_AKCESORIA="trzymaj z bloku"),IF(NOT(ISNUMBER('T4'!$G33)),'T4'!$G33,MROUND('T4'!$G33*$AC33/(MAX('T4'!$AC33,0.0001)),MAX($P33,0.5))),IF(OR($R33="",$R33=0),"— brak 1RM",MROUND($R33*$S33/100*$AC33,MAX($P33,0.5)))),IF(OR($AA33="",$AA33=0),"— ustaw ręcznie",MROUND($AA33*$S33/100*$AC33,MAX($P33,0.5))))))</f>
        <v/>
      </c>
      <c r="H33" s="35"/>
      <c r="I33" s="36" t="str">
        <f t="array" ref="I33">IFERROR(IF(IFERROR(INDEX(BAZA_FILM,MATCH($C33,BAZA_EX,0)),"")="","",HYPERLINK(IFERROR(INDEX(BAZA_FILM,MATCH($C33,BAZA_EX,0)),""),"film")),"")</f>
        <v/>
      </c>
      <c r="J33" s="37" t="str">
        <f>IF('T1'!$J33="","",'T1'!$J33)</f>
        <v/>
      </c>
      <c r="K33" s="5" t="s">
        <v>86</v>
      </c>
      <c r="L33" s="5" t="str">
        <f t="array" ref="L33">IFERROR(INDEX(BAZA_ID,MATCH($C33,BAZA_EX,0)),"")</f>
        <v/>
      </c>
      <c r="M33" s="5" t="str">
        <f t="array" ref="M33">IFERROR(INDEX(BAZA_PART,MATCH($C33,BAZA_EX,0)),"")</f>
        <v/>
      </c>
      <c r="N33" s="5" t="str">
        <f t="array" ref="N33">IFERROR(INDEX(BAZA_KAT,MATCH($C33,BAZA_EX,0)),"")</f>
        <v/>
      </c>
      <c r="O33" s="5" t="str">
        <f t="array" ref="O33">IFERROR(INDEX(BAZA_COEFF,MATCH($C33,BAZA_EX,0)),"")</f>
        <v/>
      </c>
      <c r="P33" s="5" t="str">
        <f t="array" ref="P33">IFERROR(INDEX(BAZA_SKOK,MATCH($C33,BAZA_EX,0)),"")</f>
        <v/>
      </c>
      <c r="Q33" s="5" t="str">
        <f t="array" ref="Q33">IFERROR(INDEX(BAZA_PROG,MATCH($C33,BAZA_EX,0)),"")</f>
        <v/>
      </c>
      <c r="R33" s="5" t="str">
        <f>IF($C33="","",IF(SUMPRODUCT((START!$B$6:$B$69=$C33)*(START!$M$6:$M$69&gt;0))=0,"",SUMPRODUCT(MAX((START!$B$6:$B$69=$C33)*START!$M$6:$M$69))))</f>
        <v/>
      </c>
      <c r="S33" s="5" t="str">
        <f t="array" ref="S33">IFERROR(INDEX(TABELE!$B$4:$J$18,MATCH($E33,TABELE!$A$4:$A$18,0),MATCH($F33,TABELE!$B$3:$J$3,0)),"")</f>
        <v/>
      </c>
      <c r="T33" s="5">
        <f t="array" ref="T33">IFERROR(IF($C33="",0,$O33*$D33*INDEX(TABELE!$B$23:$P$33,MATCH($F33,TABELE!$A$23:$A$33,0),MATCH($E33,TABELE!$B$22:$P$22,0))),0)</f>
        <v>0</v>
      </c>
      <c r="U33" s="5">
        <f t="array" ref="U33">IFERROR(IF($C33="",0,$O33*$D33*INDEX(TABELE!$B$37:$P$47,MATCH($F33,TABELE!$A$37:$A$47,0),MATCH($E33,TABELE!$B$36:$P$36,0))),0)</f>
        <v>0</v>
      </c>
      <c r="V33" s="5">
        <f t="array" ref="V33">IFERROR(IF($C33="",0,$O33*$D33*INDEX(TABELE!$B$51:$P$61,MATCH($F33,TABELE!$A$51:$A$61,0),MATCH($E33,TABELE!$B$50:$P$50,0))),0)</f>
        <v>0</v>
      </c>
      <c r="W33" s="5" t="str">
        <f t="array" ref="W33">IFERROR(INDEX(BAZA_UWAGI,MATCH($C33,BAZA_EX,0)),"")</f>
        <v/>
      </c>
      <c r="X33" s="5" t="str">
        <f t="shared" si="6"/>
        <v/>
      </c>
      <c r="Y33" s="5" t="str">
        <f t="shared" si="9"/>
        <v>E</v>
      </c>
      <c r="Z33" s="5">
        <f t="shared" si="10"/>
        <v>5</v>
      </c>
      <c r="AA33" s="5" t="str">
        <f>IF($C33="","",IF(SUMPRODUCT((START!$B$6:$B$69=$C33)*(START!$M$6:$M$69&gt;0))=0,"",SUMPRODUCT(MAX((START!$B$6:$B$69=$C33)*START!$M$6:$M$69))))</f>
        <v/>
      </c>
      <c r="AB33" s="5" t="str">
        <f t="shared" si="7"/>
        <v/>
      </c>
      <c r="AC33" s="5">
        <f>MAX(0.85,MIN(1.15,1+0.05*(COUNTIF('T1'!$AB33,"za łatwe")+COUNTIF('T2'!$AB33,"za łatwe")+COUNTIF('T3'!$AB33,"za łatwe")+COUNTIF('T4'!$AB33,"za łatwe"))-0.05*(COUNTIF('T1'!$AB33,"za trudne")+COUNTIF('T2'!$AB33,"za trudne")+COUNTIF('T3'!$AB33,"za trudne")+COUNTIF('T4'!$AB33,"za trudne"))))</f>
        <v>1</v>
      </c>
      <c r="AD33" s="5">
        <f t="shared" si="8"/>
        <v>0</v>
      </c>
    </row>
    <row r="34" ht="25.5" customHeight="1" outlineLevel="1">
      <c r="A34" s="18" t="str">
        <f>IF('T1'!$A34="","",'T1'!$A34)</f>
        <v/>
      </c>
      <c r="B34" s="30"/>
      <c r="C34" s="31" t="str">
        <f>IF('T1'!$C34="","",'T1'!$C34)</f>
        <v/>
      </c>
      <c r="D34" s="32"/>
      <c r="E34" s="39">
        <f>IF($C34="",0,MIN(15,MAX(1,IF(N($O34)&gt;=1,6,IF(N($O34)&gt;=0.75,IF(PRZEL_CZESC="część 1 (objętość)",8,6),IF(PRZEL_CZESC="część 1 (objętość)",10,8)))+1+$AD34)))</f>
        <v>0</v>
      </c>
      <c r="F34" s="33"/>
      <c r="G34" s="34" t="str">
        <f>IF($C34="","",IF(OR($Q34="masa ciała",$Q34="czas",$Q34="dystans",$Q34="ręczne ustawienie"),$Q34,IF($C34='T1'!$C34,IF(AND(LEFT($A34,1)&lt;&gt;"A",PRZEL_AKCESORIA="trzymaj z bloku"),IF(NOT(ISNUMBER('T4'!$G34)),'T4'!$G34,MROUND('T4'!$G34*$AC34/(MAX('T4'!$AC34,0.0001)),MAX($P34,0.5))),IF(OR($R34="",$R34=0),"— brak 1RM",MROUND($R34*$S34/100*$AC34,MAX($P34,0.5)))),IF(OR($AA34="",$AA34=0),"— ustaw ręcznie",MROUND($AA34*$S34/100*$AC34,MAX($P34,0.5))))))</f>
        <v/>
      </c>
      <c r="H34" s="35"/>
      <c r="I34" s="36" t="str">
        <f t="array" ref="I34">IFERROR(IF(IFERROR(INDEX(BAZA_FILM,MATCH($C34,BAZA_EX,0)),"")="","",HYPERLINK(IFERROR(INDEX(BAZA_FILM,MATCH($C34,BAZA_EX,0)),""),"film")),"")</f>
        <v/>
      </c>
      <c r="J34" s="37" t="str">
        <f>IF('T1'!$J34="","",'T1'!$J34)</f>
        <v/>
      </c>
      <c r="K34" s="5" t="s">
        <v>87</v>
      </c>
      <c r="L34" s="5" t="str">
        <f t="array" ref="L34">IFERROR(INDEX(BAZA_ID,MATCH($C34,BAZA_EX,0)),"")</f>
        <v/>
      </c>
      <c r="M34" s="5" t="str">
        <f t="array" ref="M34">IFERROR(INDEX(BAZA_PART,MATCH($C34,BAZA_EX,0)),"")</f>
        <v/>
      </c>
      <c r="N34" s="5" t="str">
        <f t="array" ref="N34">IFERROR(INDEX(BAZA_KAT,MATCH($C34,BAZA_EX,0)),"")</f>
        <v/>
      </c>
      <c r="O34" s="5" t="str">
        <f t="array" ref="O34">IFERROR(INDEX(BAZA_COEFF,MATCH($C34,BAZA_EX,0)),"")</f>
        <v/>
      </c>
      <c r="P34" s="5" t="str">
        <f t="array" ref="P34">IFERROR(INDEX(BAZA_SKOK,MATCH($C34,BAZA_EX,0)),"")</f>
        <v/>
      </c>
      <c r="Q34" s="5" t="str">
        <f t="array" ref="Q34">IFERROR(INDEX(BAZA_PROG,MATCH($C34,BAZA_EX,0)),"")</f>
        <v/>
      </c>
      <c r="R34" s="5" t="str">
        <f>IF($C34="","",IF(SUMPRODUCT((START!$B$6:$B$69=$C34)*(START!$M$6:$M$69&gt;0))=0,"",SUMPRODUCT(MAX((START!$B$6:$B$69=$C34)*START!$M$6:$M$69))))</f>
        <v/>
      </c>
      <c r="S34" s="5" t="str">
        <f t="array" ref="S34">IFERROR(INDEX(TABELE!$B$4:$J$18,MATCH($E34,TABELE!$A$4:$A$18,0),MATCH($F34,TABELE!$B$3:$J$3,0)),"")</f>
        <v/>
      </c>
      <c r="T34" s="5">
        <f t="array" ref="T34">IFERROR(IF($C34="",0,$O34*$D34*INDEX(TABELE!$B$23:$P$33,MATCH($F34,TABELE!$A$23:$A$33,0),MATCH($E34,TABELE!$B$22:$P$22,0))),0)</f>
        <v>0</v>
      </c>
      <c r="U34" s="5">
        <f t="array" ref="U34">IFERROR(IF($C34="",0,$O34*$D34*INDEX(TABELE!$B$37:$P$47,MATCH($F34,TABELE!$A$37:$A$47,0),MATCH($E34,TABELE!$B$36:$P$36,0))),0)</f>
        <v>0</v>
      </c>
      <c r="V34" s="5">
        <f t="array" ref="V34">IFERROR(IF($C34="",0,$O34*$D34*INDEX(TABELE!$B$51:$P$61,MATCH($F34,TABELE!$A$51:$A$61,0),MATCH($E34,TABELE!$B$50:$P$50,0))),0)</f>
        <v>0</v>
      </c>
      <c r="W34" s="5" t="str">
        <f t="array" ref="W34">IFERROR(INDEX(BAZA_UWAGI,MATCH($C34,BAZA_EX,0)),"")</f>
        <v/>
      </c>
      <c r="X34" s="5" t="str">
        <f t="shared" si="6"/>
        <v/>
      </c>
      <c r="Y34" s="5" t="str">
        <f t="shared" si="9"/>
        <v>E</v>
      </c>
      <c r="Z34" s="5">
        <f t="shared" si="10"/>
        <v>5</v>
      </c>
      <c r="AA34" s="5" t="str">
        <f>IF($C34="","",IF(SUMPRODUCT((START!$B$6:$B$69=$C34)*(START!$M$6:$M$69&gt;0))=0,"",SUMPRODUCT(MAX((START!$B$6:$B$69=$C34)*START!$M$6:$M$69))))</f>
        <v/>
      </c>
      <c r="AB34" s="5" t="str">
        <f t="shared" si="7"/>
        <v/>
      </c>
      <c r="AC34" s="5">
        <f>MAX(0.85,MIN(1.15,1+0.05*(COUNTIF('T1'!$AB34,"za łatwe")+COUNTIF('T2'!$AB34,"za łatwe")+COUNTIF('T3'!$AB34,"za łatwe")+COUNTIF('T4'!$AB34,"za łatwe"))-0.05*(COUNTIF('T1'!$AB34,"za trudne")+COUNTIF('T2'!$AB34,"za trudne")+COUNTIF('T3'!$AB34,"za trudne")+COUNTIF('T4'!$AB34,"za trudne"))))</f>
        <v>1</v>
      </c>
      <c r="AD34" s="5">
        <f t="shared" si="8"/>
        <v>0</v>
      </c>
    </row>
    <row r="35" ht="19.5" customHeight="1" outlineLevel="1">
      <c r="A35" s="43"/>
      <c r="B35" s="43"/>
      <c r="C35" s="44" t="s">
        <v>136</v>
      </c>
      <c r="D35" s="45">
        <f>SUMPRODUCT((C23:C34&lt;&gt;"")*D23:D34)+IF(AND($B$22="TOP SET",$C$22&lt;&gt;""),1,0)</f>
      </c>
      <c r="E35" s="46" t="str">
        <f>SUMPRODUCT((C23:C34&lt;&gt;"")*D23:D34*E23:E34)&amp;" powt."</f>
        <v>0 powt.</v>
      </c>
      <c r="F35" s="43"/>
      <c r="G35" s="47" t="str">
        <f>"stres t "&amp;TEXT(SUM(T23:T34),"0.0")</f>
        <v>stres t 0,0</v>
      </c>
      <c r="H35" s="48"/>
      <c r="I35" s="43"/>
      <c r="J35" s="43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25.5" customHeight="1" outlineLevel="1">
      <c r="A37" s="15" t="s">
        <v>88</v>
      </c>
      <c r="B37" s="3"/>
      <c r="C37" s="3"/>
      <c r="D37" s="3"/>
      <c r="E37" s="3"/>
      <c r="F37" s="3"/>
      <c r="G37" s="3"/>
      <c r="H37" s="3"/>
      <c r="I37" s="3"/>
      <c r="J37" s="4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33.75" customHeight="1" outlineLevel="2">
      <c r="A38" s="17" t="str">
        <f>IF($B38="TOP SET","▲","")</f>
        <v>▲</v>
      </c>
      <c r="B38" s="19" t="str">
        <f>IF('T1'!$B38="TOP SET","TOP SET","—")</f>
        <v>TOP SET</v>
      </c>
      <c r="C38" s="22" t="str">
        <f>IF(OR($B38&lt;&gt;"TOP SET",$F38=""),"",IF(N($K38)=0,"",IF(INDEX($C$39:$C$50,$K38)="","",INDEX($C$39:$C$50,$K38))))</f>
      </c>
      <c r="D38" s="23">
        <f>IF(AND($B38="TOP SET",$F38&lt;&gt;""),1,"")</f>
      </c>
      <c r="E38" s="24" t="str">
        <f>IF(AND($B38="TOP SET",$F38&lt;&gt;""),"1 powtórzenie","")</f>
      </c>
      <c r="F38" s="25">
        <v>7.5</v>
      </c>
      <c r="G38" s="27" t="str">
        <f t="array" ref="G38">IF($B38&lt;&gt;"TOP SET","",IF($C38="","",IF(OR($Q38="masa ciała",$Q38="czas",$Q38="dystans",$Q38="ręczne ustawienie"),"—",IF($C38='T1'!$C38,IF(OR($R38="",$R38=0),"— brak 1RM",MROUND($R38*IFERROR(INDEX(TABELE!$B$4:$J$18,MATCH(1,TABELE!$A$4:$A$18,0),MATCH($F38,TABELE!$B$3:$J$3,0)),0)/100,MAX($P38,0.5))),IF(OR($AA38="",$AA38=0),"— ustaw ręcznie",MROUND($AA38*IFERROR(INDEX(TABELE!$B$4:$J$18,MATCH(1,TABELE!$A$4:$A$18,0),MATCH($F38,TABELE!$B$3:$J$3,0)),0)/100,MAX($P38,0.5)))))))</f>
      </c>
      <c r="H38" s="28"/>
      <c r="I38" s="29"/>
      <c r="J38" s="29"/>
      <c r="K38" s="5">
        <f>IFERROR(MATCH("A*",$A$39:$A$50,0),0)</f>
      </c>
      <c r="L38" s="5"/>
      <c r="M38" s="5"/>
      <c r="N38" s="5"/>
      <c r="O38" s="5"/>
      <c r="P38" s="5">
        <f>IF(N($K38)=0,"",INDEX($P$39:$P$50,$K38))</f>
      </c>
      <c r="Q38" s="5">
        <f>IF(N($K38)=0,"",INDEX($Q$39:$Q$50,$K38))</f>
      </c>
      <c r="R38" s="5">
        <f>IF(N($K38)=0,"",INDEX($R$39:$R$50,$K38))</f>
      </c>
      <c r="S38" s="5"/>
      <c r="T38" s="5"/>
      <c r="U38" s="5"/>
      <c r="V38" s="5"/>
      <c r="W38" s="5"/>
      <c r="X38" s="5"/>
      <c r="Y38" s="5"/>
      <c r="Z38" s="5"/>
      <c r="AA38" s="5">
        <f>IF(N($K38)=0,"",INDEX($AA$39:$AA$50,$K38))</f>
      </c>
    </row>
    <row r="39" ht="25.5" customHeight="1" outlineLevel="1">
      <c r="A39" s="18" t="str">
        <f>IF('T1'!$A39="","",'T1'!$A39)</f>
        <v>A1.</v>
      </c>
      <c r="B39" s="30"/>
      <c r="C39" s="31" t="str">
        <f>IF('T1'!$C39="","",'T1'!$C39)</f>
        <v/>
      </c>
      <c r="D39" s="32">
        <v>5.0</v>
      </c>
      <c r="E39" s="32">
        <v>4.0</v>
      </c>
      <c r="F39" s="33">
        <v>7.5</v>
      </c>
      <c r="G39" s="34" t="str">
        <f>IF($C39="","",IF(OR($Q39="masa ciała",$Q39="czas",$Q39="dystans",$Q39="ręczne ustawienie"),$Q39,IF($C39='T1'!$C39,IF(AND(LEFT($A39,1)&lt;&gt;"A",PRZEL_AKCESORIA="trzymaj z bloku"),IF(NOT(ISNUMBER('T4'!$G39)),'T4'!$G39,MROUND('T4'!$G39*$AC39/(MAX('T4'!$AC39,0.0001)),MAX($P39,0.5))),IF(OR($R39="",$R39=0),"— brak 1RM",MROUND($R39*$S39/100*$AC39,MAX($P39,0.5)))),IF(OR($AA39="",$AA39=0),"— ustaw ręcznie",MROUND($AA39*$S39/100*$AC39,MAX($P39,0.5))))))</f>
        <v/>
      </c>
      <c r="H39" s="35"/>
      <c r="I39" s="36" t="str">
        <f t="array" ref="I39">IFERROR(IF(IFERROR(INDEX(BAZA_FILM,MATCH($C39,BAZA_EX,0)),"")="","",HYPERLINK(IFERROR(INDEX(BAZA_FILM,MATCH($C39,BAZA_EX,0)),""),"film")),"")</f>
        <v/>
      </c>
      <c r="J39" s="37" t="str">
        <f>IF('T1'!$J39="","",'T1'!$J39)</f>
        <v/>
      </c>
      <c r="K39" s="5" t="s">
        <v>89</v>
      </c>
      <c r="L39" s="5" t="str">
        <f t="array" ref="L39">IFERROR(INDEX(BAZA_ID,MATCH($C39,BAZA_EX,0)),"")</f>
        <v/>
      </c>
      <c r="M39" s="5" t="str">
        <f t="array" ref="M39">IFERROR(INDEX(BAZA_PART,MATCH($C39,BAZA_EX,0)),"")</f>
        <v/>
      </c>
      <c r="N39" s="5" t="str">
        <f t="array" ref="N39">IFERROR(INDEX(BAZA_KAT,MATCH($C39,BAZA_EX,0)),"")</f>
        <v/>
      </c>
      <c r="O39" s="5" t="str">
        <f t="array" ref="O39">IFERROR(INDEX(BAZA_COEFF,MATCH($C39,BAZA_EX,0)),"")</f>
        <v/>
      </c>
      <c r="P39" s="5" t="str">
        <f t="array" ref="P39">IFERROR(INDEX(BAZA_SKOK,MATCH($C39,BAZA_EX,0)),"")</f>
        <v/>
      </c>
      <c r="Q39" s="5" t="str">
        <f t="array" ref="Q39">IFERROR(INDEX(BAZA_PROG,MATCH($C39,BAZA_EX,0)),"")</f>
        <v/>
      </c>
      <c r="R39" s="5" t="str">
        <f>IF($C39="","",IF(SUMPRODUCT((START!$B$6:$B$69=$C39)*(START!$M$6:$M$69&gt;0))=0,"",SUMPRODUCT(MAX((START!$B$6:$B$69=$C39)*START!$M$6:$M$69))))</f>
        <v/>
      </c>
      <c r="S39" s="5">
        <f t="array" ref="S39">IFERROR(INDEX(TABELE!$B$4:$J$18,MATCH($E39,TABELE!$A$4:$A$18,0),MATCH($F39,TABELE!$B$3:$J$3,0)),"")</f>
        <v>80.5</v>
      </c>
      <c r="T39" s="5">
        <f t="array" ref="T39">IFERROR(IF($C39="",0,$O39*$D39*INDEX(TABELE!$B$23:$P$33,MATCH($F39,TABELE!$A$23:$A$33,0),MATCH($E39,TABELE!$B$22:$P$22,0))),0)</f>
        <v>0</v>
      </c>
      <c r="U39" s="5">
        <f t="array" ref="U39">IFERROR(IF($C39="",0,$O39*$D39*INDEX(TABELE!$B$37:$P$47,MATCH($F39,TABELE!$A$37:$A$47,0),MATCH($E39,TABELE!$B$36:$P$36,0))),0)</f>
        <v>0</v>
      </c>
      <c r="V39" s="5">
        <f t="array" ref="V39">IFERROR(IF($C39="",0,$O39*$D39*INDEX(TABELE!$B$51:$P$61,MATCH($F39,TABELE!$A$51:$A$61,0),MATCH($E39,TABELE!$B$50:$P$50,0))),0)</f>
        <v>0</v>
      </c>
      <c r="W39" s="5" t="str">
        <f t="array" ref="W39">IFERROR(INDEX(BAZA_UWAGI,MATCH($C39,BAZA_EX,0)),"")</f>
        <v/>
      </c>
      <c r="X39" s="5">
        <f t="shared" ref="X39:X50" si="11">IF($A39="","",$Z39)</f>
        <v>1</v>
      </c>
      <c r="Y39" s="5" t="str">
        <f>IF($A39="","",LEFT($A39,1))</f>
        <v>A</v>
      </c>
      <c r="Z39" s="5">
        <f>IF($A39="",0,1)</f>
        <v>1</v>
      </c>
      <c r="AA39" s="5" t="str">
        <f>IF($C39="","",IF(SUMPRODUCT((START!$B$6:$B$69=$C39)*(START!$M$6:$M$69&gt;0))=0,"",SUMPRODUCT(MAX((START!$B$6:$B$69=$C39)*START!$M$6:$M$69))))</f>
        <v/>
      </c>
      <c r="AB39" s="5" t="str">
        <f t="shared" ref="AB39:AB50" si="12">IF($C39="","",IF($H39&lt;&gt;"",$H39,IF($H$51="✓ ukończony","OK","")))</f>
        <v/>
      </c>
      <c r="AC39" s="5">
        <f>MAX(0.85,MIN(1.15,1+0.05*(COUNTIF('T1'!$AB39,"za łatwe")+COUNTIF('T2'!$AB39,"za łatwe")+COUNTIF('T3'!$AB39,"za łatwe")+COUNTIF('T4'!$AB39,"za łatwe"))-0.05*(COUNTIF('T1'!$AB39,"za trudne")+COUNTIF('T2'!$AB39,"za trudne")+COUNTIF('T3'!$AB39,"za trudne")+COUNTIF('T4'!$AB39,"za trudne"))))</f>
        <v>1</v>
      </c>
      <c r="AD39" s="5">
        <f t="shared" ref="AD39:AD50" si="13">IF(OR($Q39="masa ciała",$Q39="czas",$Q39="dystans",$Q39="ręczne ustawienie"),MAX(-3,MIN(3,ROUND(($AC39-1)/0.05,0))),0)</f>
        <v>0</v>
      </c>
    </row>
    <row r="40" ht="25.5" customHeight="1" outlineLevel="1">
      <c r="A40" s="18" t="str">
        <f>IF('T1'!$A40="","",'T1'!$A40)</f>
        <v>B1.</v>
      </c>
      <c r="B40" s="30"/>
      <c r="C40" s="31" t="str">
        <f>IF('T1'!$C40="","",'T1'!$C40)</f>
        <v/>
      </c>
      <c r="D40" s="32">
        <v>3.0</v>
      </c>
      <c r="E40" s="39">
        <f>IF($C40="",0,MIN(15,MAX(1,IF(N($O40)&gt;=1,6,IF(N($O40)&gt;=0.75,IF(PRZEL_CZESC="część 1 (objętość)",8,6),IF(PRZEL_CZESC="część 1 (objętość)",10,8)))+1+$AD40)))</f>
        <v>0</v>
      </c>
      <c r="F40" s="33">
        <v>9.0</v>
      </c>
      <c r="G40" s="34" t="str">
        <f>IF($C40="","",IF(OR($Q40="masa ciała",$Q40="czas",$Q40="dystans",$Q40="ręczne ustawienie"),$Q40,IF($C40='T1'!$C40,IF(AND(LEFT($A40,1)&lt;&gt;"A",PRZEL_AKCESORIA="trzymaj z bloku"),IF(NOT(ISNUMBER('T4'!$G40)),'T4'!$G40,MROUND('T4'!$G40*$AC40/(MAX('T4'!$AC40,0.0001)),MAX($P40,0.5))),IF(OR($R40="",$R40=0),"— brak 1RM",MROUND($R40*$S40/100*$AC40,MAX($P40,0.5)))),IF(OR($AA40="",$AA40=0),"— ustaw ręcznie",MROUND($AA40*$S40/100*$AC40,MAX($P40,0.5))))))</f>
        <v/>
      </c>
      <c r="H40" s="35"/>
      <c r="I40" s="36" t="str">
        <f t="array" ref="I40">IFERROR(IF(IFERROR(INDEX(BAZA_FILM,MATCH($C40,BAZA_EX,0)),"")="","",HYPERLINK(IFERROR(INDEX(BAZA_FILM,MATCH($C40,BAZA_EX,0)),""),"film")),"")</f>
        <v/>
      </c>
      <c r="J40" s="37" t="str">
        <f>IF('T1'!$J40="","",'T1'!$J40)</f>
        <v/>
      </c>
      <c r="K40" s="5" t="s">
        <v>90</v>
      </c>
      <c r="L40" s="5" t="str">
        <f t="array" ref="L40">IFERROR(INDEX(BAZA_ID,MATCH($C40,BAZA_EX,0)),"")</f>
        <v/>
      </c>
      <c r="M40" s="5" t="str">
        <f t="array" ref="M40">IFERROR(INDEX(BAZA_PART,MATCH($C40,BAZA_EX,0)),"")</f>
        <v/>
      </c>
      <c r="N40" s="5" t="str">
        <f t="array" ref="N40">IFERROR(INDEX(BAZA_KAT,MATCH($C40,BAZA_EX,0)),"")</f>
        <v/>
      </c>
      <c r="O40" s="5" t="str">
        <f t="array" ref="O40">IFERROR(INDEX(BAZA_COEFF,MATCH($C40,BAZA_EX,0)),"")</f>
        <v/>
      </c>
      <c r="P40" s="5" t="str">
        <f t="array" ref="P40">IFERROR(INDEX(BAZA_SKOK,MATCH($C40,BAZA_EX,0)),"")</f>
        <v/>
      </c>
      <c r="Q40" s="5" t="str">
        <f t="array" ref="Q40">IFERROR(INDEX(BAZA_PROG,MATCH($C40,BAZA_EX,0)),"")</f>
        <v/>
      </c>
      <c r="R40" s="5" t="str">
        <f>IF($C40="","",IF(SUMPRODUCT((START!$B$6:$B$69=$C40)*(START!$M$6:$M$69&gt;0))=0,"",SUMPRODUCT(MAX((START!$B$6:$B$69=$C40)*START!$M$6:$M$69))))</f>
        <v/>
      </c>
      <c r="S40" s="5" t="str">
        <f t="array" ref="S40">IFERROR(INDEX(TABELE!$B$4:$J$18,MATCH($E40,TABELE!$A$4:$A$18,0),MATCH($F40,TABELE!$B$3:$J$3,0)),"")</f>
        <v/>
      </c>
      <c r="T40" s="5">
        <f t="array" ref="T40">IFERROR(IF($C40="",0,$O40*$D40*INDEX(TABELE!$B$23:$P$33,MATCH($F40,TABELE!$A$23:$A$33,0),MATCH($E40,TABELE!$B$22:$P$22,0))),0)</f>
        <v>0</v>
      </c>
      <c r="U40" s="5">
        <f t="array" ref="U40">IFERROR(IF($C40="",0,$O40*$D40*INDEX(TABELE!$B$37:$P$47,MATCH($F40,TABELE!$A$37:$A$47,0),MATCH($E40,TABELE!$B$36:$P$36,0))),0)</f>
        <v>0</v>
      </c>
      <c r="V40" s="5">
        <f t="array" ref="V40">IFERROR(IF($C40="",0,$O40*$D40*INDEX(TABELE!$B$51:$P$61,MATCH($F40,TABELE!$A$51:$A$61,0),MATCH($E40,TABELE!$B$50:$P$50,0))),0)</f>
        <v>0</v>
      </c>
      <c r="W40" s="5" t="str">
        <f t="array" ref="W40">IFERROR(INDEX(BAZA_UWAGI,MATCH($C40,BAZA_EX,0)),"")</f>
        <v/>
      </c>
      <c r="X40" s="5">
        <f t="shared" si="11"/>
        <v>2</v>
      </c>
      <c r="Y40" s="5" t="str">
        <f t="shared" ref="Y40:Y50" si="14">IF($A40="",$Y39,LEFT($A40,1))</f>
        <v>B</v>
      </c>
      <c r="Z40" s="5">
        <f t="shared" ref="Z40:Z50" si="15">IF($A40="",$Z39,IF(LEFT($A40,1)=$Y39,$Z39,$Z39+1))</f>
        <v>2</v>
      </c>
      <c r="AA40" s="5" t="str">
        <f>IF($C40="","",IF(SUMPRODUCT((START!$B$6:$B$69=$C40)*(START!$M$6:$M$69&gt;0))=0,"",SUMPRODUCT(MAX((START!$B$6:$B$69=$C40)*START!$M$6:$M$69))))</f>
        <v/>
      </c>
      <c r="AB40" s="5" t="str">
        <f t="shared" si="12"/>
        <v/>
      </c>
      <c r="AC40" s="5">
        <f>MAX(0.85,MIN(1.15,1+0.05*(COUNTIF('T1'!$AB40,"za łatwe")+COUNTIF('T2'!$AB40,"za łatwe")+COUNTIF('T3'!$AB40,"za łatwe")+COUNTIF('T4'!$AB40,"za łatwe"))-0.05*(COUNTIF('T1'!$AB40,"za trudne")+COUNTIF('T2'!$AB40,"za trudne")+COUNTIF('T3'!$AB40,"za trudne")+COUNTIF('T4'!$AB40,"za trudne"))))</f>
        <v>1</v>
      </c>
      <c r="AD40" s="5">
        <f t="shared" si="13"/>
        <v>0</v>
      </c>
    </row>
    <row r="41" ht="25.5" customHeight="1" outlineLevel="1">
      <c r="A41" s="18" t="str">
        <f>IF('T1'!$A41="","",'T1'!$A41)</f>
        <v>B2.</v>
      </c>
      <c r="B41" s="30"/>
      <c r="C41" s="31" t="str">
        <f>IF('T1'!$C41="","",'T1'!$C41)</f>
        <v/>
      </c>
      <c r="D41" s="32">
        <v>3.0</v>
      </c>
      <c r="E41" s="39">
        <f>IF($C41="",0,MIN(15,MAX(1,IF(N($O41)&gt;=1,6,IF(N($O41)&gt;=0.75,IF(PRZEL_CZESC="część 1 (objętość)",8,6),IF(PRZEL_CZESC="część 1 (objętość)",10,8)))+1+$AD41)))</f>
        <v>0</v>
      </c>
      <c r="F41" s="33">
        <v>9.0</v>
      </c>
      <c r="G41" s="34" t="str">
        <f>IF($C41="","",IF(OR($Q41="masa ciała",$Q41="czas",$Q41="dystans",$Q41="ręczne ustawienie"),$Q41,IF($C41='T1'!$C41,IF(AND(LEFT($A41,1)&lt;&gt;"A",PRZEL_AKCESORIA="trzymaj z bloku"),IF(NOT(ISNUMBER('T4'!$G41)),'T4'!$G41,MROUND('T4'!$G41*$AC41/(MAX('T4'!$AC41,0.0001)),MAX($P41,0.5))),IF(OR($R41="",$R41=0),"— brak 1RM",MROUND($R41*$S41/100*$AC41,MAX($P41,0.5)))),IF(OR($AA41="",$AA41=0),"— ustaw ręcznie",MROUND($AA41*$S41/100*$AC41,MAX($P41,0.5))))))</f>
        <v/>
      </c>
      <c r="H41" s="35"/>
      <c r="I41" s="36" t="str">
        <f t="array" ref="I41">IFERROR(IF(IFERROR(INDEX(BAZA_FILM,MATCH($C41,BAZA_EX,0)),"")="","",HYPERLINK(IFERROR(INDEX(BAZA_FILM,MATCH($C41,BAZA_EX,0)),""),"film")),"")</f>
        <v/>
      </c>
      <c r="J41" s="37" t="str">
        <f>IF('T1'!$J41="","",'T1'!$J41)</f>
        <v/>
      </c>
      <c r="K41" s="5" t="s">
        <v>91</v>
      </c>
      <c r="L41" s="5" t="str">
        <f t="array" ref="L41">IFERROR(INDEX(BAZA_ID,MATCH($C41,BAZA_EX,0)),"")</f>
        <v/>
      </c>
      <c r="M41" s="5" t="str">
        <f t="array" ref="M41">IFERROR(INDEX(BAZA_PART,MATCH($C41,BAZA_EX,0)),"")</f>
        <v/>
      </c>
      <c r="N41" s="5" t="str">
        <f t="array" ref="N41">IFERROR(INDEX(BAZA_KAT,MATCH($C41,BAZA_EX,0)),"")</f>
        <v/>
      </c>
      <c r="O41" s="5" t="str">
        <f t="array" ref="O41">IFERROR(INDEX(BAZA_COEFF,MATCH($C41,BAZA_EX,0)),"")</f>
        <v/>
      </c>
      <c r="P41" s="5" t="str">
        <f t="array" ref="P41">IFERROR(INDEX(BAZA_SKOK,MATCH($C41,BAZA_EX,0)),"")</f>
        <v/>
      </c>
      <c r="Q41" s="5" t="str">
        <f t="array" ref="Q41">IFERROR(INDEX(BAZA_PROG,MATCH($C41,BAZA_EX,0)),"")</f>
        <v/>
      </c>
      <c r="R41" s="5" t="str">
        <f>IF($C41="","",IF(SUMPRODUCT((START!$B$6:$B$69=$C41)*(START!$M$6:$M$69&gt;0))=0,"",SUMPRODUCT(MAX((START!$B$6:$B$69=$C41)*START!$M$6:$M$69))))</f>
        <v/>
      </c>
      <c r="S41" s="5" t="str">
        <f t="array" ref="S41">IFERROR(INDEX(TABELE!$B$4:$J$18,MATCH($E41,TABELE!$A$4:$A$18,0),MATCH($F41,TABELE!$B$3:$J$3,0)),"")</f>
        <v/>
      </c>
      <c r="T41" s="5">
        <f t="array" ref="T41">IFERROR(IF($C41="",0,$O41*$D41*INDEX(TABELE!$B$23:$P$33,MATCH($F41,TABELE!$A$23:$A$33,0),MATCH($E41,TABELE!$B$22:$P$22,0))),0)</f>
        <v>0</v>
      </c>
      <c r="U41" s="5">
        <f t="array" ref="U41">IFERROR(IF($C41="",0,$O41*$D41*INDEX(TABELE!$B$37:$P$47,MATCH($F41,TABELE!$A$37:$A$47,0),MATCH($E41,TABELE!$B$36:$P$36,0))),0)</f>
        <v>0</v>
      </c>
      <c r="V41" s="5">
        <f t="array" ref="V41">IFERROR(IF($C41="",0,$O41*$D41*INDEX(TABELE!$B$51:$P$61,MATCH($F41,TABELE!$A$51:$A$61,0),MATCH($E41,TABELE!$B$50:$P$50,0))),0)</f>
        <v>0</v>
      </c>
      <c r="W41" s="5" t="str">
        <f t="array" ref="W41">IFERROR(INDEX(BAZA_UWAGI,MATCH($C41,BAZA_EX,0)),"")</f>
        <v/>
      </c>
      <c r="X41" s="5">
        <f t="shared" si="11"/>
        <v>2</v>
      </c>
      <c r="Y41" s="5" t="str">
        <f t="shared" si="14"/>
        <v>B</v>
      </c>
      <c r="Z41" s="5">
        <f t="shared" si="15"/>
        <v>2</v>
      </c>
      <c r="AA41" s="5" t="str">
        <f>IF($C41="","",IF(SUMPRODUCT((START!$B$6:$B$69=$C41)*(START!$M$6:$M$69&gt;0))=0,"",SUMPRODUCT(MAX((START!$B$6:$B$69=$C41)*START!$M$6:$M$69))))</f>
        <v/>
      </c>
      <c r="AB41" s="5" t="str">
        <f t="shared" si="12"/>
        <v/>
      </c>
      <c r="AC41" s="5">
        <f>MAX(0.85,MIN(1.15,1+0.05*(COUNTIF('T1'!$AB41,"za łatwe")+COUNTIF('T2'!$AB41,"za łatwe")+COUNTIF('T3'!$AB41,"za łatwe")+COUNTIF('T4'!$AB41,"za łatwe"))-0.05*(COUNTIF('T1'!$AB41,"za trudne")+COUNTIF('T2'!$AB41,"za trudne")+COUNTIF('T3'!$AB41,"za trudne")+COUNTIF('T4'!$AB41,"za trudne"))))</f>
        <v>1</v>
      </c>
      <c r="AD41" s="5">
        <f t="shared" si="13"/>
        <v>0</v>
      </c>
    </row>
    <row r="42" ht="25.5" customHeight="1" outlineLevel="1">
      <c r="A42" s="18" t="str">
        <f>IF('T1'!$A42="","",'T1'!$A42)</f>
        <v>C1.</v>
      </c>
      <c r="B42" s="30"/>
      <c r="C42" s="31" t="str">
        <f>IF('T1'!$C42="","",'T1'!$C42)</f>
        <v/>
      </c>
      <c r="D42" s="32">
        <v>3.0</v>
      </c>
      <c r="E42" s="39">
        <f>IF($C42="",0,MIN(15,MAX(1,IF(N($O42)&gt;=1,6,IF(N($O42)&gt;=0.75,IF(PRZEL_CZESC="część 1 (objętość)",8,6),IF(PRZEL_CZESC="część 1 (objętość)",10,8)))+1+$AD42)))</f>
        <v>0</v>
      </c>
      <c r="F42" s="33">
        <v>9.0</v>
      </c>
      <c r="G42" s="34" t="str">
        <f>IF($C42="","",IF(OR($Q42="masa ciała",$Q42="czas",$Q42="dystans",$Q42="ręczne ustawienie"),$Q42,IF($C42='T1'!$C42,IF(AND(LEFT($A42,1)&lt;&gt;"A",PRZEL_AKCESORIA="trzymaj z bloku"),IF(NOT(ISNUMBER('T4'!$G42)),'T4'!$G42,MROUND('T4'!$G42*$AC42/(MAX('T4'!$AC42,0.0001)),MAX($P42,0.5))),IF(OR($R42="",$R42=0),"— brak 1RM",MROUND($R42*$S42/100*$AC42,MAX($P42,0.5)))),IF(OR($AA42="",$AA42=0),"— ustaw ręcznie",MROUND($AA42*$S42/100*$AC42,MAX($P42,0.5))))))</f>
        <v/>
      </c>
      <c r="H42" s="35"/>
      <c r="I42" s="36" t="str">
        <f t="array" ref="I42">IFERROR(IF(IFERROR(INDEX(BAZA_FILM,MATCH($C42,BAZA_EX,0)),"")="","",HYPERLINK(IFERROR(INDEX(BAZA_FILM,MATCH($C42,BAZA_EX,0)),""),"film")),"")</f>
        <v/>
      </c>
      <c r="J42" s="37" t="str">
        <f>IF('T1'!$J42="","",'T1'!$J42)</f>
        <v/>
      </c>
      <c r="K42" s="5" t="s">
        <v>92</v>
      </c>
      <c r="L42" s="5" t="str">
        <f t="array" ref="L42">IFERROR(INDEX(BAZA_ID,MATCH($C42,BAZA_EX,0)),"")</f>
        <v/>
      </c>
      <c r="M42" s="5" t="str">
        <f t="array" ref="M42">IFERROR(INDEX(BAZA_PART,MATCH($C42,BAZA_EX,0)),"")</f>
        <v/>
      </c>
      <c r="N42" s="5" t="str">
        <f t="array" ref="N42">IFERROR(INDEX(BAZA_KAT,MATCH($C42,BAZA_EX,0)),"")</f>
        <v/>
      </c>
      <c r="O42" s="5" t="str">
        <f t="array" ref="O42">IFERROR(INDEX(BAZA_COEFF,MATCH($C42,BAZA_EX,0)),"")</f>
        <v/>
      </c>
      <c r="P42" s="5" t="str">
        <f t="array" ref="P42">IFERROR(INDEX(BAZA_SKOK,MATCH($C42,BAZA_EX,0)),"")</f>
        <v/>
      </c>
      <c r="Q42" s="5" t="str">
        <f t="array" ref="Q42">IFERROR(INDEX(BAZA_PROG,MATCH($C42,BAZA_EX,0)),"")</f>
        <v/>
      </c>
      <c r="R42" s="5" t="str">
        <f>IF($C42="","",IF(SUMPRODUCT((START!$B$6:$B$69=$C42)*(START!$M$6:$M$69&gt;0))=0,"",SUMPRODUCT(MAX((START!$B$6:$B$69=$C42)*START!$M$6:$M$69))))</f>
        <v/>
      </c>
      <c r="S42" s="5" t="str">
        <f t="array" ref="S42">IFERROR(INDEX(TABELE!$B$4:$J$18,MATCH($E42,TABELE!$A$4:$A$18,0),MATCH($F42,TABELE!$B$3:$J$3,0)),"")</f>
        <v/>
      </c>
      <c r="T42" s="5">
        <f t="array" ref="T42">IFERROR(IF($C42="",0,$O42*$D42*INDEX(TABELE!$B$23:$P$33,MATCH($F42,TABELE!$A$23:$A$33,0),MATCH($E42,TABELE!$B$22:$P$22,0))),0)</f>
        <v>0</v>
      </c>
      <c r="U42" s="5">
        <f t="array" ref="U42">IFERROR(IF($C42="",0,$O42*$D42*INDEX(TABELE!$B$37:$P$47,MATCH($F42,TABELE!$A$37:$A$47,0),MATCH($E42,TABELE!$B$36:$P$36,0))),0)</f>
        <v>0</v>
      </c>
      <c r="V42" s="5">
        <f t="array" ref="V42">IFERROR(IF($C42="",0,$O42*$D42*INDEX(TABELE!$B$51:$P$61,MATCH($F42,TABELE!$A$51:$A$61,0),MATCH($E42,TABELE!$B$50:$P$50,0))),0)</f>
        <v>0</v>
      </c>
      <c r="W42" s="5" t="str">
        <f t="array" ref="W42">IFERROR(INDEX(BAZA_UWAGI,MATCH($C42,BAZA_EX,0)),"")</f>
        <v/>
      </c>
      <c r="X42" s="5">
        <f t="shared" si="11"/>
        <v>3</v>
      </c>
      <c r="Y42" s="5" t="str">
        <f t="shared" si="14"/>
        <v>C</v>
      </c>
      <c r="Z42" s="5">
        <f t="shared" si="15"/>
        <v>3</v>
      </c>
      <c r="AA42" s="5" t="str">
        <f>IF($C42="","",IF(SUMPRODUCT((START!$B$6:$B$69=$C42)*(START!$M$6:$M$69&gt;0))=0,"",SUMPRODUCT(MAX((START!$B$6:$B$69=$C42)*START!$M$6:$M$69))))</f>
        <v/>
      </c>
      <c r="AB42" s="5" t="str">
        <f t="shared" si="12"/>
        <v/>
      </c>
      <c r="AC42" s="5">
        <f>MAX(0.85,MIN(1.15,1+0.05*(COUNTIF('T1'!$AB42,"za łatwe")+COUNTIF('T2'!$AB42,"za łatwe")+COUNTIF('T3'!$AB42,"za łatwe")+COUNTIF('T4'!$AB42,"za łatwe"))-0.05*(COUNTIF('T1'!$AB42,"za trudne")+COUNTIF('T2'!$AB42,"za trudne")+COUNTIF('T3'!$AB42,"za trudne")+COUNTIF('T4'!$AB42,"za trudne"))))</f>
        <v>1</v>
      </c>
      <c r="AD42" s="5">
        <f t="shared" si="13"/>
        <v>0</v>
      </c>
    </row>
    <row r="43" ht="25.5" customHeight="1" outlineLevel="1">
      <c r="A43" s="18" t="str">
        <f>IF('T1'!$A43="","",'T1'!$A43)</f>
        <v>C2.</v>
      </c>
      <c r="B43" s="30"/>
      <c r="C43" s="31" t="str">
        <f>IF('T1'!$C43="","",'T1'!$C43)</f>
        <v/>
      </c>
      <c r="D43" s="32">
        <v>3.0</v>
      </c>
      <c r="E43" s="39">
        <f>IF($C43="",0,MIN(15,MAX(1,IF(N($O43)&gt;=1,6,IF(N($O43)&gt;=0.75,IF(PRZEL_CZESC="część 1 (objętość)",8,6),IF(PRZEL_CZESC="część 1 (objętość)",10,8)))+1+$AD43)))</f>
        <v>0</v>
      </c>
      <c r="F43" s="33">
        <v>10.0</v>
      </c>
      <c r="G43" s="34" t="str">
        <f>IF($C43="","",IF(OR($Q43="masa ciała",$Q43="czas",$Q43="dystans",$Q43="ręczne ustawienie"),$Q43,IF($C43='T1'!$C43,IF(AND(LEFT($A43,1)&lt;&gt;"A",PRZEL_AKCESORIA="trzymaj z bloku"),IF(NOT(ISNUMBER('T4'!$G43)),'T4'!$G43,MROUND('T4'!$G43*$AC43/(MAX('T4'!$AC43,0.0001)),MAX($P43,0.5))),IF(OR($R43="",$R43=0),"— brak 1RM",MROUND($R43*$S43/100*$AC43,MAX($P43,0.5)))),IF(OR($AA43="",$AA43=0),"— ustaw ręcznie",MROUND($AA43*$S43/100*$AC43,MAX($P43,0.5))))))</f>
        <v/>
      </c>
      <c r="H43" s="35"/>
      <c r="I43" s="36" t="str">
        <f t="array" ref="I43">IFERROR(IF(IFERROR(INDEX(BAZA_FILM,MATCH($C43,BAZA_EX,0)),"")="","",HYPERLINK(IFERROR(INDEX(BAZA_FILM,MATCH($C43,BAZA_EX,0)),""),"film")),"")</f>
        <v/>
      </c>
      <c r="J43" s="37" t="str">
        <f>IF('T1'!$J43="","",'T1'!$J43)</f>
        <v/>
      </c>
      <c r="K43" s="5" t="s">
        <v>94</v>
      </c>
      <c r="L43" s="5" t="str">
        <f t="array" ref="L43">IFERROR(INDEX(BAZA_ID,MATCH($C43,BAZA_EX,0)),"")</f>
        <v/>
      </c>
      <c r="M43" s="5" t="str">
        <f t="array" ref="M43">IFERROR(INDEX(BAZA_PART,MATCH($C43,BAZA_EX,0)),"")</f>
        <v/>
      </c>
      <c r="N43" s="5" t="str">
        <f t="array" ref="N43">IFERROR(INDEX(BAZA_KAT,MATCH($C43,BAZA_EX,0)),"")</f>
        <v/>
      </c>
      <c r="O43" s="5" t="str">
        <f t="array" ref="O43">IFERROR(INDEX(BAZA_COEFF,MATCH($C43,BAZA_EX,0)),"")</f>
        <v/>
      </c>
      <c r="P43" s="5" t="str">
        <f t="array" ref="P43">IFERROR(INDEX(BAZA_SKOK,MATCH($C43,BAZA_EX,0)),"")</f>
        <v/>
      </c>
      <c r="Q43" s="5" t="str">
        <f t="array" ref="Q43">IFERROR(INDEX(BAZA_PROG,MATCH($C43,BAZA_EX,0)),"")</f>
        <v/>
      </c>
      <c r="R43" s="5" t="str">
        <f>IF($C43="","",IF(SUMPRODUCT((START!$B$6:$B$69=$C43)*(START!$M$6:$M$69&gt;0))=0,"",SUMPRODUCT(MAX((START!$B$6:$B$69=$C43)*START!$M$6:$M$69))))</f>
        <v/>
      </c>
      <c r="S43" s="5" t="str">
        <f t="array" ref="S43">IFERROR(INDEX(TABELE!$B$4:$J$18,MATCH($E43,TABELE!$A$4:$A$18,0),MATCH($F43,TABELE!$B$3:$J$3,0)),"")</f>
        <v/>
      </c>
      <c r="T43" s="5">
        <f t="array" ref="T43">IFERROR(IF($C43="",0,$O43*$D43*INDEX(TABELE!$B$23:$P$33,MATCH($F43,TABELE!$A$23:$A$33,0),MATCH($E43,TABELE!$B$22:$P$22,0))),0)</f>
        <v>0</v>
      </c>
      <c r="U43" s="5">
        <f t="array" ref="U43">IFERROR(IF($C43="",0,$O43*$D43*INDEX(TABELE!$B$37:$P$47,MATCH($F43,TABELE!$A$37:$A$47,0),MATCH($E43,TABELE!$B$36:$P$36,0))),0)</f>
        <v>0</v>
      </c>
      <c r="V43" s="5">
        <f t="array" ref="V43">IFERROR(IF($C43="",0,$O43*$D43*INDEX(TABELE!$B$51:$P$61,MATCH($F43,TABELE!$A$51:$A$61,0),MATCH($E43,TABELE!$B$50:$P$50,0))),0)</f>
        <v>0</v>
      </c>
      <c r="W43" s="5" t="str">
        <f t="array" ref="W43">IFERROR(INDEX(BAZA_UWAGI,MATCH($C43,BAZA_EX,0)),"")</f>
        <v/>
      </c>
      <c r="X43" s="5">
        <f t="shared" si="11"/>
        <v>3</v>
      </c>
      <c r="Y43" s="5" t="str">
        <f t="shared" si="14"/>
        <v>C</v>
      </c>
      <c r="Z43" s="5">
        <f t="shared" si="15"/>
        <v>3</v>
      </c>
      <c r="AA43" s="5" t="str">
        <f>IF($C43="","",IF(SUMPRODUCT((START!$B$6:$B$69=$C43)*(START!$M$6:$M$69&gt;0))=0,"",SUMPRODUCT(MAX((START!$B$6:$B$69=$C43)*START!$M$6:$M$69))))</f>
        <v/>
      </c>
      <c r="AB43" s="5" t="str">
        <f t="shared" si="12"/>
        <v/>
      </c>
      <c r="AC43" s="5">
        <f>MAX(0.85,MIN(1.15,1+0.05*(COUNTIF('T1'!$AB43,"za łatwe")+COUNTIF('T2'!$AB43,"za łatwe")+COUNTIF('T3'!$AB43,"za łatwe")+COUNTIF('T4'!$AB43,"za łatwe"))-0.05*(COUNTIF('T1'!$AB43,"za trudne")+COUNTIF('T2'!$AB43,"za trudne")+COUNTIF('T3'!$AB43,"za trudne")+COUNTIF('T4'!$AB43,"za trudne"))))</f>
        <v>1</v>
      </c>
      <c r="AD43" s="5">
        <f t="shared" si="13"/>
        <v>0</v>
      </c>
    </row>
    <row r="44" ht="25.5" customHeight="1" outlineLevel="1">
      <c r="A44" s="18" t="str">
        <f>IF('T1'!$A44="","",'T1'!$A44)</f>
        <v>D1.</v>
      </c>
      <c r="B44" s="30"/>
      <c r="C44" s="31" t="str">
        <f>IF('T1'!$C44="","",'T1'!$C44)</f>
        <v/>
      </c>
      <c r="D44" s="32">
        <v>3.0</v>
      </c>
      <c r="E44" s="39">
        <f>IF($C44="",0,MIN(15,MAX(1,IF(N($O44)&gt;=1,6,IF(N($O44)&gt;=0.75,IF(PRZEL_CZESC="część 1 (objętość)",8,6),IF(PRZEL_CZESC="część 1 (objętość)",10,8)))+1+$AD44)))</f>
        <v>0</v>
      </c>
      <c r="F44" s="33">
        <v>9.0</v>
      </c>
      <c r="G44" s="34" t="str">
        <f>IF($C44="","",IF(OR($Q44="masa ciała",$Q44="czas",$Q44="dystans",$Q44="ręczne ustawienie"),$Q44,IF($C44='T1'!$C44,IF(AND(LEFT($A44,1)&lt;&gt;"A",PRZEL_AKCESORIA="trzymaj z bloku"),IF(NOT(ISNUMBER('T4'!$G44)),'T4'!$G44,MROUND('T4'!$G44*$AC44/(MAX('T4'!$AC44,0.0001)),MAX($P44,0.5))),IF(OR($R44="",$R44=0),"— brak 1RM",MROUND($R44*$S44/100*$AC44,MAX($P44,0.5)))),IF(OR($AA44="",$AA44=0),"— ustaw ręcznie",MROUND($AA44*$S44/100*$AC44,MAX($P44,0.5))))))</f>
        <v/>
      </c>
      <c r="H44" s="35"/>
      <c r="I44" s="36" t="str">
        <f t="array" ref="I44">IFERROR(IF(IFERROR(INDEX(BAZA_FILM,MATCH($C44,BAZA_EX,0)),"")="","",HYPERLINK(IFERROR(INDEX(BAZA_FILM,MATCH($C44,BAZA_EX,0)),""),"film")),"")</f>
        <v/>
      </c>
      <c r="J44" s="37" t="str">
        <f>IF('T1'!$J44="","",'T1'!$J44)</f>
        <v/>
      </c>
      <c r="K44" s="5" t="s">
        <v>95</v>
      </c>
      <c r="L44" s="5" t="str">
        <f t="array" ref="L44">IFERROR(INDEX(BAZA_ID,MATCH($C44,BAZA_EX,0)),"")</f>
        <v/>
      </c>
      <c r="M44" s="5" t="str">
        <f t="array" ref="M44">IFERROR(INDEX(BAZA_PART,MATCH($C44,BAZA_EX,0)),"")</f>
        <v/>
      </c>
      <c r="N44" s="5" t="str">
        <f t="array" ref="N44">IFERROR(INDEX(BAZA_KAT,MATCH($C44,BAZA_EX,0)),"")</f>
        <v/>
      </c>
      <c r="O44" s="5" t="str">
        <f t="array" ref="O44">IFERROR(INDEX(BAZA_COEFF,MATCH($C44,BAZA_EX,0)),"")</f>
        <v/>
      </c>
      <c r="P44" s="5" t="str">
        <f t="array" ref="P44">IFERROR(INDEX(BAZA_SKOK,MATCH($C44,BAZA_EX,0)),"")</f>
        <v/>
      </c>
      <c r="Q44" s="5" t="str">
        <f t="array" ref="Q44">IFERROR(INDEX(BAZA_PROG,MATCH($C44,BAZA_EX,0)),"")</f>
        <v/>
      </c>
      <c r="R44" s="5" t="str">
        <f>IF($C44="","",IF(SUMPRODUCT((START!$B$6:$B$69=$C44)*(START!$M$6:$M$69&gt;0))=0,"",SUMPRODUCT(MAX((START!$B$6:$B$69=$C44)*START!$M$6:$M$69))))</f>
        <v/>
      </c>
      <c r="S44" s="5" t="str">
        <f t="array" ref="S44">IFERROR(INDEX(TABELE!$B$4:$J$18,MATCH($E44,TABELE!$A$4:$A$18,0),MATCH($F44,TABELE!$B$3:$J$3,0)),"")</f>
        <v/>
      </c>
      <c r="T44" s="5">
        <f t="array" ref="T44">IFERROR(IF($C44="",0,$O44*$D44*INDEX(TABELE!$B$23:$P$33,MATCH($F44,TABELE!$A$23:$A$33,0),MATCH($E44,TABELE!$B$22:$P$22,0))),0)</f>
        <v>0</v>
      </c>
      <c r="U44" s="5">
        <f t="array" ref="U44">IFERROR(IF($C44="",0,$O44*$D44*INDEX(TABELE!$B$37:$P$47,MATCH($F44,TABELE!$A$37:$A$47,0),MATCH($E44,TABELE!$B$36:$P$36,0))),0)</f>
        <v>0</v>
      </c>
      <c r="V44" s="5">
        <f t="array" ref="V44">IFERROR(IF($C44="",0,$O44*$D44*INDEX(TABELE!$B$51:$P$61,MATCH($F44,TABELE!$A$51:$A$61,0),MATCH($E44,TABELE!$B$50:$P$50,0))),0)</f>
        <v>0</v>
      </c>
      <c r="W44" s="5" t="str">
        <f t="array" ref="W44">IFERROR(INDEX(BAZA_UWAGI,MATCH($C44,BAZA_EX,0)),"")</f>
        <v/>
      </c>
      <c r="X44" s="5">
        <f t="shared" si="11"/>
        <v>4</v>
      </c>
      <c r="Y44" s="5" t="str">
        <f t="shared" si="14"/>
        <v>D</v>
      </c>
      <c r="Z44" s="5">
        <f t="shared" si="15"/>
        <v>4</v>
      </c>
      <c r="AA44" s="5" t="str">
        <f>IF($C44="","",IF(SUMPRODUCT((START!$B$6:$B$69=$C44)*(START!$M$6:$M$69&gt;0))=0,"",SUMPRODUCT(MAX((START!$B$6:$B$69=$C44)*START!$M$6:$M$69))))</f>
        <v/>
      </c>
      <c r="AB44" s="5" t="str">
        <f t="shared" si="12"/>
        <v/>
      </c>
      <c r="AC44" s="5">
        <f>MAX(0.85,MIN(1.15,1+0.05*(COUNTIF('T1'!$AB44,"za łatwe")+COUNTIF('T2'!$AB44,"za łatwe")+COUNTIF('T3'!$AB44,"za łatwe")+COUNTIF('T4'!$AB44,"za łatwe"))-0.05*(COUNTIF('T1'!$AB44,"za trudne")+COUNTIF('T2'!$AB44,"za trudne")+COUNTIF('T3'!$AB44,"za trudne")+COUNTIF('T4'!$AB44,"za trudne"))))</f>
        <v>1</v>
      </c>
      <c r="AD44" s="5">
        <f t="shared" si="13"/>
        <v>0</v>
      </c>
    </row>
    <row r="45" ht="25.5" customHeight="1" outlineLevel="1">
      <c r="A45" s="18" t="str">
        <f>IF('T1'!$A45="","",'T1'!$A45)</f>
        <v>D2.</v>
      </c>
      <c r="B45" s="30"/>
      <c r="C45" s="31" t="str">
        <f>IF('T1'!$C45="","",'T1'!$C45)</f>
        <v/>
      </c>
      <c r="D45" s="32">
        <v>3.0</v>
      </c>
      <c r="E45" s="39">
        <f>IF($C45="",0,MIN(15,MAX(1,IF(N($O45)&gt;=1,6,IF(N($O45)&gt;=0.75,IF(PRZEL_CZESC="część 1 (objętość)",8,6),IF(PRZEL_CZESC="część 1 (objętość)",10,8)))+1+$AD45)))</f>
        <v>0</v>
      </c>
      <c r="F45" s="33">
        <v>10.0</v>
      </c>
      <c r="G45" s="34" t="str">
        <f>IF($C45="","",IF(OR($Q45="masa ciała",$Q45="czas",$Q45="dystans",$Q45="ręczne ustawienie"),$Q45,IF($C45='T1'!$C45,IF(AND(LEFT($A45,1)&lt;&gt;"A",PRZEL_AKCESORIA="trzymaj z bloku"),IF(NOT(ISNUMBER('T4'!$G45)),'T4'!$G45,MROUND('T4'!$G45*$AC45/(MAX('T4'!$AC45,0.0001)),MAX($P45,0.5))),IF(OR($R45="",$R45=0),"— brak 1RM",MROUND($R45*$S45/100*$AC45,MAX($P45,0.5)))),IF(OR($AA45="",$AA45=0),"— ustaw ręcznie",MROUND($AA45*$S45/100*$AC45,MAX($P45,0.5))))))</f>
        <v/>
      </c>
      <c r="H45" s="35"/>
      <c r="I45" s="36" t="str">
        <f t="array" ref="I45">IFERROR(IF(IFERROR(INDEX(BAZA_FILM,MATCH($C45,BAZA_EX,0)),"")="","",HYPERLINK(IFERROR(INDEX(BAZA_FILM,MATCH($C45,BAZA_EX,0)),""),"film")),"")</f>
        <v/>
      </c>
      <c r="J45" s="37" t="str">
        <f>IF('T1'!$J45="","",'T1'!$J45)</f>
        <v/>
      </c>
      <c r="K45" s="5" t="s">
        <v>96</v>
      </c>
      <c r="L45" s="5" t="str">
        <f t="array" ref="L45">IFERROR(INDEX(BAZA_ID,MATCH($C45,BAZA_EX,0)),"")</f>
        <v/>
      </c>
      <c r="M45" s="5" t="str">
        <f t="array" ref="M45">IFERROR(INDEX(BAZA_PART,MATCH($C45,BAZA_EX,0)),"")</f>
        <v/>
      </c>
      <c r="N45" s="5" t="str">
        <f t="array" ref="N45">IFERROR(INDEX(BAZA_KAT,MATCH($C45,BAZA_EX,0)),"")</f>
        <v/>
      </c>
      <c r="O45" s="5" t="str">
        <f t="array" ref="O45">IFERROR(INDEX(BAZA_COEFF,MATCH($C45,BAZA_EX,0)),"")</f>
        <v/>
      </c>
      <c r="P45" s="5" t="str">
        <f t="array" ref="P45">IFERROR(INDEX(BAZA_SKOK,MATCH($C45,BAZA_EX,0)),"")</f>
        <v/>
      </c>
      <c r="Q45" s="5" t="str">
        <f t="array" ref="Q45">IFERROR(INDEX(BAZA_PROG,MATCH($C45,BAZA_EX,0)),"")</f>
        <v/>
      </c>
      <c r="R45" s="5" t="str">
        <f>IF($C45="","",IF(SUMPRODUCT((START!$B$6:$B$69=$C45)*(START!$M$6:$M$69&gt;0))=0,"",SUMPRODUCT(MAX((START!$B$6:$B$69=$C45)*START!$M$6:$M$69))))</f>
        <v/>
      </c>
      <c r="S45" s="5" t="str">
        <f t="array" ref="S45">IFERROR(INDEX(TABELE!$B$4:$J$18,MATCH($E45,TABELE!$A$4:$A$18,0),MATCH($F45,TABELE!$B$3:$J$3,0)),"")</f>
        <v/>
      </c>
      <c r="T45" s="5">
        <f t="array" ref="T45">IFERROR(IF($C45="",0,$O45*$D45*INDEX(TABELE!$B$23:$P$33,MATCH($F45,TABELE!$A$23:$A$33,0),MATCH($E45,TABELE!$B$22:$P$22,0))),0)</f>
        <v>0</v>
      </c>
      <c r="U45" s="5">
        <f t="array" ref="U45">IFERROR(IF($C45="",0,$O45*$D45*INDEX(TABELE!$B$37:$P$47,MATCH($F45,TABELE!$A$37:$A$47,0),MATCH($E45,TABELE!$B$36:$P$36,0))),0)</f>
        <v>0</v>
      </c>
      <c r="V45" s="5">
        <f t="array" ref="V45">IFERROR(IF($C45="",0,$O45*$D45*INDEX(TABELE!$B$51:$P$61,MATCH($F45,TABELE!$A$51:$A$61,0),MATCH($E45,TABELE!$B$50:$P$50,0))),0)</f>
        <v>0</v>
      </c>
      <c r="W45" s="5" t="str">
        <f t="array" ref="W45">IFERROR(INDEX(BAZA_UWAGI,MATCH($C45,BAZA_EX,0)),"")</f>
        <v/>
      </c>
      <c r="X45" s="5">
        <f t="shared" si="11"/>
        <v>4</v>
      </c>
      <c r="Y45" s="5" t="str">
        <f t="shared" si="14"/>
        <v>D</v>
      </c>
      <c r="Z45" s="5">
        <f t="shared" si="15"/>
        <v>4</v>
      </c>
      <c r="AA45" s="5" t="str">
        <f>IF($C45="","",IF(SUMPRODUCT((START!$B$6:$B$69=$C45)*(START!$M$6:$M$69&gt;0))=0,"",SUMPRODUCT(MAX((START!$B$6:$B$69=$C45)*START!$M$6:$M$69))))</f>
        <v/>
      </c>
      <c r="AB45" s="5" t="str">
        <f t="shared" si="12"/>
        <v/>
      </c>
      <c r="AC45" s="5">
        <f>MAX(0.85,MIN(1.15,1+0.05*(COUNTIF('T1'!$AB45,"za łatwe")+COUNTIF('T2'!$AB45,"za łatwe")+COUNTIF('T3'!$AB45,"za łatwe")+COUNTIF('T4'!$AB45,"za łatwe"))-0.05*(COUNTIF('T1'!$AB45,"za trudne")+COUNTIF('T2'!$AB45,"za trudne")+COUNTIF('T3'!$AB45,"za trudne")+COUNTIF('T4'!$AB45,"za trudne"))))</f>
        <v>1</v>
      </c>
      <c r="AD45" s="5">
        <f t="shared" si="13"/>
        <v>0</v>
      </c>
    </row>
    <row r="46" ht="25.5" customHeight="1" outlineLevel="1">
      <c r="A46" s="18" t="str">
        <f>IF('T1'!$A46="","",'T1'!$A46)</f>
        <v>E1.</v>
      </c>
      <c r="B46" s="30"/>
      <c r="C46" s="31" t="str">
        <f>IF('T1'!$C46="","",'T1'!$C46)</f>
        <v/>
      </c>
      <c r="D46" s="32"/>
      <c r="E46" s="39">
        <f>IF($C46="",0,MIN(15,MAX(1,IF(N($O46)&gt;=1,6,IF(N($O46)&gt;=0.75,IF(PRZEL_CZESC="część 1 (objętość)",8,6),IF(PRZEL_CZESC="część 1 (objętość)",10,8)))+1+$AD46)))</f>
        <v>0</v>
      </c>
      <c r="F46" s="33"/>
      <c r="G46" s="34" t="str">
        <f>IF($C46="","",IF(OR($Q46="masa ciała",$Q46="czas",$Q46="dystans",$Q46="ręczne ustawienie"),$Q46,IF($C46='T1'!$C46,IF(AND(LEFT($A46,1)&lt;&gt;"A",PRZEL_AKCESORIA="trzymaj z bloku"),IF(NOT(ISNUMBER('T4'!$G46)),'T4'!$G46,MROUND('T4'!$G46*$AC46/(MAX('T4'!$AC46,0.0001)),MAX($P46,0.5))),IF(OR($R46="",$R46=0),"— brak 1RM",MROUND($R46*$S46/100*$AC46,MAX($P46,0.5)))),IF(OR($AA46="",$AA46=0),"— ustaw ręcznie",MROUND($AA46*$S46/100*$AC46,MAX($P46,0.5))))))</f>
        <v/>
      </c>
      <c r="H46" s="35"/>
      <c r="I46" s="36" t="str">
        <f t="array" ref="I46">IFERROR(IF(IFERROR(INDEX(BAZA_FILM,MATCH($C46,BAZA_EX,0)),"")="","",HYPERLINK(IFERROR(INDEX(BAZA_FILM,MATCH($C46,BAZA_EX,0)),""),"film")),"")</f>
        <v/>
      </c>
      <c r="J46" s="37" t="str">
        <f>IF('T1'!$J46="","",'T1'!$J46)</f>
        <v/>
      </c>
      <c r="K46" s="5" t="s">
        <v>97</v>
      </c>
      <c r="L46" s="5" t="str">
        <f t="array" ref="L46">IFERROR(INDEX(BAZA_ID,MATCH($C46,BAZA_EX,0)),"")</f>
        <v/>
      </c>
      <c r="M46" s="5" t="str">
        <f t="array" ref="M46">IFERROR(INDEX(BAZA_PART,MATCH($C46,BAZA_EX,0)),"")</f>
        <v/>
      </c>
      <c r="N46" s="5" t="str">
        <f t="array" ref="N46">IFERROR(INDEX(BAZA_KAT,MATCH($C46,BAZA_EX,0)),"")</f>
        <v/>
      </c>
      <c r="O46" s="5" t="str">
        <f t="array" ref="O46">IFERROR(INDEX(BAZA_COEFF,MATCH($C46,BAZA_EX,0)),"")</f>
        <v/>
      </c>
      <c r="P46" s="5" t="str">
        <f t="array" ref="P46">IFERROR(INDEX(BAZA_SKOK,MATCH($C46,BAZA_EX,0)),"")</f>
        <v/>
      </c>
      <c r="Q46" s="5" t="str">
        <f t="array" ref="Q46">IFERROR(INDEX(BAZA_PROG,MATCH($C46,BAZA_EX,0)),"")</f>
        <v/>
      </c>
      <c r="R46" s="5" t="str">
        <f>IF($C46="","",IF(SUMPRODUCT((START!$B$6:$B$69=$C46)*(START!$M$6:$M$69&gt;0))=0,"",SUMPRODUCT(MAX((START!$B$6:$B$69=$C46)*START!$M$6:$M$69))))</f>
        <v/>
      </c>
      <c r="S46" s="5" t="str">
        <f t="array" ref="S46">IFERROR(INDEX(TABELE!$B$4:$J$18,MATCH($E46,TABELE!$A$4:$A$18,0),MATCH($F46,TABELE!$B$3:$J$3,0)),"")</f>
        <v/>
      </c>
      <c r="T46" s="5">
        <f t="array" ref="T46">IFERROR(IF($C46="",0,$O46*$D46*INDEX(TABELE!$B$23:$P$33,MATCH($F46,TABELE!$A$23:$A$33,0),MATCH($E46,TABELE!$B$22:$P$22,0))),0)</f>
        <v>0</v>
      </c>
      <c r="U46" s="5">
        <f t="array" ref="U46">IFERROR(IF($C46="",0,$O46*$D46*INDEX(TABELE!$B$37:$P$47,MATCH($F46,TABELE!$A$37:$A$47,0),MATCH($E46,TABELE!$B$36:$P$36,0))),0)</f>
        <v>0</v>
      </c>
      <c r="V46" s="5">
        <f t="array" ref="V46">IFERROR(IF($C46="",0,$O46*$D46*INDEX(TABELE!$B$51:$P$61,MATCH($F46,TABELE!$A$51:$A$61,0),MATCH($E46,TABELE!$B$50:$P$50,0))),0)</f>
        <v>0</v>
      </c>
      <c r="W46" s="5" t="str">
        <f t="array" ref="W46">IFERROR(INDEX(BAZA_UWAGI,MATCH($C46,BAZA_EX,0)),"")</f>
        <v/>
      </c>
      <c r="X46" s="5">
        <f t="shared" si="11"/>
        <v>5</v>
      </c>
      <c r="Y46" s="5" t="str">
        <f t="shared" si="14"/>
        <v>E</v>
      </c>
      <c r="Z46" s="5">
        <f t="shared" si="15"/>
        <v>5</v>
      </c>
      <c r="AA46" s="5" t="str">
        <f>IF($C46="","",IF(SUMPRODUCT((START!$B$6:$B$69=$C46)*(START!$M$6:$M$69&gt;0))=0,"",SUMPRODUCT(MAX((START!$B$6:$B$69=$C46)*START!$M$6:$M$69))))</f>
        <v/>
      </c>
      <c r="AB46" s="5" t="str">
        <f t="shared" si="12"/>
        <v/>
      </c>
      <c r="AC46" s="5">
        <f>MAX(0.85,MIN(1.15,1+0.05*(COUNTIF('T1'!$AB46,"za łatwe")+COUNTIF('T2'!$AB46,"za łatwe")+COUNTIF('T3'!$AB46,"za łatwe")+COUNTIF('T4'!$AB46,"za łatwe"))-0.05*(COUNTIF('T1'!$AB46,"za trudne")+COUNTIF('T2'!$AB46,"za trudne")+COUNTIF('T3'!$AB46,"za trudne")+COUNTIF('T4'!$AB46,"za trudne"))))</f>
        <v>1</v>
      </c>
      <c r="AD46" s="5">
        <f t="shared" si="13"/>
        <v>0</v>
      </c>
    </row>
    <row r="47" ht="25.5" customHeight="1" outlineLevel="1">
      <c r="A47" s="18" t="str">
        <f>IF('T1'!$A47="","",'T1'!$A47)</f>
        <v>E2.</v>
      </c>
      <c r="B47" s="30"/>
      <c r="C47" s="31" t="str">
        <f>IF('T1'!$C47="","",'T1'!$C47)</f>
        <v/>
      </c>
      <c r="D47" s="32"/>
      <c r="E47" s="39">
        <f>IF($C47="",0,MIN(15,MAX(1,IF(N($O47)&gt;=1,6,IF(N($O47)&gt;=0.75,IF(PRZEL_CZESC="część 1 (objętość)",8,6),IF(PRZEL_CZESC="część 1 (objętość)",10,8)))+1+$AD47)))</f>
        <v>0</v>
      </c>
      <c r="F47" s="33"/>
      <c r="G47" s="34" t="str">
        <f>IF($C47="","",IF(OR($Q47="masa ciała",$Q47="czas",$Q47="dystans",$Q47="ręczne ustawienie"),$Q47,IF($C47='T1'!$C47,IF(AND(LEFT($A47,1)&lt;&gt;"A",PRZEL_AKCESORIA="trzymaj z bloku"),IF(NOT(ISNUMBER('T4'!$G47)),'T4'!$G47,MROUND('T4'!$G47*$AC47/(MAX('T4'!$AC47,0.0001)),MAX($P47,0.5))),IF(OR($R47="",$R47=0),"— brak 1RM",MROUND($R47*$S47/100*$AC47,MAX($P47,0.5)))),IF(OR($AA47="",$AA47=0),"— ustaw ręcznie",MROUND($AA47*$S47/100*$AC47,MAX($P47,0.5))))))</f>
        <v/>
      </c>
      <c r="H47" s="35"/>
      <c r="I47" s="36" t="str">
        <f t="array" ref="I47">IFERROR(IF(IFERROR(INDEX(BAZA_FILM,MATCH($C47,BAZA_EX,0)),"")="","",HYPERLINK(IFERROR(INDEX(BAZA_FILM,MATCH($C47,BAZA_EX,0)),""),"film")),"")</f>
        <v/>
      </c>
      <c r="J47" s="37" t="str">
        <f>IF('T1'!$J47="","",'T1'!$J47)</f>
        <v/>
      </c>
      <c r="K47" s="5" t="s">
        <v>98</v>
      </c>
      <c r="L47" s="5" t="str">
        <f t="array" ref="L47">IFERROR(INDEX(BAZA_ID,MATCH($C47,BAZA_EX,0)),"")</f>
        <v/>
      </c>
      <c r="M47" s="5" t="str">
        <f t="array" ref="M47">IFERROR(INDEX(BAZA_PART,MATCH($C47,BAZA_EX,0)),"")</f>
        <v/>
      </c>
      <c r="N47" s="5" t="str">
        <f t="array" ref="N47">IFERROR(INDEX(BAZA_KAT,MATCH($C47,BAZA_EX,0)),"")</f>
        <v/>
      </c>
      <c r="O47" s="5" t="str">
        <f t="array" ref="O47">IFERROR(INDEX(BAZA_COEFF,MATCH($C47,BAZA_EX,0)),"")</f>
        <v/>
      </c>
      <c r="P47" s="5" t="str">
        <f t="array" ref="P47">IFERROR(INDEX(BAZA_SKOK,MATCH($C47,BAZA_EX,0)),"")</f>
        <v/>
      </c>
      <c r="Q47" s="5" t="str">
        <f t="array" ref="Q47">IFERROR(INDEX(BAZA_PROG,MATCH($C47,BAZA_EX,0)),"")</f>
        <v/>
      </c>
      <c r="R47" s="5" t="str">
        <f>IF($C47="","",IF(SUMPRODUCT((START!$B$6:$B$69=$C47)*(START!$M$6:$M$69&gt;0))=0,"",SUMPRODUCT(MAX((START!$B$6:$B$69=$C47)*START!$M$6:$M$69))))</f>
        <v/>
      </c>
      <c r="S47" s="5" t="str">
        <f t="array" ref="S47">IFERROR(INDEX(TABELE!$B$4:$J$18,MATCH($E47,TABELE!$A$4:$A$18,0),MATCH($F47,TABELE!$B$3:$J$3,0)),"")</f>
        <v/>
      </c>
      <c r="T47" s="5">
        <f t="array" ref="T47">IFERROR(IF($C47="",0,$O47*$D47*INDEX(TABELE!$B$23:$P$33,MATCH($F47,TABELE!$A$23:$A$33,0),MATCH($E47,TABELE!$B$22:$P$22,0))),0)</f>
        <v>0</v>
      </c>
      <c r="U47" s="5">
        <f t="array" ref="U47">IFERROR(IF($C47="",0,$O47*$D47*INDEX(TABELE!$B$37:$P$47,MATCH($F47,TABELE!$A$37:$A$47,0),MATCH($E47,TABELE!$B$36:$P$36,0))),0)</f>
        <v>0</v>
      </c>
      <c r="V47" s="5">
        <f t="array" ref="V47">IFERROR(IF($C47="",0,$O47*$D47*INDEX(TABELE!$B$51:$P$61,MATCH($F47,TABELE!$A$51:$A$61,0),MATCH($E47,TABELE!$B$50:$P$50,0))),0)</f>
        <v>0</v>
      </c>
      <c r="W47" s="5" t="str">
        <f t="array" ref="W47">IFERROR(INDEX(BAZA_UWAGI,MATCH($C47,BAZA_EX,0)),"")</f>
        <v/>
      </c>
      <c r="X47" s="5">
        <f t="shared" si="11"/>
        <v>5</v>
      </c>
      <c r="Y47" s="5" t="str">
        <f t="shared" si="14"/>
        <v>E</v>
      </c>
      <c r="Z47" s="5">
        <f t="shared" si="15"/>
        <v>5</v>
      </c>
      <c r="AA47" s="5" t="str">
        <f>IF($C47="","",IF(SUMPRODUCT((START!$B$6:$B$69=$C47)*(START!$M$6:$M$69&gt;0))=0,"",SUMPRODUCT(MAX((START!$B$6:$B$69=$C47)*START!$M$6:$M$69))))</f>
        <v/>
      </c>
      <c r="AB47" s="5" t="str">
        <f t="shared" si="12"/>
        <v/>
      </c>
      <c r="AC47" s="5">
        <f>MAX(0.85,MIN(1.15,1+0.05*(COUNTIF('T1'!$AB47,"za łatwe")+COUNTIF('T2'!$AB47,"za łatwe")+COUNTIF('T3'!$AB47,"za łatwe")+COUNTIF('T4'!$AB47,"za łatwe"))-0.05*(COUNTIF('T1'!$AB47,"za trudne")+COUNTIF('T2'!$AB47,"za trudne")+COUNTIF('T3'!$AB47,"za trudne")+COUNTIF('T4'!$AB47,"za trudne"))))</f>
        <v>1</v>
      </c>
      <c r="AD47" s="5">
        <f t="shared" si="13"/>
        <v>0</v>
      </c>
    </row>
    <row r="48" ht="25.5" customHeight="1" outlineLevel="1">
      <c r="A48" s="18" t="str">
        <f>IF('T1'!$A48="","",'T1'!$A48)</f>
        <v/>
      </c>
      <c r="B48" s="30"/>
      <c r="C48" s="31" t="str">
        <f>IF('T1'!$C48="","",'T1'!$C48)</f>
        <v/>
      </c>
      <c r="D48" s="32"/>
      <c r="E48" s="39">
        <f>IF($C48="",0,MIN(15,MAX(1,IF(N($O48)&gt;=1,6,IF(N($O48)&gt;=0.75,IF(PRZEL_CZESC="część 1 (objętość)",8,6),IF(PRZEL_CZESC="część 1 (objętość)",10,8)))+1+$AD48)))</f>
        <v>0</v>
      </c>
      <c r="F48" s="33"/>
      <c r="G48" s="34" t="str">
        <f>IF($C48="","",IF(OR($Q48="masa ciała",$Q48="czas",$Q48="dystans",$Q48="ręczne ustawienie"),$Q48,IF($C48='T1'!$C48,IF(AND(LEFT($A48,1)&lt;&gt;"A",PRZEL_AKCESORIA="trzymaj z bloku"),IF(NOT(ISNUMBER('T4'!$G48)),'T4'!$G48,MROUND('T4'!$G48*$AC48/(MAX('T4'!$AC48,0.0001)),MAX($P48,0.5))),IF(OR($R48="",$R48=0),"— brak 1RM",MROUND($R48*$S48/100*$AC48,MAX($P48,0.5)))),IF(OR($AA48="",$AA48=0),"— ustaw ręcznie",MROUND($AA48*$S48/100*$AC48,MAX($P48,0.5))))))</f>
        <v/>
      </c>
      <c r="H48" s="35"/>
      <c r="I48" s="36" t="str">
        <f t="array" ref="I48">IFERROR(IF(IFERROR(INDEX(BAZA_FILM,MATCH($C48,BAZA_EX,0)),"")="","",HYPERLINK(IFERROR(INDEX(BAZA_FILM,MATCH($C48,BAZA_EX,0)),""),"film")),"")</f>
        <v/>
      </c>
      <c r="J48" s="37" t="str">
        <f>IF('T1'!$J48="","",'T1'!$J48)</f>
        <v/>
      </c>
      <c r="K48" s="5" t="s">
        <v>99</v>
      </c>
      <c r="L48" s="5" t="str">
        <f t="array" ref="L48">IFERROR(INDEX(BAZA_ID,MATCH($C48,BAZA_EX,0)),"")</f>
        <v/>
      </c>
      <c r="M48" s="5" t="str">
        <f t="array" ref="M48">IFERROR(INDEX(BAZA_PART,MATCH($C48,BAZA_EX,0)),"")</f>
        <v/>
      </c>
      <c r="N48" s="5" t="str">
        <f t="array" ref="N48">IFERROR(INDEX(BAZA_KAT,MATCH($C48,BAZA_EX,0)),"")</f>
        <v/>
      </c>
      <c r="O48" s="5" t="str">
        <f t="array" ref="O48">IFERROR(INDEX(BAZA_COEFF,MATCH($C48,BAZA_EX,0)),"")</f>
        <v/>
      </c>
      <c r="P48" s="5" t="str">
        <f t="array" ref="P48">IFERROR(INDEX(BAZA_SKOK,MATCH($C48,BAZA_EX,0)),"")</f>
        <v/>
      </c>
      <c r="Q48" s="5" t="str">
        <f t="array" ref="Q48">IFERROR(INDEX(BAZA_PROG,MATCH($C48,BAZA_EX,0)),"")</f>
        <v/>
      </c>
      <c r="R48" s="5" t="str">
        <f>IF($C48="","",IF(SUMPRODUCT((START!$B$6:$B$69=$C48)*(START!$M$6:$M$69&gt;0))=0,"",SUMPRODUCT(MAX((START!$B$6:$B$69=$C48)*START!$M$6:$M$69))))</f>
        <v/>
      </c>
      <c r="S48" s="5" t="str">
        <f t="array" ref="S48">IFERROR(INDEX(TABELE!$B$4:$J$18,MATCH($E48,TABELE!$A$4:$A$18,0),MATCH($F48,TABELE!$B$3:$J$3,0)),"")</f>
        <v/>
      </c>
      <c r="T48" s="5">
        <f t="array" ref="T48">IFERROR(IF($C48="",0,$O48*$D48*INDEX(TABELE!$B$23:$P$33,MATCH($F48,TABELE!$A$23:$A$33,0),MATCH($E48,TABELE!$B$22:$P$22,0))),0)</f>
        <v>0</v>
      </c>
      <c r="U48" s="5">
        <f t="array" ref="U48">IFERROR(IF($C48="",0,$O48*$D48*INDEX(TABELE!$B$37:$P$47,MATCH($F48,TABELE!$A$37:$A$47,0),MATCH($E48,TABELE!$B$36:$P$36,0))),0)</f>
        <v>0</v>
      </c>
      <c r="V48" s="5">
        <f t="array" ref="V48">IFERROR(IF($C48="",0,$O48*$D48*INDEX(TABELE!$B$51:$P$61,MATCH($F48,TABELE!$A$51:$A$61,0),MATCH($E48,TABELE!$B$50:$P$50,0))),0)</f>
        <v>0</v>
      </c>
      <c r="W48" s="5" t="str">
        <f t="array" ref="W48">IFERROR(INDEX(BAZA_UWAGI,MATCH($C48,BAZA_EX,0)),"")</f>
        <v/>
      </c>
      <c r="X48" s="5" t="str">
        <f t="shared" si="11"/>
        <v/>
      </c>
      <c r="Y48" s="5" t="str">
        <f t="shared" si="14"/>
        <v>E</v>
      </c>
      <c r="Z48" s="5">
        <f t="shared" si="15"/>
        <v>5</v>
      </c>
      <c r="AA48" s="5" t="str">
        <f>IF($C48="","",IF(SUMPRODUCT((START!$B$6:$B$69=$C48)*(START!$M$6:$M$69&gt;0))=0,"",SUMPRODUCT(MAX((START!$B$6:$B$69=$C48)*START!$M$6:$M$69))))</f>
        <v/>
      </c>
      <c r="AB48" s="5" t="str">
        <f t="shared" si="12"/>
        <v/>
      </c>
      <c r="AC48" s="5">
        <f>MAX(0.85,MIN(1.15,1+0.05*(COUNTIF('T1'!$AB48,"za łatwe")+COUNTIF('T2'!$AB48,"za łatwe")+COUNTIF('T3'!$AB48,"za łatwe")+COUNTIF('T4'!$AB48,"za łatwe"))-0.05*(COUNTIF('T1'!$AB48,"za trudne")+COUNTIF('T2'!$AB48,"za trudne")+COUNTIF('T3'!$AB48,"za trudne")+COUNTIF('T4'!$AB48,"za trudne"))))</f>
        <v>1</v>
      </c>
      <c r="AD48" s="5">
        <f t="shared" si="13"/>
        <v>0</v>
      </c>
    </row>
    <row r="49" ht="25.5" customHeight="1" outlineLevel="1">
      <c r="A49" s="18" t="str">
        <f>IF('T1'!$A49="","",'T1'!$A49)</f>
        <v/>
      </c>
      <c r="B49" s="30"/>
      <c r="C49" s="31" t="str">
        <f>IF('T1'!$C49="","",'T1'!$C49)</f>
        <v/>
      </c>
      <c r="D49" s="32"/>
      <c r="E49" s="39">
        <f>IF($C49="",0,MIN(15,MAX(1,IF(N($O49)&gt;=1,6,IF(N($O49)&gt;=0.75,IF(PRZEL_CZESC="część 1 (objętość)",8,6),IF(PRZEL_CZESC="część 1 (objętość)",10,8)))+1+$AD49)))</f>
        <v>0</v>
      </c>
      <c r="F49" s="33"/>
      <c r="G49" s="34" t="str">
        <f>IF($C49="","",IF(OR($Q49="masa ciała",$Q49="czas",$Q49="dystans",$Q49="ręczne ustawienie"),$Q49,IF($C49='T1'!$C49,IF(AND(LEFT($A49,1)&lt;&gt;"A",PRZEL_AKCESORIA="trzymaj z bloku"),IF(NOT(ISNUMBER('T4'!$G49)),'T4'!$G49,MROUND('T4'!$G49*$AC49/(MAX('T4'!$AC49,0.0001)),MAX($P49,0.5))),IF(OR($R49="",$R49=0),"— brak 1RM",MROUND($R49*$S49/100*$AC49,MAX($P49,0.5)))),IF(OR($AA49="",$AA49=0),"— ustaw ręcznie",MROUND($AA49*$S49/100*$AC49,MAX($P49,0.5))))))</f>
        <v/>
      </c>
      <c r="H49" s="35"/>
      <c r="I49" s="36" t="str">
        <f t="array" ref="I49">IFERROR(IF(IFERROR(INDEX(BAZA_FILM,MATCH($C49,BAZA_EX,0)),"")="","",HYPERLINK(IFERROR(INDEX(BAZA_FILM,MATCH($C49,BAZA_EX,0)),""),"film")),"")</f>
        <v/>
      </c>
      <c r="J49" s="37" t="str">
        <f>IF('T1'!$J49="","",'T1'!$J49)</f>
        <v/>
      </c>
      <c r="K49" s="5" t="s">
        <v>101</v>
      </c>
      <c r="L49" s="5" t="str">
        <f t="array" ref="L49">IFERROR(INDEX(BAZA_ID,MATCH($C49,BAZA_EX,0)),"")</f>
        <v/>
      </c>
      <c r="M49" s="5" t="str">
        <f t="array" ref="M49">IFERROR(INDEX(BAZA_PART,MATCH($C49,BAZA_EX,0)),"")</f>
        <v/>
      </c>
      <c r="N49" s="5" t="str">
        <f t="array" ref="N49">IFERROR(INDEX(BAZA_KAT,MATCH($C49,BAZA_EX,0)),"")</f>
        <v/>
      </c>
      <c r="O49" s="5" t="str">
        <f t="array" ref="O49">IFERROR(INDEX(BAZA_COEFF,MATCH($C49,BAZA_EX,0)),"")</f>
        <v/>
      </c>
      <c r="P49" s="5" t="str">
        <f t="array" ref="P49">IFERROR(INDEX(BAZA_SKOK,MATCH($C49,BAZA_EX,0)),"")</f>
        <v/>
      </c>
      <c r="Q49" s="5" t="str">
        <f t="array" ref="Q49">IFERROR(INDEX(BAZA_PROG,MATCH($C49,BAZA_EX,0)),"")</f>
        <v/>
      </c>
      <c r="R49" s="5" t="str">
        <f>IF($C49="","",IF(SUMPRODUCT((START!$B$6:$B$69=$C49)*(START!$M$6:$M$69&gt;0))=0,"",SUMPRODUCT(MAX((START!$B$6:$B$69=$C49)*START!$M$6:$M$69))))</f>
        <v/>
      </c>
      <c r="S49" s="5" t="str">
        <f t="array" ref="S49">IFERROR(INDEX(TABELE!$B$4:$J$18,MATCH($E49,TABELE!$A$4:$A$18,0),MATCH($F49,TABELE!$B$3:$J$3,0)),"")</f>
        <v/>
      </c>
      <c r="T49" s="5">
        <f t="array" ref="T49">IFERROR(IF($C49="",0,$O49*$D49*INDEX(TABELE!$B$23:$P$33,MATCH($F49,TABELE!$A$23:$A$33,0),MATCH($E49,TABELE!$B$22:$P$22,0))),0)</f>
        <v>0</v>
      </c>
      <c r="U49" s="5">
        <f t="array" ref="U49">IFERROR(IF($C49="",0,$O49*$D49*INDEX(TABELE!$B$37:$P$47,MATCH($F49,TABELE!$A$37:$A$47,0),MATCH($E49,TABELE!$B$36:$P$36,0))),0)</f>
        <v>0</v>
      </c>
      <c r="V49" s="5">
        <f t="array" ref="V49">IFERROR(IF($C49="",0,$O49*$D49*INDEX(TABELE!$B$51:$P$61,MATCH($F49,TABELE!$A$51:$A$61,0),MATCH($E49,TABELE!$B$50:$P$50,0))),0)</f>
        <v>0</v>
      </c>
      <c r="W49" s="5" t="str">
        <f t="array" ref="W49">IFERROR(INDEX(BAZA_UWAGI,MATCH($C49,BAZA_EX,0)),"")</f>
        <v/>
      </c>
      <c r="X49" s="5" t="str">
        <f t="shared" si="11"/>
        <v/>
      </c>
      <c r="Y49" s="5" t="str">
        <f t="shared" si="14"/>
        <v>E</v>
      </c>
      <c r="Z49" s="5">
        <f t="shared" si="15"/>
        <v>5</v>
      </c>
      <c r="AA49" s="5" t="str">
        <f>IF($C49="","",IF(SUMPRODUCT((START!$B$6:$B$69=$C49)*(START!$M$6:$M$69&gt;0))=0,"",SUMPRODUCT(MAX((START!$B$6:$B$69=$C49)*START!$M$6:$M$69))))</f>
        <v/>
      </c>
      <c r="AB49" s="5" t="str">
        <f t="shared" si="12"/>
        <v/>
      </c>
      <c r="AC49" s="5">
        <f>MAX(0.85,MIN(1.15,1+0.05*(COUNTIF('T1'!$AB49,"za łatwe")+COUNTIF('T2'!$AB49,"za łatwe")+COUNTIF('T3'!$AB49,"za łatwe")+COUNTIF('T4'!$AB49,"za łatwe"))-0.05*(COUNTIF('T1'!$AB49,"za trudne")+COUNTIF('T2'!$AB49,"za trudne")+COUNTIF('T3'!$AB49,"za trudne")+COUNTIF('T4'!$AB49,"za trudne"))))</f>
        <v>1</v>
      </c>
      <c r="AD49" s="5">
        <f t="shared" si="13"/>
        <v>0</v>
      </c>
    </row>
    <row r="50" ht="25.5" customHeight="1" outlineLevel="1">
      <c r="A50" s="18" t="str">
        <f>IF('T1'!$A50="","",'T1'!$A50)</f>
        <v/>
      </c>
      <c r="B50" s="30"/>
      <c r="C50" s="31" t="str">
        <f>IF('T1'!$C50="","",'T1'!$C50)</f>
        <v/>
      </c>
      <c r="D50" s="32"/>
      <c r="E50" s="39">
        <f>IF($C50="",0,MIN(15,MAX(1,IF(N($O50)&gt;=1,6,IF(N($O50)&gt;=0.75,IF(PRZEL_CZESC="część 1 (objętość)",8,6),IF(PRZEL_CZESC="część 1 (objętość)",10,8)))+1+$AD50)))</f>
        <v>0</v>
      </c>
      <c r="F50" s="33"/>
      <c r="G50" s="34" t="str">
        <f>IF($C50="","",IF(OR($Q50="masa ciała",$Q50="czas",$Q50="dystans",$Q50="ręczne ustawienie"),$Q50,IF($C50='T1'!$C50,IF(AND(LEFT($A50,1)&lt;&gt;"A",PRZEL_AKCESORIA="trzymaj z bloku"),IF(NOT(ISNUMBER('T4'!$G50)),'T4'!$G50,MROUND('T4'!$G50*$AC50/(MAX('T4'!$AC50,0.0001)),MAX($P50,0.5))),IF(OR($R50="",$R50=0),"— brak 1RM",MROUND($R50*$S50/100*$AC50,MAX($P50,0.5)))),IF(OR($AA50="",$AA50=0),"— ustaw ręcznie",MROUND($AA50*$S50/100*$AC50,MAX($P50,0.5))))))</f>
        <v/>
      </c>
      <c r="H50" s="35"/>
      <c r="I50" s="36" t="str">
        <f t="array" ref="I50">IFERROR(IF(IFERROR(INDEX(BAZA_FILM,MATCH($C50,BAZA_EX,0)),"")="","",HYPERLINK(IFERROR(INDEX(BAZA_FILM,MATCH($C50,BAZA_EX,0)),""),"film")),"")</f>
        <v/>
      </c>
      <c r="J50" s="37" t="str">
        <f>IF('T1'!$J50="","",'T1'!$J50)</f>
        <v/>
      </c>
      <c r="K50" s="5" t="s">
        <v>102</v>
      </c>
      <c r="L50" s="5" t="str">
        <f t="array" ref="L50">IFERROR(INDEX(BAZA_ID,MATCH($C50,BAZA_EX,0)),"")</f>
        <v/>
      </c>
      <c r="M50" s="5" t="str">
        <f t="array" ref="M50">IFERROR(INDEX(BAZA_PART,MATCH($C50,BAZA_EX,0)),"")</f>
        <v/>
      </c>
      <c r="N50" s="5" t="str">
        <f t="array" ref="N50">IFERROR(INDEX(BAZA_KAT,MATCH($C50,BAZA_EX,0)),"")</f>
        <v/>
      </c>
      <c r="O50" s="5" t="str">
        <f t="array" ref="O50">IFERROR(INDEX(BAZA_COEFF,MATCH($C50,BAZA_EX,0)),"")</f>
        <v/>
      </c>
      <c r="P50" s="5" t="str">
        <f t="array" ref="P50">IFERROR(INDEX(BAZA_SKOK,MATCH($C50,BAZA_EX,0)),"")</f>
        <v/>
      </c>
      <c r="Q50" s="5" t="str">
        <f t="array" ref="Q50">IFERROR(INDEX(BAZA_PROG,MATCH($C50,BAZA_EX,0)),"")</f>
        <v/>
      </c>
      <c r="R50" s="5" t="str">
        <f>IF($C50="","",IF(SUMPRODUCT((START!$B$6:$B$69=$C50)*(START!$M$6:$M$69&gt;0))=0,"",SUMPRODUCT(MAX((START!$B$6:$B$69=$C50)*START!$M$6:$M$69))))</f>
        <v/>
      </c>
      <c r="S50" s="5" t="str">
        <f t="array" ref="S50">IFERROR(INDEX(TABELE!$B$4:$J$18,MATCH($E50,TABELE!$A$4:$A$18,0),MATCH($F50,TABELE!$B$3:$J$3,0)),"")</f>
        <v/>
      </c>
      <c r="T50" s="5">
        <f t="array" ref="T50">IFERROR(IF($C50="",0,$O50*$D50*INDEX(TABELE!$B$23:$P$33,MATCH($F50,TABELE!$A$23:$A$33,0),MATCH($E50,TABELE!$B$22:$P$22,0))),0)</f>
        <v>0</v>
      </c>
      <c r="U50" s="5">
        <f t="array" ref="U50">IFERROR(IF($C50="",0,$O50*$D50*INDEX(TABELE!$B$37:$P$47,MATCH($F50,TABELE!$A$37:$A$47,0),MATCH($E50,TABELE!$B$36:$P$36,0))),0)</f>
        <v>0</v>
      </c>
      <c r="V50" s="5">
        <f t="array" ref="V50">IFERROR(IF($C50="",0,$O50*$D50*INDEX(TABELE!$B$51:$P$61,MATCH($F50,TABELE!$A$51:$A$61,0),MATCH($E50,TABELE!$B$50:$P$50,0))),0)</f>
        <v>0</v>
      </c>
      <c r="W50" s="5" t="str">
        <f t="array" ref="W50">IFERROR(INDEX(BAZA_UWAGI,MATCH($C50,BAZA_EX,0)),"")</f>
        <v/>
      </c>
      <c r="X50" s="5" t="str">
        <f t="shared" si="11"/>
        <v/>
      </c>
      <c r="Y50" s="5" t="str">
        <f t="shared" si="14"/>
        <v>E</v>
      </c>
      <c r="Z50" s="5">
        <f t="shared" si="15"/>
        <v>5</v>
      </c>
      <c r="AA50" s="5" t="str">
        <f>IF($C50="","",IF(SUMPRODUCT((START!$B$6:$B$69=$C50)*(START!$M$6:$M$69&gt;0))=0,"",SUMPRODUCT(MAX((START!$B$6:$B$69=$C50)*START!$M$6:$M$69))))</f>
        <v/>
      </c>
      <c r="AB50" s="5" t="str">
        <f t="shared" si="12"/>
        <v/>
      </c>
      <c r="AC50" s="5">
        <f>MAX(0.85,MIN(1.15,1+0.05*(COUNTIF('T1'!$AB50,"za łatwe")+COUNTIF('T2'!$AB50,"za łatwe")+COUNTIF('T3'!$AB50,"za łatwe")+COUNTIF('T4'!$AB50,"za łatwe"))-0.05*(COUNTIF('T1'!$AB50,"za trudne")+COUNTIF('T2'!$AB50,"za trudne")+COUNTIF('T3'!$AB50,"za trudne")+COUNTIF('T4'!$AB50,"za trudne"))))</f>
        <v>1</v>
      </c>
      <c r="AD50" s="5">
        <f t="shared" si="13"/>
        <v>0</v>
      </c>
    </row>
    <row r="51" ht="19.5" customHeight="1" outlineLevel="1">
      <c r="A51" s="43"/>
      <c r="B51" s="43"/>
      <c r="C51" s="44" t="s">
        <v>137</v>
      </c>
      <c r="D51" s="45">
        <f>SUMPRODUCT((C39:C50&lt;&gt;"")*D39:D50)+IF(AND($B$38="TOP SET",$C$38&lt;&gt;""),1,0)</f>
      </c>
      <c r="E51" s="46" t="str">
        <f>SUMPRODUCT((C39:C50&lt;&gt;"")*D39:D50*E39:E50)&amp;" powt."</f>
        <v>0 powt.</v>
      </c>
      <c r="F51" s="43"/>
      <c r="G51" s="47" t="str">
        <f>"stres t "&amp;TEXT(SUM(T39:T50),"0.0")</f>
        <v>stres t 0,0</v>
      </c>
      <c r="H51" s="48"/>
      <c r="I51" s="43"/>
      <c r="J51" s="4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25.5" hidden="1" customHeight="1" outlineLevel="1">
      <c r="A53" s="15" t="s">
        <v>103</v>
      </c>
      <c r="B53" s="3"/>
      <c r="C53" s="3"/>
      <c r="D53" s="3"/>
      <c r="E53" s="3"/>
      <c r="F53" s="3"/>
      <c r="G53" s="3"/>
      <c r="H53" s="3"/>
      <c r="I53" s="3"/>
      <c r="J53" s="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33.75" hidden="1" customHeight="1" outlineLevel="2">
      <c r="A54" s="17" t="str">
        <f>IF($B54="TOP SET","▲","")</f>
        <v>▲</v>
      </c>
      <c r="B54" s="19" t="str">
        <f>IF('T1'!$B54="TOP SET","TOP SET","—")</f>
        <v>TOP SET</v>
      </c>
      <c r="C54" s="22" t="str">
        <f>IF(OR($B54&lt;&gt;"TOP SET",$F54=""),"",IF(N($K54)=0,"",IF(INDEX($C$55:$C$66,$K54)="","",INDEX($C$55:$C$66,$K54))))</f>
      </c>
      <c r="D54" s="23">
        <f>IF(AND($B54="TOP SET",$F54&lt;&gt;""),1,"")</f>
      </c>
      <c r="E54" s="24" t="str">
        <f>IF(AND($B54="TOP SET",$F54&lt;&gt;""),"1 powtórzenie","")</f>
      </c>
      <c r="F54" s="25">
        <v>7.5</v>
      </c>
      <c r="G54" s="27" t="str">
        <f t="array" ref="G54">IF($B54&lt;&gt;"TOP SET","",IF($C54="","",IF(OR($Q54="masa ciała",$Q54="czas",$Q54="dystans",$Q54="ręczne ustawienie"),"—",IF($C54='T1'!$C54,IF(OR($R54="",$R54=0),"— brak 1RM",MROUND($R54*IFERROR(INDEX(TABELE!$B$4:$J$18,MATCH(1,TABELE!$A$4:$A$18,0),MATCH($F54,TABELE!$B$3:$J$3,0)),0)/100,MAX($P54,0.5))),IF(OR($AA54="",$AA54=0),"— ustaw ręcznie",MROUND($AA54*IFERROR(INDEX(TABELE!$B$4:$J$18,MATCH(1,TABELE!$A$4:$A$18,0),MATCH($F54,TABELE!$B$3:$J$3,0)),0)/100,MAX($P54,0.5)))))))</f>
      </c>
      <c r="H54" s="28"/>
      <c r="I54" s="29"/>
      <c r="J54" s="29"/>
      <c r="K54" s="5">
        <f>IFERROR(MATCH("A*",$A$55:$A$66,0),0)</f>
      </c>
      <c r="L54" s="5"/>
      <c r="M54" s="5"/>
      <c r="N54" s="5"/>
      <c r="O54" s="5"/>
      <c r="P54" s="5">
        <f>IF(N($K54)=0,"",INDEX($P$55:$P$66,$K54))</f>
      </c>
      <c r="Q54" s="5">
        <f>IF(N($K54)=0,"",INDEX($Q$55:$Q$66,$K54))</f>
      </c>
      <c r="R54" s="5">
        <f>IF(N($K54)=0,"",INDEX($R$55:$R$66,$K54))</f>
      </c>
      <c r="S54" s="5"/>
      <c r="T54" s="5"/>
      <c r="U54" s="5"/>
      <c r="V54" s="5"/>
      <c r="W54" s="5"/>
      <c r="X54" s="5"/>
      <c r="Y54" s="5"/>
      <c r="Z54" s="5"/>
      <c r="AA54" s="5">
        <f>IF(N($K54)=0,"",INDEX($AA$55:$AA$66,$K54))</f>
      </c>
    </row>
    <row r="55" ht="25.5" hidden="1" customHeight="1" outlineLevel="1">
      <c r="A55" s="18" t="str">
        <f>IF('T1'!$A55="","",'T1'!$A55)</f>
        <v>A1.</v>
      </c>
      <c r="B55" s="30"/>
      <c r="C55" s="31" t="str">
        <f>IF('T1'!$C55="","",'T1'!$C55)</f>
        <v/>
      </c>
      <c r="D55" s="32">
        <v>5.0</v>
      </c>
      <c r="E55" s="32">
        <v>4.0</v>
      </c>
      <c r="F55" s="33">
        <v>7.5</v>
      </c>
      <c r="G55" s="34" t="str">
        <f>IF($C55="","",IF(OR($Q55="masa ciała",$Q55="czas",$Q55="dystans",$Q55="ręczne ustawienie"),$Q55,IF($C55='T1'!$C55,IF(AND(LEFT($A55,1)&lt;&gt;"A",PRZEL_AKCESORIA="trzymaj z bloku"),IF(NOT(ISNUMBER('T4'!$G55)),'T4'!$G55,MROUND('T4'!$G55*$AC55/(MAX('T4'!$AC55,0.0001)),MAX($P55,0.5))),IF(OR($R55="",$R55=0),"— brak 1RM",MROUND($R55*$S55/100*$AC55,MAX($P55,0.5)))),IF(OR($AA55="",$AA55=0),"— ustaw ręcznie",MROUND($AA55*$S55/100*$AC55,MAX($P55,0.5))))))</f>
        <v/>
      </c>
      <c r="H55" s="35"/>
      <c r="I55" s="36" t="str">
        <f t="array" ref="I55">IFERROR(IF(IFERROR(INDEX(BAZA_FILM,MATCH($C55,BAZA_EX,0)),"")="","",HYPERLINK(IFERROR(INDEX(BAZA_FILM,MATCH($C55,BAZA_EX,0)),""),"film")),"")</f>
        <v/>
      </c>
      <c r="J55" s="37" t="str">
        <f>IF('T1'!$J55="","",'T1'!$J55)</f>
        <v/>
      </c>
      <c r="K55" s="5" t="s">
        <v>104</v>
      </c>
      <c r="L55" s="5" t="str">
        <f t="array" ref="L55">IFERROR(INDEX(BAZA_ID,MATCH($C55,BAZA_EX,0)),"")</f>
        <v/>
      </c>
      <c r="M55" s="5" t="str">
        <f t="array" ref="M55">IFERROR(INDEX(BAZA_PART,MATCH($C55,BAZA_EX,0)),"")</f>
        <v/>
      </c>
      <c r="N55" s="5" t="str">
        <f t="array" ref="N55">IFERROR(INDEX(BAZA_KAT,MATCH($C55,BAZA_EX,0)),"")</f>
        <v/>
      </c>
      <c r="O55" s="5" t="str">
        <f t="array" ref="O55">IFERROR(INDEX(BAZA_COEFF,MATCH($C55,BAZA_EX,0)),"")</f>
        <v/>
      </c>
      <c r="P55" s="5" t="str">
        <f t="array" ref="P55">IFERROR(INDEX(BAZA_SKOK,MATCH($C55,BAZA_EX,0)),"")</f>
        <v/>
      </c>
      <c r="Q55" s="5" t="str">
        <f t="array" ref="Q55">IFERROR(INDEX(BAZA_PROG,MATCH($C55,BAZA_EX,0)),"")</f>
        <v/>
      </c>
      <c r="R55" s="5" t="str">
        <f>IF($C55="","",IF(SUMPRODUCT((START!$B$6:$B$69=$C55)*(START!$M$6:$M$69&gt;0))=0,"",SUMPRODUCT(MAX((START!$B$6:$B$69=$C55)*START!$M$6:$M$69))))</f>
        <v/>
      </c>
      <c r="S55" s="5">
        <f t="array" ref="S55">IFERROR(INDEX(TABELE!$B$4:$J$18,MATCH($E55,TABELE!$A$4:$A$18,0),MATCH($F55,TABELE!$B$3:$J$3,0)),"")</f>
        <v>80.5</v>
      </c>
      <c r="T55" s="5">
        <f t="array" ref="T55">IFERROR(IF($C55="",0,$O55*$D55*INDEX(TABELE!$B$23:$P$33,MATCH($F55,TABELE!$A$23:$A$33,0),MATCH($E55,TABELE!$B$22:$P$22,0))),0)</f>
        <v>0</v>
      </c>
      <c r="U55" s="5">
        <f t="array" ref="U55">IFERROR(IF($C55="",0,$O55*$D55*INDEX(TABELE!$B$37:$P$47,MATCH($F55,TABELE!$A$37:$A$47,0),MATCH($E55,TABELE!$B$36:$P$36,0))),0)</f>
        <v>0</v>
      </c>
      <c r="V55" s="5">
        <f t="array" ref="V55">IFERROR(IF($C55="",0,$O55*$D55*INDEX(TABELE!$B$51:$P$61,MATCH($F55,TABELE!$A$51:$A$61,0),MATCH($E55,TABELE!$B$50:$P$50,0))),0)</f>
        <v>0</v>
      </c>
      <c r="W55" s="5" t="str">
        <f t="array" ref="W55">IFERROR(INDEX(BAZA_UWAGI,MATCH($C55,BAZA_EX,0)),"")</f>
        <v/>
      </c>
      <c r="X55" s="5">
        <f t="shared" ref="X55:X66" si="16">IF($A55="","",$Z55)</f>
        <v>1</v>
      </c>
      <c r="Y55" s="5" t="str">
        <f>IF($A55="","",LEFT($A55,1))</f>
        <v>A</v>
      </c>
      <c r="Z55" s="5">
        <f>IF($A55="",0,1)</f>
        <v>1</v>
      </c>
      <c r="AA55" s="5" t="str">
        <f>IF($C55="","",IF(SUMPRODUCT((START!$B$6:$B$69=$C55)*(START!$M$6:$M$69&gt;0))=0,"",SUMPRODUCT(MAX((START!$B$6:$B$69=$C55)*START!$M$6:$M$69))))</f>
        <v/>
      </c>
      <c r="AB55" s="5" t="str">
        <f t="shared" ref="AB55:AB66" si="17">IF($C55="","",IF($H55&lt;&gt;"",$H55,IF($H$67="✓ ukończony","OK","")))</f>
        <v/>
      </c>
      <c r="AC55" s="5">
        <f>MAX(0.85,MIN(1.15,1+0.05*(COUNTIF('T1'!$AB55,"za łatwe")+COUNTIF('T2'!$AB55,"za łatwe")+COUNTIF('T3'!$AB55,"za łatwe")+COUNTIF('T4'!$AB55,"za łatwe"))-0.05*(COUNTIF('T1'!$AB55,"za trudne")+COUNTIF('T2'!$AB55,"za trudne")+COUNTIF('T3'!$AB55,"za trudne")+COUNTIF('T4'!$AB55,"za trudne"))))</f>
        <v>1</v>
      </c>
      <c r="AD55" s="5">
        <f t="shared" ref="AD55:AD66" si="18">IF(OR($Q55="masa ciała",$Q55="czas",$Q55="dystans",$Q55="ręczne ustawienie"),MAX(-3,MIN(3,ROUND(($AC55-1)/0.05,0))),0)</f>
        <v>0</v>
      </c>
    </row>
    <row r="56" ht="25.5" hidden="1" customHeight="1" outlineLevel="1">
      <c r="A56" s="18" t="str">
        <f>IF('T1'!$A56="","",'T1'!$A56)</f>
        <v>B1.</v>
      </c>
      <c r="B56" s="30"/>
      <c r="C56" s="31" t="str">
        <f>IF('T1'!$C56="","",'T1'!$C56)</f>
        <v/>
      </c>
      <c r="D56" s="32">
        <v>3.0</v>
      </c>
      <c r="E56" s="39">
        <f>IF($C56="",0,MIN(15,MAX(1,IF(N($O56)&gt;=1,6,IF(N($O56)&gt;=0.75,IF(PRZEL_CZESC="część 1 (objętość)",8,6),IF(PRZEL_CZESC="część 1 (objętość)",10,8)))+1+$AD56)))</f>
        <v>0</v>
      </c>
      <c r="F56" s="33">
        <v>9.0</v>
      </c>
      <c r="G56" s="34" t="str">
        <f>IF($C56="","",IF(OR($Q56="masa ciała",$Q56="czas",$Q56="dystans",$Q56="ręczne ustawienie"),$Q56,IF($C56='T1'!$C56,IF(AND(LEFT($A56,1)&lt;&gt;"A",PRZEL_AKCESORIA="trzymaj z bloku"),IF(NOT(ISNUMBER('T4'!$G56)),'T4'!$G56,MROUND('T4'!$G56*$AC56/(MAX('T4'!$AC56,0.0001)),MAX($P56,0.5))),IF(OR($R56="",$R56=0),"— brak 1RM",MROUND($R56*$S56/100*$AC56,MAX($P56,0.5)))),IF(OR($AA56="",$AA56=0),"— ustaw ręcznie",MROUND($AA56*$S56/100*$AC56,MAX($P56,0.5))))))</f>
        <v/>
      </c>
      <c r="H56" s="35"/>
      <c r="I56" s="36" t="str">
        <f t="array" ref="I56">IFERROR(IF(IFERROR(INDEX(BAZA_FILM,MATCH($C56,BAZA_EX,0)),"")="","",HYPERLINK(IFERROR(INDEX(BAZA_FILM,MATCH($C56,BAZA_EX,0)),""),"film")),"")</f>
        <v/>
      </c>
      <c r="J56" s="37" t="str">
        <f>IF('T1'!$J56="","",'T1'!$J56)</f>
        <v/>
      </c>
      <c r="K56" s="5" t="s">
        <v>105</v>
      </c>
      <c r="L56" s="5" t="str">
        <f t="array" ref="L56">IFERROR(INDEX(BAZA_ID,MATCH($C56,BAZA_EX,0)),"")</f>
        <v/>
      </c>
      <c r="M56" s="5" t="str">
        <f t="array" ref="M56">IFERROR(INDEX(BAZA_PART,MATCH($C56,BAZA_EX,0)),"")</f>
        <v/>
      </c>
      <c r="N56" s="5" t="str">
        <f t="array" ref="N56">IFERROR(INDEX(BAZA_KAT,MATCH($C56,BAZA_EX,0)),"")</f>
        <v/>
      </c>
      <c r="O56" s="5" t="str">
        <f t="array" ref="O56">IFERROR(INDEX(BAZA_COEFF,MATCH($C56,BAZA_EX,0)),"")</f>
        <v/>
      </c>
      <c r="P56" s="5" t="str">
        <f t="array" ref="P56">IFERROR(INDEX(BAZA_SKOK,MATCH($C56,BAZA_EX,0)),"")</f>
        <v/>
      </c>
      <c r="Q56" s="5" t="str">
        <f t="array" ref="Q56">IFERROR(INDEX(BAZA_PROG,MATCH($C56,BAZA_EX,0)),"")</f>
        <v/>
      </c>
      <c r="R56" s="5" t="str">
        <f>IF($C56="","",IF(SUMPRODUCT((START!$B$6:$B$69=$C56)*(START!$M$6:$M$69&gt;0))=0,"",SUMPRODUCT(MAX((START!$B$6:$B$69=$C56)*START!$M$6:$M$69))))</f>
        <v/>
      </c>
      <c r="S56" s="5" t="str">
        <f t="array" ref="S56">IFERROR(INDEX(TABELE!$B$4:$J$18,MATCH($E56,TABELE!$A$4:$A$18,0),MATCH($F56,TABELE!$B$3:$J$3,0)),"")</f>
        <v/>
      </c>
      <c r="T56" s="5">
        <f t="array" ref="T56">IFERROR(IF($C56="",0,$O56*$D56*INDEX(TABELE!$B$23:$P$33,MATCH($F56,TABELE!$A$23:$A$33,0),MATCH($E56,TABELE!$B$22:$P$22,0))),0)</f>
        <v>0</v>
      </c>
      <c r="U56" s="5">
        <f t="array" ref="U56">IFERROR(IF($C56="",0,$O56*$D56*INDEX(TABELE!$B$37:$P$47,MATCH($F56,TABELE!$A$37:$A$47,0),MATCH($E56,TABELE!$B$36:$P$36,0))),0)</f>
        <v>0</v>
      </c>
      <c r="V56" s="5">
        <f t="array" ref="V56">IFERROR(IF($C56="",0,$O56*$D56*INDEX(TABELE!$B$51:$P$61,MATCH($F56,TABELE!$A$51:$A$61,0),MATCH($E56,TABELE!$B$50:$P$50,0))),0)</f>
        <v>0</v>
      </c>
      <c r="W56" s="5" t="str">
        <f t="array" ref="W56">IFERROR(INDEX(BAZA_UWAGI,MATCH($C56,BAZA_EX,0)),"")</f>
        <v/>
      </c>
      <c r="X56" s="5">
        <f t="shared" si="16"/>
        <v>2</v>
      </c>
      <c r="Y56" s="5" t="str">
        <f t="shared" ref="Y56:Y66" si="19">IF($A56="",$Y55,LEFT($A56,1))</f>
        <v>B</v>
      </c>
      <c r="Z56" s="5">
        <f t="shared" ref="Z56:Z66" si="20">IF($A56="",$Z55,IF(LEFT($A56,1)=$Y55,$Z55,$Z55+1))</f>
        <v>2</v>
      </c>
      <c r="AA56" s="5" t="str">
        <f>IF($C56="","",IF(SUMPRODUCT((START!$B$6:$B$69=$C56)*(START!$M$6:$M$69&gt;0))=0,"",SUMPRODUCT(MAX((START!$B$6:$B$69=$C56)*START!$M$6:$M$69))))</f>
        <v/>
      </c>
      <c r="AB56" s="5" t="str">
        <f t="shared" si="17"/>
        <v/>
      </c>
      <c r="AC56" s="5">
        <f>MAX(0.85,MIN(1.15,1+0.05*(COUNTIF('T1'!$AB56,"za łatwe")+COUNTIF('T2'!$AB56,"za łatwe")+COUNTIF('T3'!$AB56,"za łatwe")+COUNTIF('T4'!$AB56,"za łatwe"))-0.05*(COUNTIF('T1'!$AB56,"za trudne")+COUNTIF('T2'!$AB56,"za trudne")+COUNTIF('T3'!$AB56,"za trudne")+COUNTIF('T4'!$AB56,"za trudne"))))</f>
        <v>1</v>
      </c>
      <c r="AD56" s="5">
        <f t="shared" si="18"/>
        <v>0</v>
      </c>
    </row>
    <row r="57" ht="25.5" hidden="1" customHeight="1" outlineLevel="1">
      <c r="A57" s="18" t="str">
        <f>IF('T1'!$A57="","",'T1'!$A57)</f>
        <v>B2.</v>
      </c>
      <c r="B57" s="30"/>
      <c r="C57" s="31" t="str">
        <f>IF('T1'!$C57="","",'T1'!$C57)</f>
        <v/>
      </c>
      <c r="D57" s="32">
        <v>3.0</v>
      </c>
      <c r="E57" s="39">
        <f>IF($C57="",0,MIN(15,MAX(1,IF(N($O57)&gt;=1,6,IF(N($O57)&gt;=0.75,IF(PRZEL_CZESC="część 1 (objętość)",8,6),IF(PRZEL_CZESC="część 1 (objętość)",10,8)))+1+$AD57)))</f>
        <v>0</v>
      </c>
      <c r="F57" s="33">
        <v>9.0</v>
      </c>
      <c r="G57" s="34" t="str">
        <f>IF($C57="","",IF(OR($Q57="masa ciała",$Q57="czas",$Q57="dystans",$Q57="ręczne ustawienie"),$Q57,IF($C57='T1'!$C57,IF(AND(LEFT($A57,1)&lt;&gt;"A",PRZEL_AKCESORIA="trzymaj z bloku"),IF(NOT(ISNUMBER('T4'!$G57)),'T4'!$G57,MROUND('T4'!$G57*$AC57/(MAX('T4'!$AC57,0.0001)),MAX($P57,0.5))),IF(OR($R57="",$R57=0),"— brak 1RM",MROUND($R57*$S57/100*$AC57,MAX($P57,0.5)))),IF(OR($AA57="",$AA57=0),"— ustaw ręcznie",MROUND($AA57*$S57/100*$AC57,MAX($P57,0.5))))))</f>
        <v/>
      </c>
      <c r="H57" s="35"/>
      <c r="I57" s="36" t="str">
        <f t="array" ref="I57">IFERROR(IF(IFERROR(INDEX(BAZA_FILM,MATCH($C57,BAZA_EX,0)),"")="","",HYPERLINK(IFERROR(INDEX(BAZA_FILM,MATCH($C57,BAZA_EX,0)),""),"film")),"")</f>
        <v/>
      </c>
      <c r="J57" s="37" t="str">
        <f>IF('T1'!$J57="","",'T1'!$J57)</f>
        <v/>
      </c>
      <c r="K57" s="5" t="s">
        <v>106</v>
      </c>
      <c r="L57" s="5" t="str">
        <f t="array" ref="L57">IFERROR(INDEX(BAZA_ID,MATCH($C57,BAZA_EX,0)),"")</f>
        <v/>
      </c>
      <c r="M57" s="5" t="str">
        <f t="array" ref="M57">IFERROR(INDEX(BAZA_PART,MATCH($C57,BAZA_EX,0)),"")</f>
        <v/>
      </c>
      <c r="N57" s="5" t="str">
        <f t="array" ref="N57">IFERROR(INDEX(BAZA_KAT,MATCH($C57,BAZA_EX,0)),"")</f>
        <v/>
      </c>
      <c r="O57" s="5" t="str">
        <f t="array" ref="O57">IFERROR(INDEX(BAZA_COEFF,MATCH($C57,BAZA_EX,0)),"")</f>
        <v/>
      </c>
      <c r="P57" s="5" t="str">
        <f t="array" ref="P57">IFERROR(INDEX(BAZA_SKOK,MATCH($C57,BAZA_EX,0)),"")</f>
        <v/>
      </c>
      <c r="Q57" s="5" t="str">
        <f t="array" ref="Q57">IFERROR(INDEX(BAZA_PROG,MATCH($C57,BAZA_EX,0)),"")</f>
        <v/>
      </c>
      <c r="R57" s="5" t="str">
        <f>IF($C57="","",IF(SUMPRODUCT((START!$B$6:$B$69=$C57)*(START!$M$6:$M$69&gt;0))=0,"",SUMPRODUCT(MAX((START!$B$6:$B$69=$C57)*START!$M$6:$M$69))))</f>
        <v/>
      </c>
      <c r="S57" s="5" t="str">
        <f t="array" ref="S57">IFERROR(INDEX(TABELE!$B$4:$J$18,MATCH($E57,TABELE!$A$4:$A$18,0),MATCH($F57,TABELE!$B$3:$J$3,0)),"")</f>
        <v/>
      </c>
      <c r="T57" s="5">
        <f t="array" ref="T57">IFERROR(IF($C57="",0,$O57*$D57*INDEX(TABELE!$B$23:$P$33,MATCH($F57,TABELE!$A$23:$A$33,0),MATCH($E57,TABELE!$B$22:$P$22,0))),0)</f>
        <v>0</v>
      </c>
      <c r="U57" s="5">
        <f t="array" ref="U57">IFERROR(IF($C57="",0,$O57*$D57*INDEX(TABELE!$B$37:$P$47,MATCH($F57,TABELE!$A$37:$A$47,0),MATCH($E57,TABELE!$B$36:$P$36,0))),0)</f>
        <v>0</v>
      </c>
      <c r="V57" s="5">
        <f t="array" ref="V57">IFERROR(IF($C57="",0,$O57*$D57*INDEX(TABELE!$B$51:$P$61,MATCH($F57,TABELE!$A$51:$A$61,0),MATCH($E57,TABELE!$B$50:$P$50,0))),0)</f>
        <v>0</v>
      </c>
      <c r="W57" s="5" t="str">
        <f t="array" ref="W57">IFERROR(INDEX(BAZA_UWAGI,MATCH($C57,BAZA_EX,0)),"")</f>
        <v/>
      </c>
      <c r="X57" s="5">
        <f t="shared" si="16"/>
        <v>2</v>
      </c>
      <c r="Y57" s="5" t="str">
        <f t="shared" si="19"/>
        <v>B</v>
      </c>
      <c r="Z57" s="5">
        <f t="shared" si="20"/>
        <v>2</v>
      </c>
      <c r="AA57" s="5" t="str">
        <f>IF($C57="","",IF(SUMPRODUCT((START!$B$6:$B$69=$C57)*(START!$M$6:$M$69&gt;0))=0,"",SUMPRODUCT(MAX((START!$B$6:$B$69=$C57)*START!$M$6:$M$69))))</f>
        <v/>
      </c>
      <c r="AB57" s="5" t="str">
        <f t="shared" si="17"/>
        <v/>
      </c>
      <c r="AC57" s="5">
        <f>MAX(0.85,MIN(1.15,1+0.05*(COUNTIF('T1'!$AB57,"za łatwe")+COUNTIF('T2'!$AB57,"za łatwe")+COUNTIF('T3'!$AB57,"za łatwe")+COUNTIF('T4'!$AB57,"za łatwe"))-0.05*(COUNTIF('T1'!$AB57,"za trudne")+COUNTIF('T2'!$AB57,"za trudne")+COUNTIF('T3'!$AB57,"za trudne")+COUNTIF('T4'!$AB57,"za trudne"))))</f>
        <v>1</v>
      </c>
      <c r="AD57" s="5">
        <f t="shared" si="18"/>
        <v>0</v>
      </c>
    </row>
    <row r="58" ht="25.5" hidden="1" customHeight="1" outlineLevel="1">
      <c r="A58" s="18" t="str">
        <f>IF('T1'!$A58="","",'T1'!$A58)</f>
        <v>C1.</v>
      </c>
      <c r="B58" s="30"/>
      <c r="C58" s="31" t="str">
        <f>IF('T1'!$C58="","",'T1'!$C58)</f>
        <v/>
      </c>
      <c r="D58" s="32">
        <v>3.0</v>
      </c>
      <c r="E58" s="39">
        <f>IF($C58="",0,MIN(15,MAX(1,IF(N($O58)&gt;=1,6,IF(N($O58)&gt;=0.75,IF(PRZEL_CZESC="część 1 (objętość)",8,6),IF(PRZEL_CZESC="część 1 (objętość)",10,8)))+1+$AD58)))</f>
        <v>0</v>
      </c>
      <c r="F58" s="33">
        <v>9.0</v>
      </c>
      <c r="G58" s="34" t="str">
        <f>IF($C58="","",IF(OR($Q58="masa ciała",$Q58="czas",$Q58="dystans",$Q58="ręczne ustawienie"),$Q58,IF($C58='T1'!$C58,IF(AND(LEFT($A58,1)&lt;&gt;"A",PRZEL_AKCESORIA="trzymaj z bloku"),IF(NOT(ISNUMBER('T4'!$G58)),'T4'!$G58,MROUND('T4'!$G58*$AC58/(MAX('T4'!$AC58,0.0001)),MAX($P58,0.5))),IF(OR($R58="",$R58=0),"— brak 1RM",MROUND($R58*$S58/100*$AC58,MAX($P58,0.5)))),IF(OR($AA58="",$AA58=0),"— ustaw ręcznie",MROUND($AA58*$S58/100*$AC58,MAX($P58,0.5))))))</f>
        <v/>
      </c>
      <c r="H58" s="35"/>
      <c r="I58" s="36" t="str">
        <f t="array" ref="I58">IFERROR(IF(IFERROR(INDEX(BAZA_FILM,MATCH($C58,BAZA_EX,0)),"")="","",HYPERLINK(IFERROR(INDEX(BAZA_FILM,MATCH($C58,BAZA_EX,0)),""),"film")),"")</f>
        <v/>
      </c>
      <c r="J58" s="37" t="str">
        <f>IF('T1'!$J58="","",'T1'!$J58)</f>
        <v/>
      </c>
      <c r="K58" s="5" t="s">
        <v>108</v>
      </c>
      <c r="L58" s="5" t="str">
        <f t="array" ref="L58">IFERROR(INDEX(BAZA_ID,MATCH($C58,BAZA_EX,0)),"")</f>
        <v/>
      </c>
      <c r="M58" s="5" t="str">
        <f t="array" ref="M58">IFERROR(INDEX(BAZA_PART,MATCH($C58,BAZA_EX,0)),"")</f>
        <v/>
      </c>
      <c r="N58" s="5" t="str">
        <f t="array" ref="N58">IFERROR(INDEX(BAZA_KAT,MATCH($C58,BAZA_EX,0)),"")</f>
        <v/>
      </c>
      <c r="O58" s="5" t="str">
        <f t="array" ref="O58">IFERROR(INDEX(BAZA_COEFF,MATCH($C58,BAZA_EX,0)),"")</f>
        <v/>
      </c>
      <c r="P58" s="5" t="str">
        <f t="array" ref="P58">IFERROR(INDEX(BAZA_SKOK,MATCH($C58,BAZA_EX,0)),"")</f>
        <v/>
      </c>
      <c r="Q58" s="5" t="str">
        <f t="array" ref="Q58">IFERROR(INDEX(BAZA_PROG,MATCH($C58,BAZA_EX,0)),"")</f>
        <v/>
      </c>
      <c r="R58" s="5" t="str">
        <f>IF($C58="","",IF(SUMPRODUCT((START!$B$6:$B$69=$C58)*(START!$M$6:$M$69&gt;0))=0,"",SUMPRODUCT(MAX((START!$B$6:$B$69=$C58)*START!$M$6:$M$69))))</f>
        <v/>
      </c>
      <c r="S58" s="5" t="str">
        <f t="array" ref="S58">IFERROR(INDEX(TABELE!$B$4:$J$18,MATCH($E58,TABELE!$A$4:$A$18,0),MATCH($F58,TABELE!$B$3:$J$3,0)),"")</f>
        <v/>
      </c>
      <c r="T58" s="5">
        <f t="array" ref="T58">IFERROR(IF($C58="",0,$O58*$D58*INDEX(TABELE!$B$23:$P$33,MATCH($F58,TABELE!$A$23:$A$33,0),MATCH($E58,TABELE!$B$22:$P$22,0))),0)</f>
        <v>0</v>
      </c>
      <c r="U58" s="5">
        <f t="array" ref="U58">IFERROR(IF($C58="",0,$O58*$D58*INDEX(TABELE!$B$37:$P$47,MATCH($F58,TABELE!$A$37:$A$47,0),MATCH($E58,TABELE!$B$36:$P$36,0))),0)</f>
        <v>0</v>
      </c>
      <c r="V58" s="5">
        <f t="array" ref="V58">IFERROR(IF($C58="",0,$O58*$D58*INDEX(TABELE!$B$51:$P$61,MATCH($F58,TABELE!$A$51:$A$61,0),MATCH($E58,TABELE!$B$50:$P$50,0))),0)</f>
        <v>0</v>
      </c>
      <c r="W58" s="5" t="str">
        <f t="array" ref="W58">IFERROR(INDEX(BAZA_UWAGI,MATCH($C58,BAZA_EX,0)),"")</f>
        <v/>
      </c>
      <c r="X58" s="5">
        <f t="shared" si="16"/>
        <v>3</v>
      </c>
      <c r="Y58" s="5" t="str">
        <f t="shared" si="19"/>
        <v>C</v>
      </c>
      <c r="Z58" s="5">
        <f t="shared" si="20"/>
        <v>3</v>
      </c>
      <c r="AA58" s="5" t="str">
        <f>IF($C58="","",IF(SUMPRODUCT((START!$B$6:$B$69=$C58)*(START!$M$6:$M$69&gt;0))=0,"",SUMPRODUCT(MAX((START!$B$6:$B$69=$C58)*START!$M$6:$M$69))))</f>
        <v/>
      </c>
      <c r="AB58" s="5" t="str">
        <f t="shared" si="17"/>
        <v/>
      </c>
      <c r="AC58" s="5">
        <f>MAX(0.85,MIN(1.15,1+0.05*(COUNTIF('T1'!$AB58,"za łatwe")+COUNTIF('T2'!$AB58,"za łatwe")+COUNTIF('T3'!$AB58,"za łatwe")+COUNTIF('T4'!$AB58,"za łatwe"))-0.05*(COUNTIF('T1'!$AB58,"za trudne")+COUNTIF('T2'!$AB58,"za trudne")+COUNTIF('T3'!$AB58,"za trudne")+COUNTIF('T4'!$AB58,"za trudne"))))</f>
        <v>1</v>
      </c>
      <c r="AD58" s="5">
        <f t="shared" si="18"/>
        <v>0</v>
      </c>
    </row>
    <row r="59" ht="25.5" hidden="1" customHeight="1" outlineLevel="1">
      <c r="A59" s="18" t="str">
        <f>IF('T1'!$A59="","",'T1'!$A59)</f>
        <v>C2.</v>
      </c>
      <c r="B59" s="30"/>
      <c r="C59" s="31" t="str">
        <f>IF('T1'!$C59="","",'T1'!$C59)</f>
        <v/>
      </c>
      <c r="D59" s="32">
        <v>3.0</v>
      </c>
      <c r="E59" s="39">
        <f>IF($C59="",0,MIN(15,MAX(1,IF(N($O59)&gt;=1,6,IF(N($O59)&gt;=0.75,IF(PRZEL_CZESC="część 1 (objętość)",8,6),IF(PRZEL_CZESC="część 1 (objętość)",10,8)))+1+$AD59)))</f>
        <v>0</v>
      </c>
      <c r="F59" s="33">
        <v>10.0</v>
      </c>
      <c r="G59" s="34" t="str">
        <f>IF($C59="","",IF(OR($Q59="masa ciała",$Q59="czas",$Q59="dystans",$Q59="ręczne ustawienie"),$Q59,IF($C59='T1'!$C59,IF(AND(LEFT($A59,1)&lt;&gt;"A",PRZEL_AKCESORIA="trzymaj z bloku"),IF(NOT(ISNUMBER('T4'!$G59)),'T4'!$G59,MROUND('T4'!$G59*$AC59/(MAX('T4'!$AC59,0.0001)),MAX($P59,0.5))),IF(OR($R59="",$R59=0),"— brak 1RM",MROUND($R59*$S59/100*$AC59,MAX($P59,0.5)))),IF(OR($AA59="",$AA59=0),"— ustaw ręcznie",MROUND($AA59*$S59/100*$AC59,MAX($P59,0.5))))))</f>
        <v/>
      </c>
      <c r="H59" s="35"/>
      <c r="I59" s="36" t="str">
        <f t="array" ref="I59">IFERROR(IF(IFERROR(INDEX(BAZA_FILM,MATCH($C59,BAZA_EX,0)),"")="","",HYPERLINK(IFERROR(INDEX(BAZA_FILM,MATCH($C59,BAZA_EX,0)),""),"film")),"")</f>
        <v/>
      </c>
      <c r="J59" s="37" t="str">
        <f>IF('T1'!$J59="","",'T1'!$J59)</f>
        <v/>
      </c>
      <c r="K59" s="5" t="s">
        <v>109</v>
      </c>
      <c r="L59" s="5" t="str">
        <f t="array" ref="L59">IFERROR(INDEX(BAZA_ID,MATCH($C59,BAZA_EX,0)),"")</f>
        <v/>
      </c>
      <c r="M59" s="5" t="str">
        <f t="array" ref="M59">IFERROR(INDEX(BAZA_PART,MATCH($C59,BAZA_EX,0)),"")</f>
        <v/>
      </c>
      <c r="N59" s="5" t="str">
        <f t="array" ref="N59">IFERROR(INDEX(BAZA_KAT,MATCH($C59,BAZA_EX,0)),"")</f>
        <v/>
      </c>
      <c r="O59" s="5" t="str">
        <f t="array" ref="O59">IFERROR(INDEX(BAZA_COEFF,MATCH($C59,BAZA_EX,0)),"")</f>
        <v/>
      </c>
      <c r="P59" s="5" t="str">
        <f t="array" ref="P59">IFERROR(INDEX(BAZA_SKOK,MATCH($C59,BAZA_EX,0)),"")</f>
        <v/>
      </c>
      <c r="Q59" s="5" t="str">
        <f t="array" ref="Q59">IFERROR(INDEX(BAZA_PROG,MATCH($C59,BAZA_EX,0)),"")</f>
        <v/>
      </c>
      <c r="R59" s="5" t="str">
        <f>IF($C59="","",IF(SUMPRODUCT((START!$B$6:$B$69=$C59)*(START!$M$6:$M$69&gt;0))=0,"",SUMPRODUCT(MAX((START!$B$6:$B$69=$C59)*START!$M$6:$M$69))))</f>
        <v/>
      </c>
      <c r="S59" s="5" t="str">
        <f t="array" ref="S59">IFERROR(INDEX(TABELE!$B$4:$J$18,MATCH($E59,TABELE!$A$4:$A$18,0),MATCH($F59,TABELE!$B$3:$J$3,0)),"")</f>
        <v/>
      </c>
      <c r="T59" s="5">
        <f t="array" ref="T59">IFERROR(IF($C59="",0,$O59*$D59*INDEX(TABELE!$B$23:$P$33,MATCH($F59,TABELE!$A$23:$A$33,0),MATCH($E59,TABELE!$B$22:$P$22,0))),0)</f>
        <v>0</v>
      </c>
      <c r="U59" s="5">
        <f t="array" ref="U59">IFERROR(IF($C59="",0,$O59*$D59*INDEX(TABELE!$B$37:$P$47,MATCH($F59,TABELE!$A$37:$A$47,0),MATCH($E59,TABELE!$B$36:$P$36,0))),0)</f>
        <v>0</v>
      </c>
      <c r="V59" s="5">
        <f t="array" ref="V59">IFERROR(IF($C59="",0,$O59*$D59*INDEX(TABELE!$B$51:$P$61,MATCH($F59,TABELE!$A$51:$A$61,0),MATCH($E59,TABELE!$B$50:$P$50,0))),0)</f>
        <v>0</v>
      </c>
      <c r="W59" s="5" t="str">
        <f t="array" ref="W59">IFERROR(INDEX(BAZA_UWAGI,MATCH($C59,BAZA_EX,0)),"")</f>
        <v/>
      </c>
      <c r="X59" s="5">
        <f t="shared" si="16"/>
        <v>3</v>
      </c>
      <c r="Y59" s="5" t="str">
        <f t="shared" si="19"/>
        <v>C</v>
      </c>
      <c r="Z59" s="5">
        <f t="shared" si="20"/>
        <v>3</v>
      </c>
      <c r="AA59" s="5" t="str">
        <f>IF($C59="","",IF(SUMPRODUCT((START!$B$6:$B$69=$C59)*(START!$M$6:$M$69&gt;0))=0,"",SUMPRODUCT(MAX((START!$B$6:$B$69=$C59)*START!$M$6:$M$69))))</f>
        <v/>
      </c>
      <c r="AB59" s="5" t="str">
        <f t="shared" si="17"/>
        <v/>
      </c>
      <c r="AC59" s="5">
        <f>MAX(0.85,MIN(1.15,1+0.05*(COUNTIF('T1'!$AB59,"za łatwe")+COUNTIF('T2'!$AB59,"za łatwe")+COUNTIF('T3'!$AB59,"za łatwe")+COUNTIF('T4'!$AB59,"za łatwe"))-0.05*(COUNTIF('T1'!$AB59,"za trudne")+COUNTIF('T2'!$AB59,"za trudne")+COUNTIF('T3'!$AB59,"za trudne")+COUNTIF('T4'!$AB59,"za trudne"))))</f>
        <v>1</v>
      </c>
      <c r="AD59" s="5">
        <f t="shared" si="18"/>
        <v>0</v>
      </c>
    </row>
    <row r="60" ht="25.5" hidden="1" customHeight="1" outlineLevel="1">
      <c r="A60" s="18" t="str">
        <f>IF('T1'!$A60="","",'T1'!$A60)</f>
        <v>D1.</v>
      </c>
      <c r="B60" s="30"/>
      <c r="C60" s="31" t="str">
        <f>IF('T1'!$C60="","",'T1'!$C60)</f>
        <v/>
      </c>
      <c r="D60" s="32">
        <v>3.0</v>
      </c>
      <c r="E60" s="39">
        <f>IF($C60="",0,MIN(15,MAX(1,IF(N($O60)&gt;=1,6,IF(N($O60)&gt;=0.75,IF(PRZEL_CZESC="część 1 (objętość)",8,6),IF(PRZEL_CZESC="część 1 (objętość)",10,8)))+1+$AD60)))</f>
        <v>0</v>
      </c>
      <c r="F60" s="33">
        <v>9.0</v>
      </c>
      <c r="G60" s="34" t="str">
        <f>IF($C60="","",IF(OR($Q60="masa ciała",$Q60="czas",$Q60="dystans",$Q60="ręczne ustawienie"),$Q60,IF($C60='T1'!$C60,IF(AND(LEFT($A60,1)&lt;&gt;"A",PRZEL_AKCESORIA="trzymaj z bloku"),IF(NOT(ISNUMBER('T4'!$G60)),'T4'!$G60,MROUND('T4'!$G60*$AC60/(MAX('T4'!$AC60,0.0001)),MAX($P60,0.5))),IF(OR($R60="",$R60=0),"— brak 1RM",MROUND($R60*$S60/100*$AC60,MAX($P60,0.5)))),IF(OR($AA60="",$AA60=0),"— ustaw ręcznie",MROUND($AA60*$S60/100*$AC60,MAX($P60,0.5))))))</f>
        <v/>
      </c>
      <c r="H60" s="35"/>
      <c r="I60" s="36" t="str">
        <f t="array" ref="I60">IFERROR(IF(IFERROR(INDEX(BAZA_FILM,MATCH($C60,BAZA_EX,0)),"")="","",HYPERLINK(IFERROR(INDEX(BAZA_FILM,MATCH($C60,BAZA_EX,0)),""),"film")),"")</f>
        <v/>
      </c>
      <c r="J60" s="37" t="str">
        <f>IF('T1'!$J60="","",'T1'!$J60)</f>
        <v/>
      </c>
      <c r="K60" s="5" t="s">
        <v>110</v>
      </c>
      <c r="L60" s="5" t="str">
        <f t="array" ref="L60">IFERROR(INDEX(BAZA_ID,MATCH($C60,BAZA_EX,0)),"")</f>
        <v/>
      </c>
      <c r="M60" s="5" t="str">
        <f t="array" ref="M60">IFERROR(INDEX(BAZA_PART,MATCH($C60,BAZA_EX,0)),"")</f>
        <v/>
      </c>
      <c r="N60" s="5" t="str">
        <f t="array" ref="N60">IFERROR(INDEX(BAZA_KAT,MATCH($C60,BAZA_EX,0)),"")</f>
        <v/>
      </c>
      <c r="O60" s="5" t="str">
        <f t="array" ref="O60">IFERROR(INDEX(BAZA_COEFF,MATCH($C60,BAZA_EX,0)),"")</f>
        <v/>
      </c>
      <c r="P60" s="5" t="str">
        <f t="array" ref="P60">IFERROR(INDEX(BAZA_SKOK,MATCH($C60,BAZA_EX,0)),"")</f>
        <v/>
      </c>
      <c r="Q60" s="5" t="str">
        <f t="array" ref="Q60">IFERROR(INDEX(BAZA_PROG,MATCH($C60,BAZA_EX,0)),"")</f>
        <v/>
      </c>
      <c r="R60" s="5" t="str">
        <f>IF($C60="","",IF(SUMPRODUCT((START!$B$6:$B$69=$C60)*(START!$M$6:$M$69&gt;0))=0,"",SUMPRODUCT(MAX((START!$B$6:$B$69=$C60)*START!$M$6:$M$69))))</f>
        <v/>
      </c>
      <c r="S60" s="5" t="str">
        <f t="array" ref="S60">IFERROR(INDEX(TABELE!$B$4:$J$18,MATCH($E60,TABELE!$A$4:$A$18,0),MATCH($F60,TABELE!$B$3:$J$3,0)),"")</f>
        <v/>
      </c>
      <c r="T60" s="5">
        <f t="array" ref="T60">IFERROR(IF($C60="",0,$O60*$D60*INDEX(TABELE!$B$23:$P$33,MATCH($F60,TABELE!$A$23:$A$33,0),MATCH($E60,TABELE!$B$22:$P$22,0))),0)</f>
        <v>0</v>
      </c>
      <c r="U60" s="5">
        <f t="array" ref="U60">IFERROR(IF($C60="",0,$O60*$D60*INDEX(TABELE!$B$37:$P$47,MATCH($F60,TABELE!$A$37:$A$47,0),MATCH($E60,TABELE!$B$36:$P$36,0))),0)</f>
        <v>0</v>
      </c>
      <c r="V60" s="5">
        <f t="array" ref="V60">IFERROR(IF($C60="",0,$O60*$D60*INDEX(TABELE!$B$51:$P$61,MATCH($F60,TABELE!$A$51:$A$61,0),MATCH($E60,TABELE!$B$50:$P$50,0))),0)</f>
        <v>0</v>
      </c>
      <c r="W60" s="5" t="str">
        <f t="array" ref="W60">IFERROR(INDEX(BAZA_UWAGI,MATCH($C60,BAZA_EX,0)),"")</f>
        <v/>
      </c>
      <c r="X60" s="5">
        <f t="shared" si="16"/>
        <v>4</v>
      </c>
      <c r="Y60" s="5" t="str">
        <f t="shared" si="19"/>
        <v>D</v>
      </c>
      <c r="Z60" s="5">
        <f t="shared" si="20"/>
        <v>4</v>
      </c>
      <c r="AA60" s="5" t="str">
        <f>IF($C60="","",IF(SUMPRODUCT((START!$B$6:$B$69=$C60)*(START!$M$6:$M$69&gt;0))=0,"",SUMPRODUCT(MAX((START!$B$6:$B$69=$C60)*START!$M$6:$M$69))))</f>
        <v/>
      </c>
      <c r="AB60" s="5" t="str">
        <f t="shared" si="17"/>
        <v/>
      </c>
      <c r="AC60" s="5">
        <f>MAX(0.85,MIN(1.15,1+0.05*(COUNTIF('T1'!$AB60,"za łatwe")+COUNTIF('T2'!$AB60,"za łatwe")+COUNTIF('T3'!$AB60,"za łatwe")+COUNTIF('T4'!$AB60,"za łatwe"))-0.05*(COUNTIF('T1'!$AB60,"za trudne")+COUNTIF('T2'!$AB60,"za trudne")+COUNTIF('T3'!$AB60,"za trudne")+COUNTIF('T4'!$AB60,"za trudne"))))</f>
        <v>1</v>
      </c>
      <c r="AD60" s="5">
        <f t="shared" si="18"/>
        <v>0</v>
      </c>
    </row>
    <row r="61" ht="25.5" hidden="1" customHeight="1" outlineLevel="1">
      <c r="A61" s="18" t="str">
        <f>IF('T1'!$A61="","",'T1'!$A61)</f>
        <v>D2.</v>
      </c>
      <c r="B61" s="30"/>
      <c r="C61" s="31" t="str">
        <f>IF('T1'!$C61="","",'T1'!$C61)</f>
        <v/>
      </c>
      <c r="D61" s="32">
        <v>3.0</v>
      </c>
      <c r="E61" s="39">
        <f>IF($C61="",0,MIN(15,MAX(1,IF(N($O61)&gt;=1,6,IF(N($O61)&gt;=0.75,IF(PRZEL_CZESC="część 1 (objętość)",8,6),IF(PRZEL_CZESC="część 1 (objętość)",10,8)))+1+$AD61)))</f>
        <v>0</v>
      </c>
      <c r="F61" s="33">
        <v>10.0</v>
      </c>
      <c r="G61" s="34" t="str">
        <f>IF($C61="","",IF(OR($Q61="masa ciała",$Q61="czas",$Q61="dystans",$Q61="ręczne ustawienie"),$Q61,IF($C61='T1'!$C61,IF(AND(LEFT($A61,1)&lt;&gt;"A",PRZEL_AKCESORIA="trzymaj z bloku"),IF(NOT(ISNUMBER('T4'!$G61)),'T4'!$G61,MROUND('T4'!$G61*$AC61/(MAX('T4'!$AC61,0.0001)),MAX($P61,0.5))),IF(OR($R61="",$R61=0),"— brak 1RM",MROUND($R61*$S61/100*$AC61,MAX($P61,0.5)))),IF(OR($AA61="",$AA61=0),"— ustaw ręcznie",MROUND($AA61*$S61/100*$AC61,MAX($P61,0.5))))))</f>
        <v/>
      </c>
      <c r="H61" s="35"/>
      <c r="I61" s="36" t="str">
        <f t="array" ref="I61">IFERROR(IF(IFERROR(INDEX(BAZA_FILM,MATCH($C61,BAZA_EX,0)),"")="","",HYPERLINK(IFERROR(INDEX(BAZA_FILM,MATCH($C61,BAZA_EX,0)),""),"film")),"")</f>
        <v/>
      </c>
      <c r="J61" s="37" t="str">
        <f>IF('T1'!$J61="","",'T1'!$J61)</f>
        <v/>
      </c>
      <c r="K61" s="5" t="s">
        <v>112</v>
      </c>
      <c r="L61" s="5" t="str">
        <f t="array" ref="L61">IFERROR(INDEX(BAZA_ID,MATCH($C61,BAZA_EX,0)),"")</f>
        <v/>
      </c>
      <c r="M61" s="5" t="str">
        <f t="array" ref="M61">IFERROR(INDEX(BAZA_PART,MATCH($C61,BAZA_EX,0)),"")</f>
        <v/>
      </c>
      <c r="N61" s="5" t="str">
        <f t="array" ref="N61">IFERROR(INDEX(BAZA_KAT,MATCH($C61,BAZA_EX,0)),"")</f>
        <v/>
      </c>
      <c r="O61" s="5" t="str">
        <f t="array" ref="O61">IFERROR(INDEX(BAZA_COEFF,MATCH($C61,BAZA_EX,0)),"")</f>
        <v/>
      </c>
      <c r="P61" s="5" t="str">
        <f t="array" ref="P61">IFERROR(INDEX(BAZA_SKOK,MATCH($C61,BAZA_EX,0)),"")</f>
        <v/>
      </c>
      <c r="Q61" s="5" t="str">
        <f t="array" ref="Q61">IFERROR(INDEX(BAZA_PROG,MATCH($C61,BAZA_EX,0)),"")</f>
        <v/>
      </c>
      <c r="R61" s="5" t="str">
        <f>IF($C61="","",IF(SUMPRODUCT((START!$B$6:$B$69=$C61)*(START!$M$6:$M$69&gt;0))=0,"",SUMPRODUCT(MAX((START!$B$6:$B$69=$C61)*START!$M$6:$M$69))))</f>
        <v/>
      </c>
      <c r="S61" s="5" t="str">
        <f t="array" ref="S61">IFERROR(INDEX(TABELE!$B$4:$J$18,MATCH($E61,TABELE!$A$4:$A$18,0),MATCH($F61,TABELE!$B$3:$J$3,0)),"")</f>
        <v/>
      </c>
      <c r="T61" s="5">
        <f t="array" ref="T61">IFERROR(IF($C61="",0,$O61*$D61*INDEX(TABELE!$B$23:$P$33,MATCH($F61,TABELE!$A$23:$A$33,0),MATCH($E61,TABELE!$B$22:$P$22,0))),0)</f>
        <v>0</v>
      </c>
      <c r="U61" s="5">
        <f t="array" ref="U61">IFERROR(IF($C61="",0,$O61*$D61*INDEX(TABELE!$B$37:$P$47,MATCH($F61,TABELE!$A$37:$A$47,0),MATCH($E61,TABELE!$B$36:$P$36,0))),0)</f>
        <v>0</v>
      </c>
      <c r="V61" s="5">
        <f t="array" ref="V61">IFERROR(IF($C61="",0,$O61*$D61*INDEX(TABELE!$B$51:$P$61,MATCH($F61,TABELE!$A$51:$A$61,0),MATCH($E61,TABELE!$B$50:$P$50,0))),0)</f>
        <v>0</v>
      </c>
      <c r="W61" s="5" t="str">
        <f t="array" ref="W61">IFERROR(INDEX(BAZA_UWAGI,MATCH($C61,BAZA_EX,0)),"")</f>
        <v/>
      </c>
      <c r="X61" s="5">
        <f t="shared" si="16"/>
        <v>4</v>
      </c>
      <c r="Y61" s="5" t="str">
        <f t="shared" si="19"/>
        <v>D</v>
      </c>
      <c r="Z61" s="5">
        <f t="shared" si="20"/>
        <v>4</v>
      </c>
      <c r="AA61" s="5" t="str">
        <f>IF($C61="","",IF(SUMPRODUCT((START!$B$6:$B$69=$C61)*(START!$M$6:$M$69&gt;0))=0,"",SUMPRODUCT(MAX((START!$B$6:$B$69=$C61)*START!$M$6:$M$69))))</f>
        <v/>
      </c>
      <c r="AB61" s="5" t="str">
        <f t="shared" si="17"/>
        <v/>
      </c>
      <c r="AC61" s="5">
        <f>MAX(0.85,MIN(1.15,1+0.05*(COUNTIF('T1'!$AB61,"za łatwe")+COUNTIF('T2'!$AB61,"za łatwe")+COUNTIF('T3'!$AB61,"za łatwe")+COUNTIF('T4'!$AB61,"za łatwe"))-0.05*(COUNTIF('T1'!$AB61,"za trudne")+COUNTIF('T2'!$AB61,"za trudne")+COUNTIF('T3'!$AB61,"za trudne")+COUNTIF('T4'!$AB61,"za trudne"))))</f>
        <v>1</v>
      </c>
      <c r="AD61" s="5">
        <f t="shared" si="18"/>
        <v>0</v>
      </c>
    </row>
    <row r="62" ht="25.5" hidden="1" customHeight="1" outlineLevel="1">
      <c r="A62" s="18" t="str">
        <f>IF('T1'!$A62="","",'T1'!$A62)</f>
        <v>E1.</v>
      </c>
      <c r="B62" s="30"/>
      <c r="C62" s="31" t="str">
        <f>IF('T1'!$C62="","",'T1'!$C62)</f>
        <v/>
      </c>
      <c r="D62" s="32"/>
      <c r="E62" s="39">
        <f>IF($C62="",0,MIN(15,MAX(1,IF(N($O62)&gt;=1,6,IF(N($O62)&gt;=0.75,IF(PRZEL_CZESC="część 1 (objętość)",8,6),IF(PRZEL_CZESC="część 1 (objętość)",10,8)))+1+$AD62)))</f>
        <v>0</v>
      </c>
      <c r="F62" s="33"/>
      <c r="G62" s="34" t="str">
        <f>IF($C62="","",IF(OR($Q62="masa ciała",$Q62="czas",$Q62="dystans",$Q62="ręczne ustawienie"),$Q62,IF($C62='T1'!$C62,IF(AND(LEFT($A62,1)&lt;&gt;"A",PRZEL_AKCESORIA="trzymaj z bloku"),IF(NOT(ISNUMBER('T4'!$G62)),'T4'!$G62,MROUND('T4'!$G62*$AC62/(MAX('T4'!$AC62,0.0001)),MAX($P62,0.5))),IF(OR($R62="",$R62=0),"— brak 1RM",MROUND($R62*$S62/100*$AC62,MAX($P62,0.5)))),IF(OR($AA62="",$AA62=0),"— ustaw ręcznie",MROUND($AA62*$S62/100*$AC62,MAX($P62,0.5))))))</f>
        <v/>
      </c>
      <c r="H62" s="35"/>
      <c r="I62" s="36" t="str">
        <f t="array" ref="I62">IFERROR(IF(IFERROR(INDEX(BAZA_FILM,MATCH($C62,BAZA_EX,0)),"")="","",HYPERLINK(IFERROR(INDEX(BAZA_FILM,MATCH($C62,BAZA_EX,0)),""),"film")),"")</f>
        <v/>
      </c>
      <c r="J62" s="37" t="str">
        <f>IF('T1'!$J62="","",'T1'!$J62)</f>
        <v/>
      </c>
      <c r="K62" s="5" t="s">
        <v>114</v>
      </c>
      <c r="L62" s="5" t="str">
        <f t="array" ref="L62">IFERROR(INDEX(BAZA_ID,MATCH($C62,BAZA_EX,0)),"")</f>
        <v/>
      </c>
      <c r="M62" s="5" t="str">
        <f t="array" ref="M62">IFERROR(INDEX(BAZA_PART,MATCH($C62,BAZA_EX,0)),"")</f>
        <v/>
      </c>
      <c r="N62" s="5" t="str">
        <f t="array" ref="N62">IFERROR(INDEX(BAZA_KAT,MATCH($C62,BAZA_EX,0)),"")</f>
        <v/>
      </c>
      <c r="O62" s="5" t="str">
        <f t="array" ref="O62">IFERROR(INDEX(BAZA_COEFF,MATCH($C62,BAZA_EX,0)),"")</f>
        <v/>
      </c>
      <c r="P62" s="5" t="str">
        <f t="array" ref="P62">IFERROR(INDEX(BAZA_SKOK,MATCH($C62,BAZA_EX,0)),"")</f>
        <v/>
      </c>
      <c r="Q62" s="5" t="str">
        <f t="array" ref="Q62">IFERROR(INDEX(BAZA_PROG,MATCH($C62,BAZA_EX,0)),"")</f>
        <v/>
      </c>
      <c r="R62" s="5" t="str">
        <f>IF($C62="","",IF(SUMPRODUCT((START!$B$6:$B$69=$C62)*(START!$M$6:$M$69&gt;0))=0,"",SUMPRODUCT(MAX((START!$B$6:$B$69=$C62)*START!$M$6:$M$69))))</f>
        <v/>
      </c>
      <c r="S62" s="5" t="str">
        <f t="array" ref="S62">IFERROR(INDEX(TABELE!$B$4:$J$18,MATCH($E62,TABELE!$A$4:$A$18,0),MATCH($F62,TABELE!$B$3:$J$3,0)),"")</f>
        <v/>
      </c>
      <c r="T62" s="5">
        <f t="array" ref="T62">IFERROR(IF($C62="",0,$O62*$D62*INDEX(TABELE!$B$23:$P$33,MATCH($F62,TABELE!$A$23:$A$33,0),MATCH($E62,TABELE!$B$22:$P$22,0))),0)</f>
        <v>0</v>
      </c>
      <c r="U62" s="5">
        <f t="array" ref="U62">IFERROR(IF($C62="",0,$O62*$D62*INDEX(TABELE!$B$37:$P$47,MATCH($F62,TABELE!$A$37:$A$47,0),MATCH($E62,TABELE!$B$36:$P$36,0))),0)</f>
        <v>0</v>
      </c>
      <c r="V62" s="5">
        <f t="array" ref="V62">IFERROR(IF($C62="",0,$O62*$D62*INDEX(TABELE!$B$51:$P$61,MATCH($F62,TABELE!$A$51:$A$61,0),MATCH($E62,TABELE!$B$50:$P$50,0))),0)</f>
        <v>0</v>
      </c>
      <c r="W62" s="5" t="str">
        <f t="array" ref="W62">IFERROR(INDEX(BAZA_UWAGI,MATCH($C62,BAZA_EX,0)),"")</f>
        <v/>
      </c>
      <c r="X62" s="5">
        <f t="shared" si="16"/>
        <v>5</v>
      </c>
      <c r="Y62" s="5" t="str">
        <f t="shared" si="19"/>
        <v>E</v>
      </c>
      <c r="Z62" s="5">
        <f t="shared" si="20"/>
        <v>5</v>
      </c>
      <c r="AA62" s="5" t="str">
        <f>IF($C62="","",IF(SUMPRODUCT((START!$B$6:$B$69=$C62)*(START!$M$6:$M$69&gt;0))=0,"",SUMPRODUCT(MAX((START!$B$6:$B$69=$C62)*START!$M$6:$M$69))))</f>
        <v/>
      </c>
      <c r="AB62" s="5" t="str">
        <f t="shared" si="17"/>
        <v/>
      </c>
      <c r="AC62" s="5">
        <f>MAX(0.85,MIN(1.15,1+0.05*(COUNTIF('T1'!$AB62,"za łatwe")+COUNTIF('T2'!$AB62,"za łatwe")+COUNTIF('T3'!$AB62,"za łatwe")+COUNTIF('T4'!$AB62,"za łatwe"))-0.05*(COUNTIF('T1'!$AB62,"za trudne")+COUNTIF('T2'!$AB62,"za trudne")+COUNTIF('T3'!$AB62,"za trudne")+COUNTIF('T4'!$AB62,"za trudne"))))</f>
        <v>1</v>
      </c>
      <c r="AD62" s="5">
        <f t="shared" si="18"/>
        <v>0</v>
      </c>
    </row>
    <row r="63" ht="25.5" hidden="1" customHeight="1" outlineLevel="1">
      <c r="A63" s="18" t="str">
        <f>IF('T1'!$A63="","",'T1'!$A63)</f>
        <v>E2.</v>
      </c>
      <c r="B63" s="30"/>
      <c r="C63" s="31" t="str">
        <f>IF('T1'!$C63="","",'T1'!$C63)</f>
        <v/>
      </c>
      <c r="D63" s="32"/>
      <c r="E63" s="39">
        <f>IF($C63="",0,MIN(15,MAX(1,IF(N($O63)&gt;=1,6,IF(N($O63)&gt;=0.75,IF(PRZEL_CZESC="część 1 (objętość)",8,6),IF(PRZEL_CZESC="część 1 (objętość)",10,8)))+1+$AD63)))</f>
        <v>0</v>
      </c>
      <c r="F63" s="33"/>
      <c r="G63" s="34" t="str">
        <f>IF($C63="","",IF(OR($Q63="masa ciała",$Q63="czas",$Q63="dystans",$Q63="ręczne ustawienie"),$Q63,IF($C63='T1'!$C63,IF(AND(LEFT($A63,1)&lt;&gt;"A",PRZEL_AKCESORIA="trzymaj z bloku"),IF(NOT(ISNUMBER('T4'!$G63)),'T4'!$G63,MROUND('T4'!$G63*$AC63/(MAX('T4'!$AC63,0.0001)),MAX($P63,0.5))),IF(OR($R63="",$R63=0),"— brak 1RM",MROUND($R63*$S63/100*$AC63,MAX($P63,0.5)))),IF(OR($AA63="",$AA63=0),"— ustaw ręcznie",MROUND($AA63*$S63/100*$AC63,MAX($P63,0.5))))))</f>
        <v/>
      </c>
      <c r="H63" s="35"/>
      <c r="I63" s="36" t="str">
        <f t="array" ref="I63">IFERROR(IF(IFERROR(INDEX(BAZA_FILM,MATCH($C63,BAZA_EX,0)),"")="","",HYPERLINK(IFERROR(INDEX(BAZA_FILM,MATCH($C63,BAZA_EX,0)),""),"film")),"")</f>
        <v/>
      </c>
      <c r="J63" s="37" t="str">
        <f>IF('T1'!$J63="","",'T1'!$J63)</f>
        <v/>
      </c>
      <c r="K63" s="5" t="s">
        <v>115</v>
      </c>
      <c r="L63" s="5" t="str">
        <f t="array" ref="L63">IFERROR(INDEX(BAZA_ID,MATCH($C63,BAZA_EX,0)),"")</f>
        <v/>
      </c>
      <c r="M63" s="5" t="str">
        <f t="array" ref="M63">IFERROR(INDEX(BAZA_PART,MATCH($C63,BAZA_EX,0)),"")</f>
        <v/>
      </c>
      <c r="N63" s="5" t="str">
        <f t="array" ref="N63">IFERROR(INDEX(BAZA_KAT,MATCH($C63,BAZA_EX,0)),"")</f>
        <v/>
      </c>
      <c r="O63" s="5" t="str">
        <f t="array" ref="O63">IFERROR(INDEX(BAZA_COEFF,MATCH($C63,BAZA_EX,0)),"")</f>
        <v/>
      </c>
      <c r="P63" s="5" t="str">
        <f t="array" ref="P63">IFERROR(INDEX(BAZA_SKOK,MATCH($C63,BAZA_EX,0)),"")</f>
        <v/>
      </c>
      <c r="Q63" s="5" t="str">
        <f t="array" ref="Q63">IFERROR(INDEX(BAZA_PROG,MATCH($C63,BAZA_EX,0)),"")</f>
        <v/>
      </c>
      <c r="R63" s="5" t="str">
        <f>IF($C63="","",IF(SUMPRODUCT((START!$B$6:$B$69=$C63)*(START!$M$6:$M$69&gt;0))=0,"",SUMPRODUCT(MAX((START!$B$6:$B$69=$C63)*START!$M$6:$M$69))))</f>
        <v/>
      </c>
      <c r="S63" s="5" t="str">
        <f t="array" ref="S63">IFERROR(INDEX(TABELE!$B$4:$J$18,MATCH($E63,TABELE!$A$4:$A$18,0),MATCH($F63,TABELE!$B$3:$J$3,0)),"")</f>
        <v/>
      </c>
      <c r="T63" s="5">
        <f t="array" ref="T63">IFERROR(IF($C63="",0,$O63*$D63*INDEX(TABELE!$B$23:$P$33,MATCH($F63,TABELE!$A$23:$A$33,0),MATCH($E63,TABELE!$B$22:$P$22,0))),0)</f>
        <v>0</v>
      </c>
      <c r="U63" s="5">
        <f t="array" ref="U63">IFERROR(IF($C63="",0,$O63*$D63*INDEX(TABELE!$B$37:$P$47,MATCH($F63,TABELE!$A$37:$A$47,0),MATCH($E63,TABELE!$B$36:$P$36,0))),0)</f>
        <v>0</v>
      </c>
      <c r="V63" s="5">
        <f t="array" ref="V63">IFERROR(IF($C63="",0,$O63*$D63*INDEX(TABELE!$B$51:$P$61,MATCH($F63,TABELE!$A$51:$A$61,0),MATCH($E63,TABELE!$B$50:$P$50,0))),0)</f>
        <v>0</v>
      </c>
      <c r="W63" s="5" t="str">
        <f t="array" ref="W63">IFERROR(INDEX(BAZA_UWAGI,MATCH($C63,BAZA_EX,0)),"")</f>
        <v/>
      </c>
      <c r="X63" s="5">
        <f t="shared" si="16"/>
        <v>5</v>
      </c>
      <c r="Y63" s="5" t="str">
        <f t="shared" si="19"/>
        <v>E</v>
      </c>
      <c r="Z63" s="5">
        <f t="shared" si="20"/>
        <v>5</v>
      </c>
      <c r="AA63" s="5" t="str">
        <f>IF($C63="","",IF(SUMPRODUCT((START!$B$6:$B$69=$C63)*(START!$M$6:$M$69&gt;0))=0,"",SUMPRODUCT(MAX((START!$B$6:$B$69=$C63)*START!$M$6:$M$69))))</f>
        <v/>
      </c>
      <c r="AB63" s="5" t="str">
        <f t="shared" si="17"/>
        <v/>
      </c>
      <c r="AC63" s="5">
        <f>MAX(0.85,MIN(1.15,1+0.05*(COUNTIF('T1'!$AB63,"za łatwe")+COUNTIF('T2'!$AB63,"za łatwe")+COUNTIF('T3'!$AB63,"za łatwe")+COUNTIF('T4'!$AB63,"za łatwe"))-0.05*(COUNTIF('T1'!$AB63,"za trudne")+COUNTIF('T2'!$AB63,"za trudne")+COUNTIF('T3'!$AB63,"za trudne")+COUNTIF('T4'!$AB63,"za trudne"))))</f>
        <v>1</v>
      </c>
      <c r="AD63" s="5">
        <f t="shared" si="18"/>
        <v>0</v>
      </c>
    </row>
    <row r="64" ht="25.5" hidden="1" customHeight="1" outlineLevel="1">
      <c r="A64" s="18" t="str">
        <f>IF('T1'!$A64="","",'T1'!$A64)</f>
        <v/>
      </c>
      <c r="B64" s="30"/>
      <c r="C64" s="31" t="str">
        <f>IF('T1'!$C64="","",'T1'!$C64)</f>
        <v/>
      </c>
      <c r="D64" s="32"/>
      <c r="E64" s="39">
        <f>IF($C64="",0,MIN(15,MAX(1,IF(N($O64)&gt;=1,6,IF(N($O64)&gt;=0.75,IF(PRZEL_CZESC="część 1 (objętość)",8,6),IF(PRZEL_CZESC="część 1 (objętość)",10,8)))+1+$AD64)))</f>
        <v>0</v>
      </c>
      <c r="F64" s="33"/>
      <c r="G64" s="34" t="str">
        <f>IF($C64="","",IF(OR($Q64="masa ciała",$Q64="czas",$Q64="dystans",$Q64="ręczne ustawienie"),$Q64,IF($C64='T1'!$C64,IF(AND(LEFT($A64,1)&lt;&gt;"A",PRZEL_AKCESORIA="trzymaj z bloku"),IF(NOT(ISNUMBER('T4'!$G64)),'T4'!$G64,MROUND('T4'!$G64*$AC64/(MAX('T4'!$AC64,0.0001)),MAX($P64,0.5))),IF(OR($R64="",$R64=0),"— brak 1RM",MROUND($R64*$S64/100*$AC64,MAX($P64,0.5)))),IF(OR($AA64="",$AA64=0),"— ustaw ręcznie",MROUND($AA64*$S64/100*$AC64,MAX($P64,0.5))))))</f>
        <v/>
      </c>
      <c r="H64" s="35"/>
      <c r="I64" s="36" t="str">
        <f t="array" ref="I64">IFERROR(IF(IFERROR(INDEX(BAZA_FILM,MATCH($C64,BAZA_EX,0)),"")="","",HYPERLINK(IFERROR(INDEX(BAZA_FILM,MATCH($C64,BAZA_EX,0)),""),"film")),"")</f>
        <v/>
      </c>
      <c r="J64" s="37" t="str">
        <f>IF('T1'!$J64="","",'T1'!$J64)</f>
        <v/>
      </c>
      <c r="K64" s="5" t="s">
        <v>116</v>
      </c>
      <c r="L64" s="5" t="str">
        <f t="array" ref="L64">IFERROR(INDEX(BAZA_ID,MATCH($C64,BAZA_EX,0)),"")</f>
        <v/>
      </c>
      <c r="M64" s="5" t="str">
        <f t="array" ref="M64">IFERROR(INDEX(BAZA_PART,MATCH($C64,BAZA_EX,0)),"")</f>
        <v/>
      </c>
      <c r="N64" s="5" t="str">
        <f t="array" ref="N64">IFERROR(INDEX(BAZA_KAT,MATCH($C64,BAZA_EX,0)),"")</f>
        <v/>
      </c>
      <c r="O64" s="5" t="str">
        <f t="array" ref="O64">IFERROR(INDEX(BAZA_COEFF,MATCH($C64,BAZA_EX,0)),"")</f>
        <v/>
      </c>
      <c r="P64" s="5" t="str">
        <f t="array" ref="P64">IFERROR(INDEX(BAZA_SKOK,MATCH($C64,BAZA_EX,0)),"")</f>
        <v/>
      </c>
      <c r="Q64" s="5" t="str">
        <f t="array" ref="Q64">IFERROR(INDEX(BAZA_PROG,MATCH($C64,BAZA_EX,0)),"")</f>
        <v/>
      </c>
      <c r="R64" s="5" t="str">
        <f>IF($C64="","",IF(SUMPRODUCT((START!$B$6:$B$69=$C64)*(START!$M$6:$M$69&gt;0))=0,"",SUMPRODUCT(MAX((START!$B$6:$B$69=$C64)*START!$M$6:$M$69))))</f>
        <v/>
      </c>
      <c r="S64" s="5" t="str">
        <f t="array" ref="S64">IFERROR(INDEX(TABELE!$B$4:$J$18,MATCH($E64,TABELE!$A$4:$A$18,0),MATCH($F64,TABELE!$B$3:$J$3,0)),"")</f>
        <v/>
      </c>
      <c r="T64" s="5">
        <f t="array" ref="T64">IFERROR(IF($C64="",0,$O64*$D64*INDEX(TABELE!$B$23:$P$33,MATCH($F64,TABELE!$A$23:$A$33,0),MATCH($E64,TABELE!$B$22:$P$22,0))),0)</f>
        <v>0</v>
      </c>
      <c r="U64" s="5">
        <f t="array" ref="U64">IFERROR(IF($C64="",0,$O64*$D64*INDEX(TABELE!$B$37:$P$47,MATCH($F64,TABELE!$A$37:$A$47,0),MATCH($E64,TABELE!$B$36:$P$36,0))),0)</f>
        <v>0</v>
      </c>
      <c r="V64" s="5">
        <f t="array" ref="V64">IFERROR(IF($C64="",0,$O64*$D64*INDEX(TABELE!$B$51:$P$61,MATCH($F64,TABELE!$A$51:$A$61,0),MATCH($E64,TABELE!$B$50:$P$50,0))),0)</f>
        <v>0</v>
      </c>
      <c r="W64" s="5" t="str">
        <f t="array" ref="W64">IFERROR(INDEX(BAZA_UWAGI,MATCH($C64,BAZA_EX,0)),"")</f>
        <v/>
      </c>
      <c r="X64" s="5" t="str">
        <f t="shared" si="16"/>
        <v/>
      </c>
      <c r="Y64" s="5" t="str">
        <f t="shared" si="19"/>
        <v>E</v>
      </c>
      <c r="Z64" s="5">
        <f t="shared" si="20"/>
        <v>5</v>
      </c>
      <c r="AA64" s="5" t="str">
        <f>IF($C64="","",IF(SUMPRODUCT((START!$B$6:$B$69=$C64)*(START!$M$6:$M$69&gt;0))=0,"",SUMPRODUCT(MAX((START!$B$6:$B$69=$C64)*START!$M$6:$M$69))))</f>
        <v/>
      </c>
      <c r="AB64" s="5" t="str">
        <f t="shared" si="17"/>
        <v/>
      </c>
      <c r="AC64" s="5">
        <f>MAX(0.85,MIN(1.15,1+0.05*(COUNTIF('T1'!$AB64,"za łatwe")+COUNTIF('T2'!$AB64,"za łatwe")+COUNTIF('T3'!$AB64,"za łatwe")+COUNTIF('T4'!$AB64,"za łatwe"))-0.05*(COUNTIF('T1'!$AB64,"za trudne")+COUNTIF('T2'!$AB64,"za trudne")+COUNTIF('T3'!$AB64,"za trudne")+COUNTIF('T4'!$AB64,"za trudne"))))</f>
        <v>1</v>
      </c>
      <c r="AD64" s="5">
        <f t="shared" si="18"/>
        <v>0</v>
      </c>
    </row>
    <row r="65" ht="25.5" hidden="1" customHeight="1" outlineLevel="1">
      <c r="A65" s="18" t="str">
        <f>IF('T1'!$A65="","",'T1'!$A65)</f>
        <v/>
      </c>
      <c r="B65" s="30"/>
      <c r="C65" s="31" t="str">
        <f>IF('T1'!$C65="","",'T1'!$C65)</f>
        <v/>
      </c>
      <c r="D65" s="32"/>
      <c r="E65" s="39">
        <f>IF($C65="",0,MIN(15,MAX(1,IF(N($O65)&gt;=1,6,IF(N($O65)&gt;=0.75,IF(PRZEL_CZESC="część 1 (objętość)",8,6),IF(PRZEL_CZESC="część 1 (objętość)",10,8)))+1+$AD65)))</f>
        <v>0</v>
      </c>
      <c r="F65" s="33"/>
      <c r="G65" s="34" t="str">
        <f>IF($C65="","",IF(OR($Q65="masa ciała",$Q65="czas",$Q65="dystans",$Q65="ręczne ustawienie"),$Q65,IF($C65='T1'!$C65,IF(AND(LEFT($A65,1)&lt;&gt;"A",PRZEL_AKCESORIA="trzymaj z bloku"),IF(NOT(ISNUMBER('T4'!$G65)),'T4'!$G65,MROUND('T4'!$G65*$AC65/(MAX('T4'!$AC65,0.0001)),MAX($P65,0.5))),IF(OR($R65="",$R65=0),"— brak 1RM",MROUND($R65*$S65/100*$AC65,MAX($P65,0.5)))),IF(OR($AA65="",$AA65=0),"— ustaw ręcznie",MROUND($AA65*$S65/100*$AC65,MAX($P65,0.5))))))</f>
        <v/>
      </c>
      <c r="H65" s="35"/>
      <c r="I65" s="36" t="str">
        <f t="array" ref="I65">IFERROR(IF(IFERROR(INDEX(BAZA_FILM,MATCH($C65,BAZA_EX,0)),"")="","",HYPERLINK(IFERROR(INDEX(BAZA_FILM,MATCH($C65,BAZA_EX,0)),""),"film")),"")</f>
        <v/>
      </c>
      <c r="J65" s="37" t="str">
        <f>IF('T1'!$J65="","",'T1'!$J65)</f>
        <v/>
      </c>
      <c r="K65" s="5" t="s">
        <v>117</v>
      </c>
      <c r="L65" s="5" t="str">
        <f t="array" ref="L65">IFERROR(INDEX(BAZA_ID,MATCH($C65,BAZA_EX,0)),"")</f>
        <v/>
      </c>
      <c r="M65" s="5" t="str">
        <f t="array" ref="M65">IFERROR(INDEX(BAZA_PART,MATCH($C65,BAZA_EX,0)),"")</f>
        <v/>
      </c>
      <c r="N65" s="5" t="str">
        <f t="array" ref="N65">IFERROR(INDEX(BAZA_KAT,MATCH($C65,BAZA_EX,0)),"")</f>
        <v/>
      </c>
      <c r="O65" s="5" t="str">
        <f t="array" ref="O65">IFERROR(INDEX(BAZA_COEFF,MATCH($C65,BAZA_EX,0)),"")</f>
        <v/>
      </c>
      <c r="P65" s="5" t="str">
        <f t="array" ref="P65">IFERROR(INDEX(BAZA_SKOK,MATCH($C65,BAZA_EX,0)),"")</f>
        <v/>
      </c>
      <c r="Q65" s="5" t="str">
        <f t="array" ref="Q65">IFERROR(INDEX(BAZA_PROG,MATCH($C65,BAZA_EX,0)),"")</f>
        <v/>
      </c>
      <c r="R65" s="5" t="str">
        <f>IF($C65="","",IF(SUMPRODUCT((START!$B$6:$B$69=$C65)*(START!$M$6:$M$69&gt;0))=0,"",SUMPRODUCT(MAX((START!$B$6:$B$69=$C65)*START!$M$6:$M$69))))</f>
        <v/>
      </c>
      <c r="S65" s="5" t="str">
        <f t="array" ref="S65">IFERROR(INDEX(TABELE!$B$4:$J$18,MATCH($E65,TABELE!$A$4:$A$18,0),MATCH($F65,TABELE!$B$3:$J$3,0)),"")</f>
        <v/>
      </c>
      <c r="T65" s="5">
        <f t="array" ref="T65">IFERROR(IF($C65="",0,$O65*$D65*INDEX(TABELE!$B$23:$P$33,MATCH($F65,TABELE!$A$23:$A$33,0),MATCH($E65,TABELE!$B$22:$P$22,0))),0)</f>
        <v>0</v>
      </c>
      <c r="U65" s="5">
        <f t="array" ref="U65">IFERROR(IF($C65="",0,$O65*$D65*INDEX(TABELE!$B$37:$P$47,MATCH($F65,TABELE!$A$37:$A$47,0),MATCH($E65,TABELE!$B$36:$P$36,0))),0)</f>
        <v>0</v>
      </c>
      <c r="V65" s="5">
        <f t="array" ref="V65">IFERROR(IF($C65="",0,$O65*$D65*INDEX(TABELE!$B$51:$P$61,MATCH($F65,TABELE!$A$51:$A$61,0),MATCH($E65,TABELE!$B$50:$P$50,0))),0)</f>
        <v>0</v>
      </c>
      <c r="W65" s="5" t="str">
        <f t="array" ref="W65">IFERROR(INDEX(BAZA_UWAGI,MATCH($C65,BAZA_EX,0)),"")</f>
        <v/>
      </c>
      <c r="X65" s="5" t="str">
        <f t="shared" si="16"/>
        <v/>
      </c>
      <c r="Y65" s="5" t="str">
        <f t="shared" si="19"/>
        <v>E</v>
      </c>
      <c r="Z65" s="5">
        <f t="shared" si="20"/>
        <v>5</v>
      </c>
      <c r="AA65" s="5" t="str">
        <f>IF($C65="","",IF(SUMPRODUCT((START!$B$6:$B$69=$C65)*(START!$M$6:$M$69&gt;0))=0,"",SUMPRODUCT(MAX((START!$B$6:$B$69=$C65)*START!$M$6:$M$69))))</f>
        <v/>
      </c>
      <c r="AB65" s="5" t="str">
        <f t="shared" si="17"/>
        <v/>
      </c>
      <c r="AC65" s="5">
        <f>MAX(0.85,MIN(1.15,1+0.05*(COUNTIF('T1'!$AB65,"za łatwe")+COUNTIF('T2'!$AB65,"za łatwe")+COUNTIF('T3'!$AB65,"za łatwe")+COUNTIF('T4'!$AB65,"za łatwe"))-0.05*(COUNTIF('T1'!$AB65,"za trudne")+COUNTIF('T2'!$AB65,"za trudne")+COUNTIF('T3'!$AB65,"za trudne")+COUNTIF('T4'!$AB65,"za trudne"))))</f>
        <v>1</v>
      </c>
      <c r="AD65" s="5">
        <f t="shared" si="18"/>
        <v>0</v>
      </c>
    </row>
    <row r="66" ht="25.5" hidden="1" customHeight="1" outlineLevel="1">
      <c r="A66" s="18" t="str">
        <f>IF('T1'!$A66="","",'T1'!$A66)</f>
        <v/>
      </c>
      <c r="B66" s="30"/>
      <c r="C66" s="31" t="str">
        <f>IF('T1'!$C66="","",'T1'!$C66)</f>
        <v/>
      </c>
      <c r="D66" s="32"/>
      <c r="E66" s="39">
        <f>IF($C66="",0,MIN(15,MAX(1,IF(N($O66)&gt;=1,6,IF(N($O66)&gt;=0.75,IF(PRZEL_CZESC="część 1 (objętość)",8,6),IF(PRZEL_CZESC="część 1 (objętość)",10,8)))+1+$AD66)))</f>
        <v>0</v>
      </c>
      <c r="F66" s="33"/>
      <c r="G66" s="34" t="str">
        <f>IF($C66="","",IF(OR($Q66="masa ciała",$Q66="czas",$Q66="dystans",$Q66="ręczne ustawienie"),$Q66,IF($C66='T1'!$C66,IF(AND(LEFT($A66,1)&lt;&gt;"A",PRZEL_AKCESORIA="trzymaj z bloku"),IF(NOT(ISNUMBER('T4'!$G66)),'T4'!$G66,MROUND('T4'!$G66*$AC66/(MAX('T4'!$AC66,0.0001)),MAX($P66,0.5))),IF(OR($R66="",$R66=0),"— brak 1RM",MROUND($R66*$S66/100*$AC66,MAX($P66,0.5)))),IF(OR($AA66="",$AA66=0),"— ustaw ręcznie",MROUND($AA66*$S66/100*$AC66,MAX($P66,0.5))))))</f>
        <v/>
      </c>
      <c r="H66" s="35"/>
      <c r="I66" s="36" t="str">
        <f t="array" ref="I66">IFERROR(IF(IFERROR(INDEX(BAZA_FILM,MATCH($C66,BAZA_EX,0)),"")="","",HYPERLINK(IFERROR(INDEX(BAZA_FILM,MATCH($C66,BAZA_EX,0)),""),"film")),"")</f>
        <v/>
      </c>
      <c r="J66" s="37" t="str">
        <f>IF('T1'!$J66="","",'T1'!$J66)</f>
        <v/>
      </c>
      <c r="K66" s="5" t="s">
        <v>118</v>
      </c>
      <c r="L66" s="5" t="str">
        <f t="array" ref="L66">IFERROR(INDEX(BAZA_ID,MATCH($C66,BAZA_EX,0)),"")</f>
        <v/>
      </c>
      <c r="M66" s="5" t="str">
        <f t="array" ref="M66">IFERROR(INDEX(BAZA_PART,MATCH($C66,BAZA_EX,0)),"")</f>
        <v/>
      </c>
      <c r="N66" s="5" t="str">
        <f t="array" ref="N66">IFERROR(INDEX(BAZA_KAT,MATCH($C66,BAZA_EX,0)),"")</f>
        <v/>
      </c>
      <c r="O66" s="5" t="str">
        <f t="array" ref="O66">IFERROR(INDEX(BAZA_COEFF,MATCH($C66,BAZA_EX,0)),"")</f>
        <v/>
      </c>
      <c r="P66" s="5" t="str">
        <f t="array" ref="P66">IFERROR(INDEX(BAZA_SKOK,MATCH($C66,BAZA_EX,0)),"")</f>
        <v/>
      </c>
      <c r="Q66" s="5" t="str">
        <f t="array" ref="Q66">IFERROR(INDEX(BAZA_PROG,MATCH($C66,BAZA_EX,0)),"")</f>
        <v/>
      </c>
      <c r="R66" s="5" t="str">
        <f>IF($C66="","",IF(SUMPRODUCT((START!$B$6:$B$69=$C66)*(START!$M$6:$M$69&gt;0))=0,"",SUMPRODUCT(MAX((START!$B$6:$B$69=$C66)*START!$M$6:$M$69))))</f>
        <v/>
      </c>
      <c r="S66" s="5" t="str">
        <f t="array" ref="S66">IFERROR(INDEX(TABELE!$B$4:$J$18,MATCH($E66,TABELE!$A$4:$A$18,0),MATCH($F66,TABELE!$B$3:$J$3,0)),"")</f>
        <v/>
      </c>
      <c r="T66" s="5">
        <f t="array" ref="T66">IFERROR(IF($C66="",0,$O66*$D66*INDEX(TABELE!$B$23:$P$33,MATCH($F66,TABELE!$A$23:$A$33,0),MATCH($E66,TABELE!$B$22:$P$22,0))),0)</f>
        <v>0</v>
      </c>
      <c r="U66" s="5">
        <f t="array" ref="U66">IFERROR(IF($C66="",0,$O66*$D66*INDEX(TABELE!$B$37:$P$47,MATCH($F66,TABELE!$A$37:$A$47,0),MATCH($E66,TABELE!$B$36:$P$36,0))),0)</f>
        <v>0</v>
      </c>
      <c r="V66" s="5">
        <f t="array" ref="V66">IFERROR(IF($C66="",0,$O66*$D66*INDEX(TABELE!$B$51:$P$61,MATCH($F66,TABELE!$A$51:$A$61,0),MATCH($E66,TABELE!$B$50:$P$50,0))),0)</f>
        <v>0</v>
      </c>
      <c r="W66" s="5" t="str">
        <f t="array" ref="W66">IFERROR(INDEX(BAZA_UWAGI,MATCH($C66,BAZA_EX,0)),"")</f>
        <v/>
      </c>
      <c r="X66" s="5" t="str">
        <f t="shared" si="16"/>
        <v/>
      </c>
      <c r="Y66" s="5" t="str">
        <f t="shared" si="19"/>
        <v>E</v>
      </c>
      <c r="Z66" s="5">
        <f t="shared" si="20"/>
        <v>5</v>
      </c>
      <c r="AA66" s="5" t="str">
        <f>IF($C66="","",IF(SUMPRODUCT((START!$B$6:$B$69=$C66)*(START!$M$6:$M$69&gt;0))=0,"",SUMPRODUCT(MAX((START!$B$6:$B$69=$C66)*START!$M$6:$M$69))))</f>
        <v/>
      </c>
      <c r="AB66" s="5" t="str">
        <f t="shared" si="17"/>
        <v/>
      </c>
      <c r="AC66" s="5">
        <f>MAX(0.85,MIN(1.15,1+0.05*(COUNTIF('T1'!$AB66,"za łatwe")+COUNTIF('T2'!$AB66,"za łatwe")+COUNTIF('T3'!$AB66,"za łatwe")+COUNTIF('T4'!$AB66,"za łatwe"))-0.05*(COUNTIF('T1'!$AB66,"za trudne")+COUNTIF('T2'!$AB66,"za trudne")+COUNTIF('T3'!$AB66,"za trudne")+COUNTIF('T4'!$AB66,"za trudne"))))</f>
        <v>1</v>
      </c>
      <c r="AD66" s="5">
        <f t="shared" si="18"/>
        <v>0</v>
      </c>
    </row>
    <row r="67" ht="19.5" hidden="1" customHeight="1" outlineLevel="1">
      <c r="A67" s="43"/>
      <c r="B67" s="43"/>
      <c r="C67" s="44" t="s">
        <v>138</v>
      </c>
      <c r="D67" s="45">
        <f>SUMPRODUCT((C55:C66&lt;&gt;"")*D55:D66)+IF(AND($B$54="TOP SET",$C$54&lt;&gt;""),1,0)</f>
      </c>
      <c r="E67" s="46" t="str">
        <f>SUMPRODUCT((C55:C66&lt;&gt;"")*D55:D66*E55:E66)&amp;" powt."</f>
        <v>0 powt.</v>
      </c>
      <c r="F67" s="43"/>
      <c r="G67" s="47" t="str">
        <f>"stres t "&amp;TEXT(SUM(T55:T66),"0.0")</f>
        <v>stres t 0,0</v>
      </c>
      <c r="H67" s="48"/>
      <c r="I67" s="43"/>
      <c r="J67" s="4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25.5" hidden="1" customHeight="1" outlineLevel="1">
      <c r="A69" s="15" t="s">
        <v>119</v>
      </c>
      <c r="B69" s="3"/>
      <c r="C69" s="3"/>
      <c r="D69" s="3"/>
      <c r="E69" s="3"/>
      <c r="F69" s="3"/>
      <c r="G69" s="3"/>
      <c r="H69" s="3"/>
      <c r="I69" s="3"/>
      <c r="J69" s="4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33.75" hidden="1" customHeight="1" outlineLevel="2">
      <c r="A70" s="17" t="str">
        <f>IF($B70="TOP SET","▲","")</f>
        <v>▲</v>
      </c>
      <c r="B70" s="19" t="str">
        <f>IF('T1'!$B70="TOP SET","TOP SET","—")</f>
        <v>TOP SET</v>
      </c>
      <c r="C70" s="22" t="str">
        <f>IF(OR($B70&lt;&gt;"TOP SET",$F70=""),"",IF(N($K70)=0,"",IF(INDEX($C$71:$C$82,$K70)="","",INDEX($C$71:$C$82,$K70))))</f>
      </c>
      <c r="D70" s="23">
        <f>IF(AND($B70="TOP SET",$F70&lt;&gt;""),1,"")</f>
      </c>
      <c r="E70" s="24" t="str">
        <f>IF(AND($B70="TOP SET",$F70&lt;&gt;""),"1 powtórzenie","")</f>
      </c>
      <c r="F70" s="25">
        <v>7.5</v>
      </c>
      <c r="G70" s="27" t="str">
        <f t="array" ref="G70">IF($B70&lt;&gt;"TOP SET","",IF($C70="","",IF(OR($Q70="masa ciała",$Q70="czas",$Q70="dystans",$Q70="ręczne ustawienie"),"—",IF($C70='T1'!$C70,IF(OR($R70="",$R70=0),"— brak 1RM",MROUND($R70*IFERROR(INDEX(TABELE!$B$4:$J$18,MATCH(1,TABELE!$A$4:$A$18,0),MATCH($F70,TABELE!$B$3:$J$3,0)),0)/100,MAX($P70,0.5))),IF(OR($AA70="",$AA70=0),"— ustaw ręcznie",MROUND($AA70*IFERROR(INDEX(TABELE!$B$4:$J$18,MATCH(1,TABELE!$A$4:$A$18,0),MATCH($F70,TABELE!$B$3:$J$3,0)),0)/100,MAX($P70,0.5)))))))</f>
      </c>
      <c r="H70" s="28"/>
      <c r="I70" s="29"/>
      <c r="J70" s="29"/>
      <c r="K70" s="5">
        <f>IFERROR(MATCH("A*",$A$71:$A$82,0),0)</f>
      </c>
      <c r="L70" s="5"/>
      <c r="M70" s="5"/>
      <c r="N70" s="5"/>
      <c r="O70" s="5"/>
      <c r="P70" s="5">
        <f>IF(N($K70)=0,"",INDEX($P$71:$P$82,$K70))</f>
      </c>
      <c r="Q70" s="5">
        <f>IF(N($K70)=0,"",INDEX($Q$71:$Q$82,$K70))</f>
      </c>
      <c r="R70" s="5">
        <f>IF(N($K70)=0,"",INDEX($R$71:$R$82,$K70))</f>
      </c>
      <c r="S70" s="5"/>
      <c r="T70" s="5"/>
      <c r="U70" s="5"/>
      <c r="V70" s="5"/>
      <c r="W70" s="5"/>
      <c r="X70" s="5"/>
      <c r="Y70" s="5"/>
      <c r="Z70" s="5"/>
      <c r="AA70" s="5">
        <f>IF(N($K70)=0,"",INDEX($AA$71:$AA$82,$K70))</f>
      </c>
    </row>
    <row r="71" ht="25.5" hidden="1" customHeight="1" outlineLevel="1">
      <c r="A71" s="18" t="str">
        <f>IF('T1'!$A71="","",'T1'!$A71)</f>
        <v>A1.</v>
      </c>
      <c r="B71" s="30"/>
      <c r="C71" s="31" t="str">
        <f>IF('T1'!$C71="","",'T1'!$C71)</f>
        <v/>
      </c>
      <c r="D71" s="32">
        <v>5.0</v>
      </c>
      <c r="E71" s="32">
        <v>4.0</v>
      </c>
      <c r="F71" s="33">
        <v>7.5</v>
      </c>
      <c r="G71" s="34" t="str">
        <f>IF($C71="","",IF(OR($Q71="masa ciała",$Q71="czas",$Q71="dystans",$Q71="ręczne ustawienie"),$Q71,IF($C71='T1'!$C71,IF(AND(LEFT($A71,1)&lt;&gt;"A",PRZEL_AKCESORIA="trzymaj z bloku"),IF(NOT(ISNUMBER('T4'!$G71)),'T4'!$G71,MROUND('T4'!$G71*$AC71/(MAX('T4'!$AC71,0.0001)),MAX($P71,0.5))),IF(OR($R71="",$R71=0),"— brak 1RM",MROUND($R71*$S71/100*$AC71,MAX($P71,0.5)))),IF(OR($AA71="",$AA71=0),"— ustaw ręcznie",MROUND($AA71*$S71/100*$AC71,MAX($P71,0.5))))))</f>
        <v/>
      </c>
      <c r="H71" s="35"/>
      <c r="I71" s="36" t="str">
        <f t="array" ref="I71">IFERROR(IF(IFERROR(INDEX(BAZA_FILM,MATCH($C71,BAZA_EX,0)),"")="","",HYPERLINK(IFERROR(INDEX(BAZA_FILM,MATCH($C71,BAZA_EX,0)),""),"film")),"")</f>
        <v/>
      </c>
      <c r="J71" s="37" t="str">
        <f>IF('T1'!$J71="","",'T1'!$J71)</f>
        <v/>
      </c>
      <c r="K71" s="5" t="s">
        <v>120</v>
      </c>
      <c r="L71" s="5" t="str">
        <f t="array" ref="L71">IFERROR(INDEX(BAZA_ID,MATCH($C71,BAZA_EX,0)),"")</f>
        <v/>
      </c>
      <c r="M71" s="5" t="str">
        <f t="array" ref="M71">IFERROR(INDEX(BAZA_PART,MATCH($C71,BAZA_EX,0)),"")</f>
        <v/>
      </c>
      <c r="N71" s="5" t="str">
        <f t="array" ref="N71">IFERROR(INDEX(BAZA_KAT,MATCH($C71,BAZA_EX,0)),"")</f>
        <v/>
      </c>
      <c r="O71" s="5" t="str">
        <f t="array" ref="O71">IFERROR(INDEX(BAZA_COEFF,MATCH($C71,BAZA_EX,0)),"")</f>
        <v/>
      </c>
      <c r="P71" s="5" t="str">
        <f t="array" ref="P71">IFERROR(INDEX(BAZA_SKOK,MATCH($C71,BAZA_EX,0)),"")</f>
        <v/>
      </c>
      <c r="Q71" s="5" t="str">
        <f t="array" ref="Q71">IFERROR(INDEX(BAZA_PROG,MATCH($C71,BAZA_EX,0)),"")</f>
        <v/>
      </c>
      <c r="R71" s="5" t="str">
        <f>IF($C71="","",IF(SUMPRODUCT((START!$B$6:$B$69=$C71)*(START!$M$6:$M$69&gt;0))=0,"",SUMPRODUCT(MAX((START!$B$6:$B$69=$C71)*START!$M$6:$M$69))))</f>
        <v/>
      </c>
      <c r="S71" s="5">
        <f t="array" ref="S71">IFERROR(INDEX(TABELE!$B$4:$J$18,MATCH($E71,TABELE!$A$4:$A$18,0),MATCH($F71,TABELE!$B$3:$J$3,0)),"")</f>
        <v>80.5</v>
      </c>
      <c r="T71" s="5">
        <f t="array" ref="T71">IFERROR(IF($C71="",0,$O71*$D71*INDEX(TABELE!$B$23:$P$33,MATCH($F71,TABELE!$A$23:$A$33,0),MATCH($E71,TABELE!$B$22:$P$22,0))),0)</f>
        <v>0</v>
      </c>
      <c r="U71" s="5">
        <f t="array" ref="U71">IFERROR(IF($C71="",0,$O71*$D71*INDEX(TABELE!$B$37:$P$47,MATCH($F71,TABELE!$A$37:$A$47,0),MATCH($E71,TABELE!$B$36:$P$36,0))),0)</f>
        <v>0</v>
      </c>
      <c r="V71" s="5">
        <f t="array" ref="V71">IFERROR(IF($C71="",0,$O71*$D71*INDEX(TABELE!$B$51:$P$61,MATCH($F71,TABELE!$A$51:$A$61,0),MATCH($E71,TABELE!$B$50:$P$50,0))),0)</f>
        <v>0</v>
      </c>
      <c r="W71" s="5" t="str">
        <f t="array" ref="W71">IFERROR(INDEX(BAZA_UWAGI,MATCH($C71,BAZA_EX,0)),"")</f>
        <v/>
      </c>
      <c r="X71" s="5">
        <f t="shared" ref="X71:X82" si="21">IF($A71="","",$Z71)</f>
        <v>1</v>
      </c>
      <c r="Y71" s="5" t="str">
        <f>IF($A71="","",LEFT($A71,1))</f>
        <v>A</v>
      </c>
      <c r="Z71" s="5">
        <f>IF($A71="",0,1)</f>
        <v>1</v>
      </c>
      <c r="AA71" s="5" t="str">
        <f>IF($C71="","",IF(SUMPRODUCT((START!$B$6:$B$69=$C71)*(START!$M$6:$M$69&gt;0))=0,"",SUMPRODUCT(MAX((START!$B$6:$B$69=$C71)*START!$M$6:$M$69))))</f>
        <v/>
      </c>
      <c r="AB71" s="5" t="str">
        <f t="shared" ref="AB71:AB82" si="22">IF($C71="","",IF($H71&lt;&gt;"",$H71,IF($H$83="✓ ukończony","OK","")))</f>
        <v/>
      </c>
      <c r="AC71" s="5">
        <f>MAX(0.85,MIN(1.15,1+0.05*(COUNTIF('T1'!$AB71,"za łatwe")+COUNTIF('T2'!$AB71,"za łatwe")+COUNTIF('T3'!$AB71,"za łatwe")+COUNTIF('T4'!$AB71,"za łatwe"))-0.05*(COUNTIF('T1'!$AB71,"za trudne")+COUNTIF('T2'!$AB71,"za trudne")+COUNTIF('T3'!$AB71,"za trudne")+COUNTIF('T4'!$AB71,"za trudne"))))</f>
        <v>1</v>
      </c>
      <c r="AD71" s="5">
        <f t="shared" ref="AD71:AD82" si="23">IF(OR($Q71="masa ciała",$Q71="czas",$Q71="dystans",$Q71="ręczne ustawienie"),MAX(-3,MIN(3,ROUND(($AC71-1)/0.05,0))),0)</f>
        <v>0</v>
      </c>
    </row>
    <row r="72" ht="25.5" hidden="1" customHeight="1" outlineLevel="1">
      <c r="A72" s="18" t="str">
        <f>IF('T1'!$A72="","",'T1'!$A72)</f>
        <v>B1.</v>
      </c>
      <c r="B72" s="30"/>
      <c r="C72" s="31" t="str">
        <f>IF('T1'!$C72="","",'T1'!$C72)</f>
        <v/>
      </c>
      <c r="D72" s="32">
        <v>3.0</v>
      </c>
      <c r="E72" s="39">
        <f>IF($C72="",0,MIN(15,MAX(1,IF(N($O72)&gt;=1,6,IF(N($O72)&gt;=0.75,IF(PRZEL_CZESC="część 1 (objętość)",8,6),IF(PRZEL_CZESC="część 1 (objętość)",10,8)))+1+$AD72)))</f>
        <v>0</v>
      </c>
      <c r="F72" s="33">
        <v>9.0</v>
      </c>
      <c r="G72" s="34" t="str">
        <f>IF($C72="","",IF(OR($Q72="masa ciała",$Q72="czas",$Q72="dystans",$Q72="ręczne ustawienie"),$Q72,IF($C72='T1'!$C72,IF(AND(LEFT($A72,1)&lt;&gt;"A",PRZEL_AKCESORIA="trzymaj z bloku"),IF(NOT(ISNUMBER('T4'!$G72)),'T4'!$G72,MROUND('T4'!$G72*$AC72/(MAX('T4'!$AC72,0.0001)),MAX($P72,0.5))),IF(OR($R72="",$R72=0),"— brak 1RM",MROUND($R72*$S72/100*$AC72,MAX($P72,0.5)))),IF(OR($AA72="",$AA72=0),"— ustaw ręcznie",MROUND($AA72*$S72/100*$AC72,MAX($P72,0.5))))))</f>
        <v/>
      </c>
      <c r="H72" s="35"/>
      <c r="I72" s="36" t="str">
        <f t="array" ref="I72">IFERROR(IF(IFERROR(INDEX(BAZA_FILM,MATCH($C72,BAZA_EX,0)),"")="","",HYPERLINK(IFERROR(INDEX(BAZA_FILM,MATCH($C72,BAZA_EX,0)),""),"film")),"")</f>
        <v/>
      </c>
      <c r="J72" s="37" t="str">
        <f>IF('T1'!$J72="","",'T1'!$J72)</f>
        <v/>
      </c>
      <c r="K72" s="5" t="s">
        <v>121</v>
      </c>
      <c r="L72" s="5" t="str">
        <f t="array" ref="L72">IFERROR(INDEX(BAZA_ID,MATCH($C72,BAZA_EX,0)),"")</f>
        <v/>
      </c>
      <c r="M72" s="5" t="str">
        <f t="array" ref="M72">IFERROR(INDEX(BAZA_PART,MATCH($C72,BAZA_EX,0)),"")</f>
        <v/>
      </c>
      <c r="N72" s="5" t="str">
        <f t="array" ref="N72">IFERROR(INDEX(BAZA_KAT,MATCH($C72,BAZA_EX,0)),"")</f>
        <v/>
      </c>
      <c r="O72" s="5" t="str">
        <f t="array" ref="O72">IFERROR(INDEX(BAZA_COEFF,MATCH($C72,BAZA_EX,0)),"")</f>
        <v/>
      </c>
      <c r="P72" s="5" t="str">
        <f t="array" ref="P72">IFERROR(INDEX(BAZA_SKOK,MATCH($C72,BAZA_EX,0)),"")</f>
        <v/>
      </c>
      <c r="Q72" s="5" t="str">
        <f t="array" ref="Q72">IFERROR(INDEX(BAZA_PROG,MATCH($C72,BAZA_EX,0)),"")</f>
        <v/>
      </c>
      <c r="R72" s="5" t="str">
        <f>IF($C72="","",IF(SUMPRODUCT((START!$B$6:$B$69=$C72)*(START!$M$6:$M$69&gt;0))=0,"",SUMPRODUCT(MAX((START!$B$6:$B$69=$C72)*START!$M$6:$M$69))))</f>
        <v/>
      </c>
      <c r="S72" s="5" t="str">
        <f t="array" ref="S72">IFERROR(INDEX(TABELE!$B$4:$J$18,MATCH($E72,TABELE!$A$4:$A$18,0),MATCH($F72,TABELE!$B$3:$J$3,0)),"")</f>
        <v/>
      </c>
      <c r="T72" s="5">
        <f t="array" ref="T72">IFERROR(IF($C72="",0,$O72*$D72*INDEX(TABELE!$B$23:$P$33,MATCH($F72,TABELE!$A$23:$A$33,0),MATCH($E72,TABELE!$B$22:$P$22,0))),0)</f>
        <v>0</v>
      </c>
      <c r="U72" s="5">
        <f t="array" ref="U72">IFERROR(IF($C72="",0,$O72*$D72*INDEX(TABELE!$B$37:$P$47,MATCH($F72,TABELE!$A$37:$A$47,0),MATCH($E72,TABELE!$B$36:$P$36,0))),0)</f>
        <v>0</v>
      </c>
      <c r="V72" s="5">
        <f t="array" ref="V72">IFERROR(IF($C72="",0,$O72*$D72*INDEX(TABELE!$B$51:$P$61,MATCH($F72,TABELE!$A$51:$A$61,0),MATCH($E72,TABELE!$B$50:$P$50,0))),0)</f>
        <v>0</v>
      </c>
      <c r="W72" s="5" t="str">
        <f t="array" ref="W72">IFERROR(INDEX(BAZA_UWAGI,MATCH($C72,BAZA_EX,0)),"")</f>
        <v/>
      </c>
      <c r="X72" s="5">
        <f t="shared" si="21"/>
        <v>2</v>
      </c>
      <c r="Y72" s="5" t="str">
        <f t="shared" ref="Y72:Y82" si="24">IF($A72="",$Y71,LEFT($A72,1))</f>
        <v>B</v>
      </c>
      <c r="Z72" s="5">
        <f t="shared" ref="Z72:Z82" si="25">IF($A72="",$Z71,IF(LEFT($A72,1)=$Y71,$Z71,$Z71+1))</f>
        <v>2</v>
      </c>
      <c r="AA72" s="5" t="str">
        <f>IF($C72="","",IF(SUMPRODUCT((START!$B$6:$B$69=$C72)*(START!$M$6:$M$69&gt;0))=0,"",SUMPRODUCT(MAX((START!$B$6:$B$69=$C72)*START!$M$6:$M$69))))</f>
        <v/>
      </c>
      <c r="AB72" s="5" t="str">
        <f t="shared" si="22"/>
        <v/>
      </c>
      <c r="AC72" s="5">
        <f>MAX(0.85,MIN(1.15,1+0.05*(COUNTIF('T1'!$AB72,"za łatwe")+COUNTIF('T2'!$AB72,"za łatwe")+COUNTIF('T3'!$AB72,"za łatwe")+COUNTIF('T4'!$AB72,"za łatwe"))-0.05*(COUNTIF('T1'!$AB72,"za trudne")+COUNTIF('T2'!$AB72,"za trudne")+COUNTIF('T3'!$AB72,"za trudne")+COUNTIF('T4'!$AB72,"za trudne"))))</f>
        <v>1</v>
      </c>
      <c r="AD72" s="5">
        <f t="shared" si="23"/>
        <v>0</v>
      </c>
    </row>
    <row r="73" ht="25.5" hidden="1" customHeight="1" outlineLevel="1">
      <c r="A73" s="18" t="str">
        <f>IF('T1'!$A73="","",'T1'!$A73)</f>
        <v>B2.</v>
      </c>
      <c r="B73" s="30"/>
      <c r="C73" s="31" t="str">
        <f>IF('T1'!$C73="","",'T1'!$C73)</f>
        <v/>
      </c>
      <c r="D73" s="32">
        <v>3.0</v>
      </c>
      <c r="E73" s="39">
        <f>IF($C73="",0,MIN(15,MAX(1,IF(N($O73)&gt;=1,6,IF(N($O73)&gt;=0.75,IF(PRZEL_CZESC="część 1 (objętość)",8,6),IF(PRZEL_CZESC="część 1 (objętość)",10,8)))+1+$AD73)))</f>
        <v>0</v>
      </c>
      <c r="F73" s="33">
        <v>9.0</v>
      </c>
      <c r="G73" s="34" t="str">
        <f>IF($C73="","",IF(OR($Q73="masa ciała",$Q73="czas",$Q73="dystans",$Q73="ręczne ustawienie"),$Q73,IF($C73='T1'!$C73,IF(AND(LEFT($A73,1)&lt;&gt;"A",PRZEL_AKCESORIA="trzymaj z bloku"),IF(NOT(ISNUMBER('T4'!$G73)),'T4'!$G73,MROUND('T4'!$G73*$AC73/(MAX('T4'!$AC73,0.0001)),MAX($P73,0.5))),IF(OR($R73="",$R73=0),"— brak 1RM",MROUND($R73*$S73/100*$AC73,MAX($P73,0.5)))),IF(OR($AA73="",$AA73=0),"— ustaw ręcznie",MROUND($AA73*$S73/100*$AC73,MAX($P73,0.5))))))</f>
        <v/>
      </c>
      <c r="H73" s="35"/>
      <c r="I73" s="36" t="str">
        <f t="array" ref="I73">IFERROR(IF(IFERROR(INDEX(BAZA_FILM,MATCH($C73,BAZA_EX,0)),"")="","",HYPERLINK(IFERROR(INDEX(BAZA_FILM,MATCH($C73,BAZA_EX,0)),""),"film")),"")</f>
        <v/>
      </c>
      <c r="J73" s="37" t="str">
        <f>IF('T1'!$J73="","",'T1'!$J73)</f>
        <v/>
      </c>
      <c r="K73" s="5" t="s">
        <v>122</v>
      </c>
      <c r="L73" s="5" t="str">
        <f t="array" ref="L73">IFERROR(INDEX(BAZA_ID,MATCH($C73,BAZA_EX,0)),"")</f>
        <v/>
      </c>
      <c r="M73" s="5" t="str">
        <f t="array" ref="M73">IFERROR(INDEX(BAZA_PART,MATCH($C73,BAZA_EX,0)),"")</f>
        <v/>
      </c>
      <c r="N73" s="5" t="str">
        <f t="array" ref="N73">IFERROR(INDEX(BAZA_KAT,MATCH($C73,BAZA_EX,0)),"")</f>
        <v/>
      </c>
      <c r="O73" s="5" t="str">
        <f t="array" ref="O73">IFERROR(INDEX(BAZA_COEFF,MATCH($C73,BAZA_EX,0)),"")</f>
        <v/>
      </c>
      <c r="P73" s="5" t="str">
        <f t="array" ref="P73">IFERROR(INDEX(BAZA_SKOK,MATCH($C73,BAZA_EX,0)),"")</f>
        <v/>
      </c>
      <c r="Q73" s="5" t="str">
        <f t="array" ref="Q73">IFERROR(INDEX(BAZA_PROG,MATCH($C73,BAZA_EX,0)),"")</f>
        <v/>
      </c>
      <c r="R73" s="5" t="str">
        <f>IF($C73="","",IF(SUMPRODUCT((START!$B$6:$B$69=$C73)*(START!$M$6:$M$69&gt;0))=0,"",SUMPRODUCT(MAX((START!$B$6:$B$69=$C73)*START!$M$6:$M$69))))</f>
        <v/>
      </c>
      <c r="S73" s="5" t="str">
        <f t="array" ref="S73">IFERROR(INDEX(TABELE!$B$4:$J$18,MATCH($E73,TABELE!$A$4:$A$18,0),MATCH($F73,TABELE!$B$3:$J$3,0)),"")</f>
        <v/>
      </c>
      <c r="T73" s="5">
        <f t="array" ref="T73">IFERROR(IF($C73="",0,$O73*$D73*INDEX(TABELE!$B$23:$P$33,MATCH($F73,TABELE!$A$23:$A$33,0),MATCH($E73,TABELE!$B$22:$P$22,0))),0)</f>
        <v>0</v>
      </c>
      <c r="U73" s="5">
        <f t="array" ref="U73">IFERROR(IF($C73="",0,$O73*$D73*INDEX(TABELE!$B$37:$P$47,MATCH($F73,TABELE!$A$37:$A$47,0),MATCH($E73,TABELE!$B$36:$P$36,0))),0)</f>
        <v>0</v>
      </c>
      <c r="V73" s="5">
        <f t="array" ref="V73">IFERROR(IF($C73="",0,$O73*$D73*INDEX(TABELE!$B$51:$P$61,MATCH($F73,TABELE!$A$51:$A$61,0),MATCH($E73,TABELE!$B$50:$P$50,0))),0)</f>
        <v>0</v>
      </c>
      <c r="W73" s="5" t="str">
        <f t="array" ref="W73">IFERROR(INDEX(BAZA_UWAGI,MATCH($C73,BAZA_EX,0)),"")</f>
        <v/>
      </c>
      <c r="X73" s="5">
        <f t="shared" si="21"/>
        <v>2</v>
      </c>
      <c r="Y73" s="5" t="str">
        <f t="shared" si="24"/>
        <v>B</v>
      </c>
      <c r="Z73" s="5">
        <f t="shared" si="25"/>
        <v>2</v>
      </c>
      <c r="AA73" s="5" t="str">
        <f>IF($C73="","",IF(SUMPRODUCT((START!$B$6:$B$69=$C73)*(START!$M$6:$M$69&gt;0))=0,"",SUMPRODUCT(MAX((START!$B$6:$B$69=$C73)*START!$M$6:$M$69))))</f>
        <v/>
      </c>
      <c r="AB73" s="5" t="str">
        <f t="shared" si="22"/>
        <v/>
      </c>
      <c r="AC73" s="5">
        <f>MAX(0.85,MIN(1.15,1+0.05*(COUNTIF('T1'!$AB73,"za łatwe")+COUNTIF('T2'!$AB73,"za łatwe")+COUNTIF('T3'!$AB73,"za łatwe")+COUNTIF('T4'!$AB73,"za łatwe"))-0.05*(COUNTIF('T1'!$AB73,"za trudne")+COUNTIF('T2'!$AB73,"za trudne")+COUNTIF('T3'!$AB73,"za trudne")+COUNTIF('T4'!$AB73,"za trudne"))))</f>
        <v>1</v>
      </c>
      <c r="AD73" s="5">
        <f t="shared" si="23"/>
        <v>0</v>
      </c>
    </row>
    <row r="74" ht="25.5" hidden="1" customHeight="1" outlineLevel="1">
      <c r="A74" s="18" t="str">
        <f>IF('T1'!$A74="","",'T1'!$A74)</f>
        <v>C1.</v>
      </c>
      <c r="B74" s="30"/>
      <c r="C74" s="31" t="str">
        <f>IF('T1'!$C74="","",'T1'!$C74)</f>
        <v/>
      </c>
      <c r="D74" s="32">
        <v>3.0</v>
      </c>
      <c r="E74" s="39">
        <f>IF($C74="",0,MIN(15,MAX(1,IF(N($O74)&gt;=1,6,IF(N($O74)&gt;=0.75,IF(PRZEL_CZESC="część 1 (objętość)",8,6),IF(PRZEL_CZESC="część 1 (objętość)",10,8)))+1+$AD74)))</f>
        <v>0</v>
      </c>
      <c r="F74" s="33">
        <v>9.0</v>
      </c>
      <c r="G74" s="34" t="str">
        <f>IF($C74="","",IF(OR($Q74="masa ciała",$Q74="czas",$Q74="dystans",$Q74="ręczne ustawienie"),$Q74,IF($C74='T1'!$C74,IF(AND(LEFT($A74,1)&lt;&gt;"A",PRZEL_AKCESORIA="trzymaj z bloku"),IF(NOT(ISNUMBER('T4'!$G74)),'T4'!$G74,MROUND('T4'!$G74*$AC74/(MAX('T4'!$AC74,0.0001)),MAX($P74,0.5))),IF(OR($R74="",$R74=0),"— brak 1RM",MROUND($R74*$S74/100*$AC74,MAX($P74,0.5)))),IF(OR($AA74="",$AA74=0),"— ustaw ręcznie",MROUND($AA74*$S74/100*$AC74,MAX($P74,0.5))))))</f>
        <v/>
      </c>
      <c r="H74" s="35"/>
      <c r="I74" s="36" t="str">
        <f t="array" ref="I74">IFERROR(IF(IFERROR(INDEX(BAZA_FILM,MATCH($C74,BAZA_EX,0)),"")="","",HYPERLINK(IFERROR(INDEX(BAZA_FILM,MATCH($C74,BAZA_EX,0)),""),"film")),"")</f>
        <v/>
      </c>
      <c r="J74" s="37" t="str">
        <f>IF('T1'!$J74="","",'T1'!$J74)</f>
        <v/>
      </c>
      <c r="K74" s="5" t="s">
        <v>123</v>
      </c>
      <c r="L74" s="5" t="str">
        <f t="array" ref="L74">IFERROR(INDEX(BAZA_ID,MATCH($C74,BAZA_EX,0)),"")</f>
        <v/>
      </c>
      <c r="M74" s="5" t="str">
        <f t="array" ref="M74">IFERROR(INDEX(BAZA_PART,MATCH($C74,BAZA_EX,0)),"")</f>
        <v/>
      </c>
      <c r="N74" s="5" t="str">
        <f t="array" ref="N74">IFERROR(INDEX(BAZA_KAT,MATCH($C74,BAZA_EX,0)),"")</f>
        <v/>
      </c>
      <c r="O74" s="5" t="str">
        <f t="array" ref="O74">IFERROR(INDEX(BAZA_COEFF,MATCH($C74,BAZA_EX,0)),"")</f>
        <v/>
      </c>
      <c r="P74" s="5" t="str">
        <f t="array" ref="P74">IFERROR(INDEX(BAZA_SKOK,MATCH($C74,BAZA_EX,0)),"")</f>
        <v/>
      </c>
      <c r="Q74" s="5" t="str">
        <f t="array" ref="Q74">IFERROR(INDEX(BAZA_PROG,MATCH($C74,BAZA_EX,0)),"")</f>
        <v/>
      </c>
      <c r="R74" s="5" t="str">
        <f>IF($C74="","",IF(SUMPRODUCT((START!$B$6:$B$69=$C74)*(START!$M$6:$M$69&gt;0))=0,"",SUMPRODUCT(MAX((START!$B$6:$B$69=$C74)*START!$M$6:$M$69))))</f>
        <v/>
      </c>
      <c r="S74" s="5" t="str">
        <f t="array" ref="S74">IFERROR(INDEX(TABELE!$B$4:$J$18,MATCH($E74,TABELE!$A$4:$A$18,0),MATCH($F74,TABELE!$B$3:$J$3,0)),"")</f>
        <v/>
      </c>
      <c r="T74" s="5">
        <f t="array" ref="T74">IFERROR(IF($C74="",0,$O74*$D74*INDEX(TABELE!$B$23:$P$33,MATCH($F74,TABELE!$A$23:$A$33,0),MATCH($E74,TABELE!$B$22:$P$22,0))),0)</f>
        <v>0</v>
      </c>
      <c r="U74" s="5">
        <f t="array" ref="U74">IFERROR(IF($C74="",0,$O74*$D74*INDEX(TABELE!$B$37:$P$47,MATCH($F74,TABELE!$A$37:$A$47,0),MATCH($E74,TABELE!$B$36:$P$36,0))),0)</f>
        <v>0</v>
      </c>
      <c r="V74" s="5">
        <f t="array" ref="V74">IFERROR(IF($C74="",0,$O74*$D74*INDEX(TABELE!$B$51:$P$61,MATCH($F74,TABELE!$A$51:$A$61,0),MATCH($E74,TABELE!$B$50:$P$50,0))),0)</f>
        <v>0</v>
      </c>
      <c r="W74" s="5" t="str">
        <f t="array" ref="W74">IFERROR(INDEX(BAZA_UWAGI,MATCH($C74,BAZA_EX,0)),"")</f>
        <v/>
      </c>
      <c r="X74" s="5">
        <f t="shared" si="21"/>
        <v>3</v>
      </c>
      <c r="Y74" s="5" t="str">
        <f t="shared" si="24"/>
        <v>C</v>
      </c>
      <c r="Z74" s="5">
        <f t="shared" si="25"/>
        <v>3</v>
      </c>
      <c r="AA74" s="5" t="str">
        <f>IF($C74="","",IF(SUMPRODUCT((START!$B$6:$B$69=$C74)*(START!$M$6:$M$69&gt;0))=0,"",SUMPRODUCT(MAX((START!$B$6:$B$69=$C74)*START!$M$6:$M$69))))</f>
        <v/>
      </c>
      <c r="AB74" s="5" t="str">
        <f t="shared" si="22"/>
        <v/>
      </c>
      <c r="AC74" s="5">
        <f>MAX(0.85,MIN(1.15,1+0.05*(COUNTIF('T1'!$AB74,"za łatwe")+COUNTIF('T2'!$AB74,"za łatwe")+COUNTIF('T3'!$AB74,"za łatwe")+COUNTIF('T4'!$AB74,"za łatwe"))-0.05*(COUNTIF('T1'!$AB74,"za trudne")+COUNTIF('T2'!$AB74,"za trudne")+COUNTIF('T3'!$AB74,"za trudne")+COUNTIF('T4'!$AB74,"za trudne"))))</f>
        <v>1</v>
      </c>
      <c r="AD74" s="5">
        <f t="shared" si="23"/>
        <v>0</v>
      </c>
    </row>
    <row r="75" ht="25.5" hidden="1" customHeight="1" outlineLevel="1">
      <c r="A75" s="18" t="str">
        <f>IF('T1'!$A75="","",'T1'!$A75)</f>
        <v>C2.</v>
      </c>
      <c r="B75" s="30"/>
      <c r="C75" s="31" t="str">
        <f>IF('T1'!$C75="","",'T1'!$C75)</f>
        <v/>
      </c>
      <c r="D75" s="32">
        <v>3.0</v>
      </c>
      <c r="E75" s="39">
        <f>IF($C75="",0,MIN(15,MAX(1,IF(N($O75)&gt;=1,6,IF(N($O75)&gt;=0.75,IF(PRZEL_CZESC="część 1 (objętość)",8,6),IF(PRZEL_CZESC="część 1 (objętość)",10,8)))+1+$AD75)))</f>
        <v>0</v>
      </c>
      <c r="F75" s="33">
        <v>10.0</v>
      </c>
      <c r="G75" s="34" t="str">
        <f>IF($C75="","",IF(OR($Q75="masa ciała",$Q75="czas",$Q75="dystans",$Q75="ręczne ustawienie"),$Q75,IF($C75='T1'!$C75,IF(AND(LEFT($A75,1)&lt;&gt;"A",PRZEL_AKCESORIA="trzymaj z bloku"),IF(NOT(ISNUMBER('T4'!$G75)),'T4'!$G75,MROUND('T4'!$G75*$AC75/(MAX('T4'!$AC75,0.0001)),MAX($P75,0.5))),IF(OR($R75="",$R75=0),"— brak 1RM",MROUND($R75*$S75/100*$AC75,MAX($P75,0.5)))),IF(OR($AA75="",$AA75=0),"— ustaw ręcznie",MROUND($AA75*$S75/100*$AC75,MAX($P75,0.5))))))</f>
        <v/>
      </c>
      <c r="H75" s="35"/>
      <c r="I75" s="36" t="str">
        <f t="array" ref="I75">IFERROR(IF(IFERROR(INDEX(BAZA_FILM,MATCH($C75,BAZA_EX,0)),"")="","",HYPERLINK(IFERROR(INDEX(BAZA_FILM,MATCH($C75,BAZA_EX,0)),""),"film")),"")</f>
        <v/>
      </c>
      <c r="J75" s="37" t="str">
        <f>IF('T1'!$J75="","",'T1'!$J75)</f>
        <v/>
      </c>
      <c r="K75" s="5" t="s">
        <v>124</v>
      </c>
      <c r="L75" s="5" t="str">
        <f t="array" ref="L75">IFERROR(INDEX(BAZA_ID,MATCH($C75,BAZA_EX,0)),"")</f>
        <v/>
      </c>
      <c r="M75" s="5" t="str">
        <f t="array" ref="M75">IFERROR(INDEX(BAZA_PART,MATCH($C75,BAZA_EX,0)),"")</f>
        <v/>
      </c>
      <c r="N75" s="5" t="str">
        <f t="array" ref="N75">IFERROR(INDEX(BAZA_KAT,MATCH($C75,BAZA_EX,0)),"")</f>
        <v/>
      </c>
      <c r="O75" s="5" t="str">
        <f t="array" ref="O75">IFERROR(INDEX(BAZA_COEFF,MATCH($C75,BAZA_EX,0)),"")</f>
        <v/>
      </c>
      <c r="P75" s="5" t="str">
        <f t="array" ref="P75">IFERROR(INDEX(BAZA_SKOK,MATCH($C75,BAZA_EX,0)),"")</f>
        <v/>
      </c>
      <c r="Q75" s="5" t="str">
        <f t="array" ref="Q75">IFERROR(INDEX(BAZA_PROG,MATCH($C75,BAZA_EX,0)),"")</f>
        <v/>
      </c>
      <c r="R75" s="5" t="str">
        <f>IF($C75="","",IF(SUMPRODUCT((START!$B$6:$B$69=$C75)*(START!$M$6:$M$69&gt;0))=0,"",SUMPRODUCT(MAX((START!$B$6:$B$69=$C75)*START!$M$6:$M$69))))</f>
        <v/>
      </c>
      <c r="S75" s="5" t="str">
        <f t="array" ref="S75">IFERROR(INDEX(TABELE!$B$4:$J$18,MATCH($E75,TABELE!$A$4:$A$18,0),MATCH($F75,TABELE!$B$3:$J$3,0)),"")</f>
        <v/>
      </c>
      <c r="T75" s="5">
        <f t="array" ref="T75">IFERROR(IF($C75="",0,$O75*$D75*INDEX(TABELE!$B$23:$P$33,MATCH($F75,TABELE!$A$23:$A$33,0),MATCH($E75,TABELE!$B$22:$P$22,0))),0)</f>
        <v>0</v>
      </c>
      <c r="U75" s="5">
        <f t="array" ref="U75">IFERROR(IF($C75="",0,$O75*$D75*INDEX(TABELE!$B$37:$P$47,MATCH($F75,TABELE!$A$37:$A$47,0),MATCH($E75,TABELE!$B$36:$P$36,0))),0)</f>
        <v>0</v>
      </c>
      <c r="V75" s="5">
        <f t="array" ref="V75">IFERROR(IF($C75="",0,$O75*$D75*INDEX(TABELE!$B$51:$P$61,MATCH($F75,TABELE!$A$51:$A$61,0),MATCH($E75,TABELE!$B$50:$P$50,0))),0)</f>
        <v>0</v>
      </c>
      <c r="W75" s="5" t="str">
        <f t="array" ref="W75">IFERROR(INDEX(BAZA_UWAGI,MATCH($C75,BAZA_EX,0)),"")</f>
        <v/>
      </c>
      <c r="X75" s="5">
        <f t="shared" si="21"/>
        <v>3</v>
      </c>
      <c r="Y75" s="5" t="str">
        <f t="shared" si="24"/>
        <v>C</v>
      </c>
      <c r="Z75" s="5">
        <f t="shared" si="25"/>
        <v>3</v>
      </c>
      <c r="AA75" s="5" t="str">
        <f>IF($C75="","",IF(SUMPRODUCT((START!$B$6:$B$69=$C75)*(START!$M$6:$M$69&gt;0))=0,"",SUMPRODUCT(MAX((START!$B$6:$B$69=$C75)*START!$M$6:$M$69))))</f>
        <v/>
      </c>
      <c r="AB75" s="5" t="str">
        <f t="shared" si="22"/>
        <v/>
      </c>
      <c r="AC75" s="5">
        <f>MAX(0.85,MIN(1.15,1+0.05*(COUNTIF('T1'!$AB75,"za łatwe")+COUNTIF('T2'!$AB75,"za łatwe")+COUNTIF('T3'!$AB75,"za łatwe")+COUNTIF('T4'!$AB75,"za łatwe"))-0.05*(COUNTIF('T1'!$AB75,"za trudne")+COUNTIF('T2'!$AB75,"za trudne")+COUNTIF('T3'!$AB75,"za trudne")+COUNTIF('T4'!$AB75,"za trudne"))))</f>
        <v>1</v>
      </c>
      <c r="AD75" s="5">
        <f t="shared" si="23"/>
        <v>0</v>
      </c>
    </row>
    <row r="76" ht="25.5" hidden="1" customHeight="1" outlineLevel="1">
      <c r="A76" s="18" t="str">
        <f>IF('T1'!$A76="","",'T1'!$A76)</f>
        <v>D1.</v>
      </c>
      <c r="B76" s="30"/>
      <c r="C76" s="31" t="str">
        <f>IF('T1'!$C76="","",'T1'!$C76)</f>
        <v/>
      </c>
      <c r="D76" s="32">
        <v>3.0</v>
      </c>
      <c r="E76" s="39">
        <f>IF($C76="",0,MIN(15,MAX(1,IF(N($O76)&gt;=1,6,IF(N($O76)&gt;=0.75,IF(PRZEL_CZESC="część 1 (objętość)",8,6),IF(PRZEL_CZESC="część 1 (objętość)",10,8)))+1+$AD76)))</f>
        <v>0</v>
      </c>
      <c r="F76" s="33">
        <v>9.0</v>
      </c>
      <c r="G76" s="34" t="str">
        <f>IF($C76="","",IF(OR($Q76="masa ciała",$Q76="czas",$Q76="dystans",$Q76="ręczne ustawienie"),$Q76,IF($C76='T1'!$C76,IF(AND(LEFT($A76,1)&lt;&gt;"A",PRZEL_AKCESORIA="trzymaj z bloku"),IF(NOT(ISNUMBER('T4'!$G76)),'T4'!$G76,MROUND('T4'!$G76*$AC76/(MAX('T4'!$AC76,0.0001)),MAX($P76,0.5))),IF(OR($R76="",$R76=0),"— brak 1RM",MROUND($R76*$S76/100*$AC76,MAX($P76,0.5)))),IF(OR($AA76="",$AA76=0),"— ustaw ręcznie",MROUND($AA76*$S76/100*$AC76,MAX($P76,0.5))))))</f>
        <v/>
      </c>
      <c r="H76" s="35"/>
      <c r="I76" s="36" t="str">
        <f t="array" ref="I76">IFERROR(IF(IFERROR(INDEX(BAZA_FILM,MATCH($C76,BAZA_EX,0)),"")="","",HYPERLINK(IFERROR(INDEX(BAZA_FILM,MATCH($C76,BAZA_EX,0)),""),"film")),"")</f>
        <v/>
      </c>
      <c r="J76" s="37" t="str">
        <f>IF('T1'!$J76="","",'T1'!$J76)</f>
        <v/>
      </c>
      <c r="K76" s="5" t="s">
        <v>125</v>
      </c>
      <c r="L76" s="5" t="str">
        <f t="array" ref="L76">IFERROR(INDEX(BAZA_ID,MATCH($C76,BAZA_EX,0)),"")</f>
        <v/>
      </c>
      <c r="M76" s="5" t="str">
        <f t="array" ref="M76">IFERROR(INDEX(BAZA_PART,MATCH($C76,BAZA_EX,0)),"")</f>
        <v/>
      </c>
      <c r="N76" s="5" t="str">
        <f t="array" ref="N76">IFERROR(INDEX(BAZA_KAT,MATCH($C76,BAZA_EX,0)),"")</f>
        <v/>
      </c>
      <c r="O76" s="5" t="str">
        <f t="array" ref="O76">IFERROR(INDEX(BAZA_COEFF,MATCH($C76,BAZA_EX,0)),"")</f>
        <v/>
      </c>
      <c r="P76" s="5" t="str">
        <f t="array" ref="P76">IFERROR(INDEX(BAZA_SKOK,MATCH($C76,BAZA_EX,0)),"")</f>
        <v/>
      </c>
      <c r="Q76" s="5" t="str">
        <f t="array" ref="Q76">IFERROR(INDEX(BAZA_PROG,MATCH($C76,BAZA_EX,0)),"")</f>
        <v/>
      </c>
      <c r="R76" s="5" t="str">
        <f>IF($C76="","",IF(SUMPRODUCT((START!$B$6:$B$69=$C76)*(START!$M$6:$M$69&gt;0))=0,"",SUMPRODUCT(MAX((START!$B$6:$B$69=$C76)*START!$M$6:$M$69))))</f>
        <v/>
      </c>
      <c r="S76" s="5" t="str">
        <f t="array" ref="S76">IFERROR(INDEX(TABELE!$B$4:$J$18,MATCH($E76,TABELE!$A$4:$A$18,0),MATCH($F76,TABELE!$B$3:$J$3,0)),"")</f>
        <v/>
      </c>
      <c r="T76" s="5">
        <f t="array" ref="T76">IFERROR(IF($C76="",0,$O76*$D76*INDEX(TABELE!$B$23:$P$33,MATCH($F76,TABELE!$A$23:$A$33,0),MATCH($E76,TABELE!$B$22:$P$22,0))),0)</f>
        <v>0</v>
      </c>
      <c r="U76" s="5">
        <f t="array" ref="U76">IFERROR(IF($C76="",0,$O76*$D76*INDEX(TABELE!$B$37:$P$47,MATCH($F76,TABELE!$A$37:$A$47,0),MATCH($E76,TABELE!$B$36:$P$36,0))),0)</f>
        <v>0</v>
      </c>
      <c r="V76" s="5">
        <f t="array" ref="V76">IFERROR(IF($C76="",0,$O76*$D76*INDEX(TABELE!$B$51:$P$61,MATCH($F76,TABELE!$A$51:$A$61,0),MATCH($E76,TABELE!$B$50:$P$50,0))),0)</f>
        <v>0</v>
      </c>
      <c r="W76" s="5" t="str">
        <f t="array" ref="W76">IFERROR(INDEX(BAZA_UWAGI,MATCH($C76,BAZA_EX,0)),"")</f>
        <v/>
      </c>
      <c r="X76" s="5">
        <f t="shared" si="21"/>
        <v>4</v>
      </c>
      <c r="Y76" s="5" t="str">
        <f t="shared" si="24"/>
        <v>D</v>
      </c>
      <c r="Z76" s="5">
        <f t="shared" si="25"/>
        <v>4</v>
      </c>
      <c r="AA76" s="5" t="str">
        <f>IF($C76="","",IF(SUMPRODUCT((START!$B$6:$B$69=$C76)*(START!$M$6:$M$69&gt;0))=0,"",SUMPRODUCT(MAX((START!$B$6:$B$69=$C76)*START!$M$6:$M$69))))</f>
        <v/>
      </c>
      <c r="AB76" s="5" t="str">
        <f t="shared" si="22"/>
        <v/>
      </c>
      <c r="AC76" s="5">
        <f>MAX(0.85,MIN(1.15,1+0.05*(COUNTIF('T1'!$AB76,"za łatwe")+COUNTIF('T2'!$AB76,"za łatwe")+COUNTIF('T3'!$AB76,"za łatwe")+COUNTIF('T4'!$AB76,"za łatwe"))-0.05*(COUNTIF('T1'!$AB76,"za trudne")+COUNTIF('T2'!$AB76,"za trudne")+COUNTIF('T3'!$AB76,"za trudne")+COUNTIF('T4'!$AB76,"za trudne"))))</f>
        <v>1</v>
      </c>
      <c r="AD76" s="5">
        <f t="shared" si="23"/>
        <v>0</v>
      </c>
    </row>
    <row r="77" ht="25.5" hidden="1" customHeight="1" outlineLevel="1">
      <c r="A77" s="18" t="str">
        <f>IF('T1'!$A77="","",'T1'!$A77)</f>
        <v>D2.</v>
      </c>
      <c r="B77" s="30"/>
      <c r="C77" s="31" t="str">
        <f>IF('T1'!$C77="","",'T1'!$C77)</f>
        <v/>
      </c>
      <c r="D77" s="32">
        <v>3.0</v>
      </c>
      <c r="E77" s="39">
        <f>IF($C77="",0,MIN(15,MAX(1,IF(N($O77)&gt;=1,6,IF(N($O77)&gt;=0.75,IF(PRZEL_CZESC="część 1 (objętość)",8,6),IF(PRZEL_CZESC="część 1 (objętość)",10,8)))+1+$AD77)))</f>
        <v>0</v>
      </c>
      <c r="F77" s="33">
        <v>10.0</v>
      </c>
      <c r="G77" s="34" t="str">
        <f>IF($C77="","",IF(OR($Q77="masa ciała",$Q77="czas",$Q77="dystans",$Q77="ręczne ustawienie"),$Q77,IF($C77='T1'!$C77,IF(AND(LEFT($A77,1)&lt;&gt;"A",PRZEL_AKCESORIA="trzymaj z bloku"),IF(NOT(ISNUMBER('T4'!$G77)),'T4'!$G77,MROUND('T4'!$G77*$AC77/(MAX('T4'!$AC77,0.0001)),MAX($P77,0.5))),IF(OR($R77="",$R77=0),"— brak 1RM",MROUND($R77*$S77/100*$AC77,MAX($P77,0.5)))),IF(OR($AA77="",$AA77=0),"— ustaw ręcznie",MROUND($AA77*$S77/100*$AC77,MAX($P77,0.5))))))</f>
        <v/>
      </c>
      <c r="H77" s="35"/>
      <c r="I77" s="36" t="str">
        <f t="array" ref="I77">IFERROR(IF(IFERROR(INDEX(BAZA_FILM,MATCH($C77,BAZA_EX,0)),"")="","",HYPERLINK(IFERROR(INDEX(BAZA_FILM,MATCH($C77,BAZA_EX,0)),""),"film")),"")</f>
        <v/>
      </c>
      <c r="J77" s="37" t="str">
        <f>IF('T1'!$J77="","",'T1'!$J77)</f>
        <v/>
      </c>
      <c r="K77" s="5" t="s">
        <v>126</v>
      </c>
      <c r="L77" s="5" t="str">
        <f t="array" ref="L77">IFERROR(INDEX(BAZA_ID,MATCH($C77,BAZA_EX,0)),"")</f>
        <v/>
      </c>
      <c r="M77" s="5" t="str">
        <f t="array" ref="M77">IFERROR(INDEX(BAZA_PART,MATCH($C77,BAZA_EX,0)),"")</f>
        <v/>
      </c>
      <c r="N77" s="5" t="str">
        <f t="array" ref="N77">IFERROR(INDEX(BAZA_KAT,MATCH($C77,BAZA_EX,0)),"")</f>
        <v/>
      </c>
      <c r="O77" s="5" t="str">
        <f t="array" ref="O77">IFERROR(INDEX(BAZA_COEFF,MATCH($C77,BAZA_EX,0)),"")</f>
        <v/>
      </c>
      <c r="P77" s="5" t="str">
        <f t="array" ref="P77">IFERROR(INDEX(BAZA_SKOK,MATCH($C77,BAZA_EX,0)),"")</f>
        <v/>
      </c>
      <c r="Q77" s="5" t="str">
        <f t="array" ref="Q77">IFERROR(INDEX(BAZA_PROG,MATCH($C77,BAZA_EX,0)),"")</f>
        <v/>
      </c>
      <c r="R77" s="5" t="str">
        <f>IF($C77="","",IF(SUMPRODUCT((START!$B$6:$B$69=$C77)*(START!$M$6:$M$69&gt;0))=0,"",SUMPRODUCT(MAX((START!$B$6:$B$69=$C77)*START!$M$6:$M$69))))</f>
        <v/>
      </c>
      <c r="S77" s="5" t="str">
        <f t="array" ref="S77">IFERROR(INDEX(TABELE!$B$4:$J$18,MATCH($E77,TABELE!$A$4:$A$18,0),MATCH($F77,TABELE!$B$3:$J$3,0)),"")</f>
        <v/>
      </c>
      <c r="T77" s="5">
        <f t="array" ref="T77">IFERROR(IF($C77="",0,$O77*$D77*INDEX(TABELE!$B$23:$P$33,MATCH($F77,TABELE!$A$23:$A$33,0),MATCH($E77,TABELE!$B$22:$P$22,0))),0)</f>
        <v>0</v>
      </c>
      <c r="U77" s="5">
        <f t="array" ref="U77">IFERROR(IF($C77="",0,$O77*$D77*INDEX(TABELE!$B$37:$P$47,MATCH($F77,TABELE!$A$37:$A$47,0),MATCH($E77,TABELE!$B$36:$P$36,0))),0)</f>
        <v>0</v>
      </c>
      <c r="V77" s="5">
        <f t="array" ref="V77">IFERROR(IF($C77="",0,$O77*$D77*INDEX(TABELE!$B$51:$P$61,MATCH($F77,TABELE!$A$51:$A$61,0),MATCH($E77,TABELE!$B$50:$P$50,0))),0)</f>
        <v>0</v>
      </c>
      <c r="W77" s="5" t="str">
        <f t="array" ref="W77">IFERROR(INDEX(BAZA_UWAGI,MATCH($C77,BAZA_EX,0)),"")</f>
        <v/>
      </c>
      <c r="X77" s="5">
        <f t="shared" si="21"/>
        <v>4</v>
      </c>
      <c r="Y77" s="5" t="str">
        <f t="shared" si="24"/>
        <v>D</v>
      </c>
      <c r="Z77" s="5">
        <f t="shared" si="25"/>
        <v>4</v>
      </c>
      <c r="AA77" s="5" t="str">
        <f>IF($C77="","",IF(SUMPRODUCT((START!$B$6:$B$69=$C77)*(START!$M$6:$M$69&gt;0))=0,"",SUMPRODUCT(MAX((START!$B$6:$B$69=$C77)*START!$M$6:$M$69))))</f>
        <v/>
      </c>
      <c r="AB77" s="5" t="str">
        <f t="shared" si="22"/>
        <v/>
      </c>
      <c r="AC77" s="5">
        <f>MAX(0.85,MIN(1.15,1+0.05*(COUNTIF('T1'!$AB77,"za łatwe")+COUNTIF('T2'!$AB77,"za łatwe")+COUNTIF('T3'!$AB77,"za łatwe")+COUNTIF('T4'!$AB77,"za łatwe"))-0.05*(COUNTIF('T1'!$AB77,"za trudne")+COUNTIF('T2'!$AB77,"za trudne")+COUNTIF('T3'!$AB77,"za trudne")+COUNTIF('T4'!$AB77,"za trudne"))))</f>
        <v>1</v>
      </c>
      <c r="AD77" s="5">
        <f t="shared" si="23"/>
        <v>0</v>
      </c>
    </row>
    <row r="78" ht="25.5" hidden="1" customHeight="1" outlineLevel="1">
      <c r="A78" s="18" t="str">
        <f>IF('T1'!$A78="","",'T1'!$A78)</f>
        <v>E1.</v>
      </c>
      <c r="B78" s="30"/>
      <c r="C78" s="31" t="str">
        <f>IF('T1'!$C78="","",'T1'!$C78)</f>
        <v/>
      </c>
      <c r="D78" s="32"/>
      <c r="E78" s="39">
        <f>IF($C78="",0,MIN(15,MAX(1,IF(N($O78)&gt;=1,6,IF(N($O78)&gt;=0.75,IF(PRZEL_CZESC="część 1 (objętość)",8,6),IF(PRZEL_CZESC="część 1 (objętość)",10,8)))+1+$AD78)))</f>
        <v>0</v>
      </c>
      <c r="F78" s="33"/>
      <c r="G78" s="34" t="str">
        <f>IF($C78="","",IF(OR($Q78="masa ciała",$Q78="czas",$Q78="dystans",$Q78="ręczne ustawienie"),$Q78,IF($C78='T1'!$C78,IF(AND(LEFT($A78,1)&lt;&gt;"A",PRZEL_AKCESORIA="trzymaj z bloku"),IF(NOT(ISNUMBER('T4'!$G78)),'T4'!$G78,MROUND('T4'!$G78*$AC78/(MAX('T4'!$AC78,0.0001)),MAX($P78,0.5))),IF(OR($R78="",$R78=0),"— brak 1RM",MROUND($R78*$S78/100*$AC78,MAX($P78,0.5)))),IF(OR($AA78="",$AA78=0),"— ustaw ręcznie",MROUND($AA78*$S78/100*$AC78,MAX($P78,0.5))))))</f>
        <v/>
      </c>
      <c r="H78" s="35"/>
      <c r="I78" s="36" t="str">
        <f t="array" ref="I78">IFERROR(IF(IFERROR(INDEX(BAZA_FILM,MATCH($C78,BAZA_EX,0)),"")="","",HYPERLINK(IFERROR(INDEX(BAZA_FILM,MATCH($C78,BAZA_EX,0)),""),"film")),"")</f>
        <v/>
      </c>
      <c r="J78" s="37" t="str">
        <f>IF('T1'!$J78="","",'T1'!$J78)</f>
        <v/>
      </c>
      <c r="K78" s="5" t="s">
        <v>127</v>
      </c>
      <c r="L78" s="5" t="str">
        <f t="array" ref="L78">IFERROR(INDEX(BAZA_ID,MATCH($C78,BAZA_EX,0)),"")</f>
        <v/>
      </c>
      <c r="M78" s="5" t="str">
        <f t="array" ref="M78">IFERROR(INDEX(BAZA_PART,MATCH($C78,BAZA_EX,0)),"")</f>
        <v/>
      </c>
      <c r="N78" s="5" t="str">
        <f t="array" ref="N78">IFERROR(INDEX(BAZA_KAT,MATCH($C78,BAZA_EX,0)),"")</f>
        <v/>
      </c>
      <c r="O78" s="5" t="str">
        <f t="array" ref="O78">IFERROR(INDEX(BAZA_COEFF,MATCH($C78,BAZA_EX,0)),"")</f>
        <v/>
      </c>
      <c r="P78" s="5" t="str">
        <f t="array" ref="P78">IFERROR(INDEX(BAZA_SKOK,MATCH($C78,BAZA_EX,0)),"")</f>
        <v/>
      </c>
      <c r="Q78" s="5" t="str">
        <f t="array" ref="Q78">IFERROR(INDEX(BAZA_PROG,MATCH($C78,BAZA_EX,0)),"")</f>
        <v/>
      </c>
      <c r="R78" s="5" t="str">
        <f>IF($C78="","",IF(SUMPRODUCT((START!$B$6:$B$69=$C78)*(START!$M$6:$M$69&gt;0))=0,"",SUMPRODUCT(MAX((START!$B$6:$B$69=$C78)*START!$M$6:$M$69))))</f>
        <v/>
      </c>
      <c r="S78" s="5" t="str">
        <f t="array" ref="S78">IFERROR(INDEX(TABELE!$B$4:$J$18,MATCH($E78,TABELE!$A$4:$A$18,0),MATCH($F78,TABELE!$B$3:$J$3,0)),"")</f>
        <v/>
      </c>
      <c r="T78" s="5">
        <f t="array" ref="T78">IFERROR(IF($C78="",0,$O78*$D78*INDEX(TABELE!$B$23:$P$33,MATCH($F78,TABELE!$A$23:$A$33,0),MATCH($E78,TABELE!$B$22:$P$22,0))),0)</f>
        <v>0</v>
      </c>
      <c r="U78" s="5">
        <f t="array" ref="U78">IFERROR(IF($C78="",0,$O78*$D78*INDEX(TABELE!$B$37:$P$47,MATCH($F78,TABELE!$A$37:$A$47,0),MATCH($E78,TABELE!$B$36:$P$36,0))),0)</f>
        <v>0</v>
      </c>
      <c r="V78" s="5">
        <f t="array" ref="V78">IFERROR(IF($C78="",0,$O78*$D78*INDEX(TABELE!$B$51:$P$61,MATCH($F78,TABELE!$A$51:$A$61,0),MATCH($E78,TABELE!$B$50:$P$50,0))),0)</f>
        <v>0</v>
      </c>
      <c r="W78" s="5" t="str">
        <f t="array" ref="W78">IFERROR(INDEX(BAZA_UWAGI,MATCH($C78,BAZA_EX,0)),"")</f>
        <v/>
      </c>
      <c r="X78" s="5">
        <f t="shared" si="21"/>
        <v>5</v>
      </c>
      <c r="Y78" s="5" t="str">
        <f t="shared" si="24"/>
        <v>E</v>
      </c>
      <c r="Z78" s="5">
        <f t="shared" si="25"/>
        <v>5</v>
      </c>
      <c r="AA78" s="5" t="str">
        <f>IF($C78="","",IF(SUMPRODUCT((START!$B$6:$B$69=$C78)*(START!$M$6:$M$69&gt;0))=0,"",SUMPRODUCT(MAX((START!$B$6:$B$69=$C78)*START!$M$6:$M$69))))</f>
        <v/>
      </c>
      <c r="AB78" s="5" t="str">
        <f t="shared" si="22"/>
        <v/>
      </c>
      <c r="AC78" s="5">
        <f>MAX(0.85,MIN(1.15,1+0.05*(COUNTIF('T1'!$AB78,"za łatwe")+COUNTIF('T2'!$AB78,"za łatwe")+COUNTIF('T3'!$AB78,"za łatwe")+COUNTIF('T4'!$AB78,"za łatwe"))-0.05*(COUNTIF('T1'!$AB78,"za trudne")+COUNTIF('T2'!$AB78,"za trudne")+COUNTIF('T3'!$AB78,"za trudne")+COUNTIF('T4'!$AB78,"za trudne"))))</f>
        <v>1</v>
      </c>
      <c r="AD78" s="5">
        <f t="shared" si="23"/>
        <v>0</v>
      </c>
    </row>
    <row r="79" ht="25.5" hidden="1" customHeight="1" outlineLevel="1">
      <c r="A79" s="18" t="str">
        <f>IF('T1'!$A79="","",'T1'!$A79)</f>
        <v>E2.</v>
      </c>
      <c r="B79" s="30"/>
      <c r="C79" s="31" t="str">
        <f>IF('T1'!$C79="","",'T1'!$C79)</f>
        <v/>
      </c>
      <c r="D79" s="32"/>
      <c r="E79" s="39">
        <f>IF($C79="",0,MIN(15,MAX(1,IF(N($O79)&gt;=1,6,IF(N($O79)&gt;=0.75,IF(PRZEL_CZESC="część 1 (objętość)",8,6),IF(PRZEL_CZESC="część 1 (objętość)",10,8)))+1+$AD79)))</f>
        <v>0</v>
      </c>
      <c r="F79" s="33"/>
      <c r="G79" s="34" t="str">
        <f>IF($C79="","",IF(OR($Q79="masa ciała",$Q79="czas",$Q79="dystans",$Q79="ręczne ustawienie"),$Q79,IF($C79='T1'!$C79,IF(AND(LEFT($A79,1)&lt;&gt;"A",PRZEL_AKCESORIA="trzymaj z bloku"),IF(NOT(ISNUMBER('T4'!$G79)),'T4'!$G79,MROUND('T4'!$G79*$AC79/(MAX('T4'!$AC79,0.0001)),MAX($P79,0.5))),IF(OR($R79="",$R79=0),"— brak 1RM",MROUND($R79*$S79/100*$AC79,MAX($P79,0.5)))),IF(OR($AA79="",$AA79=0),"— ustaw ręcznie",MROUND($AA79*$S79/100*$AC79,MAX($P79,0.5))))))</f>
        <v/>
      </c>
      <c r="H79" s="35"/>
      <c r="I79" s="36" t="str">
        <f t="array" ref="I79">IFERROR(IF(IFERROR(INDEX(BAZA_FILM,MATCH($C79,BAZA_EX,0)),"")="","",HYPERLINK(IFERROR(INDEX(BAZA_FILM,MATCH($C79,BAZA_EX,0)),""),"film")),"")</f>
        <v/>
      </c>
      <c r="J79" s="37" t="str">
        <f>IF('T1'!$J79="","",'T1'!$J79)</f>
        <v/>
      </c>
      <c r="K79" s="5" t="s">
        <v>128</v>
      </c>
      <c r="L79" s="5" t="str">
        <f t="array" ref="L79">IFERROR(INDEX(BAZA_ID,MATCH($C79,BAZA_EX,0)),"")</f>
        <v/>
      </c>
      <c r="M79" s="5" t="str">
        <f t="array" ref="M79">IFERROR(INDEX(BAZA_PART,MATCH($C79,BAZA_EX,0)),"")</f>
        <v/>
      </c>
      <c r="N79" s="5" t="str">
        <f t="array" ref="N79">IFERROR(INDEX(BAZA_KAT,MATCH($C79,BAZA_EX,0)),"")</f>
        <v/>
      </c>
      <c r="O79" s="5" t="str">
        <f t="array" ref="O79">IFERROR(INDEX(BAZA_COEFF,MATCH($C79,BAZA_EX,0)),"")</f>
        <v/>
      </c>
      <c r="P79" s="5" t="str">
        <f t="array" ref="P79">IFERROR(INDEX(BAZA_SKOK,MATCH($C79,BAZA_EX,0)),"")</f>
        <v/>
      </c>
      <c r="Q79" s="5" t="str">
        <f t="array" ref="Q79">IFERROR(INDEX(BAZA_PROG,MATCH($C79,BAZA_EX,0)),"")</f>
        <v/>
      </c>
      <c r="R79" s="5" t="str">
        <f>IF($C79="","",IF(SUMPRODUCT((START!$B$6:$B$69=$C79)*(START!$M$6:$M$69&gt;0))=0,"",SUMPRODUCT(MAX((START!$B$6:$B$69=$C79)*START!$M$6:$M$69))))</f>
        <v/>
      </c>
      <c r="S79" s="5" t="str">
        <f t="array" ref="S79">IFERROR(INDEX(TABELE!$B$4:$J$18,MATCH($E79,TABELE!$A$4:$A$18,0),MATCH($F79,TABELE!$B$3:$J$3,0)),"")</f>
        <v/>
      </c>
      <c r="T79" s="5">
        <f t="array" ref="T79">IFERROR(IF($C79="",0,$O79*$D79*INDEX(TABELE!$B$23:$P$33,MATCH($F79,TABELE!$A$23:$A$33,0),MATCH($E79,TABELE!$B$22:$P$22,0))),0)</f>
        <v>0</v>
      </c>
      <c r="U79" s="5">
        <f t="array" ref="U79">IFERROR(IF($C79="",0,$O79*$D79*INDEX(TABELE!$B$37:$P$47,MATCH($F79,TABELE!$A$37:$A$47,0),MATCH($E79,TABELE!$B$36:$P$36,0))),0)</f>
        <v>0</v>
      </c>
      <c r="V79" s="5">
        <f t="array" ref="V79">IFERROR(IF($C79="",0,$O79*$D79*INDEX(TABELE!$B$51:$P$61,MATCH($F79,TABELE!$A$51:$A$61,0),MATCH($E79,TABELE!$B$50:$P$50,0))),0)</f>
        <v>0</v>
      </c>
      <c r="W79" s="5" t="str">
        <f t="array" ref="W79">IFERROR(INDEX(BAZA_UWAGI,MATCH($C79,BAZA_EX,0)),"")</f>
        <v/>
      </c>
      <c r="X79" s="5">
        <f t="shared" si="21"/>
        <v>5</v>
      </c>
      <c r="Y79" s="5" t="str">
        <f t="shared" si="24"/>
        <v>E</v>
      </c>
      <c r="Z79" s="5">
        <f t="shared" si="25"/>
        <v>5</v>
      </c>
      <c r="AA79" s="5" t="str">
        <f>IF($C79="","",IF(SUMPRODUCT((START!$B$6:$B$69=$C79)*(START!$M$6:$M$69&gt;0))=0,"",SUMPRODUCT(MAX((START!$B$6:$B$69=$C79)*START!$M$6:$M$69))))</f>
        <v/>
      </c>
      <c r="AB79" s="5" t="str">
        <f t="shared" si="22"/>
        <v/>
      </c>
      <c r="AC79" s="5">
        <f>MAX(0.85,MIN(1.15,1+0.05*(COUNTIF('T1'!$AB79,"za łatwe")+COUNTIF('T2'!$AB79,"za łatwe")+COUNTIF('T3'!$AB79,"za łatwe")+COUNTIF('T4'!$AB79,"za łatwe"))-0.05*(COUNTIF('T1'!$AB79,"za trudne")+COUNTIF('T2'!$AB79,"za trudne")+COUNTIF('T3'!$AB79,"za trudne")+COUNTIF('T4'!$AB79,"za trudne"))))</f>
        <v>1</v>
      </c>
      <c r="AD79" s="5">
        <f t="shared" si="23"/>
        <v>0</v>
      </c>
    </row>
    <row r="80" ht="25.5" hidden="1" customHeight="1" outlineLevel="1">
      <c r="A80" s="18" t="str">
        <f>IF('T1'!$A80="","",'T1'!$A80)</f>
        <v/>
      </c>
      <c r="B80" s="30"/>
      <c r="C80" s="31" t="str">
        <f>IF('T1'!$C80="","",'T1'!$C80)</f>
        <v/>
      </c>
      <c r="D80" s="32"/>
      <c r="E80" s="39">
        <f>IF($C80="",0,MIN(15,MAX(1,IF(N($O80)&gt;=1,6,IF(N($O80)&gt;=0.75,IF(PRZEL_CZESC="część 1 (objętość)",8,6),IF(PRZEL_CZESC="część 1 (objętość)",10,8)))+1+$AD80)))</f>
        <v>0</v>
      </c>
      <c r="F80" s="33"/>
      <c r="G80" s="34" t="str">
        <f>IF($C80="","",IF(OR($Q80="masa ciała",$Q80="czas",$Q80="dystans",$Q80="ręczne ustawienie"),$Q80,IF($C80='T1'!$C80,IF(AND(LEFT($A80,1)&lt;&gt;"A",PRZEL_AKCESORIA="trzymaj z bloku"),IF(NOT(ISNUMBER('T4'!$G80)),'T4'!$G80,MROUND('T4'!$G80*$AC80/(MAX('T4'!$AC80,0.0001)),MAX($P80,0.5))),IF(OR($R80="",$R80=0),"— brak 1RM",MROUND($R80*$S80/100*$AC80,MAX($P80,0.5)))),IF(OR($AA80="",$AA80=0),"— ustaw ręcznie",MROUND($AA80*$S80/100*$AC80,MAX($P80,0.5))))))</f>
        <v/>
      </c>
      <c r="H80" s="35"/>
      <c r="I80" s="36" t="str">
        <f t="array" ref="I80">IFERROR(IF(IFERROR(INDEX(BAZA_FILM,MATCH($C80,BAZA_EX,0)),"")="","",HYPERLINK(IFERROR(INDEX(BAZA_FILM,MATCH($C80,BAZA_EX,0)),""),"film")),"")</f>
        <v/>
      </c>
      <c r="J80" s="37" t="str">
        <f>IF('T1'!$J80="","",'T1'!$J80)</f>
        <v/>
      </c>
      <c r="K80" s="5" t="s">
        <v>129</v>
      </c>
      <c r="L80" s="5" t="str">
        <f t="array" ref="L80">IFERROR(INDEX(BAZA_ID,MATCH($C80,BAZA_EX,0)),"")</f>
        <v/>
      </c>
      <c r="M80" s="5" t="str">
        <f t="array" ref="M80">IFERROR(INDEX(BAZA_PART,MATCH($C80,BAZA_EX,0)),"")</f>
        <v/>
      </c>
      <c r="N80" s="5" t="str">
        <f t="array" ref="N80">IFERROR(INDEX(BAZA_KAT,MATCH($C80,BAZA_EX,0)),"")</f>
        <v/>
      </c>
      <c r="O80" s="5" t="str">
        <f t="array" ref="O80">IFERROR(INDEX(BAZA_COEFF,MATCH($C80,BAZA_EX,0)),"")</f>
        <v/>
      </c>
      <c r="P80" s="5" t="str">
        <f t="array" ref="P80">IFERROR(INDEX(BAZA_SKOK,MATCH($C80,BAZA_EX,0)),"")</f>
        <v/>
      </c>
      <c r="Q80" s="5" t="str">
        <f t="array" ref="Q80">IFERROR(INDEX(BAZA_PROG,MATCH($C80,BAZA_EX,0)),"")</f>
        <v/>
      </c>
      <c r="R80" s="5" t="str">
        <f>IF($C80="","",IF(SUMPRODUCT((START!$B$6:$B$69=$C80)*(START!$M$6:$M$69&gt;0))=0,"",SUMPRODUCT(MAX((START!$B$6:$B$69=$C80)*START!$M$6:$M$69))))</f>
        <v/>
      </c>
      <c r="S80" s="5" t="str">
        <f t="array" ref="S80">IFERROR(INDEX(TABELE!$B$4:$J$18,MATCH($E80,TABELE!$A$4:$A$18,0),MATCH($F80,TABELE!$B$3:$J$3,0)),"")</f>
        <v/>
      </c>
      <c r="T80" s="5">
        <f t="array" ref="T80">IFERROR(IF($C80="",0,$O80*$D80*INDEX(TABELE!$B$23:$P$33,MATCH($F80,TABELE!$A$23:$A$33,0),MATCH($E80,TABELE!$B$22:$P$22,0))),0)</f>
        <v>0</v>
      </c>
      <c r="U80" s="5">
        <f t="array" ref="U80">IFERROR(IF($C80="",0,$O80*$D80*INDEX(TABELE!$B$37:$P$47,MATCH($F80,TABELE!$A$37:$A$47,0),MATCH($E80,TABELE!$B$36:$P$36,0))),0)</f>
        <v>0</v>
      </c>
      <c r="V80" s="5">
        <f t="array" ref="V80">IFERROR(IF($C80="",0,$O80*$D80*INDEX(TABELE!$B$51:$P$61,MATCH($F80,TABELE!$A$51:$A$61,0),MATCH($E80,TABELE!$B$50:$P$50,0))),0)</f>
        <v>0</v>
      </c>
      <c r="W80" s="5" t="str">
        <f t="array" ref="W80">IFERROR(INDEX(BAZA_UWAGI,MATCH($C80,BAZA_EX,0)),"")</f>
        <v/>
      </c>
      <c r="X80" s="5" t="str">
        <f t="shared" si="21"/>
        <v/>
      </c>
      <c r="Y80" s="5" t="str">
        <f t="shared" si="24"/>
        <v>E</v>
      </c>
      <c r="Z80" s="5">
        <f t="shared" si="25"/>
        <v>5</v>
      </c>
      <c r="AA80" s="5" t="str">
        <f>IF($C80="","",IF(SUMPRODUCT((START!$B$6:$B$69=$C80)*(START!$M$6:$M$69&gt;0))=0,"",SUMPRODUCT(MAX((START!$B$6:$B$69=$C80)*START!$M$6:$M$69))))</f>
        <v/>
      </c>
      <c r="AB80" s="5" t="str">
        <f t="shared" si="22"/>
        <v/>
      </c>
      <c r="AC80" s="5">
        <f>MAX(0.85,MIN(1.15,1+0.05*(COUNTIF('T1'!$AB80,"za łatwe")+COUNTIF('T2'!$AB80,"za łatwe")+COUNTIF('T3'!$AB80,"za łatwe")+COUNTIF('T4'!$AB80,"za łatwe"))-0.05*(COUNTIF('T1'!$AB80,"za trudne")+COUNTIF('T2'!$AB80,"za trudne")+COUNTIF('T3'!$AB80,"za trudne")+COUNTIF('T4'!$AB80,"za trudne"))))</f>
        <v>1</v>
      </c>
      <c r="AD80" s="5">
        <f t="shared" si="23"/>
        <v>0</v>
      </c>
    </row>
    <row r="81" ht="25.5" hidden="1" customHeight="1" outlineLevel="1">
      <c r="A81" s="18" t="str">
        <f>IF('T1'!$A81="","",'T1'!$A81)</f>
        <v/>
      </c>
      <c r="B81" s="30"/>
      <c r="C81" s="31" t="str">
        <f>IF('T1'!$C81="","",'T1'!$C81)</f>
        <v/>
      </c>
      <c r="D81" s="32"/>
      <c r="E81" s="39">
        <f>IF($C81="",0,MIN(15,MAX(1,IF(N($O81)&gt;=1,6,IF(N($O81)&gt;=0.75,IF(PRZEL_CZESC="część 1 (objętość)",8,6),IF(PRZEL_CZESC="część 1 (objętość)",10,8)))+1+$AD81)))</f>
        <v>0</v>
      </c>
      <c r="F81" s="33"/>
      <c r="G81" s="34" t="str">
        <f>IF($C81="","",IF(OR($Q81="masa ciała",$Q81="czas",$Q81="dystans",$Q81="ręczne ustawienie"),$Q81,IF($C81='T1'!$C81,IF(AND(LEFT($A81,1)&lt;&gt;"A",PRZEL_AKCESORIA="trzymaj z bloku"),IF(NOT(ISNUMBER('T4'!$G81)),'T4'!$G81,MROUND('T4'!$G81*$AC81/(MAX('T4'!$AC81,0.0001)),MAX($P81,0.5))),IF(OR($R81="",$R81=0),"— brak 1RM",MROUND($R81*$S81/100*$AC81,MAX($P81,0.5)))),IF(OR($AA81="",$AA81=0),"— ustaw ręcznie",MROUND($AA81*$S81/100*$AC81,MAX($P81,0.5))))))</f>
        <v/>
      </c>
      <c r="H81" s="35"/>
      <c r="I81" s="36" t="str">
        <f t="array" ref="I81">IFERROR(IF(IFERROR(INDEX(BAZA_FILM,MATCH($C81,BAZA_EX,0)),"")="","",HYPERLINK(IFERROR(INDEX(BAZA_FILM,MATCH($C81,BAZA_EX,0)),""),"film")),"")</f>
        <v/>
      </c>
      <c r="J81" s="37" t="str">
        <f>IF('T1'!$J81="","",'T1'!$J81)</f>
        <v/>
      </c>
      <c r="K81" s="5" t="s">
        <v>130</v>
      </c>
      <c r="L81" s="5" t="str">
        <f t="array" ref="L81">IFERROR(INDEX(BAZA_ID,MATCH($C81,BAZA_EX,0)),"")</f>
        <v/>
      </c>
      <c r="M81" s="5" t="str">
        <f t="array" ref="M81">IFERROR(INDEX(BAZA_PART,MATCH($C81,BAZA_EX,0)),"")</f>
        <v/>
      </c>
      <c r="N81" s="5" t="str">
        <f t="array" ref="N81">IFERROR(INDEX(BAZA_KAT,MATCH($C81,BAZA_EX,0)),"")</f>
        <v/>
      </c>
      <c r="O81" s="5" t="str">
        <f t="array" ref="O81">IFERROR(INDEX(BAZA_COEFF,MATCH($C81,BAZA_EX,0)),"")</f>
        <v/>
      </c>
      <c r="P81" s="5" t="str">
        <f t="array" ref="P81">IFERROR(INDEX(BAZA_SKOK,MATCH($C81,BAZA_EX,0)),"")</f>
        <v/>
      </c>
      <c r="Q81" s="5" t="str">
        <f t="array" ref="Q81">IFERROR(INDEX(BAZA_PROG,MATCH($C81,BAZA_EX,0)),"")</f>
        <v/>
      </c>
      <c r="R81" s="5" t="str">
        <f>IF($C81="","",IF(SUMPRODUCT((START!$B$6:$B$69=$C81)*(START!$M$6:$M$69&gt;0))=0,"",SUMPRODUCT(MAX((START!$B$6:$B$69=$C81)*START!$M$6:$M$69))))</f>
        <v/>
      </c>
      <c r="S81" s="5" t="str">
        <f t="array" ref="S81">IFERROR(INDEX(TABELE!$B$4:$J$18,MATCH($E81,TABELE!$A$4:$A$18,0),MATCH($F81,TABELE!$B$3:$J$3,0)),"")</f>
        <v/>
      </c>
      <c r="T81" s="5">
        <f t="array" ref="T81">IFERROR(IF($C81="",0,$O81*$D81*INDEX(TABELE!$B$23:$P$33,MATCH($F81,TABELE!$A$23:$A$33,0),MATCH($E81,TABELE!$B$22:$P$22,0))),0)</f>
        <v>0</v>
      </c>
      <c r="U81" s="5">
        <f t="array" ref="U81">IFERROR(IF($C81="",0,$O81*$D81*INDEX(TABELE!$B$37:$P$47,MATCH($F81,TABELE!$A$37:$A$47,0),MATCH($E81,TABELE!$B$36:$P$36,0))),0)</f>
        <v>0</v>
      </c>
      <c r="V81" s="5">
        <f t="array" ref="V81">IFERROR(IF($C81="",0,$O81*$D81*INDEX(TABELE!$B$51:$P$61,MATCH($F81,TABELE!$A$51:$A$61,0),MATCH($E81,TABELE!$B$50:$P$50,0))),0)</f>
        <v>0</v>
      </c>
      <c r="W81" s="5" t="str">
        <f t="array" ref="W81">IFERROR(INDEX(BAZA_UWAGI,MATCH($C81,BAZA_EX,0)),"")</f>
        <v/>
      </c>
      <c r="X81" s="5" t="str">
        <f t="shared" si="21"/>
        <v/>
      </c>
      <c r="Y81" s="5" t="str">
        <f t="shared" si="24"/>
        <v>E</v>
      </c>
      <c r="Z81" s="5">
        <f t="shared" si="25"/>
        <v>5</v>
      </c>
      <c r="AA81" s="5" t="str">
        <f>IF($C81="","",IF(SUMPRODUCT((START!$B$6:$B$69=$C81)*(START!$M$6:$M$69&gt;0))=0,"",SUMPRODUCT(MAX((START!$B$6:$B$69=$C81)*START!$M$6:$M$69))))</f>
        <v/>
      </c>
      <c r="AB81" s="5" t="str">
        <f t="shared" si="22"/>
        <v/>
      </c>
      <c r="AC81" s="5">
        <f>MAX(0.85,MIN(1.15,1+0.05*(COUNTIF('T1'!$AB81,"za łatwe")+COUNTIF('T2'!$AB81,"za łatwe")+COUNTIF('T3'!$AB81,"za łatwe")+COUNTIF('T4'!$AB81,"za łatwe"))-0.05*(COUNTIF('T1'!$AB81,"za trudne")+COUNTIF('T2'!$AB81,"za trudne")+COUNTIF('T3'!$AB81,"za trudne")+COUNTIF('T4'!$AB81,"za trudne"))))</f>
        <v>1</v>
      </c>
      <c r="AD81" s="5">
        <f t="shared" si="23"/>
        <v>0</v>
      </c>
    </row>
    <row r="82" ht="25.5" hidden="1" customHeight="1" outlineLevel="1">
      <c r="A82" s="18" t="str">
        <f>IF('T1'!$A82="","",'T1'!$A82)</f>
        <v/>
      </c>
      <c r="B82" s="30"/>
      <c r="C82" s="31" t="str">
        <f>IF('T1'!$C82="","",'T1'!$C82)</f>
        <v/>
      </c>
      <c r="D82" s="32"/>
      <c r="E82" s="39">
        <f>IF($C82="",0,MIN(15,MAX(1,IF(N($O82)&gt;=1,6,IF(N($O82)&gt;=0.75,IF(PRZEL_CZESC="część 1 (objętość)",8,6),IF(PRZEL_CZESC="część 1 (objętość)",10,8)))+1+$AD82)))</f>
        <v>0</v>
      </c>
      <c r="F82" s="33"/>
      <c r="G82" s="34" t="str">
        <f>IF($C82="","",IF(OR($Q82="masa ciała",$Q82="czas",$Q82="dystans",$Q82="ręczne ustawienie"),$Q82,IF($C82='T1'!$C82,IF(AND(LEFT($A82,1)&lt;&gt;"A",PRZEL_AKCESORIA="trzymaj z bloku"),IF(NOT(ISNUMBER('T4'!$G82)),'T4'!$G82,MROUND('T4'!$G82*$AC82/(MAX('T4'!$AC82,0.0001)),MAX($P82,0.5))),IF(OR($R82="",$R82=0),"— brak 1RM",MROUND($R82*$S82/100*$AC82,MAX($P82,0.5)))),IF(OR($AA82="",$AA82=0),"— ustaw ręcznie",MROUND($AA82*$S82/100*$AC82,MAX($P82,0.5))))))</f>
        <v/>
      </c>
      <c r="H82" s="35"/>
      <c r="I82" s="36" t="str">
        <f t="array" ref="I82">IFERROR(IF(IFERROR(INDEX(BAZA_FILM,MATCH($C82,BAZA_EX,0)),"")="","",HYPERLINK(IFERROR(INDEX(BAZA_FILM,MATCH($C82,BAZA_EX,0)),""),"film")),"")</f>
        <v/>
      </c>
      <c r="J82" s="37" t="str">
        <f>IF('T1'!$J82="","",'T1'!$J82)</f>
        <v/>
      </c>
      <c r="K82" s="5" t="s">
        <v>131</v>
      </c>
      <c r="L82" s="5" t="str">
        <f t="array" ref="L82">IFERROR(INDEX(BAZA_ID,MATCH($C82,BAZA_EX,0)),"")</f>
        <v/>
      </c>
      <c r="M82" s="5" t="str">
        <f t="array" ref="M82">IFERROR(INDEX(BAZA_PART,MATCH($C82,BAZA_EX,0)),"")</f>
        <v/>
      </c>
      <c r="N82" s="5" t="str">
        <f t="array" ref="N82">IFERROR(INDEX(BAZA_KAT,MATCH($C82,BAZA_EX,0)),"")</f>
        <v/>
      </c>
      <c r="O82" s="5" t="str">
        <f t="array" ref="O82">IFERROR(INDEX(BAZA_COEFF,MATCH($C82,BAZA_EX,0)),"")</f>
        <v/>
      </c>
      <c r="P82" s="5" t="str">
        <f t="array" ref="P82">IFERROR(INDEX(BAZA_SKOK,MATCH($C82,BAZA_EX,0)),"")</f>
        <v/>
      </c>
      <c r="Q82" s="5" t="str">
        <f t="array" ref="Q82">IFERROR(INDEX(BAZA_PROG,MATCH($C82,BAZA_EX,0)),"")</f>
        <v/>
      </c>
      <c r="R82" s="5" t="str">
        <f>IF($C82="","",IF(SUMPRODUCT((START!$B$6:$B$69=$C82)*(START!$M$6:$M$69&gt;0))=0,"",SUMPRODUCT(MAX((START!$B$6:$B$69=$C82)*START!$M$6:$M$69))))</f>
        <v/>
      </c>
      <c r="S82" s="5" t="str">
        <f t="array" ref="S82">IFERROR(INDEX(TABELE!$B$4:$J$18,MATCH($E82,TABELE!$A$4:$A$18,0),MATCH($F82,TABELE!$B$3:$J$3,0)),"")</f>
        <v/>
      </c>
      <c r="T82" s="5">
        <f t="array" ref="T82">IFERROR(IF($C82="",0,$O82*$D82*INDEX(TABELE!$B$23:$P$33,MATCH($F82,TABELE!$A$23:$A$33,0),MATCH($E82,TABELE!$B$22:$P$22,0))),0)</f>
        <v>0</v>
      </c>
      <c r="U82" s="5">
        <f t="array" ref="U82">IFERROR(IF($C82="",0,$O82*$D82*INDEX(TABELE!$B$37:$P$47,MATCH($F82,TABELE!$A$37:$A$47,0),MATCH($E82,TABELE!$B$36:$P$36,0))),0)</f>
        <v>0</v>
      </c>
      <c r="V82" s="5">
        <f t="array" ref="V82">IFERROR(IF($C82="",0,$O82*$D82*INDEX(TABELE!$B$51:$P$61,MATCH($F82,TABELE!$A$51:$A$61,0),MATCH($E82,TABELE!$B$50:$P$50,0))),0)</f>
        <v>0</v>
      </c>
      <c r="W82" s="5" t="str">
        <f t="array" ref="W82">IFERROR(INDEX(BAZA_UWAGI,MATCH($C82,BAZA_EX,0)),"")</f>
        <v/>
      </c>
      <c r="X82" s="5" t="str">
        <f t="shared" si="21"/>
        <v/>
      </c>
      <c r="Y82" s="5" t="str">
        <f t="shared" si="24"/>
        <v>E</v>
      </c>
      <c r="Z82" s="5">
        <f t="shared" si="25"/>
        <v>5</v>
      </c>
      <c r="AA82" s="5" t="str">
        <f>IF($C82="","",IF(SUMPRODUCT((START!$B$6:$B$69=$C82)*(START!$M$6:$M$69&gt;0))=0,"",SUMPRODUCT(MAX((START!$B$6:$B$69=$C82)*START!$M$6:$M$69))))</f>
        <v/>
      </c>
      <c r="AB82" s="5" t="str">
        <f t="shared" si="22"/>
        <v/>
      </c>
      <c r="AC82" s="5">
        <f>MAX(0.85,MIN(1.15,1+0.05*(COUNTIF('T1'!$AB82,"za łatwe")+COUNTIF('T2'!$AB82,"za łatwe")+COUNTIF('T3'!$AB82,"za łatwe")+COUNTIF('T4'!$AB82,"za łatwe"))-0.05*(COUNTIF('T1'!$AB82,"za trudne")+COUNTIF('T2'!$AB82,"za trudne")+COUNTIF('T3'!$AB82,"za trudne")+COUNTIF('T4'!$AB82,"za trudne"))))</f>
        <v>1</v>
      </c>
      <c r="AD82" s="5">
        <f t="shared" si="23"/>
        <v>0</v>
      </c>
    </row>
    <row r="83" ht="19.5" hidden="1" customHeight="1" outlineLevel="1">
      <c r="A83" s="43"/>
      <c r="B83" s="43"/>
      <c r="C83" s="44" t="s">
        <v>139</v>
      </c>
      <c r="D83" s="45">
        <f>SUMPRODUCT((C71:C82&lt;&gt;"")*D71:D82)+IF(AND($B$70="TOP SET",$C$70&lt;&gt;""),1,0)</f>
      </c>
      <c r="E83" s="46" t="str">
        <f>SUMPRODUCT((C71:C82&lt;&gt;"")*D71:D82*E71:E82)&amp;" powt."</f>
        <v>0 powt.</v>
      </c>
      <c r="F83" s="43"/>
      <c r="G83" s="47" t="str">
        <f>"stres t "&amp;TEXT(SUM(T71:T82),"0.0")</f>
        <v>stres t 0,0</v>
      </c>
      <c r="H83" s="48"/>
      <c r="I83" s="43"/>
      <c r="J83" s="43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21.75" customHeight="1">
      <c r="A85" s="49" t="s">
        <v>893</v>
      </c>
      <c r="B85" s="3"/>
      <c r="C85" s="3"/>
      <c r="D85" s="3"/>
      <c r="E85" s="3"/>
      <c r="F85" s="3"/>
      <c r="G85" s="3"/>
      <c r="H85" s="3"/>
      <c r="I85" s="3"/>
      <c r="J85" s="4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8.0" customHeight="1">
      <c r="A86" s="50"/>
      <c r="B86" s="51" t="s">
        <v>141</v>
      </c>
      <c r="C86" s="50"/>
      <c r="D86" s="51" t="s">
        <v>142</v>
      </c>
      <c r="E86" s="51" t="s">
        <v>143</v>
      </c>
      <c r="F86" s="51" t="s">
        <v>144</v>
      </c>
      <c r="G86" s="51" t="s">
        <v>145</v>
      </c>
      <c r="H86" s="51" t="s">
        <v>146</v>
      </c>
      <c r="I86" s="51" t="s">
        <v>147</v>
      </c>
      <c r="J86" s="50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9.5" customHeight="1">
      <c r="A87" s="52"/>
      <c r="B87" s="20" t="s">
        <v>148</v>
      </c>
      <c r="C87" s="53" t="str">
        <f t="shared" ref="C87:C91" si="26">IF(MAX($D$87:$D$91)=0,"",REPT("█",ROUND($D87/MAX($D$87:$D$91)*14,0))&amp;REPT("░",14-ROUND($D87/MAX($D$87:$D$91)*14,0)))</f>
        <v>░░░░░░░░░░░░░░</v>
      </c>
      <c r="D87" s="54">
        <f>SUMIF(M7:M18,$K87,T7:T18)+SUMIF(M23:M34,$K87,T23:T34)+SUMIF(M39:M50,$K87,T39:T50)+SUMIF(M55:M66,$K87,T55:T66)+SUMIF(M71:M82,$K87,T71:T82)</f>
        <v>0</v>
      </c>
      <c r="E87" s="55" t="str">
        <f t="shared" ref="E87:E91" si="27">IF(SUM($D$87:$D$91)=0,"",TEXT($D87/SUM($D$87:$D$91),"0%"))</f>
        <v>0%</v>
      </c>
      <c r="F87" s="33">
        <f>SUMIF(M7:M18,$K87,U7:U18)+SUMIF(M23:M34,$K87,U23:U34)+SUMIF(M39:M50,$K87,U39:U50)+SUMIF(M55:M66,$K87,U55:U66)+SUMIF(M71:M82,$K87,U71:U82)</f>
        <v>0</v>
      </c>
      <c r="G87" s="33">
        <f>SUMIF(M7:M18,$K87,V7:V18)+SUMIF(M23:M34,$K87,V23:V34)+SUMIF(M39:M50,$K87,V39:V50)+SUMIF(M55:M66,$K87,V55:V66)+SUMIF(M71:M82,$K87,V71:V82)</f>
        <v>0</v>
      </c>
      <c r="H87" s="56">
        <f t="shared" ref="H87:H91" si="28">SUMIF($M$7:$M$18,$K87,$D$7:$D$18)+SUMIF($M$23:$M$34,$K87,$D$23:$D$34)+SUMIF($M$39:$M$50,$K87,$D$39:$D$50)+SUMIF($M$55:$M$66,$K87,$D$55:$D$66)+SUMIF($M$71:$M$82,$K87,$D$71:$D$82)</f>
        <v>0</v>
      </c>
      <c r="I87" s="56">
        <f t="shared" ref="I87:I91" si="29">SUMPRODUCT(($M$7:$M$18=$K87)*$D$7:$D$18*$E$7:$E$18)+SUMPRODUCT(($M$23:$M$34=$K87)*$D$23:$D$34*$E$23:$E$34)+SUMPRODUCT(($M$39:$M$50=$K87)*$D$39:$D$50*$E$39:$E$50)+SUMPRODUCT(($M$55:$M$66=$K87)*$D$55:$D$66*$E$55:$E$66)+SUMPRODUCT(($M$71:$M$82=$K87)*$D$71:$D$82*$E$71:$E$82)</f>
        <v>0</v>
      </c>
      <c r="J87" s="52"/>
      <c r="K87" s="5" t="s">
        <v>149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9.5" customHeight="1">
      <c r="A88" s="52"/>
      <c r="B88" s="20" t="s">
        <v>150</v>
      </c>
      <c r="C88" s="53" t="str">
        <f t="shared" si="26"/>
        <v>░░░░░░░░░░░░░░</v>
      </c>
      <c r="D88" s="54">
        <f>SUMIF(M7:M18,$K88,T7:T18)+SUMIF(M23:M34,$K88,T23:T34)+SUMIF(M39:M50,$K88,T39:T50)+SUMIF(M55:M66,$K88,T55:T66)+SUMIF(M71:M82,$K88,T71:T82)</f>
        <v>0</v>
      </c>
      <c r="E88" s="55" t="str">
        <f t="shared" si="27"/>
        <v>0%</v>
      </c>
      <c r="F88" s="33">
        <f>SUMIF(M7:M18,$K88,U7:U18)+SUMIF(M23:M34,$K88,U23:U34)+SUMIF(M39:M50,$K88,U39:U50)+SUMIF(M55:M66,$K88,U55:U66)+SUMIF(M71:M82,$K88,U71:U82)</f>
        <v>0</v>
      </c>
      <c r="G88" s="33">
        <f>SUMIF(M7:M18,$K88,V7:V18)+SUMIF(M23:M34,$K88,V23:V34)+SUMIF(M39:M50,$K88,V39:V50)+SUMIF(M55:M66,$K88,V55:V66)+SUMIF(M71:M82,$K88,V71:V82)</f>
        <v>0</v>
      </c>
      <c r="H88" s="56">
        <f t="shared" si="28"/>
        <v>0</v>
      </c>
      <c r="I88" s="56">
        <f t="shared" si="29"/>
        <v>0</v>
      </c>
      <c r="J88" s="52"/>
      <c r="K88" s="5" t="s">
        <v>151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9.5" customHeight="1">
      <c r="A89" s="52"/>
      <c r="B89" s="20" t="s">
        <v>152</v>
      </c>
      <c r="C89" s="53" t="str">
        <f t="shared" si="26"/>
        <v>░░░░░░░░░░░░░░</v>
      </c>
      <c r="D89" s="54">
        <f>SUMIF(M7:M18,$K89,T7:T18)+SUMIF(M23:M34,$K89,T23:T34)+SUMIF(M39:M50,$K89,T39:T50)+SUMIF(M55:M66,$K89,T55:T66)+SUMIF(M71:M82,$K89,T71:T82)</f>
        <v>0</v>
      </c>
      <c r="E89" s="55" t="str">
        <f t="shared" si="27"/>
        <v>0%</v>
      </c>
      <c r="F89" s="33">
        <f>SUMIF(M7:M18,$K89,U7:U18)+SUMIF(M23:M34,$K89,U23:U34)+SUMIF(M39:M50,$K89,U39:U50)+SUMIF(M55:M66,$K89,U55:U66)+SUMIF(M71:M82,$K89,U71:U82)</f>
        <v>0</v>
      </c>
      <c r="G89" s="33">
        <f>SUMIF(M7:M18,$K89,V7:V18)+SUMIF(M23:M34,$K89,V23:V34)+SUMIF(M39:M50,$K89,V39:V50)+SUMIF(M55:M66,$K89,V55:V66)+SUMIF(M71:M82,$K89,V71:V82)</f>
        <v>0</v>
      </c>
      <c r="H89" s="56">
        <f t="shared" si="28"/>
        <v>0</v>
      </c>
      <c r="I89" s="56">
        <f t="shared" si="29"/>
        <v>0</v>
      </c>
      <c r="J89" s="52"/>
      <c r="K89" s="5" t="s">
        <v>153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9.5" customHeight="1">
      <c r="A90" s="52"/>
      <c r="B90" s="20" t="s">
        <v>154</v>
      </c>
      <c r="C90" s="53" t="str">
        <f t="shared" si="26"/>
        <v>░░░░░░░░░░░░░░</v>
      </c>
      <c r="D90" s="54">
        <f>SUMIF(M7:M18,$K90,T7:T18)+SUMIF(M23:M34,$K90,T23:T34)+SUMIF(M39:M50,$K90,T39:T50)+SUMIF(M55:M66,$K90,T55:T66)+SUMIF(M71:M82,$K90,T71:T82)</f>
        <v>0</v>
      </c>
      <c r="E90" s="55" t="str">
        <f t="shared" si="27"/>
        <v>0%</v>
      </c>
      <c r="F90" s="33">
        <f>SUMIF(M7:M18,$K90,U7:U18)+SUMIF(M23:M34,$K90,U23:U34)+SUMIF(M39:M50,$K90,U39:U50)+SUMIF(M55:M66,$K90,U55:U66)+SUMIF(M71:M82,$K90,U71:U82)</f>
        <v>0</v>
      </c>
      <c r="G90" s="33">
        <f>SUMIF(M7:M18,$K90,V7:V18)+SUMIF(M23:M34,$K90,V23:V34)+SUMIF(M39:M50,$K90,V39:V50)+SUMIF(M55:M66,$K90,V55:V66)+SUMIF(M71:M82,$K90,V71:V82)</f>
        <v>0</v>
      </c>
      <c r="H90" s="56">
        <f t="shared" si="28"/>
        <v>0</v>
      </c>
      <c r="I90" s="56">
        <f t="shared" si="29"/>
        <v>0</v>
      </c>
      <c r="J90" s="52"/>
      <c r="K90" s="5" t="s">
        <v>155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9.5" customHeight="1">
      <c r="A91" s="52"/>
      <c r="B91" s="20" t="s">
        <v>156</v>
      </c>
      <c r="C91" s="53" t="str">
        <f t="shared" si="26"/>
        <v>██████████████</v>
      </c>
      <c r="D91" s="54">
        <f>SUMIF(M7:M18,$K91,T7:T18)+SUMIF(M23:M34,$K91,T23:T34)+SUMIF(M39:M50,$K91,T39:T50)+SUMIF(M55:M66,$K91,T55:T66)+SUMIF(M71:M82,$K91,T71:T82)</f>
        <v>1.35</v>
      </c>
      <c r="E91" s="55" t="str">
        <f t="shared" si="27"/>
        <v>100%</v>
      </c>
      <c r="F91" s="33">
        <f>SUMIF(M7:M18,$K91,U7:U18)+SUMIF(M23:M34,$K91,U23:U34)+SUMIF(M39:M50,$K91,U39:U50)+SUMIF(M55:M66,$K91,U55:U66)+SUMIF(M71:M82,$K91,U71:U82)</f>
        <v>0.6</v>
      </c>
      <c r="G91" s="33">
        <f>SUMIF(M7:M18,$K91,V7:V18)+SUMIF(M23:M34,$K91,V23:V34)+SUMIF(M39:M50,$K91,V39:V50)+SUMIF(M55:M66,$K91,V55:V66)+SUMIF(M71:M82,$K91,V71:V82)</f>
        <v>2.1</v>
      </c>
      <c r="H91" s="56">
        <f t="shared" si="28"/>
        <v>3</v>
      </c>
      <c r="I91" s="56">
        <f t="shared" si="29"/>
        <v>33</v>
      </c>
      <c r="J91" s="52"/>
      <c r="K91" s="5" t="s">
        <v>157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2"/>
      <c r="B92" s="57" t="s">
        <v>158</v>
      </c>
      <c r="C92" s="52"/>
      <c r="D92" s="58">
        <f>$D$87+$D$88</f>
        <v>0</v>
      </c>
      <c r="E92" s="18" t="str">
        <f t="shared" ref="E92:E93" si="30">IF(($D92+$N92)=0,"",TEXT($D92/($D92+$N92),"0%")&amp;" / "&amp;TEXT($N92/($D92+$N92),"0%"))</f>
        <v/>
      </c>
      <c r="F92" s="52"/>
      <c r="G92" s="52"/>
      <c r="H92" s="52"/>
      <c r="I92" s="52"/>
      <c r="J92" s="52"/>
      <c r="K92" s="5"/>
      <c r="L92" s="5"/>
      <c r="M92" s="5"/>
      <c r="N92" s="59">
        <f>$D$89+$D$90</f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2"/>
      <c r="B93" s="57" t="s">
        <v>159</v>
      </c>
      <c r="C93" s="52"/>
      <c r="D93" s="58">
        <f>SUM($F$87:$F$91)</f>
        <v>0.6</v>
      </c>
      <c r="E93" s="18" t="str">
        <f t="shared" si="30"/>
        <v>22% / 78%</v>
      </c>
      <c r="F93" s="52"/>
      <c r="G93" s="52"/>
      <c r="H93" s="52"/>
      <c r="I93" s="52"/>
      <c r="J93" s="52"/>
      <c r="K93" s="5"/>
      <c r="L93" s="5"/>
      <c r="M93" s="5"/>
      <c r="N93" s="59">
        <f>SUM($G$87:$G$91)</f>
        <v>2.1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21.75" customHeight="1">
      <c r="A94" s="29"/>
      <c r="B94" s="60" t="s">
        <v>160</v>
      </c>
      <c r="C94" s="29"/>
      <c r="D94" s="61">
        <f>SUM($D$87:$D$91)</f>
        <v>1.35</v>
      </c>
      <c r="E94" s="29"/>
      <c r="F94" s="29"/>
      <c r="G94" s="29"/>
      <c r="H94" s="62">
        <f>SUM($H$87:$H$91)</f>
        <v>3</v>
      </c>
      <c r="I94" s="62">
        <f>SUM($I$87:$I$91)</f>
        <v>33</v>
      </c>
      <c r="J94" s="29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21.75" hidden="1" customHeight="1" outlineLevel="1">
      <c r="A96" s="49" t="s">
        <v>894</v>
      </c>
      <c r="B96" s="3"/>
      <c r="C96" s="3"/>
      <c r="D96" s="3"/>
      <c r="E96" s="3"/>
      <c r="F96" s="3"/>
      <c r="G96" s="3"/>
      <c r="H96" s="3"/>
      <c r="I96" s="3"/>
      <c r="J96" s="4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25.5" hidden="1" customHeight="1" outlineLevel="1">
      <c r="A97" s="5"/>
      <c r="B97" s="10" t="s">
        <v>162</v>
      </c>
      <c r="C97" s="63" t="str">
        <f>IF(ODDECH!$B$5="","— wpisz wynik TWOT w zakładce ODDECH",ODDECH!$B$8)</f>
        <v>— wpisz wynik TWOT w zakładce ODDECH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25.5" hidden="1" customHeight="1" outlineLevel="1">
      <c r="A98" s="5"/>
      <c r="B98" s="10" t="s">
        <v>163</v>
      </c>
      <c r="C98" s="63" t="str">
        <f>IF(ODDECH!$B$5="","",ODDECH!$B$9)</f>
        <v/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25.5" hidden="1" customHeight="1" outlineLevel="1">
      <c r="A99" s="5"/>
      <c r="B99" s="10" t="s">
        <v>164</v>
      </c>
      <c r="C99" s="63" t="str">
        <f>IF(ODDECH!$B$5="","",ODDECH!$B$10)</f>
        <v/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25.5" hidden="1" customHeight="1" outlineLevel="1">
      <c r="A100" s="5"/>
      <c r="B100" s="10" t="s">
        <v>165</v>
      </c>
      <c r="C100" s="63" t="str">
        <f>IF(ODDECH!$B$5="","",ODDECH!$B$11)</f>
        <v/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25.5" hidden="1" customHeight="1" outlineLevel="1">
      <c r="A101" s="5"/>
      <c r="B101" s="10" t="s">
        <v>166</v>
      </c>
      <c r="C101" s="63" t="str">
        <f>IF(ODDECH!$B$5="","",ODDECH!$B$12)</f>
        <v/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33.75" hidden="1" customHeight="1" outlineLevel="1">
      <c r="A102" s="5"/>
      <c r="B102" s="10" t="s">
        <v>167</v>
      </c>
      <c r="C102" s="63" t="str">
        <f>IF(ODDECH!$B$5="","",ODDECH!$A$14)</f>
        <v/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21.75" hidden="1" customHeight="1" outlineLevel="1">
      <c r="A104" s="49" t="s">
        <v>895</v>
      </c>
      <c r="B104" s="3"/>
      <c r="C104" s="3"/>
      <c r="D104" s="3"/>
      <c r="E104" s="3"/>
      <c r="F104" s="3"/>
      <c r="G104" s="3"/>
      <c r="H104" s="3"/>
      <c r="I104" s="3"/>
      <c r="J104" s="4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25.5" hidden="1" customHeight="1" outlineLevel="1">
      <c r="A105" s="5"/>
      <c r="B105" s="10" t="s">
        <v>169</v>
      </c>
      <c r="C105" s="63" t="str">
        <f>IF(OR(BIEG!$B$7="",BIEG!$B$8=""),"— uzupełnij dane w zakładce BIEG","łącznie "&amp;TEXT(SUM(BIEG!$O$52:$O$56),"0.0")&amp;" km  ·  "&amp;SUM(BIEG!$N$52:$N$56)&amp;" min")</f>
        <v>— uzupełnij dane w zakładce BIEG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25.5" hidden="1" customHeight="1" outlineLevel="1">
      <c r="A106" s="5"/>
      <c r="B106" s="10" t="str">
        <f>IF(N(BIEG!$B$9)&gt;=1,"jednostka 1","")</f>
        <v/>
      </c>
      <c r="C106" s="63" t="str">
        <f>IF(OR(BIEG!$B$7="",BIEG!$B$8=""),"",BIEG!$I$52)</f>
        <v/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25.5" hidden="1" customHeight="1" outlineLevel="1">
      <c r="A107" s="5"/>
      <c r="B107" s="10" t="str">
        <f>IF(N(BIEG!$B$9)&gt;=2,"jednostka 2","")</f>
        <v/>
      </c>
      <c r="C107" s="63" t="str">
        <f>IF(OR(BIEG!$B$7="",BIEG!$B$8=""),"",BIEG!$I$53)</f>
        <v/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25.5" hidden="1" customHeight="1" outlineLevel="1">
      <c r="A108" s="5"/>
      <c r="B108" s="10" t="str">
        <f>IF(N(BIEG!$B$9)&gt;=3,"jednostka 3","")</f>
        <v/>
      </c>
      <c r="C108" s="63" t="str">
        <f>IF(OR(BIEG!$B$7="",BIEG!$B$8=""),"",BIEG!$I$54)</f>
        <v/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25.5" hidden="1" customHeight="1" outlineLevel="1">
      <c r="A109" s="5"/>
      <c r="B109" s="10" t="str">
        <f>IF(N(BIEG!$B$9)&gt;=4,"jednostka 4","")</f>
        <v/>
      </c>
      <c r="C109" s="63" t="str">
        <f>IF(OR(BIEG!$B$7="",BIEG!$B$8=""),"",BIEG!$I$55)</f>
        <v/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25.5" hidden="1" customHeight="1" outlineLevel="1">
      <c r="A110" s="5"/>
      <c r="B110" s="10" t="str">
        <f>IF(N(BIEG!$B$9)&gt;=5,"jednostka 5","")</f>
        <v/>
      </c>
      <c r="C110" s="63" t="str">
        <f>IF(OR(BIEG!$B$7="",BIEG!$B$8=""),"",BIEG!$I$56)</f>
        <v/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J1"/>
    <mergeCell ref="A5:J5"/>
    <mergeCell ref="A21:J21"/>
    <mergeCell ref="A37:J37"/>
    <mergeCell ref="A53:J53"/>
    <mergeCell ref="A69:J69"/>
    <mergeCell ref="A85:J85"/>
    <mergeCell ref="A104:J104"/>
    <mergeCell ref="C105:J105"/>
    <mergeCell ref="C106:J106"/>
    <mergeCell ref="C107:J107"/>
    <mergeCell ref="C108:J108"/>
    <mergeCell ref="C109:J109"/>
    <mergeCell ref="C110:J110"/>
    <mergeCell ref="A96:J96"/>
    <mergeCell ref="C97:J97"/>
    <mergeCell ref="C98:J98"/>
    <mergeCell ref="C99:J99"/>
    <mergeCell ref="C100:J100"/>
    <mergeCell ref="C101:J101"/>
    <mergeCell ref="C102:J102"/>
  </mergeCells>
  <conditionalFormatting sqref="A7:J18">
    <cfRule type="expression" dxfId="2" priority="1">
      <formula>AND($A7&lt;&gt;"",N($X7)&lt;&gt;N($X6))</formula>
    </cfRule>
  </conditionalFormatting>
  <conditionalFormatting sqref="A7:J18">
    <cfRule type="expression" dxfId="3" priority="2">
      <formula>AND($A7&lt;&gt;"",MOD(N($X7),2)=0)</formula>
    </cfRule>
  </conditionalFormatting>
  <conditionalFormatting sqref="C7:C18">
    <cfRule type="expression" dxfId="4" priority="3">
      <formula>AND($C7&lt;&gt;"",$J7&lt;&gt;"",$N7&lt;&gt;$J7)</formula>
    </cfRule>
  </conditionalFormatting>
  <conditionalFormatting sqref="A23:J34">
    <cfRule type="expression" dxfId="2" priority="4">
      <formula>AND($A23&lt;&gt;"",N($X23)&lt;&gt;N($X22))</formula>
    </cfRule>
  </conditionalFormatting>
  <conditionalFormatting sqref="A23:J34">
    <cfRule type="expression" dxfId="3" priority="5">
      <formula>AND($A23&lt;&gt;"",MOD(N($X23),2)=0)</formula>
    </cfRule>
  </conditionalFormatting>
  <conditionalFormatting sqref="C23:C34">
    <cfRule type="expression" dxfId="4" priority="6">
      <formula>AND($C23&lt;&gt;"",$J23&lt;&gt;"",$N23&lt;&gt;$J23)</formula>
    </cfRule>
  </conditionalFormatting>
  <conditionalFormatting sqref="A39:J50">
    <cfRule type="expression" dxfId="2" priority="7">
      <formula>AND($A39&lt;&gt;"",N($X39)&lt;&gt;N($X38))</formula>
    </cfRule>
  </conditionalFormatting>
  <conditionalFormatting sqref="A39:J50">
    <cfRule type="expression" dxfId="3" priority="8">
      <formula>AND($A39&lt;&gt;"",MOD(N($X39),2)=0)</formula>
    </cfRule>
  </conditionalFormatting>
  <conditionalFormatting sqref="C39:C50">
    <cfRule type="expression" dxfId="4" priority="9">
      <formula>AND($C39&lt;&gt;"",$J39&lt;&gt;"",$N39&lt;&gt;$J39)</formula>
    </cfRule>
  </conditionalFormatting>
  <conditionalFormatting sqref="G6:G18">
    <cfRule type="expression" dxfId="0" priority="10">
      <formula>$G6="— ustaw ręcznie"</formula>
    </cfRule>
  </conditionalFormatting>
  <conditionalFormatting sqref="G22:G34">
    <cfRule type="expression" dxfId="0" priority="11">
      <formula>$G22="— ustaw ręcznie"</formula>
    </cfRule>
  </conditionalFormatting>
  <conditionalFormatting sqref="G38:G50">
    <cfRule type="expression" dxfId="0" priority="12">
      <formula>$G38="— ustaw ręcznie"</formula>
    </cfRule>
  </conditionalFormatting>
  <conditionalFormatting sqref="A55:J66">
    <cfRule type="expression" dxfId="3" priority="13">
      <formula>AND($A55&lt;&gt;"",MOD(N($X55),2)=0)</formula>
    </cfRule>
  </conditionalFormatting>
  <conditionalFormatting sqref="C55:C66">
    <cfRule type="expression" dxfId="5" priority="14">
      <formula>AND($C55&lt;&gt;"",$J55&lt;&gt;"",$N55&lt;&gt;$J55)</formula>
    </cfRule>
  </conditionalFormatting>
  <conditionalFormatting sqref="G54:G66">
    <cfRule type="expression" dxfId="0" priority="15">
      <formula>$G54="— ustaw ręcznie"</formula>
    </cfRule>
  </conditionalFormatting>
  <conditionalFormatting sqref="A71:J82">
    <cfRule type="expression" dxfId="3" priority="16">
      <formula>AND($A71&lt;&gt;"",MOD(N($X71),2)=0)</formula>
    </cfRule>
  </conditionalFormatting>
  <conditionalFormatting sqref="C71:C82">
    <cfRule type="expression" dxfId="5" priority="17">
      <formula>AND($C71&lt;&gt;"",$J71&lt;&gt;"",$N71&lt;&gt;$J71)</formula>
    </cfRule>
  </conditionalFormatting>
  <conditionalFormatting sqref="G70:G82">
    <cfRule type="expression" dxfId="0" priority="18">
      <formula>$G70="— ustaw ręcznie"</formula>
    </cfRule>
  </conditionalFormatting>
  <conditionalFormatting sqref="E7:E18">
    <cfRule type="expression" dxfId="6" priority="19">
      <formula>AND($C7&lt;&gt;"",N($E7)&gt;15)</formula>
    </cfRule>
  </conditionalFormatting>
  <conditionalFormatting sqref="E23:E34">
    <cfRule type="expression" dxfId="6" priority="20">
      <formula>AND($C23&lt;&gt;"",N($E23)&gt;15)</formula>
    </cfRule>
  </conditionalFormatting>
  <conditionalFormatting sqref="E39:E50">
    <cfRule type="expression" dxfId="6" priority="21">
      <formula>AND($C39&lt;&gt;"",N($E39)&gt;15)</formula>
    </cfRule>
  </conditionalFormatting>
  <conditionalFormatting sqref="E55:E66">
    <cfRule type="expression" dxfId="6" priority="22">
      <formula>AND($C55&lt;&gt;"",N($E55)&gt;15)</formula>
    </cfRule>
  </conditionalFormatting>
  <conditionalFormatting sqref="E71:E82">
    <cfRule type="expression" dxfId="6" priority="23">
      <formula>AND($C71&lt;&gt;"",N($E71)&gt;15)</formula>
    </cfRule>
  </conditionalFormatting>
  <dataValidations>
    <dataValidation type="list" allowBlank="1" sqref="C75">
      <formula1>LISTY!$C$75:$GT$75</formula1>
    </dataValidation>
    <dataValidation type="list" allowBlank="1" sqref="C41">
      <formula1>LISTY!$C$41:$GT$41</formula1>
    </dataValidation>
    <dataValidation type="list" allowBlank="1" sqref="C32">
      <formula1>LISTY!$C$32:$GT$32</formula1>
    </dataValidation>
    <dataValidation type="list" allowBlank="1" sqref="C12">
      <formula1>LISTY!$C$12:$GT$12</formula1>
    </dataValidation>
    <dataValidation type="list" allowBlank="1" sqref="C17">
      <formula1>LISTY!$C$17:$GT$17</formula1>
    </dataValidation>
    <dataValidation type="list" allowBlank="1" sqref="C61">
      <formula1>LISTY!$C$61:$GT$61</formula1>
    </dataValidation>
    <dataValidation type="list" allowBlank="1" sqref="C55">
      <formula1>LISTY!$C$55:$GT$55</formula1>
    </dataValidation>
    <dataValidation type="list" allowBlank="1" sqref="C57">
      <formula1>LISTY!$C$57:$GT$57</formula1>
    </dataValidation>
    <dataValidation type="list" allowBlank="1" sqref="C26">
      <formula1>LISTY!$C$26:$GT$26</formula1>
    </dataValidation>
    <dataValidation type="list" allowBlank="1" sqref="C23">
      <formula1>LISTY!$C$23:$GT$23</formula1>
    </dataValidation>
    <dataValidation type="list" allowBlank="1" sqref="C66">
      <formula1>LISTY!$C$66:$GT$66</formula1>
    </dataValidation>
    <dataValidation type="list" allowBlank="1" sqref="C46">
      <formula1>LISTY!$C$46:$GT$46</formula1>
    </dataValidation>
    <dataValidation type="list" allowBlank="1" sqref="C72">
      <formula1>LISTY!$C$72:$GT$72</formula1>
    </dataValidation>
    <dataValidation type="list" allowBlank="1" sqref="C34">
      <formula1>LISTY!$C$34:$GT$34</formula1>
    </dataValidation>
    <dataValidation type="list" allowBlank="1" sqref="C25">
      <formula1>LISTY!$C$25:$GT$25</formula1>
    </dataValidation>
    <dataValidation type="list" allowBlank="1" sqref="C59">
      <formula1>LISTY!$C$59:$GT$59</formula1>
    </dataValidation>
    <dataValidation type="list" allowBlank="1" sqref="C77">
      <formula1>LISTY!$C$77:$GT$77</formula1>
    </dataValidation>
    <dataValidation type="list" allowBlank="1" sqref="C43">
      <formula1>LISTY!$C$43:$GT$43</formula1>
    </dataValidation>
    <dataValidation type="list" allowBlank="1" sqref="C39">
      <formula1>LISTY!$C$39:$GT$39</formula1>
    </dataValidation>
    <dataValidation type="list" allowBlank="1" sqref="C63">
      <formula1>LISTY!$C$63:$GT$63</formula1>
    </dataValidation>
    <dataValidation type="list" allowBlank="1" sqref="C45">
      <formula1>LISTY!$C$45:$GT$45</formula1>
    </dataValidation>
    <dataValidation type="list" allowBlank="1" sqref="C40">
      <formula1>LISTY!$C$40:$GT$40</formula1>
    </dataValidation>
    <dataValidation type="list" allowBlank="1" sqref="C11">
      <formula1>LISTY!$C$11:$GT$11</formula1>
    </dataValidation>
    <dataValidation type="list" allowBlank="1" sqref="C14">
      <formula1>LISTY!$C$14:$GT$14</formula1>
    </dataValidation>
    <dataValidation type="list" allowBlank="1" sqref="C80">
      <formula1>LISTY!$C$80:$GT$80</formula1>
    </dataValidation>
    <dataValidation type="list" allowBlank="1" sqref="H6:H18 H22:H34 H38:H50 H54:H66 H70:H82">
      <formula1>"OK,za łatwe,za trudne"</formula1>
    </dataValidation>
    <dataValidation type="list" allowBlank="1" sqref="C28">
      <formula1>LISTY!$C$28:$GT$28</formula1>
    </dataValidation>
    <dataValidation type="list" allowBlank="1" sqref="C74">
      <formula1>LISTY!$C$74:$GT$74</formula1>
    </dataValidation>
    <dataValidation type="list" allowBlank="1" sqref="H19 H35 H51 H67 H83">
      <formula1>"✓ ukończony"</formula1>
    </dataValidation>
    <dataValidation type="list" allowBlank="1" sqref="C60">
      <formula1>LISTY!$C$60:$GT$60</formula1>
    </dataValidation>
    <dataValidation type="list" allowBlank="1" sqref="C48">
      <formula1>LISTY!$C$48:$GT$48</formula1>
    </dataValidation>
    <dataValidation type="list" allowBlank="1" sqref="C27">
      <formula1>LISTY!$C$27:$GT$27</formula1>
    </dataValidation>
    <dataValidation type="list" allowBlank="1" sqref="C13">
      <formula1>LISTY!$C$13:$GT$13</formula1>
    </dataValidation>
    <dataValidation type="list" allowBlank="1" sqref="C31">
      <formula1>LISTY!$C$31:$GT$31</formula1>
    </dataValidation>
    <dataValidation type="list" allowBlank="1" sqref="C47">
      <formula1>LISTY!$C$47:$GT$47</formula1>
    </dataValidation>
    <dataValidation type="list" allowBlank="1" sqref="C65">
      <formula1>LISTY!$C$65:$GT$65</formula1>
    </dataValidation>
    <dataValidation type="list" allowBlank="1" sqref="C71">
      <formula1>LISTY!$C$71:$GT$71</formula1>
    </dataValidation>
    <dataValidation type="list" allowBlank="1" sqref="C7">
      <formula1>LISTY!$C$7:$GT$7</formula1>
    </dataValidation>
    <dataValidation type="list" allowBlank="1" sqref="C33">
      <formula1>LISTY!$C$33:$GT$33</formula1>
    </dataValidation>
    <dataValidation type="list" allowBlank="1" sqref="C76">
      <formula1>LISTY!$C$76:$GT$76</formula1>
    </dataValidation>
    <dataValidation type="list" allowBlank="1" sqref="C79">
      <formula1>LISTY!$C$79:$GT$79</formula1>
    </dataValidation>
    <dataValidation type="list" allowBlank="1" sqref="C16">
      <formula1>LISTY!$C$16:$GT$16</formula1>
    </dataValidation>
    <dataValidation type="list" allowBlank="1" sqref="C42">
      <formula1>LISTY!$C$42:$GT$42</formula1>
    </dataValidation>
    <dataValidation type="list" allowBlank="1" sqref="C62">
      <formula1>LISTY!$C$62:$GT$62</formula1>
    </dataValidation>
    <dataValidation type="list" allowBlank="1" sqref="C56">
      <formula1>LISTY!$C$56:$GT$56</formula1>
    </dataValidation>
    <dataValidation type="list" allowBlank="1" sqref="C15">
      <formula1>LISTY!$C$15:$GT$15</formula1>
    </dataValidation>
    <dataValidation type="list" allowBlank="1" sqref="C10">
      <formula1>LISTY!$C$10:$GT$10</formula1>
    </dataValidation>
    <dataValidation type="list" allowBlank="1" sqref="C82">
      <formula1>LISTY!$C$82:$GT$82</formula1>
    </dataValidation>
    <dataValidation type="list" allowBlank="1" sqref="C9">
      <formula1>LISTY!$C$9:$GT$9</formula1>
    </dataValidation>
    <dataValidation type="list" allowBlank="1" sqref="C29">
      <formula1>LISTY!$C$29:$GT$29</formula1>
    </dataValidation>
    <dataValidation type="list" allowBlank="1" sqref="C73">
      <formula1>LISTY!$C$73:$GT$73</formula1>
    </dataValidation>
    <dataValidation type="list" allowBlank="1" sqref="C81">
      <formula1>LISTY!$C$81:$GT$81</formula1>
    </dataValidation>
    <dataValidation type="list" allowBlank="1" sqref="C49">
      <formula1>LISTY!$C$49:$GT$49</formula1>
    </dataValidation>
    <dataValidation type="list" allowBlank="1" sqref="C30">
      <formula1>LISTY!$C$30:$GT$30</formula1>
    </dataValidation>
    <dataValidation type="list" allowBlank="1" sqref="J7:J18 J23:J34 J39:J50 J55:J66 J71:J82">
      <formula1>"Lower push,Lower pull,Upper push horizontal,Upper push vertical,Upper pull horizontal,Upper pull vertical,Core,Bicep,Tricep"</formula1>
    </dataValidation>
    <dataValidation type="list" allowBlank="1" sqref="C8">
      <formula1>LISTY!$C$8:$GT$8</formula1>
    </dataValidation>
    <dataValidation type="list" allowBlank="1" sqref="C24">
      <formula1>LISTY!$C$24:$GT$24</formula1>
    </dataValidation>
    <dataValidation type="list" allowBlank="1" sqref="C18">
      <formula1>LISTY!$C$18:$GT$18</formula1>
    </dataValidation>
    <dataValidation type="list" allowBlank="1" sqref="C50">
      <formula1>LISTY!$C$50:$GT$50</formula1>
    </dataValidation>
    <dataValidation type="list" allowBlank="1" sqref="C78">
      <formula1>LISTY!$C$78:$GT$78</formula1>
    </dataValidation>
    <dataValidation type="list" allowBlank="1" sqref="C44">
      <formula1>LISTY!$C$44:$GT$44</formula1>
    </dataValidation>
    <dataValidation type="list" allowBlank="1" sqref="C58">
      <formula1>LISTY!$C$58:$GT$58</formula1>
    </dataValidation>
    <dataValidation type="list" allowBlank="1" sqref="C64">
      <formula1>LISTY!$C$64:$GT$64</formula1>
    </dataValidation>
  </dataValidations>
  <printOptions/>
  <pageMargins bottom="1.0" footer="0.0" header="0.0" left="0.75" right="0.75" top="1.0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3A45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2"/>
  <cols>
    <col customWidth="1" min="1" max="1" width="7.0"/>
    <col customWidth="1" min="2" max="2" width="16.0"/>
    <col customWidth="1" min="3" max="3" width="32.0"/>
    <col customWidth="1" min="4" max="4" width="7.0"/>
    <col customWidth="1" min="5" max="5" width="13.0"/>
    <col customWidth="1" min="6" max="6" width="6.0"/>
    <col customWidth="1" min="7" max="7" width="12.0"/>
    <col customWidth="1" min="8" max="8" width="5.0"/>
    <col customWidth="1" min="9" max="9" width="7.0"/>
    <col customWidth="1" hidden="1" min="10" max="10" width="17.0"/>
    <col customWidth="1" hidden="1" min="11" max="26" width="11.0"/>
    <col customWidth="1" hidden="1" min="27" max="27" width="13.0"/>
  </cols>
  <sheetData>
    <row r="1" ht="30.0" customHeight="1">
      <c r="A1" s="2" t="s">
        <v>177</v>
      </c>
      <c r="B1" s="3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9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9.5" customHeight="1">
      <c r="A4" s="13" t="s">
        <v>8</v>
      </c>
      <c r="B4" s="13"/>
      <c r="C4" s="13" t="s">
        <v>10</v>
      </c>
      <c r="D4" s="13" t="s">
        <v>11</v>
      </c>
      <c r="E4" s="13" t="s">
        <v>12</v>
      </c>
      <c r="F4" s="13" t="s">
        <v>13</v>
      </c>
      <c r="G4" s="13" t="s">
        <v>14</v>
      </c>
      <c r="H4" s="13" t="s">
        <v>15</v>
      </c>
      <c r="I4" s="13" t="s">
        <v>17</v>
      </c>
      <c r="J4" s="14" t="s">
        <v>18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 t="s">
        <v>25</v>
      </c>
    </row>
    <row r="5" ht="25.5" customHeight="1" outlineLevel="1">
      <c r="A5" s="15" t="s">
        <v>23</v>
      </c>
      <c r="B5" s="3"/>
      <c r="C5" s="3"/>
      <c r="D5" s="3"/>
      <c r="E5" s="3"/>
      <c r="F5" s="3"/>
      <c r="G5" s="3"/>
      <c r="H5" s="3"/>
      <c r="I5" s="3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33.75" customHeight="1" outlineLevel="2">
      <c r="A6" s="17" t="str">
        <f>IF($B6="TOP SET","▲","")</f>
        <v>▲</v>
      </c>
      <c r="B6" s="19" t="str">
        <f>IF('T1'!$B6="TOP SET","TOP SET","—")</f>
        <v>TOP SET</v>
      </c>
      <c r="C6" s="22" t="str">
        <f>IF(OR($B6&lt;&gt;"TOP SET",$F6=""),"",IF(N($K6)=0,"",IF(INDEX($C$7:$C$18,$K6)="","",INDEX($C$7:$C$18,$K6))))</f>
      </c>
      <c r="D6" s="23">
        <f>IF(AND($B6="TOP SET",$F6&lt;&gt;""),1,"")</f>
      </c>
      <c r="E6" s="24" t="str">
        <f>IF(AND($B6="TOP SET",$F6&lt;&gt;""),"1 powtórzenie","")</f>
      </c>
      <c r="F6" s="25">
        <v>8.0</v>
      </c>
      <c r="G6" s="27" t="str">
        <f t="array" ref="G6">IF($B6&lt;&gt;"TOP SET","",IF($C6="","",IF(OR($Q6="masa ciała",$Q6="czas",$Q6="dystans",$Q6="ręczne ustawienie"),"—",IF($C6='T1'!$C6,IF(OR($R6="",$R6=0),"— brak 1RM",MROUND($R6*IFERROR(INDEX(TABELE!$B$4:$J$18,MATCH(1,TABELE!$A$4:$A$18,0),MATCH($F6,TABELE!$B$3:$J$3,0)),0)/100,MAX($P6,0.5))),IF(OR($AA6="",$AA6=0),"— ustaw ręcznie",MROUND($AA6*IFERROR(INDEX(TABELE!$B$4:$J$18,MATCH(1,TABELE!$A$4:$A$18,0),MATCH($F6,TABELE!$B$3:$J$3,0)),0)/100,MAX($P6,0.5)))))))</f>
      </c>
      <c r="H6" s="28"/>
      <c r="I6" s="29"/>
      <c r="J6" s="29"/>
      <c r="K6" s="5">
        <f>IFERROR(MATCH("A*",$A$7:$A$18,0),0)</f>
      </c>
      <c r="L6" s="5"/>
      <c r="M6" s="5"/>
      <c r="N6" s="5"/>
      <c r="O6" s="5"/>
      <c r="P6" s="5">
        <f>IF(N($K6)=0,"",INDEX($P$7:$P$18,$K6))</f>
      </c>
      <c r="Q6" s="5">
        <f>IF(N($K6)=0,"",INDEX($Q$7:$Q$18,$K6))</f>
      </c>
      <c r="R6" s="5">
        <f>IF(N($K6)=0,"",INDEX($R$7:$R$18,$K6))</f>
      </c>
      <c r="S6" s="5"/>
      <c r="T6" s="5"/>
      <c r="U6" s="5"/>
      <c r="V6" s="5"/>
      <c r="W6" s="5"/>
      <c r="X6" s="5"/>
      <c r="Y6" s="5"/>
      <c r="Z6" s="5"/>
      <c r="AA6" s="5">
        <f>IF(N($K6)=0,"",INDEX($AA$7:$AA$18,$K6))</f>
      </c>
    </row>
    <row r="7" ht="25.5" customHeight="1" outlineLevel="1">
      <c r="A7" s="18" t="str">
        <f>IF('T1'!$A7="","",'T1'!$A7)</f>
        <v>A1.</v>
      </c>
      <c r="B7" s="30"/>
      <c r="C7" s="31" t="str">
        <f>IF('T1'!$C7="","",'T1'!$C7)</f>
        <v/>
      </c>
      <c r="D7" s="32">
        <v>6.0</v>
      </c>
      <c r="E7" s="32">
        <v>3.0</v>
      </c>
      <c r="F7" s="33">
        <v>7.5</v>
      </c>
      <c r="G7" s="34" t="str">
        <f>IF($C7="","",IF(OR($Q7="masa ciała",$Q7="czas",$Q7="dystans",$Q7="ręczne ustawienie"),$Q7,IF($C7='T1'!$C7,IF(AND(LEFT($A7,1)&lt;&gt;"A",PRZEL_AKCESORIA="trzymaj z bloku"),IF(NOT(ISNUMBER('T4'!$G7)),'T4'!$G7,MROUND('T4'!$G7*$AC7/(MAX('T4'!$AC7,0.0001)),MAX($P7,0.5))),IF(OR($R7="",$R7=0),"— brak 1RM",MROUND($R7*$S7/100*$AC7,MAX($P7,0.5)))),IF(OR($AA7="",$AA7=0),"— ustaw ręcznie",MROUND($AA7*$S7/100*$AC7,MAX($P7,0.5))))))</f>
        <v/>
      </c>
      <c r="H7" s="35"/>
      <c r="I7" s="36" t="str">
        <f t="array" ref="I7">IFERROR(IF(IFERROR(INDEX(BAZA_FILM,MATCH($C7,BAZA_EX,0)),"")="","",HYPERLINK(IFERROR(INDEX(BAZA_FILM,MATCH($C7,BAZA_EX,0)),""),"film")),"")</f>
        <v/>
      </c>
      <c r="J7" s="37" t="str">
        <f>IF('T1'!$J7="","",'T1'!$J7)</f>
        <v/>
      </c>
      <c r="K7" s="5" t="s">
        <v>33</v>
      </c>
      <c r="L7" s="5" t="str">
        <f t="array" ref="L7">IFERROR(INDEX(BAZA_ID,MATCH($C7,BAZA_EX,0)),"")</f>
        <v/>
      </c>
      <c r="M7" s="5" t="str">
        <f t="array" ref="M7">IFERROR(INDEX(BAZA_PART,MATCH($C7,BAZA_EX,0)),"")</f>
        <v/>
      </c>
      <c r="N7" s="5" t="str">
        <f t="array" ref="N7">IFERROR(INDEX(BAZA_KAT,MATCH($C7,BAZA_EX,0)),"")</f>
        <v/>
      </c>
      <c r="O7" s="5" t="str">
        <f t="array" ref="O7">IFERROR(INDEX(BAZA_COEFF,MATCH($C7,BAZA_EX,0)),"")</f>
        <v/>
      </c>
      <c r="P7" s="5" t="str">
        <f t="array" ref="P7">IFERROR(INDEX(BAZA_SKOK,MATCH($C7,BAZA_EX,0)),"")</f>
        <v/>
      </c>
      <c r="Q7" s="5" t="str">
        <f t="array" ref="Q7">IFERROR(INDEX(BAZA_PROG,MATCH($C7,BAZA_EX,0)),"")</f>
        <v/>
      </c>
      <c r="R7" s="5" t="str">
        <f>IF($C7="","",IF(SUMPRODUCT((START!$B$6:$B$69=$C7)*(START!$M$6:$M$69&gt;0))=0,"",SUMPRODUCT(MAX((START!$B$6:$B$69=$C7)*START!$M$6:$M$69))))</f>
        <v/>
      </c>
      <c r="S7" s="5">
        <f t="array" ref="S7">IFERROR(INDEX(TABELE!$B$4:$J$18,MATCH($E7,TABELE!$A$4:$A$18,0),MATCH($F7,TABELE!$B$3:$J$3,0)),"")</f>
        <v>83.5</v>
      </c>
      <c r="T7" s="5">
        <f t="array" ref="T7">IFERROR(IF($C7="",0,$O7*$D7*INDEX(TABELE!$B$23:$P$33,MATCH($F7,TABELE!$A$23:$A$33,0),MATCH($E7,TABELE!$B$22:$P$22,0))),0)</f>
        <v>0</v>
      </c>
      <c r="U7" s="5">
        <f t="array" ref="U7">IFERROR(IF($C7="",0,$O7*$D7*INDEX(TABELE!$B$37:$P$47,MATCH($F7,TABELE!$A$37:$A$47,0),MATCH($E7,TABELE!$B$36:$P$36,0))),0)</f>
        <v>0</v>
      </c>
      <c r="V7" s="5">
        <f t="array" ref="V7">IFERROR(IF($C7="",0,$O7*$D7*INDEX(TABELE!$B$51:$P$61,MATCH($F7,TABELE!$A$51:$A$61,0),MATCH($E7,TABELE!$B$50:$P$50,0))),0)</f>
        <v>0</v>
      </c>
      <c r="W7" s="5" t="str">
        <f t="array" ref="W7">IFERROR(INDEX(BAZA_UWAGI,MATCH($C7,BAZA_EX,0)),"")</f>
        <v/>
      </c>
      <c r="X7" s="5">
        <f t="shared" ref="X7:X18" si="1">IF($A7="","",$Z7)</f>
        <v>1</v>
      </c>
      <c r="Y7" s="5" t="str">
        <f>IF($A7="","",LEFT($A7,1))</f>
        <v>A</v>
      </c>
      <c r="Z7" s="5">
        <f>IF($A7="",0,1)</f>
        <v>1</v>
      </c>
      <c r="AA7" s="5" t="str">
        <f>IF($C7="","",IF(SUMPRODUCT((START!$B$6:$B$69=$C7)*(START!$M$6:$M$69&gt;0))=0,"",SUMPRODUCT(MAX((START!$B$6:$B$69=$C7)*START!$M$6:$M$69))))</f>
        <v/>
      </c>
      <c r="AB7" s="5" t="str">
        <f t="shared" ref="AB7:AB18" si="2">IF($C7="","",IF($H7&lt;&gt;"",$H7,IF($H$19="✓ ukończony","OK","")))</f>
        <v/>
      </c>
      <c r="AC7" s="5">
        <f>MAX(0.85,MIN(1.15,1+0.05*(COUNTIF('T1'!$AB7,"za łatwe")+COUNTIF('T2'!$AB7,"za łatwe")+COUNTIF('T3'!$AB7,"za łatwe")+COUNTIF('T4'!$AB7,"za łatwe")+COUNTIF('T5'!$AB7,"za łatwe"))-0.05*(COUNTIF('T1'!$AB7,"za trudne")+COUNTIF('T2'!$AB7,"za trudne")+COUNTIF('T3'!$AB7,"za trudne")+COUNTIF('T4'!$AB7,"za trudne")+COUNTIF('T5'!$AB7,"za trudne"))))</f>
        <v>1</v>
      </c>
      <c r="AD7" s="5">
        <f t="shared" ref="AD7:AD18" si="3">IF(OR($Q7="masa ciała",$Q7="czas",$Q7="dystans",$Q7="ręczne ustawienie"),MAX(-3,MIN(3,ROUND(($AC7-1)/0.05,0))),0)</f>
        <v>0</v>
      </c>
    </row>
    <row r="8" ht="25.5" customHeight="1" outlineLevel="1">
      <c r="A8" s="18" t="str">
        <f>IF('T1'!$A8="","",'T1'!$A8)</f>
        <v>B1.</v>
      </c>
      <c r="B8" s="30"/>
      <c r="C8" s="31" t="str">
        <f>IF('T1'!$C8="","",'T1'!$C8)</f>
        <v>Allah</v>
      </c>
      <c r="D8" s="32">
        <v>3.0</v>
      </c>
      <c r="E8" s="39">
        <f>IF($C8="",0,MIN(15,MAX(1,IF(N($O8)&gt;=1,6,IF(N($O8)&gt;=0.75,IF(PRZEL_CZESC="część 1 (objętość)",8,6),IF(PRZEL_CZESC="część 1 (objętość)",10,8)))+2+$AD8)))</f>
        <v>12</v>
      </c>
      <c r="F8" s="33">
        <v>9.0</v>
      </c>
      <c r="G8" s="34" t="str">
        <f>IF($C8="","",IF(OR($Q8="masa ciała",$Q8="czas",$Q8="dystans",$Q8="ręczne ustawienie"),$Q8,IF($C8='T1'!$C8,IF(AND(LEFT($A8,1)&lt;&gt;"A",PRZEL_AKCESORIA="trzymaj z bloku"),IF(NOT(ISNUMBER('T4'!$G8)),'T4'!$G8,MROUND('T4'!$G8*$AC8/(MAX('T4'!$AC8,0.0001)),MAX($P8,0.5))),IF(OR($R8="",$R8=0),"— brak 1RM",MROUND($R8*$S8/100*$AC8,MAX($P8,0.5)))),IF(OR($AA8="",$AA8=0),"— ustaw ręcznie",MROUND($AA8*$S8/100*$AC8,MAX($P8,0.5))))))</f>
        <v>— brak 1RM</v>
      </c>
      <c r="H8" s="35"/>
      <c r="I8" s="40" t="str">
        <f t="array" ref="I8">IFERROR(IF(IFERROR(INDEX(BAZA_FILM,MATCH($C8,BAZA_EX,0)),"")="","",HYPERLINK(IFERROR(INDEX(BAZA_FILM,MATCH($C8,BAZA_EX,0)),""),"film")),"")</f>
        <v>film</v>
      </c>
      <c r="J8" s="37" t="str">
        <f>IF('T1'!$J8="","",'T1'!$J8)</f>
        <v/>
      </c>
      <c r="K8" s="5" t="s">
        <v>46</v>
      </c>
      <c r="L8" s="5" t="str">
        <f t="array" ref="L8">IFERROR(INDEX(BAZA_ID,MATCH($C8,BAZA_EX,0)),"")</f>
        <v>EX-0003</v>
      </c>
      <c r="M8" s="5" t="str">
        <f t="array" ref="M8">IFERROR(INDEX(BAZA_PART,MATCH($C8,BAZA_EX,0)),"")</f>
        <v>c</v>
      </c>
      <c r="N8" s="5" t="str">
        <f t="array" ref="N8">IFERROR(INDEX(BAZA_KAT,MATCH($C8,BAZA_EX,0)),"")</f>
        <v>Core</v>
      </c>
      <c r="O8" s="5">
        <f t="array" ref="O8">IFERROR(INDEX(BAZA_COEFF,MATCH($C8,BAZA_EX,0)),"")</f>
        <v>0.5</v>
      </c>
      <c r="P8" s="5">
        <f t="array" ref="P8">IFERROR(INDEX(BAZA_SKOK,MATCH($C8,BAZA_EX,0)),"")</f>
        <v>2.5</v>
      </c>
      <c r="Q8" s="5" t="str">
        <f t="array" ref="Q8">IFERROR(INDEX(BAZA_PROG,MATCH($C8,BAZA_EX,0)),"")</f>
        <v>kg</v>
      </c>
      <c r="R8" s="5" t="str">
        <f>IF($C8="","",IF(SUMPRODUCT((START!$B$6:$B$69=$C8)*(START!$M$6:$M$69&gt;0))=0,"",SUMPRODUCT(MAX((START!$B$6:$B$69=$C8)*START!$M$6:$M$69))))</f>
        <v/>
      </c>
      <c r="S8" s="5">
        <f t="array" ref="S8">IFERROR(INDEX(TABELE!$B$4:$J$18,MATCH($E8,TABELE!$A$4:$A$18,0),MATCH($F8,TABELE!$B$3:$J$3,0)),"")</f>
        <v>66.5</v>
      </c>
      <c r="T8" s="5">
        <f t="array" ref="T8">IFERROR(IF($C8="",0,$O8*$D8*INDEX(TABELE!$B$23:$P$33,MATCH($F8,TABELE!$A$23:$A$33,0),MATCH($E8,TABELE!$B$22:$P$22,0))),0)</f>
        <v>1.35</v>
      </c>
      <c r="U8" s="5">
        <f t="array" ref="U8">IFERROR(IF($C8="",0,$O8*$D8*INDEX(TABELE!$B$37:$P$47,MATCH($F8,TABELE!$A$37:$A$47,0),MATCH($E8,TABELE!$B$36:$P$36,0))),0)</f>
        <v>0.6</v>
      </c>
      <c r="V8" s="5">
        <f t="array" ref="V8">IFERROR(IF($C8="",0,$O8*$D8*INDEX(TABELE!$B$51:$P$61,MATCH($F8,TABELE!$A$51:$A$61,0),MATCH($E8,TABELE!$B$50:$P$50,0))),0)</f>
        <v>2.1</v>
      </c>
      <c r="W8" s="5" t="str">
        <f t="array" ref="W8">IFERROR(INDEX(BAZA_UWAGI,MATCH($C8,BAZA_EX,0)),"")</f>
        <v/>
      </c>
      <c r="X8" s="5">
        <f t="shared" si="1"/>
        <v>2</v>
      </c>
      <c r="Y8" s="5" t="str">
        <f t="shared" ref="Y8:Y18" si="4">IF($A8="",$Y7,LEFT($A8,1))</f>
        <v>B</v>
      </c>
      <c r="Z8" s="5">
        <f t="shared" ref="Z8:Z18" si="5">IF($A8="",$Z7,IF(LEFT($A8,1)=$Y7,$Z7,$Z7+1))</f>
        <v>2</v>
      </c>
      <c r="AA8" s="5" t="str">
        <f>IF($C8="","",IF(SUMPRODUCT((START!$B$6:$B$69=$C8)*(START!$M$6:$M$69&gt;0))=0,"",SUMPRODUCT(MAX((START!$B$6:$B$69=$C8)*START!$M$6:$M$69))))</f>
        <v/>
      </c>
      <c r="AB8" s="5" t="str">
        <f t="shared" si="2"/>
        <v/>
      </c>
      <c r="AC8" s="5">
        <f>MAX(0.85,MIN(1.15,1+0.05*(COUNTIF('T1'!$AB8,"za łatwe")+COUNTIF('T2'!$AB8,"za łatwe")+COUNTIF('T3'!$AB8,"za łatwe")+COUNTIF('T4'!$AB8,"za łatwe")+COUNTIF('T5'!$AB8,"za łatwe"))-0.05*(COUNTIF('T1'!$AB8,"za trudne")+COUNTIF('T2'!$AB8,"za trudne")+COUNTIF('T3'!$AB8,"za trudne")+COUNTIF('T4'!$AB8,"za trudne")+COUNTIF('T5'!$AB8,"za trudne"))))</f>
        <v>1</v>
      </c>
      <c r="AD8" s="5">
        <f t="shared" si="3"/>
        <v>0</v>
      </c>
    </row>
    <row r="9" ht="25.5" customHeight="1" outlineLevel="1">
      <c r="A9" s="18" t="str">
        <f>IF('T1'!$A9="","",'T1'!$A9)</f>
        <v>B2.</v>
      </c>
      <c r="B9" s="30"/>
      <c r="C9" s="31" t="str">
        <f>IF('T1'!$C9="","",'T1'!$C9)</f>
        <v/>
      </c>
      <c r="D9" s="32">
        <v>3.0</v>
      </c>
      <c r="E9" s="39">
        <f>IF($C9="",0,MIN(15,MAX(1,IF(N($O9)&gt;=1,6,IF(N($O9)&gt;=0.75,IF(PRZEL_CZESC="część 1 (objętość)",8,6),IF(PRZEL_CZESC="część 1 (objętość)",10,8)))+2+$AD9)))</f>
        <v>0</v>
      </c>
      <c r="F9" s="33">
        <v>9.0</v>
      </c>
      <c r="G9" s="34" t="str">
        <f>IF($C9="","",IF(OR($Q9="masa ciała",$Q9="czas",$Q9="dystans",$Q9="ręczne ustawienie"),$Q9,IF($C9='T1'!$C9,IF(AND(LEFT($A9,1)&lt;&gt;"A",PRZEL_AKCESORIA="trzymaj z bloku"),IF(NOT(ISNUMBER('T4'!$G9)),'T4'!$G9,MROUND('T4'!$G9*$AC9/(MAX('T4'!$AC9,0.0001)),MAX($P9,0.5))),IF(OR($R9="",$R9=0),"— brak 1RM",MROUND($R9*$S9/100*$AC9,MAX($P9,0.5)))),IF(OR($AA9="",$AA9=0),"— ustaw ręcznie",MROUND($AA9*$S9/100*$AC9,MAX($P9,0.5))))))</f>
        <v/>
      </c>
      <c r="H9" s="35"/>
      <c r="I9" s="36" t="str">
        <f t="array" ref="I9">IFERROR(IF(IFERROR(INDEX(BAZA_FILM,MATCH($C9,BAZA_EX,0)),"")="","",HYPERLINK(IFERROR(INDEX(BAZA_FILM,MATCH($C9,BAZA_EX,0)),""),"film")),"")</f>
        <v/>
      </c>
      <c r="J9" s="37" t="str">
        <f>IF('T1'!$J9="","",'T1'!$J9)</f>
        <v/>
      </c>
      <c r="K9" s="5" t="s">
        <v>51</v>
      </c>
      <c r="L9" s="5" t="str">
        <f t="array" ref="L9">IFERROR(INDEX(BAZA_ID,MATCH($C9,BAZA_EX,0)),"")</f>
        <v/>
      </c>
      <c r="M9" s="5" t="str">
        <f t="array" ref="M9">IFERROR(INDEX(BAZA_PART,MATCH($C9,BAZA_EX,0)),"")</f>
        <v/>
      </c>
      <c r="N9" s="5" t="str">
        <f t="array" ref="N9">IFERROR(INDEX(BAZA_KAT,MATCH($C9,BAZA_EX,0)),"")</f>
        <v/>
      </c>
      <c r="O9" s="5" t="str">
        <f t="array" ref="O9">IFERROR(INDEX(BAZA_COEFF,MATCH($C9,BAZA_EX,0)),"")</f>
        <v/>
      </c>
      <c r="P9" s="5" t="str">
        <f t="array" ref="P9">IFERROR(INDEX(BAZA_SKOK,MATCH($C9,BAZA_EX,0)),"")</f>
        <v/>
      </c>
      <c r="Q9" s="5" t="str">
        <f t="array" ref="Q9">IFERROR(INDEX(BAZA_PROG,MATCH($C9,BAZA_EX,0)),"")</f>
        <v/>
      </c>
      <c r="R9" s="5" t="str">
        <f>IF($C9="","",IF(SUMPRODUCT((START!$B$6:$B$69=$C9)*(START!$M$6:$M$69&gt;0))=0,"",SUMPRODUCT(MAX((START!$B$6:$B$69=$C9)*START!$M$6:$M$69))))</f>
        <v/>
      </c>
      <c r="S9" s="5" t="str">
        <f t="array" ref="S9">IFERROR(INDEX(TABELE!$B$4:$J$18,MATCH($E9,TABELE!$A$4:$A$18,0),MATCH($F9,TABELE!$B$3:$J$3,0)),"")</f>
        <v/>
      </c>
      <c r="T9" s="5">
        <f t="array" ref="T9">IFERROR(IF($C9="",0,$O9*$D9*INDEX(TABELE!$B$23:$P$33,MATCH($F9,TABELE!$A$23:$A$33,0),MATCH($E9,TABELE!$B$22:$P$22,0))),0)</f>
        <v>0</v>
      </c>
      <c r="U9" s="5">
        <f t="array" ref="U9">IFERROR(IF($C9="",0,$O9*$D9*INDEX(TABELE!$B$37:$P$47,MATCH($F9,TABELE!$A$37:$A$47,0),MATCH($E9,TABELE!$B$36:$P$36,0))),0)</f>
        <v>0</v>
      </c>
      <c r="V9" s="5">
        <f t="array" ref="V9">IFERROR(IF($C9="",0,$O9*$D9*INDEX(TABELE!$B$51:$P$61,MATCH($F9,TABELE!$A$51:$A$61,0),MATCH($E9,TABELE!$B$50:$P$50,0))),0)</f>
        <v>0</v>
      </c>
      <c r="W9" s="5" t="str">
        <f t="array" ref="W9">IFERROR(INDEX(BAZA_UWAGI,MATCH($C9,BAZA_EX,0)),"")</f>
        <v/>
      </c>
      <c r="X9" s="5">
        <f t="shared" si="1"/>
        <v>2</v>
      </c>
      <c r="Y9" s="5" t="str">
        <f t="shared" si="4"/>
        <v>B</v>
      </c>
      <c r="Z9" s="5">
        <f t="shared" si="5"/>
        <v>2</v>
      </c>
      <c r="AA9" s="5" t="str">
        <f>IF($C9="","",IF(SUMPRODUCT((START!$B$6:$B$69=$C9)*(START!$M$6:$M$69&gt;0))=0,"",SUMPRODUCT(MAX((START!$B$6:$B$69=$C9)*START!$M$6:$M$69))))</f>
        <v/>
      </c>
      <c r="AB9" s="5" t="str">
        <f t="shared" si="2"/>
        <v/>
      </c>
      <c r="AC9" s="5">
        <f>MAX(0.85,MIN(1.15,1+0.05*(COUNTIF('T1'!$AB9,"za łatwe")+COUNTIF('T2'!$AB9,"za łatwe")+COUNTIF('T3'!$AB9,"za łatwe")+COUNTIF('T4'!$AB9,"za łatwe")+COUNTIF('T5'!$AB9,"za łatwe"))-0.05*(COUNTIF('T1'!$AB9,"za trudne")+COUNTIF('T2'!$AB9,"za trudne")+COUNTIF('T3'!$AB9,"za trudne")+COUNTIF('T4'!$AB9,"za trudne")+COUNTIF('T5'!$AB9,"za trudne"))))</f>
        <v>1</v>
      </c>
      <c r="AD9" s="5">
        <f t="shared" si="3"/>
        <v>0</v>
      </c>
    </row>
    <row r="10" ht="25.5" customHeight="1" outlineLevel="1">
      <c r="A10" s="18" t="str">
        <f>IF('T1'!$A10="","",'T1'!$A10)</f>
        <v>C1.</v>
      </c>
      <c r="B10" s="30"/>
      <c r="C10" s="31" t="str">
        <f>IF('T1'!$C10="","",'T1'!$C10)</f>
        <v/>
      </c>
      <c r="D10" s="32">
        <v>3.0</v>
      </c>
      <c r="E10" s="39">
        <f>IF($C10="",0,MIN(15,MAX(1,IF(N($O10)&gt;=1,6,IF(N($O10)&gt;=0.75,IF(PRZEL_CZESC="część 1 (objętość)",8,6),IF(PRZEL_CZESC="część 1 (objętość)",10,8)))+2+$AD10)))</f>
        <v>0</v>
      </c>
      <c r="F10" s="33">
        <v>9.0</v>
      </c>
      <c r="G10" s="34" t="str">
        <f>IF($C10="","",IF(OR($Q10="masa ciała",$Q10="czas",$Q10="dystans",$Q10="ręczne ustawienie"),$Q10,IF($C10='T1'!$C10,IF(AND(LEFT($A10,1)&lt;&gt;"A",PRZEL_AKCESORIA="trzymaj z bloku"),IF(NOT(ISNUMBER('T4'!$G10)),'T4'!$G10,MROUND('T4'!$G10*$AC10/(MAX('T4'!$AC10,0.0001)),MAX($P10,0.5))),IF(OR($R10="",$R10=0),"— brak 1RM",MROUND($R10*$S10/100*$AC10,MAX($P10,0.5)))),IF(OR($AA10="",$AA10=0),"— ustaw ręcznie",MROUND($AA10*$S10/100*$AC10,MAX($P10,0.5))))))</f>
        <v/>
      </c>
      <c r="H10" s="35"/>
      <c r="I10" s="36" t="str">
        <f t="array" ref="I10">IFERROR(IF(IFERROR(INDEX(BAZA_FILM,MATCH($C10,BAZA_EX,0)),"")="","",HYPERLINK(IFERROR(INDEX(BAZA_FILM,MATCH($C10,BAZA_EX,0)),""),"film")),"")</f>
        <v/>
      </c>
      <c r="J10" s="37" t="str">
        <f>IF('T1'!$J10="","",'T1'!$J10)</f>
        <v/>
      </c>
      <c r="K10" s="5" t="s">
        <v>57</v>
      </c>
      <c r="L10" s="5" t="str">
        <f t="array" ref="L10">IFERROR(INDEX(BAZA_ID,MATCH($C10,BAZA_EX,0)),"")</f>
        <v/>
      </c>
      <c r="M10" s="5" t="str">
        <f t="array" ref="M10">IFERROR(INDEX(BAZA_PART,MATCH($C10,BAZA_EX,0)),"")</f>
        <v/>
      </c>
      <c r="N10" s="5" t="str">
        <f t="array" ref="N10">IFERROR(INDEX(BAZA_KAT,MATCH($C10,BAZA_EX,0)),"")</f>
        <v/>
      </c>
      <c r="O10" s="5" t="str">
        <f t="array" ref="O10">IFERROR(INDEX(BAZA_COEFF,MATCH($C10,BAZA_EX,0)),"")</f>
        <v/>
      </c>
      <c r="P10" s="5" t="str">
        <f t="array" ref="P10">IFERROR(INDEX(BAZA_SKOK,MATCH($C10,BAZA_EX,0)),"")</f>
        <v/>
      </c>
      <c r="Q10" s="5" t="str">
        <f t="array" ref="Q10">IFERROR(INDEX(BAZA_PROG,MATCH($C10,BAZA_EX,0)),"")</f>
        <v/>
      </c>
      <c r="R10" s="5" t="str">
        <f>IF($C10="","",IF(SUMPRODUCT((START!$B$6:$B$69=$C10)*(START!$M$6:$M$69&gt;0))=0,"",SUMPRODUCT(MAX((START!$B$6:$B$69=$C10)*START!$M$6:$M$69))))</f>
        <v/>
      </c>
      <c r="S10" s="5" t="str">
        <f t="array" ref="S10">IFERROR(INDEX(TABELE!$B$4:$J$18,MATCH($E10,TABELE!$A$4:$A$18,0),MATCH($F10,TABELE!$B$3:$J$3,0)),"")</f>
        <v/>
      </c>
      <c r="T10" s="5">
        <f t="array" ref="T10">IFERROR(IF($C10="",0,$O10*$D10*INDEX(TABELE!$B$23:$P$33,MATCH($F10,TABELE!$A$23:$A$33,0),MATCH($E10,TABELE!$B$22:$P$22,0))),0)</f>
        <v>0</v>
      </c>
      <c r="U10" s="5">
        <f t="array" ref="U10">IFERROR(IF($C10="",0,$O10*$D10*INDEX(TABELE!$B$37:$P$47,MATCH($F10,TABELE!$A$37:$A$47,0),MATCH($E10,TABELE!$B$36:$P$36,0))),0)</f>
        <v>0</v>
      </c>
      <c r="V10" s="5">
        <f t="array" ref="V10">IFERROR(IF($C10="",0,$O10*$D10*INDEX(TABELE!$B$51:$P$61,MATCH($F10,TABELE!$A$51:$A$61,0),MATCH($E10,TABELE!$B$50:$P$50,0))),0)</f>
        <v>0</v>
      </c>
      <c r="W10" s="5" t="str">
        <f t="array" ref="W10">IFERROR(INDEX(BAZA_UWAGI,MATCH($C10,BAZA_EX,0)),"")</f>
        <v/>
      </c>
      <c r="X10" s="5">
        <f t="shared" si="1"/>
        <v>3</v>
      </c>
      <c r="Y10" s="5" t="str">
        <f t="shared" si="4"/>
        <v>C</v>
      </c>
      <c r="Z10" s="5">
        <f t="shared" si="5"/>
        <v>3</v>
      </c>
      <c r="AA10" s="5" t="str">
        <f>IF($C10="","",IF(SUMPRODUCT((START!$B$6:$B$69=$C10)*(START!$M$6:$M$69&gt;0))=0,"",SUMPRODUCT(MAX((START!$B$6:$B$69=$C10)*START!$M$6:$M$69))))</f>
        <v/>
      </c>
      <c r="AB10" s="5" t="str">
        <f t="shared" si="2"/>
        <v/>
      </c>
      <c r="AC10" s="5">
        <f>MAX(0.85,MIN(1.15,1+0.05*(COUNTIF('T1'!$AB10,"za łatwe")+COUNTIF('T2'!$AB10,"za łatwe")+COUNTIF('T3'!$AB10,"za łatwe")+COUNTIF('T4'!$AB10,"za łatwe")+COUNTIF('T5'!$AB10,"za łatwe"))-0.05*(COUNTIF('T1'!$AB10,"za trudne")+COUNTIF('T2'!$AB10,"za trudne")+COUNTIF('T3'!$AB10,"za trudne")+COUNTIF('T4'!$AB10,"za trudne")+COUNTIF('T5'!$AB10,"za trudne"))))</f>
        <v>1</v>
      </c>
      <c r="AD10" s="5">
        <f t="shared" si="3"/>
        <v>0</v>
      </c>
    </row>
    <row r="11" ht="25.5" customHeight="1" outlineLevel="1">
      <c r="A11" s="18" t="str">
        <f>IF('T1'!$A11="","",'T1'!$A11)</f>
        <v>C2.</v>
      </c>
      <c r="B11" s="30"/>
      <c r="C11" s="31" t="str">
        <f>IF('T1'!$C11="","",'T1'!$C11)</f>
        <v/>
      </c>
      <c r="D11" s="32">
        <v>3.0</v>
      </c>
      <c r="E11" s="39">
        <f>IF($C11="",0,MIN(15,MAX(1,IF(N($O11)&gt;=1,6,IF(N($O11)&gt;=0.75,IF(PRZEL_CZESC="część 1 (objętość)",8,6),IF(PRZEL_CZESC="część 1 (objętość)",10,8)))+2+$AD11)))</f>
        <v>0</v>
      </c>
      <c r="F11" s="33">
        <v>10.0</v>
      </c>
      <c r="G11" s="34" t="str">
        <f>IF($C11="","",IF(OR($Q11="masa ciała",$Q11="czas",$Q11="dystans",$Q11="ręczne ustawienie"),$Q11,IF($C11='T1'!$C11,IF(AND(LEFT($A11,1)&lt;&gt;"A",PRZEL_AKCESORIA="trzymaj z bloku"),IF(NOT(ISNUMBER('T4'!$G11)),'T4'!$G11,MROUND('T4'!$G11*$AC11/(MAX('T4'!$AC11,0.0001)),MAX($P11,0.5))),IF(OR($R11="",$R11=0),"— brak 1RM",MROUND($R11*$S11/100*$AC11,MAX($P11,0.5)))),IF(OR($AA11="",$AA11=0),"— ustaw ręcznie",MROUND($AA11*$S11/100*$AC11,MAX($P11,0.5))))))</f>
        <v/>
      </c>
      <c r="H11" s="35"/>
      <c r="I11" s="36" t="str">
        <f t="array" ref="I11">IFERROR(IF(IFERROR(INDEX(BAZA_FILM,MATCH($C11,BAZA_EX,0)),"")="","",HYPERLINK(IFERROR(INDEX(BAZA_FILM,MATCH($C11,BAZA_EX,0)),""),"film")),"")</f>
        <v/>
      </c>
      <c r="J11" s="37" t="str">
        <f>IF('T1'!$J11="","",'T1'!$J11)</f>
        <v/>
      </c>
      <c r="K11" s="5" t="s">
        <v>62</v>
      </c>
      <c r="L11" s="5" t="str">
        <f t="array" ref="L11">IFERROR(INDEX(BAZA_ID,MATCH($C11,BAZA_EX,0)),"")</f>
        <v/>
      </c>
      <c r="M11" s="5" t="str">
        <f t="array" ref="M11">IFERROR(INDEX(BAZA_PART,MATCH($C11,BAZA_EX,0)),"")</f>
        <v/>
      </c>
      <c r="N11" s="5" t="str">
        <f t="array" ref="N11">IFERROR(INDEX(BAZA_KAT,MATCH($C11,BAZA_EX,0)),"")</f>
        <v/>
      </c>
      <c r="O11" s="5" t="str">
        <f t="array" ref="O11">IFERROR(INDEX(BAZA_COEFF,MATCH($C11,BAZA_EX,0)),"")</f>
        <v/>
      </c>
      <c r="P11" s="5" t="str">
        <f t="array" ref="P11">IFERROR(INDEX(BAZA_SKOK,MATCH($C11,BAZA_EX,0)),"")</f>
        <v/>
      </c>
      <c r="Q11" s="5" t="str">
        <f t="array" ref="Q11">IFERROR(INDEX(BAZA_PROG,MATCH($C11,BAZA_EX,0)),"")</f>
        <v/>
      </c>
      <c r="R11" s="5" t="str">
        <f>IF($C11="","",IF(SUMPRODUCT((START!$B$6:$B$69=$C11)*(START!$M$6:$M$69&gt;0))=0,"",SUMPRODUCT(MAX((START!$B$6:$B$69=$C11)*START!$M$6:$M$69))))</f>
        <v/>
      </c>
      <c r="S11" s="5" t="str">
        <f t="array" ref="S11">IFERROR(INDEX(TABELE!$B$4:$J$18,MATCH($E11,TABELE!$A$4:$A$18,0),MATCH($F11,TABELE!$B$3:$J$3,0)),"")</f>
        <v/>
      </c>
      <c r="T11" s="5">
        <f t="array" ref="T11">IFERROR(IF($C11="",0,$O11*$D11*INDEX(TABELE!$B$23:$P$33,MATCH($F11,TABELE!$A$23:$A$33,0),MATCH($E11,TABELE!$B$22:$P$22,0))),0)</f>
        <v>0</v>
      </c>
      <c r="U11" s="5">
        <f t="array" ref="U11">IFERROR(IF($C11="",0,$O11*$D11*INDEX(TABELE!$B$37:$P$47,MATCH($F11,TABELE!$A$37:$A$47,0),MATCH($E11,TABELE!$B$36:$P$36,0))),0)</f>
        <v>0</v>
      </c>
      <c r="V11" s="5">
        <f t="array" ref="V11">IFERROR(IF($C11="",0,$O11*$D11*INDEX(TABELE!$B$51:$P$61,MATCH($F11,TABELE!$A$51:$A$61,0),MATCH($E11,TABELE!$B$50:$P$50,0))),0)</f>
        <v>0</v>
      </c>
      <c r="W11" s="5" t="str">
        <f t="array" ref="W11">IFERROR(INDEX(BAZA_UWAGI,MATCH($C11,BAZA_EX,0)),"")</f>
        <v/>
      </c>
      <c r="X11" s="5">
        <f t="shared" si="1"/>
        <v>3</v>
      </c>
      <c r="Y11" s="5" t="str">
        <f t="shared" si="4"/>
        <v>C</v>
      </c>
      <c r="Z11" s="5">
        <f t="shared" si="5"/>
        <v>3</v>
      </c>
      <c r="AA11" s="5" t="str">
        <f>IF($C11="","",IF(SUMPRODUCT((START!$B$6:$B$69=$C11)*(START!$M$6:$M$69&gt;0))=0,"",SUMPRODUCT(MAX((START!$B$6:$B$69=$C11)*START!$M$6:$M$69))))</f>
        <v/>
      </c>
      <c r="AB11" s="5" t="str">
        <f t="shared" si="2"/>
        <v/>
      </c>
      <c r="AC11" s="5">
        <f>MAX(0.85,MIN(1.15,1+0.05*(COUNTIF('T1'!$AB11,"za łatwe")+COUNTIF('T2'!$AB11,"za łatwe")+COUNTIF('T3'!$AB11,"za łatwe")+COUNTIF('T4'!$AB11,"za łatwe")+COUNTIF('T5'!$AB11,"za łatwe"))-0.05*(COUNTIF('T1'!$AB11,"za trudne")+COUNTIF('T2'!$AB11,"za trudne")+COUNTIF('T3'!$AB11,"za trudne")+COUNTIF('T4'!$AB11,"za trudne")+COUNTIF('T5'!$AB11,"za trudne"))))</f>
        <v>1</v>
      </c>
      <c r="AD11" s="5">
        <f t="shared" si="3"/>
        <v>0</v>
      </c>
    </row>
    <row r="12" ht="25.5" customHeight="1" outlineLevel="1">
      <c r="A12" s="18" t="str">
        <f>IF('T1'!$A12="","",'T1'!$A12)</f>
        <v>D1.</v>
      </c>
      <c r="B12" s="30"/>
      <c r="C12" s="31" t="str">
        <f>IF('T1'!$C12="","",'T1'!$C12)</f>
        <v/>
      </c>
      <c r="D12" s="32">
        <v>3.0</v>
      </c>
      <c r="E12" s="39">
        <f>IF($C12="",0,MIN(15,MAX(1,IF(N($O12)&gt;=1,6,IF(N($O12)&gt;=0.75,IF(PRZEL_CZESC="część 1 (objętość)",8,6),IF(PRZEL_CZESC="część 1 (objętość)",10,8)))+2+$AD12)))</f>
        <v>0</v>
      </c>
      <c r="F12" s="33">
        <v>9.0</v>
      </c>
      <c r="G12" s="34" t="str">
        <f>IF($C12="","",IF(OR($Q12="masa ciała",$Q12="czas",$Q12="dystans",$Q12="ręczne ustawienie"),$Q12,IF($C12='T1'!$C12,IF(AND(LEFT($A12,1)&lt;&gt;"A",PRZEL_AKCESORIA="trzymaj z bloku"),IF(NOT(ISNUMBER('T4'!$G12)),'T4'!$G12,MROUND('T4'!$G12*$AC12/(MAX('T4'!$AC12,0.0001)),MAX($P12,0.5))),IF(OR($R12="",$R12=0),"— brak 1RM",MROUND($R12*$S12/100*$AC12,MAX($P12,0.5)))),IF(OR($AA12="",$AA12=0),"— ustaw ręcznie",MROUND($AA12*$S12/100*$AC12,MAX($P12,0.5))))))</f>
        <v/>
      </c>
      <c r="H12" s="35"/>
      <c r="I12" s="36" t="str">
        <f t="array" ref="I12">IFERROR(IF(IFERROR(INDEX(BAZA_FILM,MATCH($C12,BAZA_EX,0)),"")="","",HYPERLINK(IFERROR(INDEX(BAZA_FILM,MATCH($C12,BAZA_EX,0)),""),"film")),"")</f>
        <v/>
      </c>
      <c r="J12" s="37" t="str">
        <f>IF('T1'!$J12="","",'T1'!$J12)</f>
        <v/>
      </c>
      <c r="K12" s="5" t="s">
        <v>63</v>
      </c>
      <c r="L12" s="5" t="str">
        <f t="array" ref="L12">IFERROR(INDEX(BAZA_ID,MATCH($C12,BAZA_EX,0)),"")</f>
        <v/>
      </c>
      <c r="M12" s="5" t="str">
        <f t="array" ref="M12">IFERROR(INDEX(BAZA_PART,MATCH($C12,BAZA_EX,0)),"")</f>
        <v/>
      </c>
      <c r="N12" s="5" t="str">
        <f t="array" ref="N12">IFERROR(INDEX(BAZA_KAT,MATCH($C12,BAZA_EX,0)),"")</f>
        <v/>
      </c>
      <c r="O12" s="5" t="str">
        <f t="array" ref="O12">IFERROR(INDEX(BAZA_COEFF,MATCH($C12,BAZA_EX,0)),"")</f>
        <v/>
      </c>
      <c r="P12" s="5" t="str">
        <f t="array" ref="P12">IFERROR(INDEX(BAZA_SKOK,MATCH($C12,BAZA_EX,0)),"")</f>
        <v/>
      </c>
      <c r="Q12" s="5" t="str">
        <f t="array" ref="Q12">IFERROR(INDEX(BAZA_PROG,MATCH($C12,BAZA_EX,0)),"")</f>
        <v/>
      </c>
      <c r="R12" s="5" t="str">
        <f>IF($C12="","",IF(SUMPRODUCT((START!$B$6:$B$69=$C12)*(START!$M$6:$M$69&gt;0))=0,"",SUMPRODUCT(MAX((START!$B$6:$B$69=$C12)*START!$M$6:$M$69))))</f>
        <v/>
      </c>
      <c r="S12" s="5" t="str">
        <f t="array" ref="S12">IFERROR(INDEX(TABELE!$B$4:$J$18,MATCH($E12,TABELE!$A$4:$A$18,0),MATCH($F12,TABELE!$B$3:$J$3,0)),"")</f>
        <v/>
      </c>
      <c r="T12" s="5">
        <f t="array" ref="T12">IFERROR(IF($C12="",0,$O12*$D12*INDEX(TABELE!$B$23:$P$33,MATCH($F12,TABELE!$A$23:$A$33,0),MATCH($E12,TABELE!$B$22:$P$22,0))),0)</f>
        <v>0</v>
      </c>
      <c r="U12" s="5">
        <f t="array" ref="U12">IFERROR(IF($C12="",0,$O12*$D12*INDEX(TABELE!$B$37:$P$47,MATCH($F12,TABELE!$A$37:$A$47,0),MATCH($E12,TABELE!$B$36:$P$36,0))),0)</f>
        <v>0</v>
      </c>
      <c r="V12" s="5">
        <f t="array" ref="V12">IFERROR(IF($C12="",0,$O12*$D12*INDEX(TABELE!$B$51:$P$61,MATCH($F12,TABELE!$A$51:$A$61,0),MATCH($E12,TABELE!$B$50:$P$50,0))),0)</f>
        <v>0</v>
      </c>
      <c r="W12" s="5" t="str">
        <f t="array" ref="W12">IFERROR(INDEX(BAZA_UWAGI,MATCH($C12,BAZA_EX,0)),"")</f>
        <v/>
      </c>
      <c r="X12" s="5">
        <f t="shared" si="1"/>
        <v>4</v>
      </c>
      <c r="Y12" s="5" t="str">
        <f t="shared" si="4"/>
        <v>D</v>
      </c>
      <c r="Z12" s="5">
        <f t="shared" si="5"/>
        <v>4</v>
      </c>
      <c r="AA12" s="5" t="str">
        <f>IF($C12="","",IF(SUMPRODUCT((START!$B$6:$B$69=$C12)*(START!$M$6:$M$69&gt;0))=0,"",SUMPRODUCT(MAX((START!$B$6:$B$69=$C12)*START!$M$6:$M$69))))</f>
        <v/>
      </c>
      <c r="AB12" s="5" t="str">
        <f t="shared" si="2"/>
        <v/>
      </c>
      <c r="AC12" s="5">
        <f>MAX(0.85,MIN(1.15,1+0.05*(COUNTIF('T1'!$AB12,"za łatwe")+COUNTIF('T2'!$AB12,"za łatwe")+COUNTIF('T3'!$AB12,"za łatwe")+COUNTIF('T4'!$AB12,"za łatwe")+COUNTIF('T5'!$AB12,"za łatwe"))-0.05*(COUNTIF('T1'!$AB12,"za trudne")+COUNTIF('T2'!$AB12,"za trudne")+COUNTIF('T3'!$AB12,"za trudne")+COUNTIF('T4'!$AB12,"za trudne")+COUNTIF('T5'!$AB12,"za trudne"))))</f>
        <v>1</v>
      </c>
      <c r="AD12" s="5">
        <f t="shared" si="3"/>
        <v>0</v>
      </c>
    </row>
    <row r="13" ht="25.5" customHeight="1" outlineLevel="1">
      <c r="A13" s="18" t="str">
        <f>IF('T1'!$A13="","",'T1'!$A13)</f>
        <v>D2.</v>
      </c>
      <c r="B13" s="30"/>
      <c r="C13" s="31" t="str">
        <f>IF('T1'!$C13="","",'T1'!$C13)</f>
        <v/>
      </c>
      <c r="D13" s="32">
        <v>3.0</v>
      </c>
      <c r="E13" s="39">
        <f>IF($C13="",0,MIN(15,MAX(1,IF(N($O13)&gt;=1,6,IF(N($O13)&gt;=0.75,IF(PRZEL_CZESC="część 1 (objętość)",8,6),IF(PRZEL_CZESC="część 1 (objętość)",10,8)))+2+$AD13)))</f>
        <v>0</v>
      </c>
      <c r="F13" s="33">
        <v>10.0</v>
      </c>
      <c r="G13" s="34" t="str">
        <f>IF($C13="","",IF(OR($Q13="masa ciała",$Q13="czas",$Q13="dystans",$Q13="ręczne ustawienie"),$Q13,IF($C13='T1'!$C13,IF(AND(LEFT($A13,1)&lt;&gt;"A",PRZEL_AKCESORIA="trzymaj z bloku"),IF(NOT(ISNUMBER('T4'!$G13)),'T4'!$G13,MROUND('T4'!$G13*$AC13/(MAX('T4'!$AC13,0.0001)),MAX($P13,0.5))),IF(OR($R13="",$R13=0),"— brak 1RM",MROUND($R13*$S13/100*$AC13,MAX($P13,0.5)))),IF(OR($AA13="",$AA13=0),"— ustaw ręcznie",MROUND($AA13*$S13/100*$AC13,MAX($P13,0.5))))))</f>
        <v/>
      </c>
      <c r="H13" s="35"/>
      <c r="I13" s="36" t="str">
        <f t="array" ref="I13">IFERROR(IF(IFERROR(INDEX(BAZA_FILM,MATCH($C13,BAZA_EX,0)),"")="","",HYPERLINK(IFERROR(INDEX(BAZA_FILM,MATCH($C13,BAZA_EX,0)),""),"film")),"")</f>
        <v/>
      </c>
      <c r="J13" s="37" t="str">
        <f>IF('T1'!$J13="","",'T1'!$J13)</f>
        <v/>
      </c>
      <c r="K13" s="5" t="s">
        <v>66</v>
      </c>
      <c r="L13" s="5" t="str">
        <f t="array" ref="L13">IFERROR(INDEX(BAZA_ID,MATCH($C13,BAZA_EX,0)),"")</f>
        <v/>
      </c>
      <c r="M13" s="5" t="str">
        <f t="array" ref="M13">IFERROR(INDEX(BAZA_PART,MATCH($C13,BAZA_EX,0)),"")</f>
        <v/>
      </c>
      <c r="N13" s="5" t="str">
        <f t="array" ref="N13">IFERROR(INDEX(BAZA_KAT,MATCH($C13,BAZA_EX,0)),"")</f>
        <v/>
      </c>
      <c r="O13" s="5" t="str">
        <f t="array" ref="O13">IFERROR(INDEX(BAZA_COEFF,MATCH($C13,BAZA_EX,0)),"")</f>
        <v/>
      </c>
      <c r="P13" s="5" t="str">
        <f t="array" ref="P13">IFERROR(INDEX(BAZA_SKOK,MATCH($C13,BAZA_EX,0)),"")</f>
        <v/>
      </c>
      <c r="Q13" s="5" t="str">
        <f t="array" ref="Q13">IFERROR(INDEX(BAZA_PROG,MATCH($C13,BAZA_EX,0)),"")</f>
        <v/>
      </c>
      <c r="R13" s="5" t="str">
        <f>IF($C13="","",IF(SUMPRODUCT((START!$B$6:$B$69=$C13)*(START!$M$6:$M$69&gt;0))=0,"",SUMPRODUCT(MAX((START!$B$6:$B$69=$C13)*START!$M$6:$M$69))))</f>
        <v/>
      </c>
      <c r="S13" s="5" t="str">
        <f t="array" ref="S13">IFERROR(INDEX(TABELE!$B$4:$J$18,MATCH($E13,TABELE!$A$4:$A$18,0),MATCH($F13,TABELE!$B$3:$J$3,0)),"")</f>
        <v/>
      </c>
      <c r="T13" s="5">
        <f t="array" ref="T13">IFERROR(IF($C13="",0,$O13*$D13*INDEX(TABELE!$B$23:$P$33,MATCH($F13,TABELE!$A$23:$A$33,0),MATCH($E13,TABELE!$B$22:$P$22,0))),0)</f>
        <v>0</v>
      </c>
      <c r="U13" s="5">
        <f t="array" ref="U13">IFERROR(IF($C13="",0,$O13*$D13*INDEX(TABELE!$B$37:$P$47,MATCH($F13,TABELE!$A$37:$A$47,0),MATCH($E13,TABELE!$B$36:$P$36,0))),0)</f>
        <v>0</v>
      </c>
      <c r="V13" s="5">
        <f t="array" ref="V13">IFERROR(IF($C13="",0,$O13*$D13*INDEX(TABELE!$B$51:$P$61,MATCH($F13,TABELE!$A$51:$A$61,0),MATCH($E13,TABELE!$B$50:$P$50,0))),0)</f>
        <v>0</v>
      </c>
      <c r="W13" s="5" t="str">
        <f t="array" ref="W13">IFERROR(INDEX(BAZA_UWAGI,MATCH($C13,BAZA_EX,0)),"")</f>
        <v/>
      </c>
      <c r="X13" s="5">
        <f t="shared" si="1"/>
        <v>4</v>
      </c>
      <c r="Y13" s="5" t="str">
        <f t="shared" si="4"/>
        <v>D</v>
      </c>
      <c r="Z13" s="5">
        <f t="shared" si="5"/>
        <v>4</v>
      </c>
      <c r="AA13" s="5" t="str">
        <f>IF($C13="","",IF(SUMPRODUCT((START!$B$6:$B$69=$C13)*(START!$M$6:$M$69&gt;0))=0,"",SUMPRODUCT(MAX((START!$B$6:$B$69=$C13)*START!$M$6:$M$69))))</f>
        <v/>
      </c>
      <c r="AB13" s="5" t="str">
        <f t="shared" si="2"/>
        <v/>
      </c>
      <c r="AC13" s="5">
        <f>MAX(0.85,MIN(1.15,1+0.05*(COUNTIF('T1'!$AB13,"za łatwe")+COUNTIF('T2'!$AB13,"za łatwe")+COUNTIF('T3'!$AB13,"za łatwe")+COUNTIF('T4'!$AB13,"za łatwe")+COUNTIF('T5'!$AB13,"za łatwe"))-0.05*(COUNTIF('T1'!$AB13,"za trudne")+COUNTIF('T2'!$AB13,"za trudne")+COUNTIF('T3'!$AB13,"za trudne")+COUNTIF('T4'!$AB13,"za trudne")+COUNTIF('T5'!$AB13,"za trudne"))))</f>
        <v>1</v>
      </c>
      <c r="AD13" s="5">
        <f t="shared" si="3"/>
        <v>0</v>
      </c>
    </row>
    <row r="14" ht="25.5" customHeight="1" outlineLevel="1">
      <c r="A14" s="18" t="str">
        <f>IF('T1'!$A14="","",'T1'!$A14)</f>
        <v>E1.</v>
      </c>
      <c r="B14" s="30"/>
      <c r="C14" s="31" t="str">
        <f>IF('T1'!$C14="","",'T1'!$C14)</f>
        <v/>
      </c>
      <c r="D14" s="32"/>
      <c r="E14" s="39">
        <f>IF($C14="",0,MIN(15,MAX(1,IF(N($O14)&gt;=1,6,IF(N($O14)&gt;=0.75,IF(PRZEL_CZESC="część 1 (objętość)",8,6),IF(PRZEL_CZESC="część 1 (objętość)",10,8)))+2+$AD14)))</f>
        <v>0</v>
      </c>
      <c r="F14" s="33"/>
      <c r="G14" s="34" t="str">
        <f>IF($C14="","",IF(OR($Q14="masa ciała",$Q14="czas",$Q14="dystans",$Q14="ręczne ustawienie"),$Q14,IF($C14='T1'!$C14,IF(AND(LEFT($A14,1)&lt;&gt;"A",PRZEL_AKCESORIA="trzymaj z bloku"),IF(NOT(ISNUMBER('T4'!$G14)),'T4'!$G14,MROUND('T4'!$G14*$AC14/(MAX('T4'!$AC14,0.0001)),MAX($P14,0.5))),IF(OR($R14="",$R14=0),"— brak 1RM",MROUND($R14*$S14/100*$AC14,MAX($P14,0.5)))),IF(OR($AA14="",$AA14=0),"— ustaw ręcznie",MROUND($AA14*$S14/100*$AC14,MAX($P14,0.5))))))</f>
        <v/>
      </c>
      <c r="H14" s="35"/>
      <c r="I14" s="36" t="str">
        <f t="array" ref="I14">IFERROR(IF(IFERROR(INDEX(BAZA_FILM,MATCH($C14,BAZA_EX,0)),"")="","",HYPERLINK(IFERROR(INDEX(BAZA_FILM,MATCH($C14,BAZA_EX,0)),""),"film")),"")</f>
        <v/>
      </c>
      <c r="J14" s="37" t="str">
        <f>IF('T1'!$J14="","",'T1'!$J14)</f>
        <v/>
      </c>
      <c r="K14" s="5" t="s">
        <v>67</v>
      </c>
      <c r="L14" s="5" t="str">
        <f t="array" ref="L14">IFERROR(INDEX(BAZA_ID,MATCH($C14,BAZA_EX,0)),"")</f>
        <v/>
      </c>
      <c r="M14" s="5" t="str">
        <f t="array" ref="M14">IFERROR(INDEX(BAZA_PART,MATCH($C14,BAZA_EX,0)),"")</f>
        <v/>
      </c>
      <c r="N14" s="5" t="str">
        <f t="array" ref="N14">IFERROR(INDEX(BAZA_KAT,MATCH($C14,BAZA_EX,0)),"")</f>
        <v/>
      </c>
      <c r="O14" s="5" t="str">
        <f t="array" ref="O14">IFERROR(INDEX(BAZA_COEFF,MATCH($C14,BAZA_EX,0)),"")</f>
        <v/>
      </c>
      <c r="P14" s="5" t="str">
        <f t="array" ref="P14">IFERROR(INDEX(BAZA_SKOK,MATCH($C14,BAZA_EX,0)),"")</f>
        <v/>
      </c>
      <c r="Q14" s="5" t="str">
        <f t="array" ref="Q14">IFERROR(INDEX(BAZA_PROG,MATCH($C14,BAZA_EX,0)),"")</f>
        <v/>
      </c>
      <c r="R14" s="5" t="str">
        <f>IF($C14="","",IF(SUMPRODUCT((START!$B$6:$B$69=$C14)*(START!$M$6:$M$69&gt;0))=0,"",SUMPRODUCT(MAX((START!$B$6:$B$69=$C14)*START!$M$6:$M$69))))</f>
        <v/>
      </c>
      <c r="S14" s="5" t="str">
        <f t="array" ref="S14">IFERROR(INDEX(TABELE!$B$4:$J$18,MATCH($E14,TABELE!$A$4:$A$18,0),MATCH($F14,TABELE!$B$3:$J$3,0)),"")</f>
        <v/>
      </c>
      <c r="T14" s="5">
        <f t="array" ref="T14">IFERROR(IF($C14="",0,$O14*$D14*INDEX(TABELE!$B$23:$P$33,MATCH($F14,TABELE!$A$23:$A$33,0),MATCH($E14,TABELE!$B$22:$P$22,0))),0)</f>
        <v>0</v>
      </c>
      <c r="U14" s="5">
        <f t="array" ref="U14">IFERROR(IF($C14="",0,$O14*$D14*INDEX(TABELE!$B$37:$P$47,MATCH($F14,TABELE!$A$37:$A$47,0),MATCH($E14,TABELE!$B$36:$P$36,0))),0)</f>
        <v>0</v>
      </c>
      <c r="V14" s="5">
        <f t="array" ref="V14">IFERROR(IF($C14="",0,$O14*$D14*INDEX(TABELE!$B$51:$P$61,MATCH($F14,TABELE!$A$51:$A$61,0),MATCH($E14,TABELE!$B$50:$P$50,0))),0)</f>
        <v>0</v>
      </c>
      <c r="W14" s="5" t="str">
        <f t="array" ref="W14">IFERROR(INDEX(BAZA_UWAGI,MATCH($C14,BAZA_EX,0)),"")</f>
        <v/>
      </c>
      <c r="X14" s="5">
        <f t="shared" si="1"/>
        <v>5</v>
      </c>
      <c r="Y14" s="5" t="str">
        <f t="shared" si="4"/>
        <v>E</v>
      </c>
      <c r="Z14" s="5">
        <f t="shared" si="5"/>
        <v>5</v>
      </c>
      <c r="AA14" s="5" t="str">
        <f>IF($C14="","",IF(SUMPRODUCT((START!$B$6:$B$69=$C14)*(START!$M$6:$M$69&gt;0))=0,"",SUMPRODUCT(MAX((START!$B$6:$B$69=$C14)*START!$M$6:$M$69))))</f>
        <v/>
      </c>
      <c r="AB14" s="5" t="str">
        <f t="shared" si="2"/>
        <v/>
      </c>
      <c r="AC14" s="5">
        <f>MAX(0.85,MIN(1.15,1+0.05*(COUNTIF('T1'!$AB14,"za łatwe")+COUNTIF('T2'!$AB14,"za łatwe")+COUNTIF('T3'!$AB14,"za łatwe")+COUNTIF('T4'!$AB14,"za łatwe")+COUNTIF('T5'!$AB14,"za łatwe"))-0.05*(COUNTIF('T1'!$AB14,"za trudne")+COUNTIF('T2'!$AB14,"za trudne")+COUNTIF('T3'!$AB14,"za trudne")+COUNTIF('T4'!$AB14,"za trudne")+COUNTIF('T5'!$AB14,"za trudne"))))</f>
        <v>1</v>
      </c>
      <c r="AD14" s="5">
        <f t="shared" si="3"/>
        <v>0</v>
      </c>
    </row>
    <row r="15" ht="25.5" customHeight="1" outlineLevel="1">
      <c r="A15" s="18" t="str">
        <f>IF('T1'!$A15="","",'T1'!$A15)</f>
        <v>E2.</v>
      </c>
      <c r="B15" s="30"/>
      <c r="C15" s="31" t="str">
        <f>IF('T1'!$C15="","",'T1'!$C15)</f>
        <v/>
      </c>
      <c r="D15" s="32"/>
      <c r="E15" s="39">
        <f>IF($C15="",0,MIN(15,MAX(1,IF(N($O15)&gt;=1,6,IF(N($O15)&gt;=0.75,IF(PRZEL_CZESC="część 1 (objętość)",8,6),IF(PRZEL_CZESC="część 1 (objętość)",10,8)))+2+$AD15)))</f>
        <v>0</v>
      </c>
      <c r="F15" s="33"/>
      <c r="G15" s="34" t="str">
        <f>IF($C15="","",IF(OR($Q15="masa ciała",$Q15="czas",$Q15="dystans",$Q15="ręczne ustawienie"),$Q15,IF($C15='T1'!$C15,IF(AND(LEFT($A15,1)&lt;&gt;"A",PRZEL_AKCESORIA="trzymaj z bloku"),IF(NOT(ISNUMBER('T4'!$G15)),'T4'!$G15,MROUND('T4'!$G15*$AC15/(MAX('T4'!$AC15,0.0001)),MAX($P15,0.5))),IF(OR($R15="",$R15=0),"— brak 1RM",MROUND($R15*$S15/100*$AC15,MAX($P15,0.5)))),IF(OR($AA15="",$AA15=0),"— ustaw ręcznie",MROUND($AA15*$S15/100*$AC15,MAX($P15,0.5))))))</f>
        <v/>
      </c>
      <c r="H15" s="35"/>
      <c r="I15" s="36" t="str">
        <f t="array" ref="I15">IFERROR(IF(IFERROR(INDEX(BAZA_FILM,MATCH($C15,BAZA_EX,0)),"")="","",HYPERLINK(IFERROR(INDEX(BAZA_FILM,MATCH($C15,BAZA_EX,0)),""),"film")),"")</f>
        <v/>
      </c>
      <c r="J15" s="37" t="str">
        <f>IF('T1'!$J15="","",'T1'!$J15)</f>
        <v/>
      </c>
      <c r="K15" s="5" t="s">
        <v>68</v>
      </c>
      <c r="L15" s="5" t="str">
        <f t="array" ref="L15">IFERROR(INDEX(BAZA_ID,MATCH($C15,BAZA_EX,0)),"")</f>
        <v/>
      </c>
      <c r="M15" s="5" t="str">
        <f t="array" ref="M15">IFERROR(INDEX(BAZA_PART,MATCH($C15,BAZA_EX,0)),"")</f>
        <v/>
      </c>
      <c r="N15" s="5" t="str">
        <f t="array" ref="N15">IFERROR(INDEX(BAZA_KAT,MATCH($C15,BAZA_EX,0)),"")</f>
        <v/>
      </c>
      <c r="O15" s="5" t="str">
        <f t="array" ref="O15">IFERROR(INDEX(BAZA_COEFF,MATCH($C15,BAZA_EX,0)),"")</f>
        <v/>
      </c>
      <c r="P15" s="5" t="str">
        <f t="array" ref="P15">IFERROR(INDEX(BAZA_SKOK,MATCH($C15,BAZA_EX,0)),"")</f>
        <v/>
      </c>
      <c r="Q15" s="5" t="str">
        <f t="array" ref="Q15">IFERROR(INDEX(BAZA_PROG,MATCH($C15,BAZA_EX,0)),"")</f>
        <v/>
      </c>
      <c r="R15" s="5" t="str">
        <f>IF($C15="","",IF(SUMPRODUCT((START!$B$6:$B$69=$C15)*(START!$M$6:$M$69&gt;0))=0,"",SUMPRODUCT(MAX((START!$B$6:$B$69=$C15)*START!$M$6:$M$69))))</f>
        <v/>
      </c>
      <c r="S15" s="5" t="str">
        <f t="array" ref="S15">IFERROR(INDEX(TABELE!$B$4:$J$18,MATCH($E15,TABELE!$A$4:$A$18,0),MATCH($F15,TABELE!$B$3:$J$3,0)),"")</f>
        <v/>
      </c>
      <c r="T15" s="5">
        <f t="array" ref="T15">IFERROR(IF($C15="",0,$O15*$D15*INDEX(TABELE!$B$23:$P$33,MATCH($F15,TABELE!$A$23:$A$33,0),MATCH($E15,TABELE!$B$22:$P$22,0))),0)</f>
        <v>0</v>
      </c>
      <c r="U15" s="5">
        <f t="array" ref="U15">IFERROR(IF($C15="",0,$O15*$D15*INDEX(TABELE!$B$37:$P$47,MATCH($F15,TABELE!$A$37:$A$47,0),MATCH($E15,TABELE!$B$36:$P$36,0))),0)</f>
        <v>0</v>
      </c>
      <c r="V15" s="5">
        <f t="array" ref="V15">IFERROR(IF($C15="",0,$O15*$D15*INDEX(TABELE!$B$51:$P$61,MATCH($F15,TABELE!$A$51:$A$61,0),MATCH($E15,TABELE!$B$50:$P$50,0))),0)</f>
        <v>0</v>
      </c>
      <c r="W15" s="5" t="str">
        <f t="array" ref="W15">IFERROR(INDEX(BAZA_UWAGI,MATCH($C15,BAZA_EX,0)),"")</f>
        <v/>
      </c>
      <c r="X15" s="5">
        <f t="shared" si="1"/>
        <v>5</v>
      </c>
      <c r="Y15" s="5" t="str">
        <f t="shared" si="4"/>
        <v>E</v>
      </c>
      <c r="Z15" s="5">
        <f t="shared" si="5"/>
        <v>5</v>
      </c>
      <c r="AA15" s="5" t="str">
        <f>IF($C15="","",IF(SUMPRODUCT((START!$B$6:$B$69=$C15)*(START!$M$6:$M$69&gt;0))=0,"",SUMPRODUCT(MAX((START!$B$6:$B$69=$C15)*START!$M$6:$M$69))))</f>
        <v/>
      </c>
      <c r="AB15" s="5" t="str">
        <f t="shared" si="2"/>
        <v/>
      </c>
      <c r="AC15" s="5">
        <f>MAX(0.85,MIN(1.15,1+0.05*(COUNTIF('T1'!$AB15,"za łatwe")+COUNTIF('T2'!$AB15,"za łatwe")+COUNTIF('T3'!$AB15,"za łatwe")+COUNTIF('T4'!$AB15,"za łatwe")+COUNTIF('T5'!$AB15,"za łatwe"))-0.05*(COUNTIF('T1'!$AB15,"za trudne")+COUNTIF('T2'!$AB15,"za trudne")+COUNTIF('T3'!$AB15,"za trudne")+COUNTIF('T4'!$AB15,"za trudne")+COUNTIF('T5'!$AB15,"za trudne"))))</f>
        <v>1</v>
      </c>
      <c r="AD15" s="5">
        <f t="shared" si="3"/>
        <v>0</v>
      </c>
    </row>
    <row r="16" ht="25.5" customHeight="1" outlineLevel="1">
      <c r="A16" s="18" t="str">
        <f>IF('T1'!$A16="","",'T1'!$A16)</f>
        <v/>
      </c>
      <c r="B16" s="30"/>
      <c r="C16" s="31" t="str">
        <f>IF('T1'!$C16="","",'T1'!$C16)</f>
        <v/>
      </c>
      <c r="D16" s="32"/>
      <c r="E16" s="39">
        <f>IF($C16="",0,MIN(15,MAX(1,IF(N($O16)&gt;=1,6,IF(N($O16)&gt;=0.75,IF(PRZEL_CZESC="część 1 (objętość)",8,6),IF(PRZEL_CZESC="część 1 (objętość)",10,8)))+2+$AD16)))</f>
        <v>0</v>
      </c>
      <c r="F16" s="33"/>
      <c r="G16" s="34" t="str">
        <f>IF($C16="","",IF(OR($Q16="masa ciała",$Q16="czas",$Q16="dystans",$Q16="ręczne ustawienie"),$Q16,IF($C16='T1'!$C16,IF(AND(LEFT($A16,1)&lt;&gt;"A",PRZEL_AKCESORIA="trzymaj z bloku"),IF(NOT(ISNUMBER('T4'!$G16)),'T4'!$G16,MROUND('T4'!$G16*$AC16/(MAX('T4'!$AC16,0.0001)),MAX($P16,0.5))),IF(OR($R16="",$R16=0),"— brak 1RM",MROUND($R16*$S16/100*$AC16,MAX($P16,0.5)))),IF(OR($AA16="",$AA16=0),"— ustaw ręcznie",MROUND($AA16*$S16/100*$AC16,MAX($P16,0.5))))))</f>
        <v/>
      </c>
      <c r="H16" s="35"/>
      <c r="I16" s="36" t="str">
        <f t="array" ref="I16">IFERROR(IF(IFERROR(INDEX(BAZA_FILM,MATCH($C16,BAZA_EX,0)),"")="","",HYPERLINK(IFERROR(INDEX(BAZA_FILM,MATCH($C16,BAZA_EX,0)),""),"film")),"")</f>
        <v/>
      </c>
      <c r="J16" s="37" t="str">
        <f>IF('T1'!$J16="","",'T1'!$J16)</f>
        <v/>
      </c>
      <c r="K16" s="5" t="s">
        <v>69</v>
      </c>
      <c r="L16" s="5" t="str">
        <f t="array" ref="L16">IFERROR(INDEX(BAZA_ID,MATCH($C16,BAZA_EX,0)),"")</f>
        <v/>
      </c>
      <c r="M16" s="5" t="str">
        <f t="array" ref="M16">IFERROR(INDEX(BAZA_PART,MATCH($C16,BAZA_EX,0)),"")</f>
        <v/>
      </c>
      <c r="N16" s="5" t="str">
        <f t="array" ref="N16">IFERROR(INDEX(BAZA_KAT,MATCH($C16,BAZA_EX,0)),"")</f>
        <v/>
      </c>
      <c r="O16" s="5" t="str">
        <f t="array" ref="O16">IFERROR(INDEX(BAZA_COEFF,MATCH($C16,BAZA_EX,0)),"")</f>
        <v/>
      </c>
      <c r="P16" s="5" t="str">
        <f t="array" ref="P16">IFERROR(INDEX(BAZA_SKOK,MATCH($C16,BAZA_EX,0)),"")</f>
        <v/>
      </c>
      <c r="Q16" s="5" t="str">
        <f t="array" ref="Q16">IFERROR(INDEX(BAZA_PROG,MATCH($C16,BAZA_EX,0)),"")</f>
        <v/>
      </c>
      <c r="R16" s="5" t="str">
        <f>IF($C16="","",IF(SUMPRODUCT((START!$B$6:$B$69=$C16)*(START!$M$6:$M$69&gt;0))=0,"",SUMPRODUCT(MAX((START!$B$6:$B$69=$C16)*START!$M$6:$M$69))))</f>
        <v/>
      </c>
      <c r="S16" s="5" t="str">
        <f t="array" ref="S16">IFERROR(INDEX(TABELE!$B$4:$J$18,MATCH($E16,TABELE!$A$4:$A$18,0),MATCH($F16,TABELE!$B$3:$J$3,0)),"")</f>
        <v/>
      </c>
      <c r="T16" s="5">
        <f t="array" ref="T16">IFERROR(IF($C16="",0,$O16*$D16*INDEX(TABELE!$B$23:$P$33,MATCH($F16,TABELE!$A$23:$A$33,0),MATCH($E16,TABELE!$B$22:$P$22,0))),0)</f>
        <v>0</v>
      </c>
      <c r="U16" s="5">
        <f t="array" ref="U16">IFERROR(IF($C16="",0,$O16*$D16*INDEX(TABELE!$B$37:$P$47,MATCH($F16,TABELE!$A$37:$A$47,0),MATCH($E16,TABELE!$B$36:$P$36,0))),0)</f>
        <v>0</v>
      </c>
      <c r="V16" s="5">
        <f t="array" ref="V16">IFERROR(IF($C16="",0,$O16*$D16*INDEX(TABELE!$B$51:$P$61,MATCH($F16,TABELE!$A$51:$A$61,0),MATCH($E16,TABELE!$B$50:$P$50,0))),0)</f>
        <v>0</v>
      </c>
      <c r="W16" s="5" t="str">
        <f t="array" ref="W16">IFERROR(INDEX(BAZA_UWAGI,MATCH($C16,BAZA_EX,0)),"")</f>
        <v/>
      </c>
      <c r="X16" s="5" t="str">
        <f t="shared" si="1"/>
        <v/>
      </c>
      <c r="Y16" s="5" t="str">
        <f t="shared" si="4"/>
        <v>E</v>
      </c>
      <c r="Z16" s="5">
        <f t="shared" si="5"/>
        <v>5</v>
      </c>
      <c r="AA16" s="5" t="str">
        <f>IF($C16="","",IF(SUMPRODUCT((START!$B$6:$B$69=$C16)*(START!$M$6:$M$69&gt;0))=0,"",SUMPRODUCT(MAX((START!$B$6:$B$69=$C16)*START!$M$6:$M$69))))</f>
        <v/>
      </c>
      <c r="AB16" s="5" t="str">
        <f t="shared" si="2"/>
        <v/>
      </c>
      <c r="AC16" s="5">
        <f>MAX(0.85,MIN(1.15,1+0.05*(COUNTIF('T1'!$AB16,"za łatwe")+COUNTIF('T2'!$AB16,"za łatwe")+COUNTIF('T3'!$AB16,"za łatwe")+COUNTIF('T4'!$AB16,"za łatwe")+COUNTIF('T5'!$AB16,"za łatwe"))-0.05*(COUNTIF('T1'!$AB16,"za trudne")+COUNTIF('T2'!$AB16,"za trudne")+COUNTIF('T3'!$AB16,"za trudne")+COUNTIF('T4'!$AB16,"za trudne")+COUNTIF('T5'!$AB16,"za trudne"))))</f>
        <v>1</v>
      </c>
      <c r="AD16" s="5">
        <f t="shared" si="3"/>
        <v>0</v>
      </c>
    </row>
    <row r="17" ht="25.5" customHeight="1" outlineLevel="1">
      <c r="A17" s="18" t="str">
        <f>IF('T1'!$A17="","",'T1'!$A17)</f>
        <v/>
      </c>
      <c r="B17" s="30"/>
      <c r="C17" s="31" t="str">
        <f>IF('T1'!$C17="","",'T1'!$C17)</f>
        <v/>
      </c>
      <c r="D17" s="32"/>
      <c r="E17" s="39">
        <f>IF($C17="",0,MIN(15,MAX(1,IF(N($O17)&gt;=1,6,IF(N($O17)&gt;=0.75,IF(PRZEL_CZESC="część 1 (objętość)",8,6),IF(PRZEL_CZESC="część 1 (objętość)",10,8)))+2+$AD17)))</f>
        <v>0</v>
      </c>
      <c r="F17" s="33"/>
      <c r="G17" s="34" t="str">
        <f>IF($C17="","",IF(OR($Q17="masa ciała",$Q17="czas",$Q17="dystans",$Q17="ręczne ustawienie"),$Q17,IF($C17='T1'!$C17,IF(AND(LEFT($A17,1)&lt;&gt;"A",PRZEL_AKCESORIA="trzymaj z bloku"),IF(NOT(ISNUMBER('T4'!$G17)),'T4'!$G17,MROUND('T4'!$G17*$AC17/(MAX('T4'!$AC17,0.0001)),MAX($P17,0.5))),IF(OR($R17="",$R17=0),"— brak 1RM",MROUND($R17*$S17/100*$AC17,MAX($P17,0.5)))),IF(OR($AA17="",$AA17=0),"— ustaw ręcznie",MROUND($AA17*$S17/100*$AC17,MAX($P17,0.5))))))</f>
        <v/>
      </c>
      <c r="H17" s="35"/>
      <c r="I17" s="36" t="str">
        <f t="array" ref="I17">IFERROR(IF(IFERROR(INDEX(BAZA_FILM,MATCH($C17,BAZA_EX,0)),"")="","",HYPERLINK(IFERROR(INDEX(BAZA_FILM,MATCH($C17,BAZA_EX,0)),""),"film")),"")</f>
        <v/>
      </c>
      <c r="J17" s="37" t="str">
        <f>IF('T1'!$J17="","",'T1'!$J17)</f>
        <v/>
      </c>
      <c r="K17" s="5" t="s">
        <v>70</v>
      </c>
      <c r="L17" s="5" t="str">
        <f t="array" ref="L17">IFERROR(INDEX(BAZA_ID,MATCH($C17,BAZA_EX,0)),"")</f>
        <v/>
      </c>
      <c r="M17" s="5" t="str">
        <f t="array" ref="M17">IFERROR(INDEX(BAZA_PART,MATCH($C17,BAZA_EX,0)),"")</f>
        <v/>
      </c>
      <c r="N17" s="5" t="str">
        <f t="array" ref="N17">IFERROR(INDEX(BAZA_KAT,MATCH($C17,BAZA_EX,0)),"")</f>
        <v/>
      </c>
      <c r="O17" s="5" t="str">
        <f t="array" ref="O17">IFERROR(INDEX(BAZA_COEFF,MATCH($C17,BAZA_EX,0)),"")</f>
        <v/>
      </c>
      <c r="P17" s="5" t="str">
        <f t="array" ref="P17">IFERROR(INDEX(BAZA_SKOK,MATCH($C17,BAZA_EX,0)),"")</f>
        <v/>
      </c>
      <c r="Q17" s="5" t="str">
        <f t="array" ref="Q17">IFERROR(INDEX(BAZA_PROG,MATCH($C17,BAZA_EX,0)),"")</f>
        <v/>
      </c>
      <c r="R17" s="5" t="str">
        <f>IF($C17="","",IF(SUMPRODUCT((START!$B$6:$B$69=$C17)*(START!$M$6:$M$69&gt;0))=0,"",SUMPRODUCT(MAX((START!$B$6:$B$69=$C17)*START!$M$6:$M$69))))</f>
        <v/>
      </c>
      <c r="S17" s="5" t="str">
        <f t="array" ref="S17">IFERROR(INDEX(TABELE!$B$4:$J$18,MATCH($E17,TABELE!$A$4:$A$18,0),MATCH($F17,TABELE!$B$3:$J$3,0)),"")</f>
        <v/>
      </c>
      <c r="T17" s="5">
        <f t="array" ref="T17">IFERROR(IF($C17="",0,$O17*$D17*INDEX(TABELE!$B$23:$P$33,MATCH($F17,TABELE!$A$23:$A$33,0),MATCH($E17,TABELE!$B$22:$P$22,0))),0)</f>
        <v>0</v>
      </c>
      <c r="U17" s="5">
        <f t="array" ref="U17">IFERROR(IF($C17="",0,$O17*$D17*INDEX(TABELE!$B$37:$P$47,MATCH($F17,TABELE!$A$37:$A$47,0),MATCH($E17,TABELE!$B$36:$P$36,0))),0)</f>
        <v>0</v>
      </c>
      <c r="V17" s="5">
        <f t="array" ref="V17">IFERROR(IF($C17="",0,$O17*$D17*INDEX(TABELE!$B$51:$P$61,MATCH($F17,TABELE!$A$51:$A$61,0),MATCH($E17,TABELE!$B$50:$P$50,0))),0)</f>
        <v>0</v>
      </c>
      <c r="W17" s="5" t="str">
        <f t="array" ref="W17">IFERROR(INDEX(BAZA_UWAGI,MATCH($C17,BAZA_EX,0)),"")</f>
        <v/>
      </c>
      <c r="X17" s="5" t="str">
        <f t="shared" si="1"/>
        <v/>
      </c>
      <c r="Y17" s="5" t="str">
        <f t="shared" si="4"/>
        <v>E</v>
      </c>
      <c r="Z17" s="5">
        <f t="shared" si="5"/>
        <v>5</v>
      </c>
      <c r="AA17" s="5" t="str">
        <f>IF($C17="","",IF(SUMPRODUCT((START!$B$6:$B$69=$C17)*(START!$M$6:$M$69&gt;0))=0,"",SUMPRODUCT(MAX((START!$B$6:$B$69=$C17)*START!$M$6:$M$69))))</f>
        <v/>
      </c>
      <c r="AB17" s="5" t="str">
        <f t="shared" si="2"/>
        <v/>
      </c>
      <c r="AC17" s="5">
        <f>MAX(0.85,MIN(1.15,1+0.05*(COUNTIF('T1'!$AB17,"za łatwe")+COUNTIF('T2'!$AB17,"za łatwe")+COUNTIF('T3'!$AB17,"za łatwe")+COUNTIF('T4'!$AB17,"za łatwe")+COUNTIF('T5'!$AB17,"za łatwe"))-0.05*(COUNTIF('T1'!$AB17,"za trudne")+COUNTIF('T2'!$AB17,"za trudne")+COUNTIF('T3'!$AB17,"za trudne")+COUNTIF('T4'!$AB17,"za trudne")+COUNTIF('T5'!$AB17,"za trudne"))))</f>
        <v>1</v>
      </c>
      <c r="AD17" s="5">
        <f t="shared" si="3"/>
        <v>0</v>
      </c>
    </row>
    <row r="18" ht="25.5" customHeight="1" outlineLevel="1">
      <c r="A18" s="18" t="str">
        <f>IF('T1'!$A18="","",'T1'!$A18)</f>
        <v/>
      </c>
      <c r="B18" s="30"/>
      <c r="C18" s="31" t="str">
        <f>IF('T1'!$C18="","",'T1'!$C18)</f>
        <v/>
      </c>
      <c r="D18" s="32"/>
      <c r="E18" s="39">
        <f>IF($C18="",0,MIN(15,MAX(1,IF(N($O18)&gt;=1,6,IF(N($O18)&gt;=0.75,IF(PRZEL_CZESC="część 1 (objętość)",8,6),IF(PRZEL_CZESC="część 1 (objętość)",10,8)))+2+$AD18)))</f>
        <v>0</v>
      </c>
      <c r="F18" s="33"/>
      <c r="G18" s="34" t="str">
        <f>IF($C18="","",IF(OR($Q18="masa ciała",$Q18="czas",$Q18="dystans",$Q18="ręczne ustawienie"),$Q18,IF($C18='T1'!$C18,IF(AND(LEFT($A18,1)&lt;&gt;"A",PRZEL_AKCESORIA="trzymaj z bloku"),IF(NOT(ISNUMBER('T4'!$G18)),'T4'!$G18,MROUND('T4'!$G18*$AC18/(MAX('T4'!$AC18,0.0001)),MAX($P18,0.5))),IF(OR($R18="",$R18=0),"— brak 1RM",MROUND($R18*$S18/100*$AC18,MAX($P18,0.5)))),IF(OR($AA18="",$AA18=0),"— ustaw ręcznie",MROUND($AA18*$S18/100*$AC18,MAX($P18,0.5))))))</f>
        <v/>
      </c>
      <c r="H18" s="35"/>
      <c r="I18" s="36" t="str">
        <f t="array" ref="I18">IFERROR(IF(IFERROR(INDEX(BAZA_FILM,MATCH($C18,BAZA_EX,0)),"")="","",HYPERLINK(IFERROR(INDEX(BAZA_FILM,MATCH($C18,BAZA_EX,0)),""),"film")),"")</f>
        <v/>
      </c>
      <c r="J18" s="37" t="str">
        <f>IF('T1'!$J18="","",'T1'!$J18)</f>
        <v/>
      </c>
      <c r="K18" s="5" t="s">
        <v>72</v>
      </c>
      <c r="L18" s="5" t="str">
        <f t="array" ref="L18">IFERROR(INDEX(BAZA_ID,MATCH($C18,BAZA_EX,0)),"")</f>
        <v/>
      </c>
      <c r="M18" s="5" t="str">
        <f t="array" ref="M18">IFERROR(INDEX(BAZA_PART,MATCH($C18,BAZA_EX,0)),"")</f>
        <v/>
      </c>
      <c r="N18" s="5" t="str">
        <f t="array" ref="N18">IFERROR(INDEX(BAZA_KAT,MATCH($C18,BAZA_EX,0)),"")</f>
        <v/>
      </c>
      <c r="O18" s="5" t="str">
        <f t="array" ref="O18">IFERROR(INDEX(BAZA_COEFF,MATCH($C18,BAZA_EX,0)),"")</f>
        <v/>
      </c>
      <c r="P18" s="5" t="str">
        <f t="array" ref="P18">IFERROR(INDEX(BAZA_SKOK,MATCH($C18,BAZA_EX,0)),"")</f>
        <v/>
      </c>
      <c r="Q18" s="5" t="str">
        <f t="array" ref="Q18">IFERROR(INDEX(BAZA_PROG,MATCH($C18,BAZA_EX,0)),"")</f>
        <v/>
      </c>
      <c r="R18" s="5" t="str">
        <f>IF($C18="","",IF(SUMPRODUCT((START!$B$6:$B$69=$C18)*(START!$M$6:$M$69&gt;0))=0,"",SUMPRODUCT(MAX((START!$B$6:$B$69=$C18)*START!$M$6:$M$69))))</f>
        <v/>
      </c>
      <c r="S18" s="5" t="str">
        <f t="array" ref="S18">IFERROR(INDEX(TABELE!$B$4:$J$18,MATCH($E18,TABELE!$A$4:$A$18,0),MATCH($F18,TABELE!$B$3:$J$3,0)),"")</f>
        <v/>
      </c>
      <c r="T18" s="5">
        <f t="array" ref="T18">IFERROR(IF($C18="",0,$O18*$D18*INDEX(TABELE!$B$23:$P$33,MATCH($F18,TABELE!$A$23:$A$33,0),MATCH($E18,TABELE!$B$22:$P$22,0))),0)</f>
        <v>0</v>
      </c>
      <c r="U18" s="5">
        <f t="array" ref="U18">IFERROR(IF($C18="",0,$O18*$D18*INDEX(TABELE!$B$37:$P$47,MATCH($F18,TABELE!$A$37:$A$47,0),MATCH($E18,TABELE!$B$36:$P$36,0))),0)</f>
        <v>0</v>
      </c>
      <c r="V18" s="5">
        <f t="array" ref="V18">IFERROR(IF($C18="",0,$O18*$D18*INDEX(TABELE!$B$51:$P$61,MATCH($F18,TABELE!$A$51:$A$61,0),MATCH($E18,TABELE!$B$50:$P$50,0))),0)</f>
        <v>0</v>
      </c>
      <c r="W18" s="5" t="str">
        <f t="array" ref="W18">IFERROR(INDEX(BAZA_UWAGI,MATCH($C18,BAZA_EX,0)),"")</f>
        <v/>
      </c>
      <c r="X18" s="5" t="str">
        <f t="shared" si="1"/>
        <v/>
      </c>
      <c r="Y18" s="5" t="str">
        <f t="shared" si="4"/>
        <v>E</v>
      </c>
      <c r="Z18" s="5">
        <f t="shared" si="5"/>
        <v>5</v>
      </c>
      <c r="AA18" s="5" t="str">
        <f>IF($C18="","",IF(SUMPRODUCT((START!$B$6:$B$69=$C18)*(START!$M$6:$M$69&gt;0))=0,"",SUMPRODUCT(MAX((START!$B$6:$B$69=$C18)*START!$M$6:$M$69))))</f>
        <v/>
      </c>
      <c r="AB18" s="5" t="str">
        <f t="shared" si="2"/>
        <v/>
      </c>
      <c r="AC18" s="5">
        <f>MAX(0.85,MIN(1.15,1+0.05*(COUNTIF('T1'!$AB18,"za łatwe")+COUNTIF('T2'!$AB18,"za łatwe")+COUNTIF('T3'!$AB18,"za łatwe")+COUNTIF('T4'!$AB18,"za łatwe")+COUNTIF('T5'!$AB18,"za łatwe"))-0.05*(COUNTIF('T1'!$AB18,"za trudne")+COUNTIF('T2'!$AB18,"za trudne")+COUNTIF('T3'!$AB18,"za trudne")+COUNTIF('T4'!$AB18,"za trudne")+COUNTIF('T5'!$AB18,"za trudne"))))</f>
        <v>1</v>
      </c>
      <c r="AD18" s="5">
        <f t="shared" si="3"/>
        <v>0</v>
      </c>
    </row>
    <row r="19" ht="19.5" customHeight="1" outlineLevel="1">
      <c r="A19" s="43"/>
      <c r="B19" s="43"/>
      <c r="C19" s="44" t="s">
        <v>134</v>
      </c>
      <c r="D19" s="45">
        <f>SUMPRODUCT((C7:C18&lt;&gt;"")*D7:D18)+IF(AND($B$6="TOP SET",$C$6&lt;&gt;""),1,0)</f>
      </c>
      <c r="E19" s="46" t="str">
        <f>SUMPRODUCT((C7:C18&lt;&gt;"")*D7:D18*E7:E18)&amp;" powt."</f>
        <v>36 powt.</v>
      </c>
      <c r="F19" s="43"/>
      <c r="G19" s="47" t="str">
        <f>"stres t "&amp;TEXT(SUM(T7:T18),"0.0")</f>
        <v>stres t 1,4</v>
      </c>
      <c r="H19" s="48"/>
      <c r="I19" s="43"/>
      <c r="J19" s="4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25.5" customHeight="1" outlineLevel="1">
      <c r="A21" s="15" t="s">
        <v>73</v>
      </c>
      <c r="B21" s="3"/>
      <c r="C21" s="3"/>
      <c r="D21" s="3"/>
      <c r="E21" s="3"/>
      <c r="F21" s="3"/>
      <c r="G21" s="3"/>
      <c r="H21" s="3"/>
      <c r="I21" s="3"/>
      <c r="J21" s="4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33.75" customHeight="1" outlineLevel="2">
      <c r="A22" s="17" t="str">
        <f>IF($B22="TOP SET","▲","")</f>
        <v>▲</v>
      </c>
      <c r="B22" s="19" t="str">
        <f>IF('T1'!$B22="TOP SET","TOP SET","—")</f>
        <v>TOP SET</v>
      </c>
      <c r="C22" s="22" t="str">
        <f>IF(OR($B22&lt;&gt;"TOP SET",$F22=""),"",IF(N($K22)=0,"",IF(INDEX($C$23:$C$34,$K22)="","",INDEX($C$23:$C$34,$K22))))</f>
      </c>
      <c r="D22" s="23">
        <f>IF(AND($B22="TOP SET",$F22&lt;&gt;""),1,"")</f>
      </c>
      <c r="E22" s="24" t="str">
        <f>IF(AND($B22="TOP SET",$F22&lt;&gt;""),"1 powtórzenie","")</f>
      </c>
      <c r="F22" s="25">
        <v>8.0</v>
      </c>
      <c r="G22" s="27" t="str">
        <f t="array" ref="G22">IF($B22&lt;&gt;"TOP SET","",IF($C22="","",IF(OR($Q22="masa ciała",$Q22="czas",$Q22="dystans",$Q22="ręczne ustawienie"),"—",IF($C22='T1'!$C22,IF(OR($R22="",$R22=0),"— brak 1RM",MROUND($R22*IFERROR(INDEX(TABELE!$B$4:$J$18,MATCH(1,TABELE!$A$4:$A$18,0),MATCH($F22,TABELE!$B$3:$J$3,0)),0)/100,MAX($P22,0.5))),IF(OR($AA22="",$AA22=0),"— ustaw ręcznie",MROUND($AA22*IFERROR(INDEX(TABELE!$B$4:$J$18,MATCH(1,TABELE!$A$4:$A$18,0),MATCH($F22,TABELE!$B$3:$J$3,0)),0)/100,MAX($P22,0.5)))))))</f>
      </c>
      <c r="H22" s="28"/>
      <c r="I22" s="29"/>
      <c r="J22" s="29"/>
      <c r="K22" s="5">
        <f>IFERROR(MATCH("A*",$A$23:$A$34,0),0)</f>
      </c>
      <c r="L22" s="5"/>
      <c r="M22" s="5"/>
      <c r="N22" s="5"/>
      <c r="O22" s="5"/>
      <c r="P22" s="5">
        <f>IF(N($K22)=0,"",INDEX($P$23:$P$34,$K22))</f>
      </c>
      <c r="Q22" s="5">
        <f>IF(N($K22)=0,"",INDEX($Q$23:$Q$34,$K22))</f>
      </c>
      <c r="R22" s="5">
        <f>IF(N($K22)=0,"",INDEX($R$23:$R$34,$K22))</f>
      </c>
      <c r="S22" s="5"/>
      <c r="T22" s="5"/>
      <c r="U22" s="5"/>
      <c r="V22" s="5"/>
      <c r="W22" s="5"/>
      <c r="X22" s="5"/>
      <c r="Y22" s="5"/>
      <c r="Z22" s="5"/>
      <c r="AA22" s="5">
        <f>IF(N($K22)=0,"",INDEX($AA$23:$AA$34,$K22))</f>
      </c>
    </row>
    <row r="23" ht="25.5" customHeight="1" outlineLevel="1">
      <c r="A23" s="18" t="str">
        <f>IF('T1'!$A23="","",'T1'!$A23)</f>
        <v>A1.</v>
      </c>
      <c r="B23" s="30"/>
      <c r="C23" s="31" t="str">
        <f>IF('T1'!$C23="","",'T1'!$C23)</f>
        <v/>
      </c>
      <c r="D23" s="32">
        <v>6.0</v>
      </c>
      <c r="E23" s="32">
        <v>3.0</v>
      </c>
      <c r="F23" s="33">
        <v>7.5</v>
      </c>
      <c r="G23" s="34" t="str">
        <f>IF($C23="","",IF(OR($Q23="masa ciała",$Q23="czas",$Q23="dystans",$Q23="ręczne ustawienie"),$Q23,IF($C23='T1'!$C23,IF(AND(LEFT($A23,1)&lt;&gt;"A",PRZEL_AKCESORIA="trzymaj z bloku"),IF(NOT(ISNUMBER('T4'!$G23)),'T4'!$G23,MROUND('T4'!$G23*$AC23/(MAX('T4'!$AC23,0.0001)),MAX($P23,0.5))),IF(OR($R23="",$R23=0),"— brak 1RM",MROUND($R23*$S23/100*$AC23,MAX($P23,0.5)))),IF(OR($AA23="",$AA23=0),"— ustaw ręcznie",MROUND($AA23*$S23/100*$AC23,MAX($P23,0.5))))))</f>
        <v/>
      </c>
      <c r="H23" s="35"/>
      <c r="I23" s="36" t="str">
        <f t="array" ref="I23">IFERROR(IF(IFERROR(INDEX(BAZA_FILM,MATCH($C23,BAZA_EX,0)),"")="","",HYPERLINK(IFERROR(INDEX(BAZA_FILM,MATCH($C23,BAZA_EX,0)),""),"film")),"")</f>
        <v/>
      </c>
      <c r="J23" s="37" t="str">
        <f>IF('T1'!$J23="","",'T1'!$J23)</f>
        <v/>
      </c>
      <c r="K23" s="5" t="s">
        <v>74</v>
      </c>
      <c r="L23" s="5" t="str">
        <f t="array" ref="L23">IFERROR(INDEX(BAZA_ID,MATCH($C23,BAZA_EX,0)),"")</f>
        <v/>
      </c>
      <c r="M23" s="5" t="str">
        <f t="array" ref="M23">IFERROR(INDEX(BAZA_PART,MATCH($C23,BAZA_EX,0)),"")</f>
        <v/>
      </c>
      <c r="N23" s="5" t="str">
        <f t="array" ref="N23">IFERROR(INDEX(BAZA_KAT,MATCH($C23,BAZA_EX,0)),"")</f>
        <v/>
      </c>
      <c r="O23" s="5" t="str">
        <f t="array" ref="O23">IFERROR(INDEX(BAZA_COEFF,MATCH($C23,BAZA_EX,0)),"")</f>
        <v/>
      </c>
      <c r="P23" s="5" t="str">
        <f t="array" ref="P23">IFERROR(INDEX(BAZA_SKOK,MATCH($C23,BAZA_EX,0)),"")</f>
        <v/>
      </c>
      <c r="Q23" s="5" t="str">
        <f t="array" ref="Q23">IFERROR(INDEX(BAZA_PROG,MATCH($C23,BAZA_EX,0)),"")</f>
        <v/>
      </c>
      <c r="R23" s="5" t="str">
        <f>IF($C23="","",IF(SUMPRODUCT((START!$B$6:$B$69=$C23)*(START!$M$6:$M$69&gt;0))=0,"",SUMPRODUCT(MAX((START!$B$6:$B$69=$C23)*START!$M$6:$M$69))))</f>
        <v/>
      </c>
      <c r="S23" s="5">
        <f t="array" ref="S23">IFERROR(INDEX(TABELE!$B$4:$J$18,MATCH($E23,TABELE!$A$4:$A$18,0),MATCH($F23,TABELE!$B$3:$J$3,0)),"")</f>
        <v>83.5</v>
      </c>
      <c r="T23" s="5">
        <f t="array" ref="T23">IFERROR(IF($C23="",0,$O23*$D23*INDEX(TABELE!$B$23:$P$33,MATCH($F23,TABELE!$A$23:$A$33,0),MATCH($E23,TABELE!$B$22:$P$22,0))),0)</f>
        <v>0</v>
      </c>
      <c r="U23" s="5">
        <f t="array" ref="U23">IFERROR(IF($C23="",0,$O23*$D23*INDEX(TABELE!$B$37:$P$47,MATCH($F23,TABELE!$A$37:$A$47,0),MATCH($E23,TABELE!$B$36:$P$36,0))),0)</f>
        <v>0</v>
      </c>
      <c r="V23" s="5">
        <f t="array" ref="V23">IFERROR(IF($C23="",0,$O23*$D23*INDEX(TABELE!$B$51:$P$61,MATCH($F23,TABELE!$A$51:$A$61,0),MATCH($E23,TABELE!$B$50:$P$50,0))),0)</f>
        <v>0</v>
      </c>
      <c r="W23" s="5" t="str">
        <f t="array" ref="W23">IFERROR(INDEX(BAZA_UWAGI,MATCH($C23,BAZA_EX,0)),"")</f>
        <v/>
      </c>
      <c r="X23" s="5">
        <f t="shared" ref="X23:X34" si="6">IF($A23="","",$Z23)</f>
        <v>1</v>
      </c>
      <c r="Y23" s="5" t="str">
        <f>IF($A23="","",LEFT($A23,1))</f>
        <v>A</v>
      </c>
      <c r="Z23" s="5">
        <f>IF($A23="",0,1)</f>
        <v>1</v>
      </c>
      <c r="AA23" s="5" t="str">
        <f>IF($C23="","",IF(SUMPRODUCT((START!$B$6:$B$69=$C23)*(START!$M$6:$M$69&gt;0))=0,"",SUMPRODUCT(MAX((START!$B$6:$B$69=$C23)*START!$M$6:$M$69))))</f>
        <v/>
      </c>
      <c r="AB23" s="5" t="str">
        <f t="shared" ref="AB23:AB34" si="7">IF($C23="","",IF($H23&lt;&gt;"",$H23,IF($H$35="✓ ukończony","OK","")))</f>
        <v/>
      </c>
      <c r="AC23" s="5">
        <f>MAX(0.85,MIN(1.15,1+0.05*(COUNTIF('T1'!$AB23,"za łatwe")+COUNTIF('T2'!$AB23,"za łatwe")+COUNTIF('T3'!$AB23,"za łatwe")+COUNTIF('T4'!$AB23,"za łatwe")+COUNTIF('T5'!$AB23,"za łatwe"))-0.05*(COUNTIF('T1'!$AB23,"za trudne")+COUNTIF('T2'!$AB23,"za trudne")+COUNTIF('T3'!$AB23,"za trudne")+COUNTIF('T4'!$AB23,"za trudne")+COUNTIF('T5'!$AB23,"za trudne"))))</f>
        <v>1</v>
      </c>
      <c r="AD23" s="5">
        <f t="shared" ref="AD23:AD34" si="8">IF(OR($Q23="masa ciała",$Q23="czas",$Q23="dystans",$Q23="ręczne ustawienie"),MAX(-3,MIN(3,ROUND(($AC23-1)/0.05,0))),0)</f>
        <v>0</v>
      </c>
    </row>
    <row r="24" ht="25.5" customHeight="1" outlineLevel="1">
      <c r="A24" s="18" t="str">
        <f>IF('T1'!$A24="","",'T1'!$A24)</f>
        <v>B1.</v>
      </c>
      <c r="B24" s="30"/>
      <c r="C24" s="31" t="str">
        <f>IF('T1'!$C24="","",'T1'!$C24)</f>
        <v/>
      </c>
      <c r="D24" s="32">
        <v>3.0</v>
      </c>
      <c r="E24" s="39">
        <f>IF($C24="",0,MIN(15,MAX(1,IF(N($O24)&gt;=1,6,IF(N($O24)&gt;=0.75,IF(PRZEL_CZESC="część 1 (objętość)",8,6),IF(PRZEL_CZESC="część 1 (objętość)",10,8)))+2+$AD24)))</f>
        <v>0</v>
      </c>
      <c r="F24" s="33">
        <v>9.0</v>
      </c>
      <c r="G24" s="34" t="str">
        <f>IF($C24="","",IF(OR($Q24="masa ciała",$Q24="czas",$Q24="dystans",$Q24="ręczne ustawienie"),$Q24,IF($C24='T1'!$C24,IF(AND(LEFT($A24,1)&lt;&gt;"A",PRZEL_AKCESORIA="trzymaj z bloku"),IF(NOT(ISNUMBER('T4'!$G24)),'T4'!$G24,MROUND('T4'!$G24*$AC24/(MAX('T4'!$AC24,0.0001)),MAX($P24,0.5))),IF(OR($R24="",$R24=0),"— brak 1RM",MROUND($R24*$S24/100*$AC24,MAX($P24,0.5)))),IF(OR($AA24="",$AA24=0),"— ustaw ręcznie",MROUND($AA24*$S24/100*$AC24,MAX($P24,0.5))))))</f>
        <v/>
      </c>
      <c r="H24" s="35"/>
      <c r="I24" s="36" t="str">
        <f t="array" ref="I24">IFERROR(IF(IFERROR(INDEX(BAZA_FILM,MATCH($C24,BAZA_EX,0)),"")="","",HYPERLINK(IFERROR(INDEX(BAZA_FILM,MATCH($C24,BAZA_EX,0)),""),"film")),"")</f>
        <v/>
      </c>
      <c r="J24" s="37" t="str">
        <f>IF('T1'!$J24="","",'T1'!$J24)</f>
        <v/>
      </c>
      <c r="K24" s="5" t="s">
        <v>75</v>
      </c>
      <c r="L24" s="5" t="str">
        <f t="array" ref="L24">IFERROR(INDEX(BAZA_ID,MATCH($C24,BAZA_EX,0)),"")</f>
        <v/>
      </c>
      <c r="M24" s="5" t="str">
        <f t="array" ref="M24">IFERROR(INDEX(BAZA_PART,MATCH($C24,BAZA_EX,0)),"")</f>
        <v/>
      </c>
      <c r="N24" s="5" t="str">
        <f t="array" ref="N24">IFERROR(INDEX(BAZA_KAT,MATCH($C24,BAZA_EX,0)),"")</f>
        <v/>
      </c>
      <c r="O24" s="5" t="str">
        <f t="array" ref="O24">IFERROR(INDEX(BAZA_COEFF,MATCH($C24,BAZA_EX,0)),"")</f>
        <v/>
      </c>
      <c r="P24" s="5" t="str">
        <f t="array" ref="P24">IFERROR(INDEX(BAZA_SKOK,MATCH($C24,BAZA_EX,0)),"")</f>
        <v/>
      </c>
      <c r="Q24" s="5" t="str">
        <f t="array" ref="Q24">IFERROR(INDEX(BAZA_PROG,MATCH($C24,BAZA_EX,0)),"")</f>
        <v/>
      </c>
      <c r="R24" s="5" t="str">
        <f>IF($C24="","",IF(SUMPRODUCT((START!$B$6:$B$69=$C24)*(START!$M$6:$M$69&gt;0))=0,"",SUMPRODUCT(MAX((START!$B$6:$B$69=$C24)*START!$M$6:$M$69))))</f>
        <v/>
      </c>
      <c r="S24" s="5" t="str">
        <f t="array" ref="S24">IFERROR(INDEX(TABELE!$B$4:$J$18,MATCH($E24,TABELE!$A$4:$A$18,0),MATCH($F24,TABELE!$B$3:$J$3,0)),"")</f>
        <v/>
      </c>
      <c r="T24" s="5">
        <f t="array" ref="T24">IFERROR(IF($C24="",0,$O24*$D24*INDEX(TABELE!$B$23:$P$33,MATCH($F24,TABELE!$A$23:$A$33,0),MATCH($E24,TABELE!$B$22:$P$22,0))),0)</f>
        <v>0</v>
      </c>
      <c r="U24" s="5">
        <f t="array" ref="U24">IFERROR(IF($C24="",0,$O24*$D24*INDEX(TABELE!$B$37:$P$47,MATCH($F24,TABELE!$A$37:$A$47,0),MATCH($E24,TABELE!$B$36:$P$36,0))),0)</f>
        <v>0</v>
      </c>
      <c r="V24" s="5">
        <f t="array" ref="V24">IFERROR(IF($C24="",0,$O24*$D24*INDEX(TABELE!$B$51:$P$61,MATCH($F24,TABELE!$A$51:$A$61,0),MATCH($E24,TABELE!$B$50:$P$50,0))),0)</f>
        <v>0</v>
      </c>
      <c r="W24" s="5" t="str">
        <f t="array" ref="W24">IFERROR(INDEX(BAZA_UWAGI,MATCH($C24,BAZA_EX,0)),"")</f>
        <v/>
      </c>
      <c r="X24" s="5">
        <f t="shared" si="6"/>
        <v>2</v>
      </c>
      <c r="Y24" s="5" t="str">
        <f t="shared" ref="Y24:Y34" si="9">IF($A24="",$Y23,LEFT($A24,1))</f>
        <v>B</v>
      </c>
      <c r="Z24" s="5">
        <f t="shared" ref="Z24:Z34" si="10">IF($A24="",$Z23,IF(LEFT($A24,1)=$Y23,$Z23,$Z23+1))</f>
        <v>2</v>
      </c>
      <c r="AA24" s="5" t="str">
        <f>IF($C24="","",IF(SUMPRODUCT((START!$B$6:$B$69=$C24)*(START!$M$6:$M$69&gt;0))=0,"",SUMPRODUCT(MAX((START!$B$6:$B$69=$C24)*START!$M$6:$M$69))))</f>
        <v/>
      </c>
      <c r="AB24" s="5" t="str">
        <f t="shared" si="7"/>
        <v/>
      </c>
      <c r="AC24" s="5">
        <f>MAX(0.85,MIN(1.15,1+0.05*(COUNTIF('T1'!$AB24,"za łatwe")+COUNTIF('T2'!$AB24,"za łatwe")+COUNTIF('T3'!$AB24,"za łatwe")+COUNTIF('T4'!$AB24,"za łatwe")+COUNTIF('T5'!$AB24,"za łatwe"))-0.05*(COUNTIF('T1'!$AB24,"za trudne")+COUNTIF('T2'!$AB24,"za trudne")+COUNTIF('T3'!$AB24,"za trudne")+COUNTIF('T4'!$AB24,"za trudne")+COUNTIF('T5'!$AB24,"za trudne"))))</f>
        <v>1</v>
      </c>
      <c r="AD24" s="5">
        <f t="shared" si="8"/>
        <v>0</v>
      </c>
    </row>
    <row r="25" ht="25.5" customHeight="1" outlineLevel="1">
      <c r="A25" s="18" t="str">
        <f>IF('T1'!$A25="","",'T1'!$A25)</f>
        <v>B2.</v>
      </c>
      <c r="B25" s="30"/>
      <c r="C25" s="31" t="str">
        <f>IF('T1'!$C25="","",'T1'!$C25)</f>
        <v/>
      </c>
      <c r="D25" s="32">
        <v>3.0</v>
      </c>
      <c r="E25" s="39">
        <f>IF($C25="",0,MIN(15,MAX(1,IF(N($O25)&gt;=1,6,IF(N($O25)&gt;=0.75,IF(PRZEL_CZESC="część 1 (objętość)",8,6),IF(PRZEL_CZESC="część 1 (objętość)",10,8)))+2+$AD25)))</f>
        <v>0</v>
      </c>
      <c r="F25" s="33">
        <v>9.0</v>
      </c>
      <c r="G25" s="34" t="str">
        <f>IF($C25="","",IF(OR($Q25="masa ciała",$Q25="czas",$Q25="dystans",$Q25="ręczne ustawienie"),$Q25,IF($C25='T1'!$C25,IF(AND(LEFT($A25,1)&lt;&gt;"A",PRZEL_AKCESORIA="trzymaj z bloku"),IF(NOT(ISNUMBER('T4'!$G25)),'T4'!$G25,MROUND('T4'!$G25*$AC25/(MAX('T4'!$AC25,0.0001)),MAX($P25,0.5))),IF(OR($R25="",$R25=0),"— brak 1RM",MROUND($R25*$S25/100*$AC25,MAX($P25,0.5)))),IF(OR($AA25="",$AA25=0),"— ustaw ręcznie",MROUND($AA25*$S25/100*$AC25,MAX($P25,0.5))))))</f>
        <v/>
      </c>
      <c r="H25" s="35"/>
      <c r="I25" s="36" t="str">
        <f t="array" ref="I25">IFERROR(IF(IFERROR(INDEX(BAZA_FILM,MATCH($C25,BAZA_EX,0)),"")="","",HYPERLINK(IFERROR(INDEX(BAZA_FILM,MATCH($C25,BAZA_EX,0)),""),"film")),"")</f>
        <v/>
      </c>
      <c r="J25" s="37" t="str">
        <f>IF('T1'!$J25="","",'T1'!$J25)</f>
        <v/>
      </c>
      <c r="K25" s="5" t="s">
        <v>76</v>
      </c>
      <c r="L25" s="5" t="str">
        <f t="array" ref="L25">IFERROR(INDEX(BAZA_ID,MATCH($C25,BAZA_EX,0)),"")</f>
        <v/>
      </c>
      <c r="M25" s="5" t="str">
        <f t="array" ref="M25">IFERROR(INDEX(BAZA_PART,MATCH($C25,BAZA_EX,0)),"")</f>
        <v/>
      </c>
      <c r="N25" s="5" t="str">
        <f t="array" ref="N25">IFERROR(INDEX(BAZA_KAT,MATCH($C25,BAZA_EX,0)),"")</f>
        <v/>
      </c>
      <c r="O25" s="5" t="str">
        <f t="array" ref="O25">IFERROR(INDEX(BAZA_COEFF,MATCH($C25,BAZA_EX,0)),"")</f>
        <v/>
      </c>
      <c r="P25" s="5" t="str">
        <f t="array" ref="P25">IFERROR(INDEX(BAZA_SKOK,MATCH($C25,BAZA_EX,0)),"")</f>
        <v/>
      </c>
      <c r="Q25" s="5" t="str">
        <f t="array" ref="Q25">IFERROR(INDEX(BAZA_PROG,MATCH($C25,BAZA_EX,0)),"")</f>
        <v/>
      </c>
      <c r="R25" s="5" t="str">
        <f>IF($C25="","",IF(SUMPRODUCT((START!$B$6:$B$69=$C25)*(START!$M$6:$M$69&gt;0))=0,"",SUMPRODUCT(MAX((START!$B$6:$B$69=$C25)*START!$M$6:$M$69))))</f>
        <v/>
      </c>
      <c r="S25" s="5" t="str">
        <f t="array" ref="S25">IFERROR(INDEX(TABELE!$B$4:$J$18,MATCH($E25,TABELE!$A$4:$A$18,0),MATCH($F25,TABELE!$B$3:$J$3,0)),"")</f>
        <v/>
      </c>
      <c r="T25" s="5">
        <f t="array" ref="T25">IFERROR(IF($C25="",0,$O25*$D25*INDEX(TABELE!$B$23:$P$33,MATCH($F25,TABELE!$A$23:$A$33,0),MATCH($E25,TABELE!$B$22:$P$22,0))),0)</f>
        <v>0</v>
      </c>
      <c r="U25" s="5">
        <f t="array" ref="U25">IFERROR(IF($C25="",0,$O25*$D25*INDEX(TABELE!$B$37:$P$47,MATCH($F25,TABELE!$A$37:$A$47,0),MATCH($E25,TABELE!$B$36:$P$36,0))),0)</f>
        <v>0</v>
      </c>
      <c r="V25" s="5">
        <f t="array" ref="V25">IFERROR(IF($C25="",0,$O25*$D25*INDEX(TABELE!$B$51:$P$61,MATCH($F25,TABELE!$A$51:$A$61,0),MATCH($E25,TABELE!$B$50:$P$50,0))),0)</f>
        <v>0</v>
      </c>
      <c r="W25" s="5" t="str">
        <f t="array" ref="W25">IFERROR(INDEX(BAZA_UWAGI,MATCH($C25,BAZA_EX,0)),"")</f>
        <v/>
      </c>
      <c r="X25" s="5">
        <f t="shared" si="6"/>
        <v>2</v>
      </c>
      <c r="Y25" s="5" t="str">
        <f t="shared" si="9"/>
        <v>B</v>
      </c>
      <c r="Z25" s="5">
        <f t="shared" si="10"/>
        <v>2</v>
      </c>
      <c r="AA25" s="5" t="str">
        <f>IF($C25="","",IF(SUMPRODUCT((START!$B$6:$B$69=$C25)*(START!$M$6:$M$69&gt;0))=0,"",SUMPRODUCT(MAX((START!$B$6:$B$69=$C25)*START!$M$6:$M$69))))</f>
        <v/>
      </c>
      <c r="AB25" s="5" t="str">
        <f t="shared" si="7"/>
        <v/>
      </c>
      <c r="AC25" s="5">
        <f>MAX(0.85,MIN(1.15,1+0.05*(COUNTIF('T1'!$AB25,"za łatwe")+COUNTIF('T2'!$AB25,"za łatwe")+COUNTIF('T3'!$AB25,"za łatwe")+COUNTIF('T4'!$AB25,"za łatwe")+COUNTIF('T5'!$AB25,"za łatwe"))-0.05*(COUNTIF('T1'!$AB25,"za trudne")+COUNTIF('T2'!$AB25,"za trudne")+COUNTIF('T3'!$AB25,"za trudne")+COUNTIF('T4'!$AB25,"za trudne")+COUNTIF('T5'!$AB25,"za trudne"))))</f>
        <v>1</v>
      </c>
      <c r="AD25" s="5">
        <f t="shared" si="8"/>
        <v>0</v>
      </c>
    </row>
    <row r="26" ht="25.5" customHeight="1" outlineLevel="1">
      <c r="A26" s="18" t="str">
        <f>IF('T1'!$A26="","",'T1'!$A26)</f>
        <v>C1.</v>
      </c>
      <c r="B26" s="30"/>
      <c r="C26" s="31" t="str">
        <f>IF('T1'!$C26="","",'T1'!$C26)</f>
        <v/>
      </c>
      <c r="D26" s="32">
        <v>3.0</v>
      </c>
      <c r="E26" s="39">
        <f>IF($C26="",0,MIN(15,MAX(1,IF(N($O26)&gt;=1,6,IF(N($O26)&gt;=0.75,IF(PRZEL_CZESC="część 1 (objętość)",8,6),IF(PRZEL_CZESC="część 1 (objętość)",10,8)))+2+$AD26)))</f>
        <v>0</v>
      </c>
      <c r="F26" s="33">
        <v>9.0</v>
      </c>
      <c r="G26" s="34" t="str">
        <f>IF($C26="","",IF(OR($Q26="masa ciała",$Q26="czas",$Q26="dystans",$Q26="ręczne ustawienie"),$Q26,IF($C26='T1'!$C26,IF(AND(LEFT($A26,1)&lt;&gt;"A",PRZEL_AKCESORIA="trzymaj z bloku"),IF(NOT(ISNUMBER('T4'!$G26)),'T4'!$G26,MROUND('T4'!$G26*$AC26/(MAX('T4'!$AC26,0.0001)),MAX($P26,0.5))),IF(OR($R26="",$R26=0),"— brak 1RM",MROUND($R26*$S26/100*$AC26,MAX($P26,0.5)))),IF(OR($AA26="",$AA26=0),"— ustaw ręcznie",MROUND($AA26*$S26/100*$AC26,MAX($P26,0.5))))))</f>
        <v/>
      </c>
      <c r="H26" s="35"/>
      <c r="I26" s="36" t="str">
        <f t="array" ref="I26">IFERROR(IF(IFERROR(INDEX(BAZA_FILM,MATCH($C26,BAZA_EX,0)),"")="","",HYPERLINK(IFERROR(INDEX(BAZA_FILM,MATCH($C26,BAZA_EX,0)),""),"film")),"")</f>
        <v/>
      </c>
      <c r="J26" s="37" t="str">
        <f>IF('T1'!$J26="","",'T1'!$J26)</f>
        <v/>
      </c>
      <c r="K26" s="5" t="s">
        <v>77</v>
      </c>
      <c r="L26" s="5" t="str">
        <f t="array" ref="L26">IFERROR(INDEX(BAZA_ID,MATCH($C26,BAZA_EX,0)),"")</f>
        <v/>
      </c>
      <c r="M26" s="5" t="str">
        <f t="array" ref="M26">IFERROR(INDEX(BAZA_PART,MATCH($C26,BAZA_EX,0)),"")</f>
        <v/>
      </c>
      <c r="N26" s="5" t="str">
        <f t="array" ref="N26">IFERROR(INDEX(BAZA_KAT,MATCH($C26,BAZA_EX,0)),"")</f>
        <v/>
      </c>
      <c r="O26" s="5" t="str">
        <f t="array" ref="O26">IFERROR(INDEX(BAZA_COEFF,MATCH($C26,BAZA_EX,0)),"")</f>
        <v/>
      </c>
      <c r="P26" s="5" t="str">
        <f t="array" ref="P26">IFERROR(INDEX(BAZA_SKOK,MATCH($C26,BAZA_EX,0)),"")</f>
        <v/>
      </c>
      <c r="Q26" s="5" t="str">
        <f t="array" ref="Q26">IFERROR(INDEX(BAZA_PROG,MATCH($C26,BAZA_EX,0)),"")</f>
        <v/>
      </c>
      <c r="R26" s="5" t="str">
        <f>IF($C26="","",IF(SUMPRODUCT((START!$B$6:$B$69=$C26)*(START!$M$6:$M$69&gt;0))=0,"",SUMPRODUCT(MAX((START!$B$6:$B$69=$C26)*START!$M$6:$M$69))))</f>
        <v/>
      </c>
      <c r="S26" s="5" t="str">
        <f t="array" ref="S26">IFERROR(INDEX(TABELE!$B$4:$J$18,MATCH($E26,TABELE!$A$4:$A$18,0),MATCH($F26,TABELE!$B$3:$J$3,0)),"")</f>
        <v/>
      </c>
      <c r="T26" s="5">
        <f t="array" ref="T26">IFERROR(IF($C26="",0,$O26*$D26*INDEX(TABELE!$B$23:$P$33,MATCH($F26,TABELE!$A$23:$A$33,0),MATCH($E26,TABELE!$B$22:$P$22,0))),0)</f>
        <v>0</v>
      </c>
      <c r="U26" s="5">
        <f t="array" ref="U26">IFERROR(IF($C26="",0,$O26*$D26*INDEX(TABELE!$B$37:$P$47,MATCH($F26,TABELE!$A$37:$A$47,0),MATCH($E26,TABELE!$B$36:$P$36,0))),0)</f>
        <v>0</v>
      </c>
      <c r="V26" s="5">
        <f t="array" ref="V26">IFERROR(IF($C26="",0,$O26*$D26*INDEX(TABELE!$B$51:$P$61,MATCH($F26,TABELE!$A$51:$A$61,0),MATCH($E26,TABELE!$B$50:$P$50,0))),0)</f>
        <v>0</v>
      </c>
      <c r="W26" s="5" t="str">
        <f t="array" ref="W26">IFERROR(INDEX(BAZA_UWAGI,MATCH($C26,BAZA_EX,0)),"")</f>
        <v/>
      </c>
      <c r="X26" s="5">
        <f t="shared" si="6"/>
        <v>3</v>
      </c>
      <c r="Y26" s="5" t="str">
        <f t="shared" si="9"/>
        <v>C</v>
      </c>
      <c r="Z26" s="5">
        <f t="shared" si="10"/>
        <v>3</v>
      </c>
      <c r="AA26" s="5" t="str">
        <f>IF($C26="","",IF(SUMPRODUCT((START!$B$6:$B$69=$C26)*(START!$M$6:$M$69&gt;0))=0,"",SUMPRODUCT(MAX((START!$B$6:$B$69=$C26)*START!$M$6:$M$69))))</f>
        <v/>
      </c>
      <c r="AB26" s="5" t="str">
        <f t="shared" si="7"/>
        <v/>
      </c>
      <c r="AC26" s="5">
        <f>MAX(0.85,MIN(1.15,1+0.05*(COUNTIF('T1'!$AB26,"za łatwe")+COUNTIF('T2'!$AB26,"za łatwe")+COUNTIF('T3'!$AB26,"za łatwe")+COUNTIF('T4'!$AB26,"za łatwe")+COUNTIF('T5'!$AB26,"za łatwe"))-0.05*(COUNTIF('T1'!$AB26,"za trudne")+COUNTIF('T2'!$AB26,"za trudne")+COUNTIF('T3'!$AB26,"za trudne")+COUNTIF('T4'!$AB26,"za trudne")+COUNTIF('T5'!$AB26,"za trudne"))))</f>
        <v>1</v>
      </c>
      <c r="AD26" s="5">
        <f t="shared" si="8"/>
        <v>0</v>
      </c>
    </row>
    <row r="27" ht="25.5" customHeight="1" outlineLevel="1">
      <c r="A27" s="18" t="str">
        <f>IF('T1'!$A27="","",'T1'!$A27)</f>
        <v>C2.</v>
      </c>
      <c r="B27" s="30"/>
      <c r="C27" s="31" t="str">
        <f>IF('T1'!$C27="","",'T1'!$C27)</f>
        <v/>
      </c>
      <c r="D27" s="32">
        <v>3.0</v>
      </c>
      <c r="E27" s="39">
        <f>IF($C27="",0,MIN(15,MAX(1,IF(N($O27)&gt;=1,6,IF(N($O27)&gt;=0.75,IF(PRZEL_CZESC="część 1 (objętość)",8,6),IF(PRZEL_CZESC="część 1 (objętość)",10,8)))+2+$AD27)))</f>
        <v>0</v>
      </c>
      <c r="F27" s="33">
        <v>10.0</v>
      </c>
      <c r="G27" s="34" t="str">
        <f>IF($C27="","",IF(OR($Q27="masa ciała",$Q27="czas",$Q27="dystans",$Q27="ręczne ustawienie"),$Q27,IF($C27='T1'!$C27,IF(AND(LEFT($A27,1)&lt;&gt;"A",PRZEL_AKCESORIA="trzymaj z bloku"),IF(NOT(ISNUMBER('T4'!$G27)),'T4'!$G27,MROUND('T4'!$G27*$AC27/(MAX('T4'!$AC27,0.0001)),MAX($P27,0.5))),IF(OR($R27="",$R27=0),"— brak 1RM",MROUND($R27*$S27/100*$AC27,MAX($P27,0.5)))),IF(OR($AA27="",$AA27=0),"— ustaw ręcznie",MROUND($AA27*$S27/100*$AC27,MAX($P27,0.5))))))</f>
        <v/>
      </c>
      <c r="H27" s="35"/>
      <c r="I27" s="36" t="str">
        <f t="array" ref="I27">IFERROR(IF(IFERROR(INDEX(BAZA_FILM,MATCH($C27,BAZA_EX,0)),"")="","",HYPERLINK(IFERROR(INDEX(BAZA_FILM,MATCH($C27,BAZA_EX,0)),""),"film")),"")</f>
        <v/>
      </c>
      <c r="J27" s="37" t="str">
        <f>IF('T1'!$J27="","",'T1'!$J27)</f>
        <v/>
      </c>
      <c r="K27" s="5" t="s">
        <v>79</v>
      </c>
      <c r="L27" s="5" t="str">
        <f t="array" ref="L27">IFERROR(INDEX(BAZA_ID,MATCH($C27,BAZA_EX,0)),"")</f>
        <v/>
      </c>
      <c r="M27" s="5" t="str">
        <f t="array" ref="M27">IFERROR(INDEX(BAZA_PART,MATCH($C27,BAZA_EX,0)),"")</f>
        <v/>
      </c>
      <c r="N27" s="5" t="str">
        <f t="array" ref="N27">IFERROR(INDEX(BAZA_KAT,MATCH($C27,BAZA_EX,0)),"")</f>
        <v/>
      </c>
      <c r="O27" s="5" t="str">
        <f t="array" ref="O27">IFERROR(INDEX(BAZA_COEFF,MATCH($C27,BAZA_EX,0)),"")</f>
        <v/>
      </c>
      <c r="P27" s="5" t="str">
        <f t="array" ref="P27">IFERROR(INDEX(BAZA_SKOK,MATCH($C27,BAZA_EX,0)),"")</f>
        <v/>
      </c>
      <c r="Q27" s="5" t="str">
        <f t="array" ref="Q27">IFERROR(INDEX(BAZA_PROG,MATCH($C27,BAZA_EX,0)),"")</f>
        <v/>
      </c>
      <c r="R27" s="5" t="str">
        <f>IF($C27="","",IF(SUMPRODUCT((START!$B$6:$B$69=$C27)*(START!$M$6:$M$69&gt;0))=0,"",SUMPRODUCT(MAX((START!$B$6:$B$69=$C27)*START!$M$6:$M$69))))</f>
        <v/>
      </c>
      <c r="S27" s="5" t="str">
        <f t="array" ref="S27">IFERROR(INDEX(TABELE!$B$4:$J$18,MATCH($E27,TABELE!$A$4:$A$18,0),MATCH($F27,TABELE!$B$3:$J$3,0)),"")</f>
        <v/>
      </c>
      <c r="T27" s="5">
        <f t="array" ref="T27">IFERROR(IF($C27="",0,$O27*$D27*INDEX(TABELE!$B$23:$P$33,MATCH($F27,TABELE!$A$23:$A$33,0),MATCH($E27,TABELE!$B$22:$P$22,0))),0)</f>
        <v>0</v>
      </c>
      <c r="U27" s="5">
        <f t="array" ref="U27">IFERROR(IF($C27="",0,$O27*$D27*INDEX(TABELE!$B$37:$P$47,MATCH($F27,TABELE!$A$37:$A$47,0),MATCH($E27,TABELE!$B$36:$P$36,0))),0)</f>
        <v>0</v>
      </c>
      <c r="V27" s="5">
        <f t="array" ref="V27">IFERROR(IF($C27="",0,$O27*$D27*INDEX(TABELE!$B$51:$P$61,MATCH($F27,TABELE!$A$51:$A$61,0),MATCH($E27,TABELE!$B$50:$P$50,0))),0)</f>
        <v>0</v>
      </c>
      <c r="W27" s="5" t="str">
        <f t="array" ref="W27">IFERROR(INDEX(BAZA_UWAGI,MATCH($C27,BAZA_EX,0)),"")</f>
        <v/>
      </c>
      <c r="X27" s="5">
        <f t="shared" si="6"/>
        <v>3</v>
      </c>
      <c r="Y27" s="5" t="str">
        <f t="shared" si="9"/>
        <v>C</v>
      </c>
      <c r="Z27" s="5">
        <f t="shared" si="10"/>
        <v>3</v>
      </c>
      <c r="AA27" s="5" t="str">
        <f>IF($C27="","",IF(SUMPRODUCT((START!$B$6:$B$69=$C27)*(START!$M$6:$M$69&gt;0))=0,"",SUMPRODUCT(MAX((START!$B$6:$B$69=$C27)*START!$M$6:$M$69))))</f>
        <v/>
      </c>
      <c r="AB27" s="5" t="str">
        <f t="shared" si="7"/>
        <v/>
      </c>
      <c r="AC27" s="5">
        <f>MAX(0.85,MIN(1.15,1+0.05*(COUNTIF('T1'!$AB27,"za łatwe")+COUNTIF('T2'!$AB27,"za łatwe")+COUNTIF('T3'!$AB27,"za łatwe")+COUNTIF('T4'!$AB27,"za łatwe")+COUNTIF('T5'!$AB27,"za łatwe"))-0.05*(COUNTIF('T1'!$AB27,"za trudne")+COUNTIF('T2'!$AB27,"za trudne")+COUNTIF('T3'!$AB27,"za trudne")+COUNTIF('T4'!$AB27,"za trudne")+COUNTIF('T5'!$AB27,"za trudne"))))</f>
        <v>1</v>
      </c>
      <c r="AD27" s="5">
        <f t="shared" si="8"/>
        <v>0</v>
      </c>
    </row>
    <row r="28" ht="25.5" customHeight="1" outlineLevel="1">
      <c r="A28" s="18" t="str">
        <f>IF('T1'!$A28="","",'T1'!$A28)</f>
        <v>D1.</v>
      </c>
      <c r="B28" s="30"/>
      <c r="C28" s="31" t="str">
        <f>IF('T1'!$C28="","",'T1'!$C28)</f>
        <v/>
      </c>
      <c r="D28" s="32">
        <v>3.0</v>
      </c>
      <c r="E28" s="39">
        <f>IF($C28="",0,MIN(15,MAX(1,IF(N($O28)&gt;=1,6,IF(N($O28)&gt;=0.75,IF(PRZEL_CZESC="część 1 (objętość)",8,6),IF(PRZEL_CZESC="część 1 (objętość)",10,8)))+2+$AD28)))</f>
        <v>0</v>
      </c>
      <c r="F28" s="33">
        <v>9.0</v>
      </c>
      <c r="G28" s="34" t="str">
        <f>IF($C28="","",IF(OR($Q28="masa ciała",$Q28="czas",$Q28="dystans",$Q28="ręczne ustawienie"),$Q28,IF($C28='T1'!$C28,IF(AND(LEFT($A28,1)&lt;&gt;"A",PRZEL_AKCESORIA="trzymaj z bloku"),IF(NOT(ISNUMBER('T4'!$G28)),'T4'!$G28,MROUND('T4'!$G28*$AC28/(MAX('T4'!$AC28,0.0001)),MAX($P28,0.5))),IF(OR($R28="",$R28=0),"— brak 1RM",MROUND($R28*$S28/100*$AC28,MAX($P28,0.5)))),IF(OR($AA28="",$AA28=0),"— ustaw ręcznie",MROUND($AA28*$S28/100*$AC28,MAX($P28,0.5))))))</f>
        <v/>
      </c>
      <c r="H28" s="35"/>
      <c r="I28" s="36" t="str">
        <f t="array" ref="I28">IFERROR(IF(IFERROR(INDEX(BAZA_FILM,MATCH($C28,BAZA_EX,0)),"")="","",HYPERLINK(IFERROR(INDEX(BAZA_FILM,MATCH($C28,BAZA_EX,0)),""),"film")),"")</f>
        <v/>
      </c>
      <c r="J28" s="37" t="str">
        <f>IF('T1'!$J28="","",'T1'!$J28)</f>
        <v/>
      </c>
      <c r="K28" s="5" t="s">
        <v>80</v>
      </c>
      <c r="L28" s="5" t="str">
        <f t="array" ref="L28">IFERROR(INDEX(BAZA_ID,MATCH($C28,BAZA_EX,0)),"")</f>
        <v/>
      </c>
      <c r="M28" s="5" t="str">
        <f t="array" ref="M28">IFERROR(INDEX(BAZA_PART,MATCH($C28,BAZA_EX,0)),"")</f>
        <v/>
      </c>
      <c r="N28" s="5" t="str">
        <f t="array" ref="N28">IFERROR(INDEX(BAZA_KAT,MATCH($C28,BAZA_EX,0)),"")</f>
        <v/>
      </c>
      <c r="O28" s="5" t="str">
        <f t="array" ref="O28">IFERROR(INDEX(BAZA_COEFF,MATCH($C28,BAZA_EX,0)),"")</f>
        <v/>
      </c>
      <c r="P28" s="5" t="str">
        <f t="array" ref="P28">IFERROR(INDEX(BAZA_SKOK,MATCH($C28,BAZA_EX,0)),"")</f>
        <v/>
      </c>
      <c r="Q28" s="5" t="str">
        <f t="array" ref="Q28">IFERROR(INDEX(BAZA_PROG,MATCH($C28,BAZA_EX,0)),"")</f>
        <v/>
      </c>
      <c r="R28" s="5" t="str">
        <f>IF($C28="","",IF(SUMPRODUCT((START!$B$6:$B$69=$C28)*(START!$M$6:$M$69&gt;0))=0,"",SUMPRODUCT(MAX((START!$B$6:$B$69=$C28)*START!$M$6:$M$69))))</f>
        <v/>
      </c>
      <c r="S28" s="5" t="str">
        <f t="array" ref="S28">IFERROR(INDEX(TABELE!$B$4:$J$18,MATCH($E28,TABELE!$A$4:$A$18,0),MATCH($F28,TABELE!$B$3:$J$3,0)),"")</f>
        <v/>
      </c>
      <c r="T28" s="5">
        <f t="array" ref="T28">IFERROR(IF($C28="",0,$O28*$D28*INDEX(TABELE!$B$23:$P$33,MATCH($F28,TABELE!$A$23:$A$33,0),MATCH($E28,TABELE!$B$22:$P$22,0))),0)</f>
        <v>0</v>
      </c>
      <c r="U28" s="5">
        <f t="array" ref="U28">IFERROR(IF($C28="",0,$O28*$D28*INDEX(TABELE!$B$37:$P$47,MATCH($F28,TABELE!$A$37:$A$47,0),MATCH($E28,TABELE!$B$36:$P$36,0))),0)</f>
        <v>0</v>
      </c>
      <c r="V28" s="5">
        <f t="array" ref="V28">IFERROR(IF($C28="",0,$O28*$D28*INDEX(TABELE!$B$51:$P$61,MATCH($F28,TABELE!$A$51:$A$61,0),MATCH($E28,TABELE!$B$50:$P$50,0))),0)</f>
        <v>0</v>
      </c>
      <c r="W28" s="5" t="str">
        <f t="array" ref="W28">IFERROR(INDEX(BAZA_UWAGI,MATCH($C28,BAZA_EX,0)),"")</f>
        <v/>
      </c>
      <c r="X28" s="5">
        <f t="shared" si="6"/>
        <v>4</v>
      </c>
      <c r="Y28" s="5" t="str">
        <f t="shared" si="9"/>
        <v>D</v>
      </c>
      <c r="Z28" s="5">
        <f t="shared" si="10"/>
        <v>4</v>
      </c>
      <c r="AA28" s="5" t="str">
        <f>IF($C28="","",IF(SUMPRODUCT((START!$B$6:$B$69=$C28)*(START!$M$6:$M$69&gt;0))=0,"",SUMPRODUCT(MAX((START!$B$6:$B$69=$C28)*START!$M$6:$M$69))))</f>
        <v/>
      </c>
      <c r="AB28" s="5" t="str">
        <f t="shared" si="7"/>
        <v/>
      </c>
      <c r="AC28" s="5">
        <f>MAX(0.85,MIN(1.15,1+0.05*(COUNTIF('T1'!$AB28,"za łatwe")+COUNTIF('T2'!$AB28,"za łatwe")+COUNTIF('T3'!$AB28,"za łatwe")+COUNTIF('T4'!$AB28,"za łatwe")+COUNTIF('T5'!$AB28,"za łatwe"))-0.05*(COUNTIF('T1'!$AB28,"za trudne")+COUNTIF('T2'!$AB28,"za trudne")+COUNTIF('T3'!$AB28,"za trudne")+COUNTIF('T4'!$AB28,"za trudne")+COUNTIF('T5'!$AB28,"za trudne"))))</f>
        <v>1</v>
      </c>
      <c r="AD28" s="5">
        <f t="shared" si="8"/>
        <v>0</v>
      </c>
    </row>
    <row r="29" ht="25.5" customHeight="1" outlineLevel="1">
      <c r="A29" s="18" t="str">
        <f>IF('T1'!$A29="","",'T1'!$A29)</f>
        <v>D2.</v>
      </c>
      <c r="B29" s="30"/>
      <c r="C29" s="31" t="str">
        <f>IF('T1'!$C29="","",'T1'!$C29)</f>
        <v/>
      </c>
      <c r="D29" s="32">
        <v>3.0</v>
      </c>
      <c r="E29" s="39">
        <f>IF($C29="",0,MIN(15,MAX(1,IF(N($O29)&gt;=1,6,IF(N($O29)&gt;=0.75,IF(PRZEL_CZESC="część 1 (objętość)",8,6),IF(PRZEL_CZESC="część 1 (objętość)",10,8)))+2+$AD29)))</f>
        <v>0</v>
      </c>
      <c r="F29" s="33">
        <v>10.0</v>
      </c>
      <c r="G29" s="34" t="str">
        <f>IF($C29="","",IF(OR($Q29="masa ciała",$Q29="czas",$Q29="dystans",$Q29="ręczne ustawienie"),$Q29,IF($C29='T1'!$C29,IF(AND(LEFT($A29,1)&lt;&gt;"A",PRZEL_AKCESORIA="trzymaj z bloku"),IF(NOT(ISNUMBER('T4'!$G29)),'T4'!$G29,MROUND('T4'!$G29*$AC29/(MAX('T4'!$AC29,0.0001)),MAX($P29,0.5))),IF(OR($R29="",$R29=0),"— brak 1RM",MROUND($R29*$S29/100*$AC29,MAX($P29,0.5)))),IF(OR($AA29="",$AA29=0),"— ustaw ręcznie",MROUND($AA29*$S29/100*$AC29,MAX($P29,0.5))))))</f>
        <v/>
      </c>
      <c r="H29" s="35"/>
      <c r="I29" s="36" t="str">
        <f t="array" ref="I29">IFERROR(IF(IFERROR(INDEX(BAZA_FILM,MATCH($C29,BAZA_EX,0)),"")="","",HYPERLINK(IFERROR(INDEX(BAZA_FILM,MATCH($C29,BAZA_EX,0)),""),"film")),"")</f>
        <v/>
      </c>
      <c r="J29" s="37" t="str">
        <f>IF('T1'!$J29="","",'T1'!$J29)</f>
        <v/>
      </c>
      <c r="K29" s="5" t="s">
        <v>81</v>
      </c>
      <c r="L29" s="5" t="str">
        <f t="array" ref="L29">IFERROR(INDEX(BAZA_ID,MATCH($C29,BAZA_EX,0)),"")</f>
        <v/>
      </c>
      <c r="M29" s="5" t="str">
        <f t="array" ref="M29">IFERROR(INDEX(BAZA_PART,MATCH($C29,BAZA_EX,0)),"")</f>
        <v/>
      </c>
      <c r="N29" s="5" t="str">
        <f t="array" ref="N29">IFERROR(INDEX(BAZA_KAT,MATCH($C29,BAZA_EX,0)),"")</f>
        <v/>
      </c>
      <c r="O29" s="5" t="str">
        <f t="array" ref="O29">IFERROR(INDEX(BAZA_COEFF,MATCH($C29,BAZA_EX,0)),"")</f>
        <v/>
      </c>
      <c r="P29" s="5" t="str">
        <f t="array" ref="P29">IFERROR(INDEX(BAZA_SKOK,MATCH($C29,BAZA_EX,0)),"")</f>
        <v/>
      </c>
      <c r="Q29" s="5" t="str">
        <f t="array" ref="Q29">IFERROR(INDEX(BAZA_PROG,MATCH($C29,BAZA_EX,0)),"")</f>
        <v/>
      </c>
      <c r="R29" s="5" t="str">
        <f>IF($C29="","",IF(SUMPRODUCT((START!$B$6:$B$69=$C29)*(START!$M$6:$M$69&gt;0))=0,"",SUMPRODUCT(MAX((START!$B$6:$B$69=$C29)*START!$M$6:$M$69))))</f>
        <v/>
      </c>
      <c r="S29" s="5" t="str">
        <f t="array" ref="S29">IFERROR(INDEX(TABELE!$B$4:$J$18,MATCH($E29,TABELE!$A$4:$A$18,0),MATCH($F29,TABELE!$B$3:$J$3,0)),"")</f>
        <v/>
      </c>
      <c r="T29" s="5">
        <f t="array" ref="T29">IFERROR(IF($C29="",0,$O29*$D29*INDEX(TABELE!$B$23:$P$33,MATCH($F29,TABELE!$A$23:$A$33,0),MATCH($E29,TABELE!$B$22:$P$22,0))),0)</f>
        <v>0</v>
      </c>
      <c r="U29" s="5">
        <f t="array" ref="U29">IFERROR(IF($C29="",0,$O29*$D29*INDEX(TABELE!$B$37:$P$47,MATCH($F29,TABELE!$A$37:$A$47,0),MATCH($E29,TABELE!$B$36:$P$36,0))),0)</f>
        <v>0</v>
      </c>
      <c r="V29" s="5">
        <f t="array" ref="V29">IFERROR(IF($C29="",0,$O29*$D29*INDEX(TABELE!$B$51:$P$61,MATCH($F29,TABELE!$A$51:$A$61,0),MATCH($E29,TABELE!$B$50:$P$50,0))),0)</f>
        <v>0</v>
      </c>
      <c r="W29" s="5" t="str">
        <f t="array" ref="W29">IFERROR(INDEX(BAZA_UWAGI,MATCH($C29,BAZA_EX,0)),"")</f>
        <v/>
      </c>
      <c r="X29" s="5">
        <f t="shared" si="6"/>
        <v>4</v>
      </c>
      <c r="Y29" s="5" t="str">
        <f t="shared" si="9"/>
        <v>D</v>
      </c>
      <c r="Z29" s="5">
        <f t="shared" si="10"/>
        <v>4</v>
      </c>
      <c r="AA29" s="5" t="str">
        <f>IF($C29="","",IF(SUMPRODUCT((START!$B$6:$B$69=$C29)*(START!$M$6:$M$69&gt;0))=0,"",SUMPRODUCT(MAX((START!$B$6:$B$69=$C29)*START!$M$6:$M$69))))</f>
        <v/>
      </c>
      <c r="AB29" s="5" t="str">
        <f t="shared" si="7"/>
        <v/>
      </c>
      <c r="AC29" s="5">
        <f>MAX(0.85,MIN(1.15,1+0.05*(COUNTIF('T1'!$AB29,"za łatwe")+COUNTIF('T2'!$AB29,"za łatwe")+COUNTIF('T3'!$AB29,"za łatwe")+COUNTIF('T4'!$AB29,"za łatwe")+COUNTIF('T5'!$AB29,"za łatwe"))-0.05*(COUNTIF('T1'!$AB29,"za trudne")+COUNTIF('T2'!$AB29,"za trudne")+COUNTIF('T3'!$AB29,"za trudne")+COUNTIF('T4'!$AB29,"za trudne")+COUNTIF('T5'!$AB29,"za trudne"))))</f>
        <v>1</v>
      </c>
      <c r="AD29" s="5">
        <f t="shared" si="8"/>
        <v>0</v>
      </c>
    </row>
    <row r="30" ht="25.5" customHeight="1" outlineLevel="1">
      <c r="A30" s="18" t="str">
        <f>IF('T1'!$A30="","",'T1'!$A30)</f>
        <v>E1.</v>
      </c>
      <c r="B30" s="30"/>
      <c r="C30" s="31" t="str">
        <f>IF('T1'!$C30="","",'T1'!$C30)</f>
        <v/>
      </c>
      <c r="D30" s="32"/>
      <c r="E30" s="39">
        <f>IF($C30="",0,MIN(15,MAX(1,IF(N($O30)&gt;=1,6,IF(N($O30)&gt;=0.75,IF(PRZEL_CZESC="część 1 (objętość)",8,6),IF(PRZEL_CZESC="część 1 (objętość)",10,8)))+2+$AD30)))</f>
        <v>0</v>
      </c>
      <c r="F30" s="33"/>
      <c r="G30" s="34" t="str">
        <f>IF($C30="","",IF(OR($Q30="masa ciała",$Q30="czas",$Q30="dystans",$Q30="ręczne ustawienie"),$Q30,IF($C30='T1'!$C30,IF(AND(LEFT($A30,1)&lt;&gt;"A",PRZEL_AKCESORIA="trzymaj z bloku"),IF(NOT(ISNUMBER('T4'!$G30)),'T4'!$G30,MROUND('T4'!$G30*$AC30/(MAX('T4'!$AC30,0.0001)),MAX($P30,0.5))),IF(OR($R30="",$R30=0),"— brak 1RM",MROUND($R30*$S30/100*$AC30,MAX($P30,0.5)))),IF(OR($AA30="",$AA30=0),"— ustaw ręcznie",MROUND($AA30*$S30/100*$AC30,MAX($P30,0.5))))))</f>
        <v/>
      </c>
      <c r="H30" s="35"/>
      <c r="I30" s="36" t="str">
        <f t="array" ref="I30">IFERROR(IF(IFERROR(INDEX(BAZA_FILM,MATCH($C30,BAZA_EX,0)),"")="","",HYPERLINK(IFERROR(INDEX(BAZA_FILM,MATCH($C30,BAZA_EX,0)),""),"film")),"")</f>
        <v/>
      </c>
      <c r="J30" s="37" t="str">
        <f>IF('T1'!$J30="","",'T1'!$J30)</f>
        <v/>
      </c>
      <c r="K30" s="5" t="s">
        <v>82</v>
      </c>
      <c r="L30" s="5" t="str">
        <f t="array" ref="L30">IFERROR(INDEX(BAZA_ID,MATCH($C30,BAZA_EX,0)),"")</f>
        <v/>
      </c>
      <c r="M30" s="5" t="str">
        <f t="array" ref="M30">IFERROR(INDEX(BAZA_PART,MATCH($C30,BAZA_EX,0)),"")</f>
        <v/>
      </c>
      <c r="N30" s="5" t="str">
        <f t="array" ref="N30">IFERROR(INDEX(BAZA_KAT,MATCH($C30,BAZA_EX,0)),"")</f>
        <v/>
      </c>
      <c r="O30" s="5" t="str">
        <f t="array" ref="O30">IFERROR(INDEX(BAZA_COEFF,MATCH($C30,BAZA_EX,0)),"")</f>
        <v/>
      </c>
      <c r="P30" s="5" t="str">
        <f t="array" ref="P30">IFERROR(INDEX(BAZA_SKOK,MATCH($C30,BAZA_EX,0)),"")</f>
        <v/>
      </c>
      <c r="Q30" s="5" t="str">
        <f t="array" ref="Q30">IFERROR(INDEX(BAZA_PROG,MATCH($C30,BAZA_EX,0)),"")</f>
        <v/>
      </c>
      <c r="R30" s="5" t="str">
        <f>IF($C30="","",IF(SUMPRODUCT((START!$B$6:$B$69=$C30)*(START!$M$6:$M$69&gt;0))=0,"",SUMPRODUCT(MAX((START!$B$6:$B$69=$C30)*START!$M$6:$M$69))))</f>
        <v/>
      </c>
      <c r="S30" s="5" t="str">
        <f t="array" ref="S30">IFERROR(INDEX(TABELE!$B$4:$J$18,MATCH($E30,TABELE!$A$4:$A$18,0),MATCH($F30,TABELE!$B$3:$J$3,0)),"")</f>
        <v/>
      </c>
      <c r="T30" s="5">
        <f t="array" ref="T30">IFERROR(IF($C30="",0,$O30*$D30*INDEX(TABELE!$B$23:$P$33,MATCH($F30,TABELE!$A$23:$A$33,0),MATCH($E30,TABELE!$B$22:$P$22,0))),0)</f>
        <v>0</v>
      </c>
      <c r="U30" s="5">
        <f t="array" ref="U30">IFERROR(IF($C30="",0,$O30*$D30*INDEX(TABELE!$B$37:$P$47,MATCH($F30,TABELE!$A$37:$A$47,0),MATCH($E30,TABELE!$B$36:$P$36,0))),0)</f>
        <v>0</v>
      </c>
      <c r="V30" s="5">
        <f t="array" ref="V30">IFERROR(IF($C30="",0,$O30*$D30*INDEX(TABELE!$B$51:$P$61,MATCH($F30,TABELE!$A$51:$A$61,0),MATCH($E30,TABELE!$B$50:$P$50,0))),0)</f>
        <v>0</v>
      </c>
      <c r="W30" s="5" t="str">
        <f t="array" ref="W30">IFERROR(INDEX(BAZA_UWAGI,MATCH($C30,BAZA_EX,0)),"")</f>
        <v/>
      </c>
      <c r="X30" s="5">
        <f t="shared" si="6"/>
        <v>5</v>
      </c>
      <c r="Y30" s="5" t="str">
        <f t="shared" si="9"/>
        <v>E</v>
      </c>
      <c r="Z30" s="5">
        <f t="shared" si="10"/>
        <v>5</v>
      </c>
      <c r="AA30" s="5" t="str">
        <f>IF($C30="","",IF(SUMPRODUCT((START!$B$6:$B$69=$C30)*(START!$M$6:$M$69&gt;0))=0,"",SUMPRODUCT(MAX((START!$B$6:$B$69=$C30)*START!$M$6:$M$69))))</f>
        <v/>
      </c>
      <c r="AB30" s="5" t="str">
        <f t="shared" si="7"/>
        <v/>
      </c>
      <c r="AC30" s="5">
        <f>MAX(0.85,MIN(1.15,1+0.05*(COUNTIF('T1'!$AB30,"za łatwe")+COUNTIF('T2'!$AB30,"za łatwe")+COUNTIF('T3'!$AB30,"za łatwe")+COUNTIF('T4'!$AB30,"za łatwe")+COUNTIF('T5'!$AB30,"za łatwe"))-0.05*(COUNTIF('T1'!$AB30,"za trudne")+COUNTIF('T2'!$AB30,"za trudne")+COUNTIF('T3'!$AB30,"za trudne")+COUNTIF('T4'!$AB30,"za trudne")+COUNTIF('T5'!$AB30,"za trudne"))))</f>
        <v>1</v>
      </c>
      <c r="AD30" s="5">
        <f t="shared" si="8"/>
        <v>0</v>
      </c>
    </row>
    <row r="31" ht="25.5" customHeight="1" outlineLevel="1">
      <c r="A31" s="18" t="str">
        <f>IF('T1'!$A31="","",'T1'!$A31)</f>
        <v>E2.</v>
      </c>
      <c r="B31" s="30"/>
      <c r="C31" s="31" t="str">
        <f>IF('T1'!$C31="","",'T1'!$C31)</f>
        <v/>
      </c>
      <c r="D31" s="32"/>
      <c r="E31" s="39">
        <f>IF($C31="",0,MIN(15,MAX(1,IF(N($O31)&gt;=1,6,IF(N($O31)&gt;=0.75,IF(PRZEL_CZESC="część 1 (objętość)",8,6),IF(PRZEL_CZESC="część 1 (objętość)",10,8)))+2+$AD31)))</f>
        <v>0</v>
      </c>
      <c r="F31" s="33"/>
      <c r="G31" s="34" t="str">
        <f>IF($C31="","",IF(OR($Q31="masa ciała",$Q31="czas",$Q31="dystans",$Q31="ręczne ustawienie"),$Q31,IF($C31='T1'!$C31,IF(AND(LEFT($A31,1)&lt;&gt;"A",PRZEL_AKCESORIA="trzymaj z bloku"),IF(NOT(ISNUMBER('T4'!$G31)),'T4'!$G31,MROUND('T4'!$G31*$AC31/(MAX('T4'!$AC31,0.0001)),MAX($P31,0.5))),IF(OR($R31="",$R31=0),"— brak 1RM",MROUND($R31*$S31/100*$AC31,MAX($P31,0.5)))),IF(OR($AA31="",$AA31=0),"— ustaw ręcznie",MROUND($AA31*$S31/100*$AC31,MAX($P31,0.5))))))</f>
        <v/>
      </c>
      <c r="H31" s="35"/>
      <c r="I31" s="36" t="str">
        <f t="array" ref="I31">IFERROR(IF(IFERROR(INDEX(BAZA_FILM,MATCH($C31,BAZA_EX,0)),"")="","",HYPERLINK(IFERROR(INDEX(BAZA_FILM,MATCH($C31,BAZA_EX,0)),""),"film")),"")</f>
        <v/>
      </c>
      <c r="J31" s="37" t="str">
        <f>IF('T1'!$J31="","",'T1'!$J31)</f>
        <v/>
      </c>
      <c r="K31" s="5" t="s">
        <v>83</v>
      </c>
      <c r="L31" s="5" t="str">
        <f t="array" ref="L31">IFERROR(INDEX(BAZA_ID,MATCH($C31,BAZA_EX,0)),"")</f>
        <v/>
      </c>
      <c r="M31" s="5" t="str">
        <f t="array" ref="M31">IFERROR(INDEX(BAZA_PART,MATCH($C31,BAZA_EX,0)),"")</f>
        <v/>
      </c>
      <c r="N31" s="5" t="str">
        <f t="array" ref="N31">IFERROR(INDEX(BAZA_KAT,MATCH($C31,BAZA_EX,0)),"")</f>
        <v/>
      </c>
      <c r="O31" s="5" t="str">
        <f t="array" ref="O31">IFERROR(INDEX(BAZA_COEFF,MATCH($C31,BAZA_EX,0)),"")</f>
        <v/>
      </c>
      <c r="P31" s="5" t="str">
        <f t="array" ref="P31">IFERROR(INDEX(BAZA_SKOK,MATCH($C31,BAZA_EX,0)),"")</f>
        <v/>
      </c>
      <c r="Q31" s="5" t="str">
        <f t="array" ref="Q31">IFERROR(INDEX(BAZA_PROG,MATCH($C31,BAZA_EX,0)),"")</f>
        <v/>
      </c>
      <c r="R31" s="5" t="str">
        <f>IF($C31="","",IF(SUMPRODUCT((START!$B$6:$B$69=$C31)*(START!$M$6:$M$69&gt;0))=0,"",SUMPRODUCT(MAX((START!$B$6:$B$69=$C31)*START!$M$6:$M$69))))</f>
        <v/>
      </c>
      <c r="S31" s="5" t="str">
        <f t="array" ref="S31">IFERROR(INDEX(TABELE!$B$4:$J$18,MATCH($E31,TABELE!$A$4:$A$18,0),MATCH($F31,TABELE!$B$3:$J$3,0)),"")</f>
        <v/>
      </c>
      <c r="T31" s="5">
        <f t="array" ref="T31">IFERROR(IF($C31="",0,$O31*$D31*INDEX(TABELE!$B$23:$P$33,MATCH($F31,TABELE!$A$23:$A$33,0),MATCH($E31,TABELE!$B$22:$P$22,0))),0)</f>
        <v>0</v>
      </c>
      <c r="U31" s="5">
        <f t="array" ref="U31">IFERROR(IF($C31="",0,$O31*$D31*INDEX(TABELE!$B$37:$P$47,MATCH($F31,TABELE!$A$37:$A$47,0),MATCH($E31,TABELE!$B$36:$P$36,0))),0)</f>
        <v>0</v>
      </c>
      <c r="V31" s="5">
        <f t="array" ref="V31">IFERROR(IF($C31="",0,$O31*$D31*INDEX(TABELE!$B$51:$P$61,MATCH($F31,TABELE!$A$51:$A$61,0),MATCH($E31,TABELE!$B$50:$P$50,0))),0)</f>
        <v>0</v>
      </c>
      <c r="W31" s="5" t="str">
        <f t="array" ref="W31">IFERROR(INDEX(BAZA_UWAGI,MATCH($C31,BAZA_EX,0)),"")</f>
        <v/>
      </c>
      <c r="X31" s="5">
        <f t="shared" si="6"/>
        <v>5</v>
      </c>
      <c r="Y31" s="5" t="str">
        <f t="shared" si="9"/>
        <v>E</v>
      </c>
      <c r="Z31" s="5">
        <f t="shared" si="10"/>
        <v>5</v>
      </c>
      <c r="AA31" s="5" t="str">
        <f>IF($C31="","",IF(SUMPRODUCT((START!$B$6:$B$69=$C31)*(START!$M$6:$M$69&gt;0))=0,"",SUMPRODUCT(MAX((START!$B$6:$B$69=$C31)*START!$M$6:$M$69))))</f>
        <v/>
      </c>
      <c r="AB31" s="5" t="str">
        <f t="shared" si="7"/>
        <v/>
      </c>
      <c r="AC31" s="5">
        <f>MAX(0.85,MIN(1.15,1+0.05*(COUNTIF('T1'!$AB31,"za łatwe")+COUNTIF('T2'!$AB31,"za łatwe")+COUNTIF('T3'!$AB31,"za łatwe")+COUNTIF('T4'!$AB31,"za łatwe")+COUNTIF('T5'!$AB31,"za łatwe"))-0.05*(COUNTIF('T1'!$AB31,"za trudne")+COUNTIF('T2'!$AB31,"za trudne")+COUNTIF('T3'!$AB31,"za trudne")+COUNTIF('T4'!$AB31,"za trudne")+COUNTIF('T5'!$AB31,"za trudne"))))</f>
        <v>1</v>
      </c>
      <c r="AD31" s="5">
        <f t="shared" si="8"/>
        <v>0</v>
      </c>
    </row>
    <row r="32" ht="25.5" customHeight="1" outlineLevel="1">
      <c r="A32" s="18" t="str">
        <f>IF('T1'!$A32="","",'T1'!$A32)</f>
        <v/>
      </c>
      <c r="B32" s="30"/>
      <c r="C32" s="31" t="str">
        <f>IF('T1'!$C32="","",'T1'!$C32)</f>
        <v/>
      </c>
      <c r="D32" s="32"/>
      <c r="E32" s="39">
        <f>IF($C32="",0,MIN(15,MAX(1,IF(N($O32)&gt;=1,6,IF(N($O32)&gt;=0.75,IF(PRZEL_CZESC="część 1 (objętość)",8,6),IF(PRZEL_CZESC="część 1 (objętość)",10,8)))+2+$AD32)))</f>
        <v>0</v>
      </c>
      <c r="F32" s="33"/>
      <c r="G32" s="34" t="str">
        <f>IF($C32="","",IF(OR($Q32="masa ciała",$Q32="czas",$Q32="dystans",$Q32="ręczne ustawienie"),$Q32,IF($C32='T1'!$C32,IF(AND(LEFT($A32,1)&lt;&gt;"A",PRZEL_AKCESORIA="trzymaj z bloku"),IF(NOT(ISNUMBER('T4'!$G32)),'T4'!$G32,MROUND('T4'!$G32*$AC32/(MAX('T4'!$AC32,0.0001)),MAX($P32,0.5))),IF(OR($R32="",$R32=0),"— brak 1RM",MROUND($R32*$S32/100*$AC32,MAX($P32,0.5)))),IF(OR($AA32="",$AA32=0),"— ustaw ręcznie",MROUND($AA32*$S32/100*$AC32,MAX($P32,0.5))))))</f>
        <v/>
      </c>
      <c r="H32" s="35"/>
      <c r="I32" s="36" t="str">
        <f t="array" ref="I32">IFERROR(IF(IFERROR(INDEX(BAZA_FILM,MATCH($C32,BAZA_EX,0)),"")="","",HYPERLINK(IFERROR(INDEX(BAZA_FILM,MATCH($C32,BAZA_EX,0)),""),"film")),"")</f>
        <v/>
      </c>
      <c r="J32" s="37" t="str">
        <f>IF('T1'!$J32="","",'T1'!$J32)</f>
        <v/>
      </c>
      <c r="K32" s="5" t="s">
        <v>85</v>
      </c>
      <c r="L32" s="5" t="str">
        <f t="array" ref="L32">IFERROR(INDEX(BAZA_ID,MATCH($C32,BAZA_EX,0)),"")</f>
        <v/>
      </c>
      <c r="M32" s="5" t="str">
        <f t="array" ref="M32">IFERROR(INDEX(BAZA_PART,MATCH($C32,BAZA_EX,0)),"")</f>
        <v/>
      </c>
      <c r="N32" s="5" t="str">
        <f t="array" ref="N32">IFERROR(INDEX(BAZA_KAT,MATCH($C32,BAZA_EX,0)),"")</f>
        <v/>
      </c>
      <c r="O32" s="5" t="str">
        <f t="array" ref="O32">IFERROR(INDEX(BAZA_COEFF,MATCH($C32,BAZA_EX,0)),"")</f>
        <v/>
      </c>
      <c r="P32" s="5" t="str">
        <f t="array" ref="P32">IFERROR(INDEX(BAZA_SKOK,MATCH($C32,BAZA_EX,0)),"")</f>
        <v/>
      </c>
      <c r="Q32" s="5" t="str">
        <f t="array" ref="Q32">IFERROR(INDEX(BAZA_PROG,MATCH($C32,BAZA_EX,0)),"")</f>
        <v/>
      </c>
      <c r="R32" s="5" t="str">
        <f>IF($C32="","",IF(SUMPRODUCT((START!$B$6:$B$69=$C32)*(START!$M$6:$M$69&gt;0))=0,"",SUMPRODUCT(MAX((START!$B$6:$B$69=$C32)*START!$M$6:$M$69))))</f>
        <v/>
      </c>
      <c r="S32" s="5" t="str">
        <f t="array" ref="S32">IFERROR(INDEX(TABELE!$B$4:$J$18,MATCH($E32,TABELE!$A$4:$A$18,0),MATCH($F32,TABELE!$B$3:$J$3,0)),"")</f>
        <v/>
      </c>
      <c r="T32" s="5">
        <f t="array" ref="T32">IFERROR(IF($C32="",0,$O32*$D32*INDEX(TABELE!$B$23:$P$33,MATCH($F32,TABELE!$A$23:$A$33,0),MATCH($E32,TABELE!$B$22:$P$22,0))),0)</f>
        <v>0</v>
      </c>
      <c r="U32" s="5">
        <f t="array" ref="U32">IFERROR(IF($C32="",0,$O32*$D32*INDEX(TABELE!$B$37:$P$47,MATCH($F32,TABELE!$A$37:$A$47,0),MATCH($E32,TABELE!$B$36:$P$36,0))),0)</f>
        <v>0</v>
      </c>
      <c r="V32" s="5">
        <f t="array" ref="V32">IFERROR(IF($C32="",0,$O32*$D32*INDEX(TABELE!$B$51:$P$61,MATCH($F32,TABELE!$A$51:$A$61,0),MATCH($E32,TABELE!$B$50:$P$50,0))),0)</f>
        <v>0</v>
      </c>
      <c r="W32" s="5" t="str">
        <f t="array" ref="W32">IFERROR(INDEX(BAZA_UWAGI,MATCH($C32,BAZA_EX,0)),"")</f>
        <v/>
      </c>
      <c r="X32" s="5" t="str">
        <f t="shared" si="6"/>
        <v/>
      </c>
      <c r="Y32" s="5" t="str">
        <f t="shared" si="9"/>
        <v>E</v>
      </c>
      <c r="Z32" s="5">
        <f t="shared" si="10"/>
        <v>5</v>
      </c>
      <c r="AA32" s="5" t="str">
        <f>IF($C32="","",IF(SUMPRODUCT((START!$B$6:$B$69=$C32)*(START!$M$6:$M$69&gt;0))=0,"",SUMPRODUCT(MAX((START!$B$6:$B$69=$C32)*START!$M$6:$M$69))))</f>
        <v/>
      </c>
      <c r="AB32" s="5" t="str">
        <f t="shared" si="7"/>
        <v/>
      </c>
      <c r="AC32" s="5">
        <f>MAX(0.85,MIN(1.15,1+0.05*(COUNTIF('T1'!$AB32,"za łatwe")+COUNTIF('T2'!$AB32,"za łatwe")+COUNTIF('T3'!$AB32,"za łatwe")+COUNTIF('T4'!$AB32,"za łatwe")+COUNTIF('T5'!$AB32,"za łatwe"))-0.05*(COUNTIF('T1'!$AB32,"za trudne")+COUNTIF('T2'!$AB32,"za trudne")+COUNTIF('T3'!$AB32,"za trudne")+COUNTIF('T4'!$AB32,"za trudne")+COUNTIF('T5'!$AB32,"za trudne"))))</f>
        <v>1</v>
      </c>
      <c r="AD32" s="5">
        <f t="shared" si="8"/>
        <v>0</v>
      </c>
    </row>
    <row r="33" ht="25.5" customHeight="1" outlineLevel="1">
      <c r="A33" s="18" t="str">
        <f>IF('T1'!$A33="","",'T1'!$A33)</f>
        <v/>
      </c>
      <c r="B33" s="30"/>
      <c r="C33" s="31" t="str">
        <f>IF('T1'!$C33="","",'T1'!$C33)</f>
        <v/>
      </c>
      <c r="D33" s="32"/>
      <c r="E33" s="39">
        <f>IF($C33="",0,MIN(15,MAX(1,IF(N($O33)&gt;=1,6,IF(N($O33)&gt;=0.75,IF(PRZEL_CZESC="część 1 (objętość)",8,6),IF(PRZEL_CZESC="część 1 (objętość)",10,8)))+2+$AD33)))</f>
        <v>0</v>
      </c>
      <c r="F33" s="33"/>
      <c r="G33" s="34" t="str">
        <f>IF($C33="","",IF(OR($Q33="masa ciała",$Q33="czas",$Q33="dystans",$Q33="ręczne ustawienie"),$Q33,IF($C33='T1'!$C33,IF(AND(LEFT($A33,1)&lt;&gt;"A",PRZEL_AKCESORIA="trzymaj z bloku"),IF(NOT(ISNUMBER('T4'!$G33)),'T4'!$G33,MROUND('T4'!$G33*$AC33/(MAX('T4'!$AC33,0.0001)),MAX($P33,0.5))),IF(OR($R33="",$R33=0),"— brak 1RM",MROUND($R33*$S33/100*$AC33,MAX($P33,0.5)))),IF(OR($AA33="",$AA33=0),"— ustaw ręcznie",MROUND($AA33*$S33/100*$AC33,MAX($P33,0.5))))))</f>
        <v/>
      </c>
      <c r="H33" s="35"/>
      <c r="I33" s="36" t="str">
        <f t="array" ref="I33">IFERROR(IF(IFERROR(INDEX(BAZA_FILM,MATCH($C33,BAZA_EX,0)),"")="","",HYPERLINK(IFERROR(INDEX(BAZA_FILM,MATCH($C33,BAZA_EX,0)),""),"film")),"")</f>
        <v/>
      </c>
      <c r="J33" s="37" t="str">
        <f>IF('T1'!$J33="","",'T1'!$J33)</f>
        <v/>
      </c>
      <c r="K33" s="5" t="s">
        <v>86</v>
      </c>
      <c r="L33" s="5" t="str">
        <f t="array" ref="L33">IFERROR(INDEX(BAZA_ID,MATCH($C33,BAZA_EX,0)),"")</f>
        <v/>
      </c>
      <c r="M33" s="5" t="str">
        <f t="array" ref="M33">IFERROR(INDEX(BAZA_PART,MATCH($C33,BAZA_EX,0)),"")</f>
        <v/>
      </c>
      <c r="N33" s="5" t="str">
        <f t="array" ref="N33">IFERROR(INDEX(BAZA_KAT,MATCH($C33,BAZA_EX,0)),"")</f>
        <v/>
      </c>
      <c r="O33" s="5" t="str">
        <f t="array" ref="O33">IFERROR(INDEX(BAZA_COEFF,MATCH($C33,BAZA_EX,0)),"")</f>
        <v/>
      </c>
      <c r="P33" s="5" t="str">
        <f t="array" ref="P33">IFERROR(INDEX(BAZA_SKOK,MATCH($C33,BAZA_EX,0)),"")</f>
        <v/>
      </c>
      <c r="Q33" s="5" t="str">
        <f t="array" ref="Q33">IFERROR(INDEX(BAZA_PROG,MATCH($C33,BAZA_EX,0)),"")</f>
        <v/>
      </c>
      <c r="R33" s="5" t="str">
        <f>IF($C33="","",IF(SUMPRODUCT((START!$B$6:$B$69=$C33)*(START!$M$6:$M$69&gt;0))=0,"",SUMPRODUCT(MAX((START!$B$6:$B$69=$C33)*START!$M$6:$M$69))))</f>
        <v/>
      </c>
      <c r="S33" s="5" t="str">
        <f t="array" ref="S33">IFERROR(INDEX(TABELE!$B$4:$J$18,MATCH($E33,TABELE!$A$4:$A$18,0),MATCH($F33,TABELE!$B$3:$J$3,0)),"")</f>
        <v/>
      </c>
      <c r="T33" s="5">
        <f t="array" ref="T33">IFERROR(IF($C33="",0,$O33*$D33*INDEX(TABELE!$B$23:$P$33,MATCH($F33,TABELE!$A$23:$A$33,0),MATCH($E33,TABELE!$B$22:$P$22,0))),0)</f>
        <v>0</v>
      </c>
      <c r="U33" s="5">
        <f t="array" ref="U33">IFERROR(IF($C33="",0,$O33*$D33*INDEX(TABELE!$B$37:$P$47,MATCH($F33,TABELE!$A$37:$A$47,0),MATCH($E33,TABELE!$B$36:$P$36,0))),0)</f>
        <v>0</v>
      </c>
      <c r="V33" s="5">
        <f t="array" ref="V33">IFERROR(IF($C33="",0,$O33*$D33*INDEX(TABELE!$B$51:$P$61,MATCH($F33,TABELE!$A$51:$A$61,0),MATCH($E33,TABELE!$B$50:$P$50,0))),0)</f>
        <v>0</v>
      </c>
      <c r="W33" s="5" t="str">
        <f t="array" ref="W33">IFERROR(INDEX(BAZA_UWAGI,MATCH($C33,BAZA_EX,0)),"")</f>
        <v/>
      </c>
      <c r="X33" s="5" t="str">
        <f t="shared" si="6"/>
        <v/>
      </c>
      <c r="Y33" s="5" t="str">
        <f t="shared" si="9"/>
        <v>E</v>
      </c>
      <c r="Z33" s="5">
        <f t="shared" si="10"/>
        <v>5</v>
      </c>
      <c r="AA33" s="5" t="str">
        <f>IF($C33="","",IF(SUMPRODUCT((START!$B$6:$B$69=$C33)*(START!$M$6:$M$69&gt;0))=0,"",SUMPRODUCT(MAX((START!$B$6:$B$69=$C33)*START!$M$6:$M$69))))</f>
        <v/>
      </c>
      <c r="AB33" s="5" t="str">
        <f t="shared" si="7"/>
        <v/>
      </c>
      <c r="AC33" s="5">
        <f>MAX(0.85,MIN(1.15,1+0.05*(COUNTIF('T1'!$AB33,"za łatwe")+COUNTIF('T2'!$AB33,"za łatwe")+COUNTIF('T3'!$AB33,"za łatwe")+COUNTIF('T4'!$AB33,"za łatwe")+COUNTIF('T5'!$AB33,"za łatwe"))-0.05*(COUNTIF('T1'!$AB33,"za trudne")+COUNTIF('T2'!$AB33,"za trudne")+COUNTIF('T3'!$AB33,"za trudne")+COUNTIF('T4'!$AB33,"za trudne")+COUNTIF('T5'!$AB33,"za trudne"))))</f>
        <v>1</v>
      </c>
      <c r="AD33" s="5">
        <f t="shared" si="8"/>
        <v>0</v>
      </c>
    </row>
    <row r="34" ht="25.5" customHeight="1" outlineLevel="1">
      <c r="A34" s="18" t="str">
        <f>IF('T1'!$A34="","",'T1'!$A34)</f>
        <v/>
      </c>
      <c r="B34" s="30"/>
      <c r="C34" s="31" t="str">
        <f>IF('T1'!$C34="","",'T1'!$C34)</f>
        <v/>
      </c>
      <c r="D34" s="32"/>
      <c r="E34" s="39">
        <f>IF($C34="",0,MIN(15,MAX(1,IF(N($O34)&gt;=1,6,IF(N($O34)&gt;=0.75,IF(PRZEL_CZESC="część 1 (objętość)",8,6),IF(PRZEL_CZESC="część 1 (objętość)",10,8)))+2+$AD34)))</f>
        <v>0</v>
      </c>
      <c r="F34" s="33"/>
      <c r="G34" s="34" t="str">
        <f>IF($C34="","",IF(OR($Q34="masa ciała",$Q34="czas",$Q34="dystans",$Q34="ręczne ustawienie"),$Q34,IF($C34='T1'!$C34,IF(AND(LEFT($A34,1)&lt;&gt;"A",PRZEL_AKCESORIA="trzymaj z bloku"),IF(NOT(ISNUMBER('T4'!$G34)),'T4'!$G34,MROUND('T4'!$G34*$AC34/(MAX('T4'!$AC34,0.0001)),MAX($P34,0.5))),IF(OR($R34="",$R34=0),"— brak 1RM",MROUND($R34*$S34/100*$AC34,MAX($P34,0.5)))),IF(OR($AA34="",$AA34=0),"— ustaw ręcznie",MROUND($AA34*$S34/100*$AC34,MAX($P34,0.5))))))</f>
        <v/>
      </c>
      <c r="H34" s="35"/>
      <c r="I34" s="36" t="str">
        <f t="array" ref="I34">IFERROR(IF(IFERROR(INDEX(BAZA_FILM,MATCH($C34,BAZA_EX,0)),"")="","",HYPERLINK(IFERROR(INDEX(BAZA_FILM,MATCH($C34,BAZA_EX,0)),""),"film")),"")</f>
        <v/>
      </c>
      <c r="J34" s="37" t="str">
        <f>IF('T1'!$J34="","",'T1'!$J34)</f>
        <v/>
      </c>
      <c r="K34" s="5" t="s">
        <v>87</v>
      </c>
      <c r="L34" s="5" t="str">
        <f t="array" ref="L34">IFERROR(INDEX(BAZA_ID,MATCH($C34,BAZA_EX,0)),"")</f>
        <v/>
      </c>
      <c r="M34" s="5" t="str">
        <f t="array" ref="M34">IFERROR(INDEX(BAZA_PART,MATCH($C34,BAZA_EX,0)),"")</f>
        <v/>
      </c>
      <c r="N34" s="5" t="str">
        <f t="array" ref="N34">IFERROR(INDEX(BAZA_KAT,MATCH($C34,BAZA_EX,0)),"")</f>
        <v/>
      </c>
      <c r="O34" s="5" t="str">
        <f t="array" ref="O34">IFERROR(INDEX(BAZA_COEFF,MATCH($C34,BAZA_EX,0)),"")</f>
        <v/>
      </c>
      <c r="P34" s="5" t="str">
        <f t="array" ref="P34">IFERROR(INDEX(BAZA_SKOK,MATCH($C34,BAZA_EX,0)),"")</f>
        <v/>
      </c>
      <c r="Q34" s="5" t="str">
        <f t="array" ref="Q34">IFERROR(INDEX(BAZA_PROG,MATCH($C34,BAZA_EX,0)),"")</f>
        <v/>
      </c>
      <c r="R34" s="5" t="str">
        <f>IF($C34="","",IF(SUMPRODUCT((START!$B$6:$B$69=$C34)*(START!$M$6:$M$69&gt;0))=0,"",SUMPRODUCT(MAX((START!$B$6:$B$69=$C34)*START!$M$6:$M$69))))</f>
        <v/>
      </c>
      <c r="S34" s="5" t="str">
        <f t="array" ref="S34">IFERROR(INDEX(TABELE!$B$4:$J$18,MATCH($E34,TABELE!$A$4:$A$18,0),MATCH($F34,TABELE!$B$3:$J$3,0)),"")</f>
        <v/>
      </c>
      <c r="T34" s="5">
        <f t="array" ref="T34">IFERROR(IF($C34="",0,$O34*$D34*INDEX(TABELE!$B$23:$P$33,MATCH($F34,TABELE!$A$23:$A$33,0),MATCH($E34,TABELE!$B$22:$P$22,0))),0)</f>
        <v>0</v>
      </c>
      <c r="U34" s="5">
        <f t="array" ref="U34">IFERROR(IF($C34="",0,$O34*$D34*INDEX(TABELE!$B$37:$P$47,MATCH($F34,TABELE!$A$37:$A$47,0),MATCH($E34,TABELE!$B$36:$P$36,0))),0)</f>
        <v>0</v>
      </c>
      <c r="V34" s="5">
        <f t="array" ref="V34">IFERROR(IF($C34="",0,$O34*$D34*INDEX(TABELE!$B$51:$P$61,MATCH($F34,TABELE!$A$51:$A$61,0),MATCH($E34,TABELE!$B$50:$P$50,0))),0)</f>
        <v>0</v>
      </c>
      <c r="W34" s="5" t="str">
        <f t="array" ref="W34">IFERROR(INDEX(BAZA_UWAGI,MATCH($C34,BAZA_EX,0)),"")</f>
        <v/>
      </c>
      <c r="X34" s="5" t="str">
        <f t="shared" si="6"/>
        <v/>
      </c>
      <c r="Y34" s="5" t="str">
        <f t="shared" si="9"/>
        <v>E</v>
      </c>
      <c r="Z34" s="5">
        <f t="shared" si="10"/>
        <v>5</v>
      </c>
      <c r="AA34" s="5" t="str">
        <f>IF($C34="","",IF(SUMPRODUCT((START!$B$6:$B$69=$C34)*(START!$M$6:$M$69&gt;0))=0,"",SUMPRODUCT(MAX((START!$B$6:$B$69=$C34)*START!$M$6:$M$69))))</f>
        <v/>
      </c>
      <c r="AB34" s="5" t="str">
        <f t="shared" si="7"/>
        <v/>
      </c>
      <c r="AC34" s="5">
        <f>MAX(0.85,MIN(1.15,1+0.05*(COUNTIF('T1'!$AB34,"za łatwe")+COUNTIF('T2'!$AB34,"za łatwe")+COUNTIF('T3'!$AB34,"za łatwe")+COUNTIF('T4'!$AB34,"za łatwe")+COUNTIF('T5'!$AB34,"za łatwe"))-0.05*(COUNTIF('T1'!$AB34,"za trudne")+COUNTIF('T2'!$AB34,"za trudne")+COUNTIF('T3'!$AB34,"za trudne")+COUNTIF('T4'!$AB34,"za trudne")+COUNTIF('T5'!$AB34,"za trudne"))))</f>
        <v>1</v>
      </c>
      <c r="AD34" s="5">
        <f t="shared" si="8"/>
        <v>0</v>
      </c>
    </row>
    <row r="35" ht="19.5" customHeight="1" outlineLevel="1">
      <c r="A35" s="43"/>
      <c r="B35" s="43"/>
      <c r="C35" s="44" t="s">
        <v>136</v>
      </c>
      <c r="D35" s="45">
        <f>SUMPRODUCT((C23:C34&lt;&gt;"")*D23:D34)+IF(AND($B$22="TOP SET",$C$22&lt;&gt;""),1,0)</f>
      </c>
      <c r="E35" s="46" t="str">
        <f>SUMPRODUCT((C23:C34&lt;&gt;"")*D23:D34*E23:E34)&amp;" powt."</f>
        <v>0 powt.</v>
      </c>
      <c r="F35" s="43"/>
      <c r="G35" s="47" t="str">
        <f>"stres t "&amp;TEXT(SUM(T23:T34),"0.0")</f>
        <v>stres t 0,0</v>
      </c>
      <c r="H35" s="48"/>
      <c r="I35" s="43"/>
      <c r="J35" s="43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25.5" customHeight="1" outlineLevel="1">
      <c r="A37" s="15" t="s">
        <v>88</v>
      </c>
      <c r="B37" s="3"/>
      <c r="C37" s="3"/>
      <c r="D37" s="3"/>
      <c r="E37" s="3"/>
      <c r="F37" s="3"/>
      <c r="G37" s="3"/>
      <c r="H37" s="3"/>
      <c r="I37" s="3"/>
      <c r="J37" s="4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33.75" customHeight="1" outlineLevel="2">
      <c r="A38" s="17" t="str">
        <f>IF($B38="TOP SET","▲","")</f>
        <v>▲</v>
      </c>
      <c r="B38" s="19" t="str">
        <f>IF('T1'!$B38="TOP SET","TOP SET","—")</f>
        <v>TOP SET</v>
      </c>
      <c r="C38" s="22" t="str">
        <f>IF(OR($B38&lt;&gt;"TOP SET",$F38=""),"",IF(N($K38)=0,"",IF(INDEX($C$39:$C$50,$K38)="","",INDEX($C$39:$C$50,$K38))))</f>
      </c>
      <c r="D38" s="23">
        <f>IF(AND($B38="TOP SET",$F38&lt;&gt;""),1,"")</f>
      </c>
      <c r="E38" s="24" t="str">
        <f>IF(AND($B38="TOP SET",$F38&lt;&gt;""),"1 powtórzenie","")</f>
      </c>
      <c r="F38" s="25">
        <v>8.0</v>
      </c>
      <c r="G38" s="27" t="str">
        <f t="array" ref="G38">IF($B38&lt;&gt;"TOP SET","",IF($C38="","",IF(OR($Q38="masa ciała",$Q38="czas",$Q38="dystans",$Q38="ręczne ustawienie"),"—",IF($C38='T1'!$C38,IF(OR($R38="",$R38=0),"— brak 1RM",MROUND($R38*IFERROR(INDEX(TABELE!$B$4:$J$18,MATCH(1,TABELE!$A$4:$A$18,0),MATCH($F38,TABELE!$B$3:$J$3,0)),0)/100,MAX($P38,0.5))),IF(OR($AA38="",$AA38=0),"— ustaw ręcznie",MROUND($AA38*IFERROR(INDEX(TABELE!$B$4:$J$18,MATCH(1,TABELE!$A$4:$A$18,0),MATCH($F38,TABELE!$B$3:$J$3,0)),0)/100,MAX($P38,0.5)))))))</f>
      </c>
      <c r="H38" s="28"/>
      <c r="I38" s="29"/>
      <c r="J38" s="29"/>
      <c r="K38" s="5">
        <f>IFERROR(MATCH("A*",$A$39:$A$50,0),0)</f>
      </c>
      <c r="L38" s="5"/>
      <c r="M38" s="5"/>
      <c r="N38" s="5"/>
      <c r="O38" s="5"/>
      <c r="P38" s="5">
        <f>IF(N($K38)=0,"",INDEX($P$39:$P$50,$K38))</f>
      </c>
      <c r="Q38" s="5">
        <f>IF(N($K38)=0,"",INDEX($Q$39:$Q$50,$K38))</f>
      </c>
      <c r="R38" s="5">
        <f>IF(N($K38)=0,"",INDEX($R$39:$R$50,$K38))</f>
      </c>
      <c r="S38" s="5"/>
      <c r="T38" s="5"/>
      <c r="U38" s="5"/>
      <c r="V38" s="5"/>
      <c r="W38" s="5"/>
      <c r="X38" s="5"/>
      <c r="Y38" s="5"/>
      <c r="Z38" s="5"/>
      <c r="AA38" s="5">
        <f>IF(N($K38)=0,"",INDEX($AA$39:$AA$50,$K38))</f>
      </c>
    </row>
    <row r="39" ht="25.5" customHeight="1" outlineLevel="1">
      <c r="A39" s="18" t="str">
        <f>IF('T1'!$A39="","",'T1'!$A39)</f>
        <v>A1.</v>
      </c>
      <c r="B39" s="30"/>
      <c r="C39" s="31" t="str">
        <f>IF('T1'!$C39="","",'T1'!$C39)</f>
        <v/>
      </c>
      <c r="D39" s="32">
        <v>6.0</v>
      </c>
      <c r="E39" s="32">
        <v>3.0</v>
      </c>
      <c r="F39" s="33">
        <v>7.5</v>
      </c>
      <c r="G39" s="34" t="str">
        <f>IF($C39="","",IF(OR($Q39="masa ciała",$Q39="czas",$Q39="dystans",$Q39="ręczne ustawienie"),$Q39,IF($C39='T1'!$C39,IF(AND(LEFT($A39,1)&lt;&gt;"A",PRZEL_AKCESORIA="trzymaj z bloku"),IF(NOT(ISNUMBER('T4'!$G39)),'T4'!$G39,MROUND('T4'!$G39*$AC39/(MAX('T4'!$AC39,0.0001)),MAX($P39,0.5))),IF(OR($R39="",$R39=0),"— brak 1RM",MROUND($R39*$S39/100*$AC39,MAX($P39,0.5)))),IF(OR($AA39="",$AA39=0),"— ustaw ręcznie",MROUND($AA39*$S39/100*$AC39,MAX($P39,0.5))))))</f>
        <v/>
      </c>
      <c r="H39" s="35"/>
      <c r="I39" s="36" t="str">
        <f t="array" ref="I39">IFERROR(IF(IFERROR(INDEX(BAZA_FILM,MATCH($C39,BAZA_EX,0)),"")="","",HYPERLINK(IFERROR(INDEX(BAZA_FILM,MATCH($C39,BAZA_EX,0)),""),"film")),"")</f>
        <v/>
      </c>
      <c r="J39" s="37" t="str">
        <f>IF('T1'!$J39="","",'T1'!$J39)</f>
        <v/>
      </c>
      <c r="K39" s="5" t="s">
        <v>89</v>
      </c>
      <c r="L39" s="5" t="str">
        <f t="array" ref="L39">IFERROR(INDEX(BAZA_ID,MATCH($C39,BAZA_EX,0)),"")</f>
        <v/>
      </c>
      <c r="M39" s="5" t="str">
        <f t="array" ref="M39">IFERROR(INDEX(BAZA_PART,MATCH($C39,BAZA_EX,0)),"")</f>
        <v/>
      </c>
      <c r="N39" s="5" t="str">
        <f t="array" ref="N39">IFERROR(INDEX(BAZA_KAT,MATCH($C39,BAZA_EX,0)),"")</f>
        <v/>
      </c>
      <c r="O39" s="5" t="str">
        <f t="array" ref="O39">IFERROR(INDEX(BAZA_COEFF,MATCH($C39,BAZA_EX,0)),"")</f>
        <v/>
      </c>
      <c r="P39" s="5" t="str">
        <f t="array" ref="P39">IFERROR(INDEX(BAZA_SKOK,MATCH($C39,BAZA_EX,0)),"")</f>
        <v/>
      </c>
      <c r="Q39" s="5" t="str">
        <f t="array" ref="Q39">IFERROR(INDEX(BAZA_PROG,MATCH($C39,BAZA_EX,0)),"")</f>
        <v/>
      </c>
      <c r="R39" s="5" t="str">
        <f>IF($C39="","",IF(SUMPRODUCT((START!$B$6:$B$69=$C39)*(START!$M$6:$M$69&gt;0))=0,"",SUMPRODUCT(MAX((START!$B$6:$B$69=$C39)*START!$M$6:$M$69))))</f>
        <v/>
      </c>
      <c r="S39" s="5">
        <f t="array" ref="S39">IFERROR(INDEX(TABELE!$B$4:$J$18,MATCH($E39,TABELE!$A$4:$A$18,0),MATCH($F39,TABELE!$B$3:$J$3,0)),"")</f>
        <v>83.5</v>
      </c>
      <c r="T39" s="5">
        <f t="array" ref="T39">IFERROR(IF($C39="",0,$O39*$D39*INDEX(TABELE!$B$23:$P$33,MATCH($F39,TABELE!$A$23:$A$33,0),MATCH($E39,TABELE!$B$22:$P$22,0))),0)</f>
        <v>0</v>
      </c>
      <c r="U39" s="5">
        <f t="array" ref="U39">IFERROR(IF($C39="",0,$O39*$D39*INDEX(TABELE!$B$37:$P$47,MATCH($F39,TABELE!$A$37:$A$47,0),MATCH($E39,TABELE!$B$36:$P$36,0))),0)</f>
        <v>0</v>
      </c>
      <c r="V39" s="5">
        <f t="array" ref="V39">IFERROR(IF($C39="",0,$O39*$D39*INDEX(TABELE!$B$51:$P$61,MATCH($F39,TABELE!$A$51:$A$61,0),MATCH($E39,TABELE!$B$50:$P$50,0))),0)</f>
        <v>0</v>
      </c>
      <c r="W39" s="5" t="str">
        <f t="array" ref="W39">IFERROR(INDEX(BAZA_UWAGI,MATCH($C39,BAZA_EX,0)),"")</f>
        <v/>
      </c>
      <c r="X39" s="5">
        <f t="shared" ref="X39:X50" si="11">IF($A39="","",$Z39)</f>
        <v>1</v>
      </c>
      <c r="Y39" s="5" t="str">
        <f>IF($A39="","",LEFT($A39,1))</f>
        <v>A</v>
      </c>
      <c r="Z39" s="5">
        <f>IF($A39="",0,1)</f>
        <v>1</v>
      </c>
      <c r="AA39" s="5" t="str">
        <f>IF($C39="","",IF(SUMPRODUCT((START!$B$6:$B$69=$C39)*(START!$M$6:$M$69&gt;0))=0,"",SUMPRODUCT(MAX((START!$B$6:$B$69=$C39)*START!$M$6:$M$69))))</f>
        <v/>
      </c>
      <c r="AB39" s="5" t="str">
        <f t="shared" ref="AB39:AB50" si="12">IF($C39="","",IF($H39&lt;&gt;"",$H39,IF($H$51="✓ ukończony","OK","")))</f>
        <v/>
      </c>
      <c r="AC39" s="5">
        <f>MAX(0.85,MIN(1.15,1+0.05*(COUNTIF('T1'!$AB39,"za łatwe")+COUNTIF('T2'!$AB39,"za łatwe")+COUNTIF('T3'!$AB39,"za łatwe")+COUNTIF('T4'!$AB39,"za łatwe")+COUNTIF('T5'!$AB39,"za łatwe"))-0.05*(COUNTIF('T1'!$AB39,"za trudne")+COUNTIF('T2'!$AB39,"za trudne")+COUNTIF('T3'!$AB39,"za trudne")+COUNTIF('T4'!$AB39,"za trudne")+COUNTIF('T5'!$AB39,"za trudne"))))</f>
        <v>1</v>
      </c>
      <c r="AD39" s="5">
        <f t="shared" ref="AD39:AD50" si="13">IF(OR($Q39="masa ciała",$Q39="czas",$Q39="dystans",$Q39="ręczne ustawienie"),MAX(-3,MIN(3,ROUND(($AC39-1)/0.05,0))),0)</f>
        <v>0</v>
      </c>
    </row>
    <row r="40" ht="25.5" customHeight="1" outlineLevel="1">
      <c r="A40" s="18" t="str">
        <f>IF('T1'!$A40="","",'T1'!$A40)</f>
        <v>B1.</v>
      </c>
      <c r="B40" s="30"/>
      <c r="C40" s="31" t="str">
        <f>IF('T1'!$C40="","",'T1'!$C40)</f>
        <v/>
      </c>
      <c r="D40" s="32">
        <v>3.0</v>
      </c>
      <c r="E40" s="39">
        <f>IF($C40="",0,MIN(15,MAX(1,IF(N($O40)&gt;=1,6,IF(N($O40)&gt;=0.75,IF(PRZEL_CZESC="część 1 (objętość)",8,6),IF(PRZEL_CZESC="część 1 (objętość)",10,8)))+2+$AD40)))</f>
        <v>0</v>
      </c>
      <c r="F40" s="33">
        <v>9.0</v>
      </c>
      <c r="G40" s="34" t="str">
        <f>IF($C40="","",IF(OR($Q40="masa ciała",$Q40="czas",$Q40="dystans",$Q40="ręczne ustawienie"),$Q40,IF($C40='T1'!$C40,IF(AND(LEFT($A40,1)&lt;&gt;"A",PRZEL_AKCESORIA="trzymaj z bloku"),IF(NOT(ISNUMBER('T4'!$G40)),'T4'!$G40,MROUND('T4'!$G40*$AC40/(MAX('T4'!$AC40,0.0001)),MAX($P40,0.5))),IF(OR($R40="",$R40=0),"— brak 1RM",MROUND($R40*$S40/100*$AC40,MAX($P40,0.5)))),IF(OR($AA40="",$AA40=0),"— ustaw ręcznie",MROUND($AA40*$S40/100*$AC40,MAX($P40,0.5))))))</f>
        <v/>
      </c>
      <c r="H40" s="35"/>
      <c r="I40" s="36" t="str">
        <f t="array" ref="I40">IFERROR(IF(IFERROR(INDEX(BAZA_FILM,MATCH($C40,BAZA_EX,0)),"")="","",HYPERLINK(IFERROR(INDEX(BAZA_FILM,MATCH($C40,BAZA_EX,0)),""),"film")),"")</f>
        <v/>
      </c>
      <c r="J40" s="37" t="str">
        <f>IF('T1'!$J40="","",'T1'!$J40)</f>
        <v/>
      </c>
      <c r="K40" s="5" t="s">
        <v>90</v>
      </c>
      <c r="L40" s="5" t="str">
        <f t="array" ref="L40">IFERROR(INDEX(BAZA_ID,MATCH($C40,BAZA_EX,0)),"")</f>
        <v/>
      </c>
      <c r="M40" s="5" t="str">
        <f t="array" ref="M40">IFERROR(INDEX(BAZA_PART,MATCH($C40,BAZA_EX,0)),"")</f>
        <v/>
      </c>
      <c r="N40" s="5" t="str">
        <f t="array" ref="N40">IFERROR(INDEX(BAZA_KAT,MATCH($C40,BAZA_EX,0)),"")</f>
        <v/>
      </c>
      <c r="O40" s="5" t="str">
        <f t="array" ref="O40">IFERROR(INDEX(BAZA_COEFF,MATCH($C40,BAZA_EX,0)),"")</f>
        <v/>
      </c>
      <c r="P40" s="5" t="str">
        <f t="array" ref="P40">IFERROR(INDEX(BAZA_SKOK,MATCH($C40,BAZA_EX,0)),"")</f>
        <v/>
      </c>
      <c r="Q40" s="5" t="str">
        <f t="array" ref="Q40">IFERROR(INDEX(BAZA_PROG,MATCH($C40,BAZA_EX,0)),"")</f>
        <v/>
      </c>
      <c r="R40" s="5" t="str">
        <f>IF($C40="","",IF(SUMPRODUCT((START!$B$6:$B$69=$C40)*(START!$M$6:$M$69&gt;0))=0,"",SUMPRODUCT(MAX((START!$B$6:$B$69=$C40)*START!$M$6:$M$69))))</f>
        <v/>
      </c>
      <c r="S40" s="5" t="str">
        <f t="array" ref="S40">IFERROR(INDEX(TABELE!$B$4:$J$18,MATCH($E40,TABELE!$A$4:$A$18,0),MATCH($F40,TABELE!$B$3:$J$3,0)),"")</f>
        <v/>
      </c>
      <c r="T40" s="5">
        <f t="array" ref="T40">IFERROR(IF($C40="",0,$O40*$D40*INDEX(TABELE!$B$23:$P$33,MATCH($F40,TABELE!$A$23:$A$33,0),MATCH($E40,TABELE!$B$22:$P$22,0))),0)</f>
        <v>0</v>
      </c>
      <c r="U40" s="5">
        <f t="array" ref="U40">IFERROR(IF($C40="",0,$O40*$D40*INDEX(TABELE!$B$37:$P$47,MATCH($F40,TABELE!$A$37:$A$47,0),MATCH($E40,TABELE!$B$36:$P$36,0))),0)</f>
        <v>0</v>
      </c>
      <c r="V40" s="5">
        <f t="array" ref="V40">IFERROR(IF($C40="",0,$O40*$D40*INDEX(TABELE!$B$51:$P$61,MATCH($F40,TABELE!$A$51:$A$61,0),MATCH($E40,TABELE!$B$50:$P$50,0))),0)</f>
        <v>0</v>
      </c>
      <c r="W40" s="5" t="str">
        <f t="array" ref="W40">IFERROR(INDEX(BAZA_UWAGI,MATCH($C40,BAZA_EX,0)),"")</f>
        <v/>
      </c>
      <c r="X40" s="5">
        <f t="shared" si="11"/>
        <v>2</v>
      </c>
      <c r="Y40" s="5" t="str">
        <f t="shared" ref="Y40:Y50" si="14">IF($A40="",$Y39,LEFT($A40,1))</f>
        <v>B</v>
      </c>
      <c r="Z40" s="5">
        <f t="shared" ref="Z40:Z50" si="15">IF($A40="",$Z39,IF(LEFT($A40,1)=$Y39,$Z39,$Z39+1))</f>
        <v>2</v>
      </c>
      <c r="AA40" s="5" t="str">
        <f>IF($C40="","",IF(SUMPRODUCT((START!$B$6:$B$69=$C40)*(START!$M$6:$M$69&gt;0))=0,"",SUMPRODUCT(MAX((START!$B$6:$B$69=$C40)*START!$M$6:$M$69))))</f>
        <v/>
      </c>
      <c r="AB40" s="5" t="str">
        <f t="shared" si="12"/>
        <v/>
      </c>
      <c r="AC40" s="5">
        <f>MAX(0.85,MIN(1.15,1+0.05*(COUNTIF('T1'!$AB40,"za łatwe")+COUNTIF('T2'!$AB40,"za łatwe")+COUNTIF('T3'!$AB40,"za łatwe")+COUNTIF('T4'!$AB40,"za łatwe")+COUNTIF('T5'!$AB40,"za łatwe"))-0.05*(COUNTIF('T1'!$AB40,"za trudne")+COUNTIF('T2'!$AB40,"za trudne")+COUNTIF('T3'!$AB40,"za trudne")+COUNTIF('T4'!$AB40,"za trudne")+COUNTIF('T5'!$AB40,"za trudne"))))</f>
        <v>1</v>
      </c>
      <c r="AD40" s="5">
        <f t="shared" si="13"/>
        <v>0</v>
      </c>
    </row>
    <row r="41" ht="25.5" customHeight="1" outlineLevel="1">
      <c r="A41" s="18" t="str">
        <f>IF('T1'!$A41="","",'T1'!$A41)</f>
        <v>B2.</v>
      </c>
      <c r="B41" s="30"/>
      <c r="C41" s="31" t="str">
        <f>IF('T1'!$C41="","",'T1'!$C41)</f>
        <v/>
      </c>
      <c r="D41" s="32">
        <v>3.0</v>
      </c>
      <c r="E41" s="39">
        <f>IF($C41="",0,MIN(15,MAX(1,IF(N($O41)&gt;=1,6,IF(N($O41)&gt;=0.75,IF(PRZEL_CZESC="część 1 (objętość)",8,6),IF(PRZEL_CZESC="część 1 (objętość)",10,8)))+2+$AD41)))</f>
        <v>0</v>
      </c>
      <c r="F41" s="33">
        <v>9.0</v>
      </c>
      <c r="G41" s="34" t="str">
        <f>IF($C41="","",IF(OR($Q41="masa ciała",$Q41="czas",$Q41="dystans",$Q41="ręczne ustawienie"),$Q41,IF($C41='T1'!$C41,IF(AND(LEFT($A41,1)&lt;&gt;"A",PRZEL_AKCESORIA="trzymaj z bloku"),IF(NOT(ISNUMBER('T4'!$G41)),'T4'!$G41,MROUND('T4'!$G41*$AC41/(MAX('T4'!$AC41,0.0001)),MAX($P41,0.5))),IF(OR($R41="",$R41=0),"— brak 1RM",MROUND($R41*$S41/100*$AC41,MAX($P41,0.5)))),IF(OR($AA41="",$AA41=0),"— ustaw ręcznie",MROUND($AA41*$S41/100*$AC41,MAX($P41,0.5))))))</f>
        <v/>
      </c>
      <c r="H41" s="35"/>
      <c r="I41" s="36" t="str">
        <f t="array" ref="I41">IFERROR(IF(IFERROR(INDEX(BAZA_FILM,MATCH($C41,BAZA_EX,0)),"")="","",HYPERLINK(IFERROR(INDEX(BAZA_FILM,MATCH($C41,BAZA_EX,0)),""),"film")),"")</f>
        <v/>
      </c>
      <c r="J41" s="37" t="str">
        <f>IF('T1'!$J41="","",'T1'!$J41)</f>
        <v/>
      </c>
      <c r="K41" s="5" t="s">
        <v>91</v>
      </c>
      <c r="L41" s="5" t="str">
        <f t="array" ref="L41">IFERROR(INDEX(BAZA_ID,MATCH($C41,BAZA_EX,0)),"")</f>
        <v/>
      </c>
      <c r="M41" s="5" t="str">
        <f t="array" ref="M41">IFERROR(INDEX(BAZA_PART,MATCH($C41,BAZA_EX,0)),"")</f>
        <v/>
      </c>
      <c r="N41" s="5" t="str">
        <f t="array" ref="N41">IFERROR(INDEX(BAZA_KAT,MATCH($C41,BAZA_EX,0)),"")</f>
        <v/>
      </c>
      <c r="O41" s="5" t="str">
        <f t="array" ref="O41">IFERROR(INDEX(BAZA_COEFF,MATCH($C41,BAZA_EX,0)),"")</f>
        <v/>
      </c>
      <c r="P41" s="5" t="str">
        <f t="array" ref="P41">IFERROR(INDEX(BAZA_SKOK,MATCH($C41,BAZA_EX,0)),"")</f>
        <v/>
      </c>
      <c r="Q41" s="5" t="str">
        <f t="array" ref="Q41">IFERROR(INDEX(BAZA_PROG,MATCH($C41,BAZA_EX,0)),"")</f>
        <v/>
      </c>
      <c r="R41" s="5" t="str">
        <f>IF($C41="","",IF(SUMPRODUCT((START!$B$6:$B$69=$C41)*(START!$M$6:$M$69&gt;0))=0,"",SUMPRODUCT(MAX((START!$B$6:$B$69=$C41)*START!$M$6:$M$69))))</f>
        <v/>
      </c>
      <c r="S41" s="5" t="str">
        <f t="array" ref="S41">IFERROR(INDEX(TABELE!$B$4:$J$18,MATCH($E41,TABELE!$A$4:$A$18,0),MATCH($F41,TABELE!$B$3:$J$3,0)),"")</f>
        <v/>
      </c>
      <c r="T41" s="5">
        <f t="array" ref="T41">IFERROR(IF($C41="",0,$O41*$D41*INDEX(TABELE!$B$23:$P$33,MATCH($F41,TABELE!$A$23:$A$33,0),MATCH($E41,TABELE!$B$22:$P$22,0))),0)</f>
        <v>0</v>
      </c>
      <c r="U41" s="5">
        <f t="array" ref="U41">IFERROR(IF($C41="",0,$O41*$D41*INDEX(TABELE!$B$37:$P$47,MATCH($F41,TABELE!$A$37:$A$47,0),MATCH($E41,TABELE!$B$36:$P$36,0))),0)</f>
        <v>0</v>
      </c>
      <c r="V41" s="5">
        <f t="array" ref="V41">IFERROR(IF($C41="",0,$O41*$D41*INDEX(TABELE!$B$51:$P$61,MATCH($F41,TABELE!$A$51:$A$61,0),MATCH($E41,TABELE!$B$50:$P$50,0))),0)</f>
        <v>0</v>
      </c>
      <c r="W41" s="5" t="str">
        <f t="array" ref="W41">IFERROR(INDEX(BAZA_UWAGI,MATCH($C41,BAZA_EX,0)),"")</f>
        <v/>
      </c>
      <c r="X41" s="5">
        <f t="shared" si="11"/>
        <v>2</v>
      </c>
      <c r="Y41" s="5" t="str">
        <f t="shared" si="14"/>
        <v>B</v>
      </c>
      <c r="Z41" s="5">
        <f t="shared" si="15"/>
        <v>2</v>
      </c>
      <c r="AA41" s="5" t="str">
        <f>IF($C41="","",IF(SUMPRODUCT((START!$B$6:$B$69=$C41)*(START!$M$6:$M$69&gt;0))=0,"",SUMPRODUCT(MAX((START!$B$6:$B$69=$C41)*START!$M$6:$M$69))))</f>
        <v/>
      </c>
      <c r="AB41" s="5" t="str">
        <f t="shared" si="12"/>
        <v/>
      </c>
      <c r="AC41" s="5">
        <f>MAX(0.85,MIN(1.15,1+0.05*(COUNTIF('T1'!$AB41,"za łatwe")+COUNTIF('T2'!$AB41,"za łatwe")+COUNTIF('T3'!$AB41,"za łatwe")+COUNTIF('T4'!$AB41,"za łatwe")+COUNTIF('T5'!$AB41,"za łatwe"))-0.05*(COUNTIF('T1'!$AB41,"za trudne")+COUNTIF('T2'!$AB41,"za trudne")+COUNTIF('T3'!$AB41,"za trudne")+COUNTIF('T4'!$AB41,"za trudne")+COUNTIF('T5'!$AB41,"za trudne"))))</f>
        <v>1</v>
      </c>
      <c r="AD41" s="5">
        <f t="shared" si="13"/>
        <v>0</v>
      </c>
    </row>
    <row r="42" ht="25.5" customHeight="1" outlineLevel="1">
      <c r="A42" s="18" t="str">
        <f>IF('T1'!$A42="","",'T1'!$A42)</f>
        <v>C1.</v>
      </c>
      <c r="B42" s="30"/>
      <c r="C42" s="31" t="str">
        <f>IF('T1'!$C42="","",'T1'!$C42)</f>
        <v/>
      </c>
      <c r="D42" s="32">
        <v>3.0</v>
      </c>
      <c r="E42" s="39">
        <f>IF($C42="",0,MIN(15,MAX(1,IF(N($O42)&gt;=1,6,IF(N($O42)&gt;=0.75,IF(PRZEL_CZESC="część 1 (objętość)",8,6),IF(PRZEL_CZESC="część 1 (objętość)",10,8)))+2+$AD42)))</f>
        <v>0</v>
      </c>
      <c r="F42" s="33">
        <v>9.0</v>
      </c>
      <c r="G42" s="34" t="str">
        <f>IF($C42="","",IF(OR($Q42="masa ciała",$Q42="czas",$Q42="dystans",$Q42="ręczne ustawienie"),$Q42,IF($C42='T1'!$C42,IF(AND(LEFT($A42,1)&lt;&gt;"A",PRZEL_AKCESORIA="trzymaj z bloku"),IF(NOT(ISNUMBER('T4'!$G42)),'T4'!$G42,MROUND('T4'!$G42*$AC42/(MAX('T4'!$AC42,0.0001)),MAX($P42,0.5))),IF(OR($R42="",$R42=0),"— brak 1RM",MROUND($R42*$S42/100*$AC42,MAX($P42,0.5)))),IF(OR($AA42="",$AA42=0),"— ustaw ręcznie",MROUND($AA42*$S42/100*$AC42,MAX($P42,0.5))))))</f>
        <v/>
      </c>
      <c r="H42" s="35"/>
      <c r="I42" s="36" t="str">
        <f t="array" ref="I42">IFERROR(IF(IFERROR(INDEX(BAZA_FILM,MATCH($C42,BAZA_EX,0)),"")="","",HYPERLINK(IFERROR(INDEX(BAZA_FILM,MATCH($C42,BAZA_EX,0)),""),"film")),"")</f>
        <v/>
      </c>
      <c r="J42" s="37" t="str">
        <f>IF('T1'!$J42="","",'T1'!$J42)</f>
        <v/>
      </c>
      <c r="K42" s="5" t="s">
        <v>92</v>
      </c>
      <c r="L42" s="5" t="str">
        <f t="array" ref="L42">IFERROR(INDEX(BAZA_ID,MATCH($C42,BAZA_EX,0)),"")</f>
        <v/>
      </c>
      <c r="M42" s="5" t="str">
        <f t="array" ref="M42">IFERROR(INDEX(BAZA_PART,MATCH($C42,BAZA_EX,0)),"")</f>
        <v/>
      </c>
      <c r="N42" s="5" t="str">
        <f t="array" ref="N42">IFERROR(INDEX(BAZA_KAT,MATCH($C42,BAZA_EX,0)),"")</f>
        <v/>
      </c>
      <c r="O42" s="5" t="str">
        <f t="array" ref="O42">IFERROR(INDEX(BAZA_COEFF,MATCH($C42,BAZA_EX,0)),"")</f>
        <v/>
      </c>
      <c r="P42" s="5" t="str">
        <f t="array" ref="P42">IFERROR(INDEX(BAZA_SKOK,MATCH($C42,BAZA_EX,0)),"")</f>
        <v/>
      </c>
      <c r="Q42" s="5" t="str">
        <f t="array" ref="Q42">IFERROR(INDEX(BAZA_PROG,MATCH($C42,BAZA_EX,0)),"")</f>
        <v/>
      </c>
      <c r="R42" s="5" t="str">
        <f>IF($C42="","",IF(SUMPRODUCT((START!$B$6:$B$69=$C42)*(START!$M$6:$M$69&gt;0))=0,"",SUMPRODUCT(MAX((START!$B$6:$B$69=$C42)*START!$M$6:$M$69))))</f>
        <v/>
      </c>
      <c r="S42" s="5" t="str">
        <f t="array" ref="S42">IFERROR(INDEX(TABELE!$B$4:$J$18,MATCH($E42,TABELE!$A$4:$A$18,0),MATCH($F42,TABELE!$B$3:$J$3,0)),"")</f>
        <v/>
      </c>
      <c r="T42" s="5">
        <f t="array" ref="T42">IFERROR(IF($C42="",0,$O42*$D42*INDEX(TABELE!$B$23:$P$33,MATCH($F42,TABELE!$A$23:$A$33,0),MATCH($E42,TABELE!$B$22:$P$22,0))),0)</f>
        <v>0</v>
      </c>
      <c r="U42" s="5">
        <f t="array" ref="U42">IFERROR(IF($C42="",0,$O42*$D42*INDEX(TABELE!$B$37:$P$47,MATCH($F42,TABELE!$A$37:$A$47,0),MATCH($E42,TABELE!$B$36:$P$36,0))),0)</f>
        <v>0</v>
      </c>
      <c r="V42" s="5">
        <f t="array" ref="V42">IFERROR(IF($C42="",0,$O42*$D42*INDEX(TABELE!$B$51:$P$61,MATCH($F42,TABELE!$A$51:$A$61,0),MATCH($E42,TABELE!$B$50:$P$50,0))),0)</f>
        <v>0</v>
      </c>
      <c r="W42" s="5" t="str">
        <f t="array" ref="W42">IFERROR(INDEX(BAZA_UWAGI,MATCH($C42,BAZA_EX,0)),"")</f>
        <v/>
      </c>
      <c r="X42" s="5">
        <f t="shared" si="11"/>
        <v>3</v>
      </c>
      <c r="Y42" s="5" t="str">
        <f t="shared" si="14"/>
        <v>C</v>
      </c>
      <c r="Z42" s="5">
        <f t="shared" si="15"/>
        <v>3</v>
      </c>
      <c r="AA42" s="5" t="str">
        <f>IF($C42="","",IF(SUMPRODUCT((START!$B$6:$B$69=$C42)*(START!$M$6:$M$69&gt;0))=0,"",SUMPRODUCT(MAX((START!$B$6:$B$69=$C42)*START!$M$6:$M$69))))</f>
        <v/>
      </c>
      <c r="AB42" s="5" t="str">
        <f t="shared" si="12"/>
        <v/>
      </c>
      <c r="AC42" s="5">
        <f>MAX(0.85,MIN(1.15,1+0.05*(COUNTIF('T1'!$AB42,"za łatwe")+COUNTIF('T2'!$AB42,"za łatwe")+COUNTIF('T3'!$AB42,"za łatwe")+COUNTIF('T4'!$AB42,"za łatwe")+COUNTIF('T5'!$AB42,"za łatwe"))-0.05*(COUNTIF('T1'!$AB42,"za trudne")+COUNTIF('T2'!$AB42,"za trudne")+COUNTIF('T3'!$AB42,"za trudne")+COUNTIF('T4'!$AB42,"za trudne")+COUNTIF('T5'!$AB42,"za trudne"))))</f>
        <v>1</v>
      </c>
      <c r="AD42" s="5">
        <f t="shared" si="13"/>
        <v>0</v>
      </c>
    </row>
    <row r="43" ht="25.5" customHeight="1" outlineLevel="1">
      <c r="A43" s="18" t="str">
        <f>IF('T1'!$A43="","",'T1'!$A43)</f>
        <v>C2.</v>
      </c>
      <c r="B43" s="30"/>
      <c r="C43" s="31" t="str">
        <f>IF('T1'!$C43="","",'T1'!$C43)</f>
        <v/>
      </c>
      <c r="D43" s="32">
        <v>3.0</v>
      </c>
      <c r="E43" s="39">
        <f>IF($C43="",0,MIN(15,MAX(1,IF(N($O43)&gt;=1,6,IF(N($O43)&gt;=0.75,IF(PRZEL_CZESC="część 1 (objętość)",8,6),IF(PRZEL_CZESC="część 1 (objętość)",10,8)))+2+$AD43)))</f>
        <v>0</v>
      </c>
      <c r="F43" s="33">
        <v>10.0</v>
      </c>
      <c r="G43" s="34" t="str">
        <f>IF($C43="","",IF(OR($Q43="masa ciała",$Q43="czas",$Q43="dystans",$Q43="ręczne ustawienie"),$Q43,IF($C43='T1'!$C43,IF(AND(LEFT($A43,1)&lt;&gt;"A",PRZEL_AKCESORIA="trzymaj z bloku"),IF(NOT(ISNUMBER('T4'!$G43)),'T4'!$G43,MROUND('T4'!$G43*$AC43/(MAX('T4'!$AC43,0.0001)),MAX($P43,0.5))),IF(OR($R43="",$R43=0),"— brak 1RM",MROUND($R43*$S43/100*$AC43,MAX($P43,0.5)))),IF(OR($AA43="",$AA43=0),"— ustaw ręcznie",MROUND($AA43*$S43/100*$AC43,MAX($P43,0.5))))))</f>
        <v/>
      </c>
      <c r="H43" s="35"/>
      <c r="I43" s="36" t="str">
        <f t="array" ref="I43">IFERROR(IF(IFERROR(INDEX(BAZA_FILM,MATCH($C43,BAZA_EX,0)),"")="","",HYPERLINK(IFERROR(INDEX(BAZA_FILM,MATCH($C43,BAZA_EX,0)),""),"film")),"")</f>
        <v/>
      </c>
      <c r="J43" s="37" t="str">
        <f>IF('T1'!$J43="","",'T1'!$J43)</f>
        <v/>
      </c>
      <c r="K43" s="5" t="s">
        <v>94</v>
      </c>
      <c r="L43" s="5" t="str">
        <f t="array" ref="L43">IFERROR(INDEX(BAZA_ID,MATCH($C43,BAZA_EX,0)),"")</f>
        <v/>
      </c>
      <c r="M43" s="5" t="str">
        <f t="array" ref="M43">IFERROR(INDEX(BAZA_PART,MATCH($C43,BAZA_EX,0)),"")</f>
        <v/>
      </c>
      <c r="N43" s="5" t="str">
        <f t="array" ref="N43">IFERROR(INDEX(BAZA_KAT,MATCH($C43,BAZA_EX,0)),"")</f>
        <v/>
      </c>
      <c r="O43" s="5" t="str">
        <f t="array" ref="O43">IFERROR(INDEX(BAZA_COEFF,MATCH($C43,BAZA_EX,0)),"")</f>
        <v/>
      </c>
      <c r="P43" s="5" t="str">
        <f t="array" ref="P43">IFERROR(INDEX(BAZA_SKOK,MATCH($C43,BAZA_EX,0)),"")</f>
        <v/>
      </c>
      <c r="Q43" s="5" t="str">
        <f t="array" ref="Q43">IFERROR(INDEX(BAZA_PROG,MATCH($C43,BAZA_EX,0)),"")</f>
        <v/>
      </c>
      <c r="R43" s="5" t="str">
        <f>IF($C43="","",IF(SUMPRODUCT((START!$B$6:$B$69=$C43)*(START!$M$6:$M$69&gt;0))=0,"",SUMPRODUCT(MAX((START!$B$6:$B$69=$C43)*START!$M$6:$M$69))))</f>
        <v/>
      </c>
      <c r="S43" s="5" t="str">
        <f t="array" ref="S43">IFERROR(INDEX(TABELE!$B$4:$J$18,MATCH($E43,TABELE!$A$4:$A$18,0),MATCH($F43,TABELE!$B$3:$J$3,0)),"")</f>
        <v/>
      </c>
      <c r="T43" s="5">
        <f t="array" ref="T43">IFERROR(IF($C43="",0,$O43*$D43*INDEX(TABELE!$B$23:$P$33,MATCH($F43,TABELE!$A$23:$A$33,0),MATCH($E43,TABELE!$B$22:$P$22,0))),0)</f>
        <v>0</v>
      </c>
      <c r="U43" s="5">
        <f t="array" ref="U43">IFERROR(IF($C43="",0,$O43*$D43*INDEX(TABELE!$B$37:$P$47,MATCH($F43,TABELE!$A$37:$A$47,0),MATCH($E43,TABELE!$B$36:$P$36,0))),0)</f>
        <v>0</v>
      </c>
      <c r="V43" s="5">
        <f t="array" ref="V43">IFERROR(IF($C43="",0,$O43*$D43*INDEX(TABELE!$B$51:$P$61,MATCH($F43,TABELE!$A$51:$A$61,0),MATCH($E43,TABELE!$B$50:$P$50,0))),0)</f>
        <v>0</v>
      </c>
      <c r="W43" s="5" t="str">
        <f t="array" ref="W43">IFERROR(INDEX(BAZA_UWAGI,MATCH($C43,BAZA_EX,0)),"")</f>
        <v/>
      </c>
      <c r="X43" s="5">
        <f t="shared" si="11"/>
        <v>3</v>
      </c>
      <c r="Y43" s="5" t="str">
        <f t="shared" si="14"/>
        <v>C</v>
      </c>
      <c r="Z43" s="5">
        <f t="shared" si="15"/>
        <v>3</v>
      </c>
      <c r="AA43" s="5" t="str">
        <f>IF($C43="","",IF(SUMPRODUCT((START!$B$6:$B$69=$C43)*(START!$M$6:$M$69&gt;0))=0,"",SUMPRODUCT(MAX((START!$B$6:$B$69=$C43)*START!$M$6:$M$69))))</f>
        <v/>
      </c>
      <c r="AB43" s="5" t="str">
        <f t="shared" si="12"/>
        <v/>
      </c>
      <c r="AC43" s="5">
        <f>MAX(0.85,MIN(1.15,1+0.05*(COUNTIF('T1'!$AB43,"za łatwe")+COUNTIF('T2'!$AB43,"za łatwe")+COUNTIF('T3'!$AB43,"za łatwe")+COUNTIF('T4'!$AB43,"za łatwe")+COUNTIF('T5'!$AB43,"za łatwe"))-0.05*(COUNTIF('T1'!$AB43,"za trudne")+COUNTIF('T2'!$AB43,"za trudne")+COUNTIF('T3'!$AB43,"za trudne")+COUNTIF('T4'!$AB43,"za trudne")+COUNTIF('T5'!$AB43,"za trudne"))))</f>
        <v>1</v>
      </c>
      <c r="AD43" s="5">
        <f t="shared" si="13"/>
        <v>0</v>
      </c>
    </row>
    <row r="44" ht="25.5" customHeight="1" outlineLevel="1">
      <c r="A44" s="18" t="str">
        <f>IF('T1'!$A44="","",'T1'!$A44)</f>
        <v>D1.</v>
      </c>
      <c r="B44" s="30"/>
      <c r="C44" s="31" t="str">
        <f>IF('T1'!$C44="","",'T1'!$C44)</f>
        <v/>
      </c>
      <c r="D44" s="32">
        <v>3.0</v>
      </c>
      <c r="E44" s="39">
        <f>IF($C44="",0,MIN(15,MAX(1,IF(N($O44)&gt;=1,6,IF(N($O44)&gt;=0.75,IF(PRZEL_CZESC="część 1 (objętość)",8,6),IF(PRZEL_CZESC="część 1 (objętość)",10,8)))+2+$AD44)))</f>
        <v>0</v>
      </c>
      <c r="F44" s="33">
        <v>9.0</v>
      </c>
      <c r="G44" s="34" t="str">
        <f>IF($C44="","",IF(OR($Q44="masa ciała",$Q44="czas",$Q44="dystans",$Q44="ręczne ustawienie"),$Q44,IF($C44='T1'!$C44,IF(AND(LEFT($A44,1)&lt;&gt;"A",PRZEL_AKCESORIA="trzymaj z bloku"),IF(NOT(ISNUMBER('T4'!$G44)),'T4'!$G44,MROUND('T4'!$G44*$AC44/(MAX('T4'!$AC44,0.0001)),MAX($P44,0.5))),IF(OR($R44="",$R44=0),"— brak 1RM",MROUND($R44*$S44/100*$AC44,MAX($P44,0.5)))),IF(OR($AA44="",$AA44=0),"— ustaw ręcznie",MROUND($AA44*$S44/100*$AC44,MAX($P44,0.5))))))</f>
        <v/>
      </c>
      <c r="H44" s="35"/>
      <c r="I44" s="36" t="str">
        <f t="array" ref="I44">IFERROR(IF(IFERROR(INDEX(BAZA_FILM,MATCH($C44,BAZA_EX,0)),"")="","",HYPERLINK(IFERROR(INDEX(BAZA_FILM,MATCH($C44,BAZA_EX,0)),""),"film")),"")</f>
        <v/>
      </c>
      <c r="J44" s="37" t="str">
        <f>IF('T1'!$J44="","",'T1'!$J44)</f>
        <v/>
      </c>
      <c r="K44" s="5" t="s">
        <v>95</v>
      </c>
      <c r="L44" s="5" t="str">
        <f t="array" ref="L44">IFERROR(INDEX(BAZA_ID,MATCH($C44,BAZA_EX,0)),"")</f>
        <v/>
      </c>
      <c r="M44" s="5" t="str">
        <f t="array" ref="M44">IFERROR(INDEX(BAZA_PART,MATCH($C44,BAZA_EX,0)),"")</f>
        <v/>
      </c>
      <c r="N44" s="5" t="str">
        <f t="array" ref="N44">IFERROR(INDEX(BAZA_KAT,MATCH($C44,BAZA_EX,0)),"")</f>
        <v/>
      </c>
      <c r="O44" s="5" t="str">
        <f t="array" ref="O44">IFERROR(INDEX(BAZA_COEFF,MATCH($C44,BAZA_EX,0)),"")</f>
        <v/>
      </c>
      <c r="P44" s="5" t="str">
        <f t="array" ref="P44">IFERROR(INDEX(BAZA_SKOK,MATCH($C44,BAZA_EX,0)),"")</f>
        <v/>
      </c>
      <c r="Q44" s="5" t="str">
        <f t="array" ref="Q44">IFERROR(INDEX(BAZA_PROG,MATCH($C44,BAZA_EX,0)),"")</f>
        <v/>
      </c>
      <c r="R44" s="5" t="str">
        <f>IF($C44="","",IF(SUMPRODUCT((START!$B$6:$B$69=$C44)*(START!$M$6:$M$69&gt;0))=0,"",SUMPRODUCT(MAX((START!$B$6:$B$69=$C44)*START!$M$6:$M$69))))</f>
        <v/>
      </c>
      <c r="S44" s="5" t="str">
        <f t="array" ref="S44">IFERROR(INDEX(TABELE!$B$4:$J$18,MATCH($E44,TABELE!$A$4:$A$18,0),MATCH($F44,TABELE!$B$3:$J$3,0)),"")</f>
        <v/>
      </c>
      <c r="T44" s="5">
        <f t="array" ref="T44">IFERROR(IF($C44="",0,$O44*$D44*INDEX(TABELE!$B$23:$P$33,MATCH($F44,TABELE!$A$23:$A$33,0),MATCH($E44,TABELE!$B$22:$P$22,0))),0)</f>
        <v>0</v>
      </c>
      <c r="U44" s="5">
        <f t="array" ref="U44">IFERROR(IF($C44="",0,$O44*$D44*INDEX(TABELE!$B$37:$P$47,MATCH($F44,TABELE!$A$37:$A$47,0),MATCH($E44,TABELE!$B$36:$P$36,0))),0)</f>
        <v>0</v>
      </c>
      <c r="V44" s="5">
        <f t="array" ref="V44">IFERROR(IF($C44="",0,$O44*$D44*INDEX(TABELE!$B$51:$P$61,MATCH($F44,TABELE!$A$51:$A$61,0),MATCH($E44,TABELE!$B$50:$P$50,0))),0)</f>
        <v>0</v>
      </c>
      <c r="W44" s="5" t="str">
        <f t="array" ref="W44">IFERROR(INDEX(BAZA_UWAGI,MATCH($C44,BAZA_EX,0)),"")</f>
        <v/>
      </c>
      <c r="X44" s="5">
        <f t="shared" si="11"/>
        <v>4</v>
      </c>
      <c r="Y44" s="5" t="str">
        <f t="shared" si="14"/>
        <v>D</v>
      </c>
      <c r="Z44" s="5">
        <f t="shared" si="15"/>
        <v>4</v>
      </c>
      <c r="AA44" s="5" t="str">
        <f>IF($C44="","",IF(SUMPRODUCT((START!$B$6:$B$69=$C44)*(START!$M$6:$M$69&gt;0))=0,"",SUMPRODUCT(MAX((START!$B$6:$B$69=$C44)*START!$M$6:$M$69))))</f>
        <v/>
      </c>
      <c r="AB44" s="5" t="str">
        <f t="shared" si="12"/>
        <v/>
      </c>
      <c r="AC44" s="5">
        <f>MAX(0.85,MIN(1.15,1+0.05*(COUNTIF('T1'!$AB44,"za łatwe")+COUNTIF('T2'!$AB44,"za łatwe")+COUNTIF('T3'!$AB44,"za łatwe")+COUNTIF('T4'!$AB44,"za łatwe")+COUNTIF('T5'!$AB44,"za łatwe"))-0.05*(COUNTIF('T1'!$AB44,"za trudne")+COUNTIF('T2'!$AB44,"za trudne")+COUNTIF('T3'!$AB44,"za trudne")+COUNTIF('T4'!$AB44,"za trudne")+COUNTIF('T5'!$AB44,"za trudne"))))</f>
        <v>1</v>
      </c>
      <c r="AD44" s="5">
        <f t="shared" si="13"/>
        <v>0</v>
      </c>
    </row>
    <row r="45" ht="25.5" customHeight="1" outlineLevel="1">
      <c r="A45" s="18" t="str">
        <f>IF('T1'!$A45="","",'T1'!$A45)</f>
        <v>D2.</v>
      </c>
      <c r="B45" s="30"/>
      <c r="C45" s="31" t="str">
        <f>IF('T1'!$C45="","",'T1'!$C45)</f>
        <v/>
      </c>
      <c r="D45" s="32">
        <v>3.0</v>
      </c>
      <c r="E45" s="39">
        <f>IF($C45="",0,MIN(15,MAX(1,IF(N($O45)&gt;=1,6,IF(N($O45)&gt;=0.75,IF(PRZEL_CZESC="część 1 (objętość)",8,6),IF(PRZEL_CZESC="część 1 (objętość)",10,8)))+2+$AD45)))</f>
        <v>0</v>
      </c>
      <c r="F45" s="33">
        <v>10.0</v>
      </c>
      <c r="G45" s="34" t="str">
        <f>IF($C45="","",IF(OR($Q45="masa ciała",$Q45="czas",$Q45="dystans",$Q45="ręczne ustawienie"),$Q45,IF($C45='T1'!$C45,IF(AND(LEFT($A45,1)&lt;&gt;"A",PRZEL_AKCESORIA="trzymaj z bloku"),IF(NOT(ISNUMBER('T4'!$G45)),'T4'!$G45,MROUND('T4'!$G45*$AC45/(MAX('T4'!$AC45,0.0001)),MAX($P45,0.5))),IF(OR($R45="",$R45=0),"— brak 1RM",MROUND($R45*$S45/100*$AC45,MAX($P45,0.5)))),IF(OR($AA45="",$AA45=0),"— ustaw ręcznie",MROUND($AA45*$S45/100*$AC45,MAX($P45,0.5))))))</f>
        <v/>
      </c>
      <c r="H45" s="35"/>
      <c r="I45" s="36" t="str">
        <f t="array" ref="I45">IFERROR(IF(IFERROR(INDEX(BAZA_FILM,MATCH($C45,BAZA_EX,0)),"")="","",HYPERLINK(IFERROR(INDEX(BAZA_FILM,MATCH($C45,BAZA_EX,0)),""),"film")),"")</f>
        <v/>
      </c>
      <c r="J45" s="37" t="str">
        <f>IF('T1'!$J45="","",'T1'!$J45)</f>
        <v/>
      </c>
      <c r="K45" s="5" t="s">
        <v>96</v>
      </c>
      <c r="L45" s="5" t="str">
        <f t="array" ref="L45">IFERROR(INDEX(BAZA_ID,MATCH($C45,BAZA_EX,0)),"")</f>
        <v/>
      </c>
      <c r="M45" s="5" t="str">
        <f t="array" ref="M45">IFERROR(INDEX(BAZA_PART,MATCH($C45,BAZA_EX,0)),"")</f>
        <v/>
      </c>
      <c r="N45" s="5" t="str">
        <f t="array" ref="N45">IFERROR(INDEX(BAZA_KAT,MATCH($C45,BAZA_EX,0)),"")</f>
        <v/>
      </c>
      <c r="O45" s="5" t="str">
        <f t="array" ref="O45">IFERROR(INDEX(BAZA_COEFF,MATCH($C45,BAZA_EX,0)),"")</f>
        <v/>
      </c>
      <c r="P45" s="5" t="str">
        <f t="array" ref="P45">IFERROR(INDEX(BAZA_SKOK,MATCH($C45,BAZA_EX,0)),"")</f>
        <v/>
      </c>
      <c r="Q45" s="5" t="str">
        <f t="array" ref="Q45">IFERROR(INDEX(BAZA_PROG,MATCH($C45,BAZA_EX,0)),"")</f>
        <v/>
      </c>
      <c r="R45" s="5" t="str">
        <f>IF($C45="","",IF(SUMPRODUCT((START!$B$6:$B$69=$C45)*(START!$M$6:$M$69&gt;0))=0,"",SUMPRODUCT(MAX((START!$B$6:$B$69=$C45)*START!$M$6:$M$69))))</f>
        <v/>
      </c>
      <c r="S45" s="5" t="str">
        <f t="array" ref="S45">IFERROR(INDEX(TABELE!$B$4:$J$18,MATCH($E45,TABELE!$A$4:$A$18,0),MATCH($F45,TABELE!$B$3:$J$3,0)),"")</f>
        <v/>
      </c>
      <c r="T45" s="5">
        <f t="array" ref="T45">IFERROR(IF($C45="",0,$O45*$D45*INDEX(TABELE!$B$23:$P$33,MATCH($F45,TABELE!$A$23:$A$33,0),MATCH($E45,TABELE!$B$22:$P$22,0))),0)</f>
        <v>0</v>
      </c>
      <c r="U45" s="5">
        <f t="array" ref="U45">IFERROR(IF($C45="",0,$O45*$D45*INDEX(TABELE!$B$37:$P$47,MATCH($F45,TABELE!$A$37:$A$47,0),MATCH($E45,TABELE!$B$36:$P$36,0))),0)</f>
        <v>0</v>
      </c>
      <c r="V45" s="5">
        <f t="array" ref="V45">IFERROR(IF($C45="",0,$O45*$D45*INDEX(TABELE!$B$51:$P$61,MATCH($F45,TABELE!$A$51:$A$61,0),MATCH($E45,TABELE!$B$50:$P$50,0))),0)</f>
        <v>0</v>
      </c>
      <c r="W45" s="5" t="str">
        <f t="array" ref="W45">IFERROR(INDEX(BAZA_UWAGI,MATCH($C45,BAZA_EX,0)),"")</f>
        <v/>
      </c>
      <c r="X45" s="5">
        <f t="shared" si="11"/>
        <v>4</v>
      </c>
      <c r="Y45" s="5" t="str">
        <f t="shared" si="14"/>
        <v>D</v>
      </c>
      <c r="Z45" s="5">
        <f t="shared" si="15"/>
        <v>4</v>
      </c>
      <c r="AA45" s="5" t="str">
        <f>IF($C45="","",IF(SUMPRODUCT((START!$B$6:$B$69=$C45)*(START!$M$6:$M$69&gt;0))=0,"",SUMPRODUCT(MAX((START!$B$6:$B$69=$C45)*START!$M$6:$M$69))))</f>
        <v/>
      </c>
      <c r="AB45" s="5" t="str">
        <f t="shared" si="12"/>
        <v/>
      </c>
      <c r="AC45" s="5">
        <f>MAX(0.85,MIN(1.15,1+0.05*(COUNTIF('T1'!$AB45,"za łatwe")+COUNTIF('T2'!$AB45,"za łatwe")+COUNTIF('T3'!$AB45,"za łatwe")+COUNTIF('T4'!$AB45,"za łatwe")+COUNTIF('T5'!$AB45,"za łatwe"))-0.05*(COUNTIF('T1'!$AB45,"za trudne")+COUNTIF('T2'!$AB45,"za trudne")+COUNTIF('T3'!$AB45,"za trudne")+COUNTIF('T4'!$AB45,"za trudne")+COUNTIF('T5'!$AB45,"za trudne"))))</f>
        <v>1</v>
      </c>
      <c r="AD45" s="5">
        <f t="shared" si="13"/>
        <v>0</v>
      </c>
    </row>
    <row r="46" ht="25.5" customHeight="1" outlineLevel="1">
      <c r="A46" s="18" t="str">
        <f>IF('T1'!$A46="","",'T1'!$A46)</f>
        <v>E1.</v>
      </c>
      <c r="B46" s="30"/>
      <c r="C46" s="31" t="str">
        <f>IF('T1'!$C46="","",'T1'!$C46)</f>
        <v/>
      </c>
      <c r="D46" s="32"/>
      <c r="E46" s="39">
        <f>IF($C46="",0,MIN(15,MAX(1,IF(N($O46)&gt;=1,6,IF(N($O46)&gt;=0.75,IF(PRZEL_CZESC="część 1 (objętość)",8,6),IF(PRZEL_CZESC="część 1 (objętość)",10,8)))+2+$AD46)))</f>
        <v>0</v>
      </c>
      <c r="F46" s="33"/>
      <c r="G46" s="34" t="str">
        <f>IF($C46="","",IF(OR($Q46="masa ciała",$Q46="czas",$Q46="dystans",$Q46="ręczne ustawienie"),$Q46,IF($C46='T1'!$C46,IF(AND(LEFT($A46,1)&lt;&gt;"A",PRZEL_AKCESORIA="trzymaj z bloku"),IF(NOT(ISNUMBER('T4'!$G46)),'T4'!$G46,MROUND('T4'!$G46*$AC46/(MAX('T4'!$AC46,0.0001)),MAX($P46,0.5))),IF(OR($R46="",$R46=0),"— brak 1RM",MROUND($R46*$S46/100*$AC46,MAX($P46,0.5)))),IF(OR($AA46="",$AA46=0),"— ustaw ręcznie",MROUND($AA46*$S46/100*$AC46,MAX($P46,0.5))))))</f>
        <v/>
      </c>
      <c r="H46" s="35"/>
      <c r="I46" s="36" t="str">
        <f t="array" ref="I46">IFERROR(IF(IFERROR(INDEX(BAZA_FILM,MATCH($C46,BAZA_EX,0)),"")="","",HYPERLINK(IFERROR(INDEX(BAZA_FILM,MATCH($C46,BAZA_EX,0)),""),"film")),"")</f>
        <v/>
      </c>
      <c r="J46" s="37" t="str">
        <f>IF('T1'!$J46="","",'T1'!$J46)</f>
        <v/>
      </c>
      <c r="K46" s="5" t="s">
        <v>97</v>
      </c>
      <c r="L46" s="5" t="str">
        <f t="array" ref="L46">IFERROR(INDEX(BAZA_ID,MATCH($C46,BAZA_EX,0)),"")</f>
        <v/>
      </c>
      <c r="M46" s="5" t="str">
        <f t="array" ref="M46">IFERROR(INDEX(BAZA_PART,MATCH($C46,BAZA_EX,0)),"")</f>
        <v/>
      </c>
      <c r="N46" s="5" t="str">
        <f t="array" ref="N46">IFERROR(INDEX(BAZA_KAT,MATCH($C46,BAZA_EX,0)),"")</f>
        <v/>
      </c>
      <c r="O46" s="5" t="str">
        <f t="array" ref="O46">IFERROR(INDEX(BAZA_COEFF,MATCH($C46,BAZA_EX,0)),"")</f>
        <v/>
      </c>
      <c r="P46" s="5" t="str">
        <f t="array" ref="P46">IFERROR(INDEX(BAZA_SKOK,MATCH($C46,BAZA_EX,0)),"")</f>
        <v/>
      </c>
      <c r="Q46" s="5" t="str">
        <f t="array" ref="Q46">IFERROR(INDEX(BAZA_PROG,MATCH($C46,BAZA_EX,0)),"")</f>
        <v/>
      </c>
      <c r="R46" s="5" t="str">
        <f>IF($C46="","",IF(SUMPRODUCT((START!$B$6:$B$69=$C46)*(START!$M$6:$M$69&gt;0))=0,"",SUMPRODUCT(MAX((START!$B$6:$B$69=$C46)*START!$M$6:$M$69))))</f>
        <v/>
      </c>
      <c r="S46" s="5" t="str">
        <f t="array" ref="S46">IFERROR(INDEX(TABELE!$B$4:$J$18,MATCH($E46,TABELE!$A$4:$A$18,0),MATCH($F46,TABELE!$B$3:$J$3,0)),"")</f>
        <v/>
      </c>
      <c r="T46" s="5">
        <f t="array" ref="T46">IFERROR(IF($C46="",0,$O46*$D46*INDEX(TABELE!$B$23:$P$33,MATCH($F46,TABELE!$A$23:$A$33,0),MATCH($E46,TABELE!$B$22:$P$22,0))),0)</f>
        <v>0</v>
      </c>
      <c r="U46" s="5">
        <f t="array" ref="U46">IFERROR(IF($C46="",0,$O46*$D46*INDEX(TABELE!$B$37:$P$47,MATCH($F46,TABELE!$A$37:$A$47,0),MATCH($E46,TABELE!$B$36:$P$36,0))),0)</f>
        <v>0</v>
      </c>
      <c r="V46" s="5">
        <f t="array" ref="V46">IFERROR(IF($C46="",0,$O46*$D46*INDEX(TABELE!$B$51:$P$61,MATCH($F46,TABELE!$A$51:$A$61,0),MATCH($E46,TABELE!$B$50:$P$50,0))),0)</f>
        <v>0</v>
      </c>
      <c r="W46" s="5" t="str">
        <f t="array" ref="W46">IFERROR(INDEX(BAZA_UWAGI,MATCH($C46,BAZA_EX,0)),"")</f>
        <v/>
      </c>
      <c r="X46" s="5">
        <f t="shared" si="11"/>
        <v>5</v>
      </c>
      <c r="Y46" s="5" t="str">
        <f t="shared" si="14"/>
        <v>E</v>
      </c>
      <c r="Z46" s="5">
        <f t="shared" si="15"/>
        <v>5</v>
      </c>
      <c r="AA46" s="5" t="str">
        <f>IF($C46="","",IF(SUMPRODUCT((START!$B$6:$B$69=$C46)*(START!$M$6:$M$69&gt;0))=0,"",SUMPRODUCT(MAX((START!$B$6:$B$69=$C46)*START!$M$6:$M$69))))</f>
        <v/>
      </c>
      <c r="AB46" s="5" t="str">
        <f t="shared" si="12"/>
        <v/>
      </c>
      <c r="AC46" s="5">
        <f>MAX(0.85,MIN(1.15,1+0.05*(COUNTIF('T1'!$AB46,"za łatwe")+COUNTIF('T2'!$AB46,"za łatwe")+COUNTIF('T3'!$AB46,"za łatwe")+COUNTIF('T4'!$AB46,"za łatwe")+COUNTIF('T5'!$AB46,"za łatwe"))-0.05*(COUNTIF('T1'!$AB46,"za trudne")+COUNTIF('T2'!$AB46,"za trudne")+COUNTIF('T3'!$AB46,"za trudne")+COUNTIF('T4'!$AB46,"za trudne")+COUNTIF('T5'!$AB46,"za trudne"))))</f>
        <v>1</v>
      </c>
      <c r="AD46" s="5">
        <f t="shared" si="13"/>
        <v>0</v>
      </c>
    </row>
    <row r="47" ht="25.5" customHeight="1" outlineLevel="1">
      <c r="A47" s="18" t="str">
        <f>IF('T1'!$A47="","",'T1'!$A47)</f>
        <v>E2.</v>
      </c>
      <c r="B47" s="30"/>
      <c r="C47" s="31" t="str">
        <f>IF('T1'!$C47="","",'T1'!$C47)</f>
        <v/>
      </c>
      <c r="D47" s="32"/>
      <c r="E47" s="39">
        <f>IF($C47="",0,MIN(15,MAX(1,IF(N($O47)&gt;=1,6,IF(N($O47)&gt;=0.75,IF(PRZEL_CZESC="część 1 (objętość)",8,6),IF(PRZEL_CZESC="część 1 (objętość)",10,8)))+2+$AD47)))</f>
        <v>0</v>
      </c>
      <c r="F47" s="33"/>
      <c r="G47" s="34" t="str">
        <f>IF($C47="","",IF(OR($Q47="masa ciała",$Q47="czas",$Q47="dystans",$Q47="ręczne ustawienie"),$Q47,IF($C47='T1'!$C47,IF(AND(LEFT($A47,1)&lt;&gt;"A",PRZEL_AKCESORIA="trzymaj z bloku"),IF(NOT(ISNUMBER('T4'!$G47)),'T4'!$G47,MROUND('T4'!$G47*$AC47/(MAX('T4'!$AC47,0.0001)),MAX($P47,0.5))),IF(OR($R47="",$R47=0),"— brak 1RM",MROUND($R47*$S47/100*$AC47,MAX($P47,0.5)))),IF(OR($AA47="",$AA47=0),"— ustaw ręcznie",MROUND($AA47*$S47/100*$AC47,MAX($P47,0.5))))))</f>
        <v/>
      </c>
      <c r="H47" s="35"/>
      <c r="I47" s="36" t="str">
        <f t="array" ref="I47">IFERROR(IF(IFERROR(INDEX(BAZA_FILM,MATCH($C47,BAZA_EX,0)),"")="","",HYPERLINK(IFERROR(INDEX(BAZA_FILM,MATCH($C47,BAZA_EX,0)),""),"film")),"")</f>
        <v/>
      </c>
      <c r="J47" s="37" t="str">
        <f>IF('T1'!$J47="","",'T1'!$J47)</f>
        <v/>
      </c>
      <c r="K47" s="5" t="s">
        <v>98</v>
      </c>
      <c r="L47" s="5" t="str">
        <f t="array" ref="L47">IFERROR(INDEX(BAZA_ID,MATCH($C47,BAZA_EX,0)),"")</f>
        <v/>
      </c>
      <c r="M47" s="5" t="str">
        <f t="array" ref="M47">IFERROR(INDEX(BAZA_PART,MATCH($C47,BAZA_EX,0)),"")</f>
        <v/>
      </c>
      <c r="N47" s="5" t="str">
        <f t="array" ref="N47">IFERROR(INDEX(BAZA_KAT,MATCH($C47,BAZA_EX,0)),"")</f>
        <v/>
      </c>
      <c r="O47" s="5" t="str">
        <f t="array" ref="O47">IFERROR(INDEX(BAZA_COEFF,MATCH($C47,BAZA_EX,0)),"")</f>
        <v/>
      </c>
      <c r="P47" s="5" t="str">
        <f t="array" ref="P47">IFERROR(INDEX(BAZA_SKOK,MATCH($C47,BAZA_EX,0)),"")</f>
        <v/>
      </c>
      <c r="Q47" s="5" t="str">
        <f t="array" ref="Q47">IFERROR(INDEX(BAZA_PROG,MATCH($C47,BAZA_EX,0)),"")</f>
        <v/>
      </c>
      <c r="R47" s="5" t="str">
        <f>IF($C47="","",IF(SUMPRODUCT((START!$B$6:$B$69=$C47)*(START!$M$6:$M$69&gt;0))=0,"",SUMPRODUCT(MAX((START!$B$6:$B$69=$C47)*START!$M$6:$M$69))))</f>
        <v/>
      </c>
      <c r="S47" s="5" t="str">
        <f t="array" ref="S47">IFERROR(INDEX(TABELE!$B$4:$J$18,MATCH($E47,TABELE!$A$4:$A$18,0),MATCH($F47,TABELE!$B$3:$J$3,0)),"")</f>
        <v/>
      </c>
      <c r="T47" s="5">
        <f t="array" ref="T47">IFERROR(IF($C47="",0,$O47*$D47*INDEX(TABELE!$B$23:$P$33,MATCH($F47,TABELE!$A$23:$A$33,0),MATCH($E47,TABELE!$B$22:$P$22,0))),0)</f>
        <v>0</v>
      </c>
      <c r="U47" s="5">
        <f t="array" ref="U47">IFERROR(IF($C47="",0,$O47*$D47*INDEX(TABELE!$B$37:$P$47,MATCH($F47,TABELE!$A$37:$A$47,0),MATCH($E47,TABELE!$B$36:$P$36,0))),0)</f>
        <v>0</v>
      </c>
      <c r="V47" s="5">
        <f t="array" ref="V47">IFERROR(IF($C47="",0,$O47*$D47*INDEX(TABELE!$B$51:$P$61,MATCH($F47,TABELE!$A$51:$A$61,0),MATCH($E47,TABELE!$B$50:$P$50,0))),0)</f>
        <v>0</v>
      </c>
      <c r="W47" s="5" t="str">
        <f t="array" ref="W47">IFERROR(INDEX(BAZA_UWAGI,MATCH($C47,BAZA_EX,0)),"")</f>
        <v/>
      </c>
      <c r="X47" s="5">
        <f t="shared" si="11"/>
        <v>5</v>
      </c>
      <c r="Y47" s="5" t="str">
        <f t="shared" si="14"/>
        <v>E</v>
      </c>
      <c r="Z47" s="5">
        <f t="shared" si="15"/>
        <v>5</v>
      </c>
      <c r="AA47" s="5" t="str">
        <f>IF($C47="","",IF(SUMPRODUCT((START!$B$6:$B$69=$C47)*(START!$M$6:$M$69&gt;0))=0,"",SUMPRODUCT(MAX((START!$B$6:$B$69=$C47)*START!$M$6:$M$69))))</f>
        <v/>
      </c>
      <c r="AB47" s="5" t="str">
        <f t="shared" si="12"/>
        <v/>
      </c>
      <c r="AC47" s="5">
        <f>MAX(0.85,MIN(1.15,1+0.05*(COUNTIF('T1'!$AB47,"za łatwe")+COUNTIF('T2'!$AB47,"za łatwe")+COUNTIF('T3'!$AB47,"za łatwe")+COUNTIF('T4'!$AB47,"za łatwe")+COUNTIF('T5'!$AB47,"za łatwe"))-0.05*(COUNTIF('T1'!$AB47,"za trudne")+COUNTIF('T2'!$AB47,"za trudne")+COUNTIF('T3'!$AB47,"za trudne")+COUNTIF('T4'!$AB47,"za trudne")+COUNTIF('T5'!$AB47,"za trudne"))))</f>
        <v>1</v>
      </c>
      <c r="AD47" s="5">
        <f t="shared" si="13"/>
        <v>0</v>
      </c>
    </row>
    <row r="48" ht="25.5" customHeight="1" outlineLevel="1">
      <c r="A48" s="18" t="str">
        <f>IF('T1'!$A48="","",'T1'!$A48)</f>
        <v/>
      </c>
      <c r="B48" s="30"/>
      <c r="C48" s="31" t="str">
        <f>IF('T1'!$C48="","",'T1'!$C48)</f>
        <v/>
      </c>
      <c r="D48" s="32"/>
      <c r="E48" s="39">
        <f>IF($C48="",0,MIN(15,MAX(1,IF(N($O48)&gt;=1,6,IF(N($O48)&gt;=0.75,IF(PRZEL_CZESC="część 1 (objętość)",8,6),IF(PRZEL_CZESC="część 1 (objętość)",10,8)))+2+$AD48)))</f>
        <v>0</v>
      </c>
      <c r="F48" s="33"/>
      <c r="G48" s="34" t="str">
        <f>IF($C48="","",IF(OR($Q48="masa ciała",$Q48="czas",$Q48="dystans",$Q48="ręczne ustawienie"),$Q48,IF($C48='T1'!$C48,IF(AND(LEFT($A48,1)&lt;&gt;"A",PRZEL_AKCESORIA="trzymaj z bloku"),IF(NOT(ISNUMBER('T4'!$G48)),'T4'!$G48,MROUND('T4'!$G48*$AC48/(MAX('T4'!$AC48,0.0001)),MAX($P48,0.5))),IF(OR($R48="",$R48=0),"— brak 1RM",MROUND($R48*$S48/100*$AC48,MAX($P48,0.5)))),IF(OR($AA48="",$AA48=0),"— ustaw ręcznie",MROUND($AA48*$S48/100*$AC48,MAX($P48,0.5))))))</f>
        <v/>
      </c>
      <c r="H48" s="35"/>
      <c r="I48" s="36" t="str">
        <f t="array" ref="I48">IFERROR(IF(IFERROR(INDEX(BAZA_FILM,MATCH($C48,BAZA_EX,0)),"")="","",HYPERLINK(IFERROR(INDEX(BAZA_FILM,MATCH($C48,BAZA_EX,0)),""),"film")),"")</f>
        <v/>
      </c>
      <c r="J48" s="37" t="str">
        <f>IF('T1'!$J48="","",'T1'!$J48)</f>
        <v/>
      </c>
      <c r="K48" s="5" t="s">
        <v>99</v>
      </c>
      <c r="L48" s="5" t="str">
        <f t="array" ref="L48">IFERROR(INDEX(BAZA_ID,MATCH($C48,BAZA_EX,0)),"")</f>
        <v/>
      </c>
      <c r="M48" s="5" t="str">
        <f t="array" ref="M48">IFERROR(INDEX(BAZA_PART,MATCH($C48,BAZA_EX,0)),"")</f>
        <v/>
      </c>
      <c r="N48" s="5" t="str">
        <f t="array" ref="N48">IFERROR(INDEX(BAZA_KAT,MATCH($C48,BAZA_EX,0)),"")</f>
        <v/>
      </c>
      <c r="O48" s="5" t="str">
        <f t="array" ref="O48">IFERROR(INDEX(BAZA_COEFF,MATCH($C48,BAZA_EX,0)),"")</f>
        <v/>
      </c>
      <c r="P48" s="5" t="str">
        <f t="array" ref="P48">IFERROR(INDEX(BAZA_SKOK,MATCH($C48,BAZA_EX,0)),"")</f>
        <v/>
      </c>
      <c r="Q48" s="5" t="str">
        <f t="array" ref="Q48">IFERROR(INDEX(BAZA_PROG,MATCH($C48,BAZA_EX,0)),"")</f>
        <v/>
      </c>
      <c r="R48" s="5" t="str">
        <f>IF($C48="","",IF(SUMPRODUCT((START!$B$6:$B$69=$C48)*(START!$M$6:$M$69&gt;0))=0,"",SUMPRODUCT(MAX((START!$B$6:$B$69=$C48)*START!$M$6:$M$69))))</f>
        <v/>
      </c>
      <c r="S48" s="5" t="str">
        <f t="array" ref="S48">IFERROR(INDEX(TABELE!$B$4:$J$18,MATCH($E48,TABELE!$A$4:$A$18,0),MATCH($F48,TABELE!$B$3:$J$3,0)),"")</f>
        <v/>
      </c>
      <c r="T48" s="5">
        <f t="array" ref="T48">IFERROR(IF($C48="",0,$O48*$D48*INDEX(TABELE!$B$23:$P$33,MATCH($F48,TABELE!$A$23:$A$33,0),MATCH($E48,TABELE!$B$22:$P$22,0))),0)</f>
        <v>0</v>
      </c>
      <c r="U48" s="5">
        <f t="array" ref="U48">IFERROR(IF($C48="",0,$O48*$D48*INDEX(TABELE!$B$37:$P$47,MATCH($F48,TABELE!$A$37:$A$47,0),MATCH($E48,TABELE!$B$36:$P$36,0))),0)</f>
        <v>0</v>
      </c>
      <c r="V48" s="5">
        <f t="array" ref="V48">IFERROR(IF($C48="",0,$O48*$D48*INDEX(TABELE!$B$51:$P$61,MATCH($F48,TABELE!$A$51:$A$61,0),MATCH($E48,TABELE!$B$50:$P$50,0))),0)</f>
        <v>0</v>
      </c>
      <c r="W48" s="5" t="str">
        <f t="array" ref="W48">IFERROR(INDEX(BAZA_UWAGI,MATCH($C48,BAZA_EX,0)),"")</f>
        <v/>
      </c>
      <c r="X48" s="5" t="str">
        <f t="shared" si="11"/>
        <v/>
      </c>
      <c r="Y48" s="5" t="str">
        <f t="shared" si="14"/>
        <v>E</v>
      </c>
      <c r="Z48" s="5">
        <f t="shared" si="15"/>
        <v>5</v>
      </c>
      <c r="AA48" s="5" t="str">
        <f>IF($C48="","",IF(SUMPRODUCT((START!$B$6:$B$69=$C48)*(START!$M$6:$M$69&gt;0))=0,"",SUMPRODUCT(MAX((START!$B$6:$B$69=$C48)*START!$M$6:$M$69))))</f>
        <v/>
      </c>
      <c r="AB48" s="5" t="str">
        <f t="shared" si="12"/>
        <v/>
      </c>
      <c r="AC48" s="5">
        <f>MAX(0.85,MIN(1.15,1+0.05*(COUNTIF('T1'!$AB48,"za łatwe")+COUNTIF('T2'!$AB48,"za łatwe")+COUNTIF('T3'!$AB48,"za łatwe")+COUNTIF('T4'!$AB48,"za łatwe")+COUNTIF('T5'!$AB48,"za łatwe"))-0.05*(COUNTIF('T1'!$AB48,"za trudne")+COUNTIF('T2'!$AB48,"za trudne")+COUNTIF('T3'!$AB48,"za trudne")+COUNTIF('T4'!$AB48,"za trudne")+COUNTIF('T5'!$AB48,"za trudne"))))</f>
        <v>1</v>
      </c>
      <c r="AD48" s="5">
        <f t="shared" si="13"/>
        <v>0</v>
      </c>
    </row>
    <row r="49" ht="25.5" customHeight="1" outlineLevel="1">
      <c r="A49" s="18" t="str">
        <f>IF('T1'!$A49="","",'T1'!$A49)</f>
        <v/>
      </c>
      <c r="B49" s="30"/>
      <c r="C49" s="31" t="str">
        <f>IF('T1'!$C49="","",'T1'!$C49)</f>
        <v/>
      </c>
      <c r="D49" s="32"/>
      <c r="E49" s="39">
        <f>IF($C49="",0,MIN(15,MAX(1,IF(N($O49)&gt;=1,6,IF(N($O49)&gt;=0.75,IF(PRZEL_CZESC="część 1 (objętość)",8,6),IF(PRZEL_CZESC="część 1 (objętość)",10,8)))+2+$AD49)))</f>
        <v>0</v>
      </c>
      <c r="F49" s="33"/>
      <c r="G49" s="34" t="str">
        <f>IF($C49="","",IF(OR($Q49="masa ciała",$Q49="czas",$Q49="dystans",$Q49="ręczne ustawienie"),$Q49,IF($C49='T1'!$C49,IF(AND(LEFT($A49,1)&lt;&gt;"A",PRZEL_AKCESORIA="trzymaj z bloku"),IF(NOT(ISNUMBER('T4'!$G49)),'T4'!$G49,MROUND('T4'!$G49*$AC49/(MAX('T4'!$AC49,0.0001)),MAX($P49,0.5))),IF(OR($R49="",$R49=0),"— brak 1RM",MROUND($R49*$S49/100*$AC49,MAX($P49,0.5)))),IF(OR($AA49="",$AA49=0),"— ustaw ręcznie",MROUND($AA49*$S49/100*$AC49,MAX($P49,0.5))))))</f>
        <v/>
      </c>
      <c r="H49" s="35"/>
      <c r="I49" s="36" t="str">
        <f t="array" ref="I49">IFERROR(IF(IFERROR(INDEX(BAZA_FILM,MATCH($C49,BAZA_EX,0)),"")="","",HYPERLINK(IFERROR(INDEX(BAZA_FILM,MATCH($C49,BAZA_EX,0)),""),"film")),"")</f>
        <v/>
      </c>
      <c r="J49" s="37" t="str">
        <f>IF('T1'!$J49="","",'T1'!$J49)</f>
        <v/>
      </c>
      <c r="K49" s="5" t="s">
        <v>101</v>
      </c>
      <c r="L49" s="5" t="str">
        <f t="array" ref="L49">IFERROR(INDEX(BAZA_ID,MATCH($C49,BAZA_EX,0)),"")</f>
        <v/>
      </c>
      <c r="M49" s="5" t="str">
        <f t="array" ref="M49">IFERROR(INDEX(BAZA_PART,MATCH($C49,BAZA_EX,0)),"")</f>
        <v/>
      </c>
      <c r="N49" s="5" t="str">
        <f t="array" ref="N49">IFERROR(INDEX(BAZA_KAT,MATCH($C49,BAZA_EX,0)),"")</f>
        <v/>
      </c>
      <c r="O49" s="5" t="str">
        <f t="array" ref="O49">IFERROR(INDEX(BAZA_COEFF,MATCH($C49,BAZA_EX,0)),"")</f>
        <v/>
      </c>
      <c r="P49" s="5" t="str">
        <f t="array" ref="P49">IFERROR(INDEX(BAZA_SKOK,MATCH($C49,BAZA_EX,0)),"")</f>
        <v/>
      </c>
      <c r="Q49" s="5" t="str">
        <f t="array" ref="Q49">IFERROR(INDEX(BAZA_PROG,MATCH($C49,BAZA_EX,0)),"")</f>
        <v/>
      </c>
      <c r="R49" s="5" t="str">
        <f>IF($C49="","",IF(SUMPRODUCT((START!$B$6:$B$69=$C49)*(START!$M$6:$M$69&gt;0))=0,"",SUMPRODUCT(MAX((START!$B$6:$B$69=$C49)*START!$M$6:$M$69))))</f>
        <v/>
      </c>
      <c r="S49" s="5" t="str">
        <f t="array" ref="S49">IFERROR(INDEX(TABELE!$B$4:$J$18,MATCH($E49,TABELE!$A$4:$A$18,0),MATCH($F49,TABELE!$B$3:$J$3,0)),"")</f>
        <v/>
      </c>
      <c r="T49" s="5">
        <f t="array" ref="T49">IFERROR(IF($C49="",0,$O49*$D49*INDEX(TABELE!$B$23:$P$33,MATCH($F49,TABELE!$A$23:$A$33,0),MATCH($E49,TABELE!$B$22:$P$22,0))),0)</f>
        <v>0</v>
      </c>
      <c r="U49" s="5">
        <f t="array" ref="U49">IFERROR(IF($C49="",0,$O49*$D49*INDEX(TABELE!$B$37:$P$47,MATCH($F49,TABELE!$A$37:$A$47,0),MATCH($E49,TABELE!$B$36:$P$36,0))),0)</f>
        <v>0</v>
      </c>
      <c r="V49" s="5">
        <f t="array" ref="V49">IFERROR(IF($C49="",0,$O49*$D49*INDEX(TABELE!$B$51:$P$61,MATCH($F49,TABELE!$A$51:$A$61,0),MATCH($E49,TABELE!$B$50:$P$50,0))),0)</f>
        <v>0</v>
      </c>
      <c r="W49" s="5" t="str">
        <f t="array" ref="W49">IFERROR(INDEX(BAZA_UWAGI,MATCH($C49,BAZA_EX,0)),"")</f>
        <v/>
      </c>
      <c r="X49" s="5" t="str">
        <f t="shared" si="11"/>
        <v/>
      </c>
      <c r="Y49" s="5" t="str">
        <f t="shared" si="14"/>
        <v>E</v>
      </c>
      <c r="Z49" s="5">
        <f t="shared" si="15"/>
        <v>5</v>
      </c>
      <c r="AA49" s="5" t="str">
        <f>IF($C49="","",IF(SUMPRODUCT((START!$B$6:$B$69=$C49)*(START!$M$6:$M$69&gt;0))=0,"",SUMPRODUCT(MAX((START!$B$6:$B$69=$C49)*START!$M$6:$M$69))))</f>
        <v/>
      </c>
      <c r="AB49" s="5" t="str">
        <f t="shared" si="12"/>
        <v/>
      </c>
      <c r="AC49" s="5">
        <f>MAX(0.85,MIN(1.15,1+0.05*(COUNTIF('T1'!$AB49,"za łatwe")+COUNTIF('T2'!$AB49,"za łatwe")+COUNTIF('T3'!$AB49,"za łatwe")+COUNTIF('T4'!$AB49,"za łatwe")+COUNTIF('T5'!$AB49,"za łatwe"))-0.05*(COUNTIF('T1'!$AB49,"za trudne")+COUNTIF('T2'!$AB49,"za trudne")+COUNTIF('T3'!$AB49,"za trudne")+COUNTIF('T4'!$AB49,"za trudne")+COUNTIF('T5'!$AB49,"za trudne"))))</f>
        <v>1</v>
      </c>
      <c r="AD49" s="5">
        <f t="shared" si="13"/>
        <v>0</v>
      </c>
    </row>
    <row r="50" ht="25.5" customHeight="1" outlineLevel="1">
      <c r="A50" s="18" t="str">
        <f>IF('T1'!$A50="","",'T1'!$A50)</f>
        <v/>
      </c>
      <c r="B50" s="30"/>
      <c r="C50" s="31" t="str">
        <f>IF('T1'!$C50="","",'T1'!$C50)</f>
        <v/>
      </c>
      <c r="D50" s="32"/>
      <c r="E50" s="39">
        <f>IF($C50="",0,MIN(15,MAX(1,IF(N($O50)&gt;=1,6,IF(N($O50)&gt;=0.75,IF(PRZEL_CZESC="część 1 (objętość)",8,6),IF(PRZEL_CZESC="część 1 (objętość)",10,8)))+2+$AD50)))</f>
        <v>0</v>
      </c>
      <c r="F50" s="33"/>
      <c r="G50" s="34" t="str">
        <f>IF($C50="","",IF(OR($Q50="masa ciała",$Q50="czas",$Q50="dystans",$Q50="ręczne ustawienie"),$Q50,IF($C50='T1'!$C50,IF(AND(LEFT($A50,1)&lt;&gt;"A",PRZEL_AKCESORIA="trzymaj z bloku"),IF(NOT(ISNUMBER('T4'!$G50)),'T4'!$G50,MROUND('T4'!$G50*$AC50/(MAX('T4'!$AC50,0.0001)),MAX($P50,0.5))),IF(OR($R50="",$R50=0),"— brak 1RM",MROUND($R50*$S50/100*$AC50,MAX($P50,0.5)))),IF(OR($AA50="",$AA50=0),"— ustaw ręcznie",MROUND($AA50*$S50/100*$AC50,MAX($P50,0.5))))))</f>
        <v/>
      </c>
      <c r="H50" s="35"/>
      <c r="I50" s="36" t="str">
        <f t="array" ref="I50">IFERROR(IF(IFERROR(INDEX(BAZA_FILM,MATCH($C50,BAZA_EX,0)),"")="","",HYPERLINK(IFERROR(INDEX(BAZA_FILM,MATCH($C50,BAZA_EX,0)),""),"film")),"")</f>
        <v/>
      </c>
      <c r="J50" s="37" t="str">
        <f>IF('T1'!$J50="","",'T1'!$J50)</f>
        <v/>
      </c>
      <c r="K50" s="5" t="s">
        <v>102</v>
      </c>
      <c r="L50" s="5" t="str">
        <f t="array" ref="L50">IFERROR(INDEX(BAZA_ID,MATCH($C50,BAZA_EX,0)),"")</f>
        <v/>
      </c>
      <c r="M50" s="5" t="str">
        <f t="array" ref="M50">IFERROR(INDEX(BAZA_PART,MATCH($C50,BAZA_EX,0)),"")</f>
        <v/>
      </c>
      <c r="N50" s="5" t="str">
        <f t="array" ref="N50">IFERROR(INDEX(BAZA_KAT,MATCH($C50,BAZA_EX,0)),"")</f>
        <v/>
      </c>
      <c r="O50" s="5" t="str">
        <f t="array" ref="O50">IFERROR(INDEX(BAZA_COEFF,MATCH($C50,BAZA_EX,0)),"")</f>
        <v/>
      </c>
      <c r="P50" s="5" t="str">
        <f t="array" ref="P50">IFERROR(INDEX(BAZA_SKOK,MATCH($C50,BAZA_EX,0)),"")</f>
        <v/>
      </c>
      <c r="Q50" s="5" t="str">
        <f t="array" ref="Q50">IFERROR(INDEX(BAZA_PROG,MATCH($C50,BAZA_EX,0)),"")</f>
        <v/>
      </c>
      <c r="R50" s="5" t="str">
        <f>IF($C50="","",IF(SUMPRODUCT((START!$B$6:$B$69=$C50)*(START!$M$6:$M$69&gt;0))=0,"",SUMPRODUCT(MAX((START!$B$6:$B$69=$C50)*START!$M$6:$M$69))))</f>
        <v/>
      </c>
      <c r="S50" s="5" t="str">
        <f t="array" ref="S50">IFERROR(INDEX(TABELE!$B$4:$J$18,MATCH($E50,TABELE!$A$4:$A$18,0),MATCH($F50,TABELE!$B$3:$J$3,0)),"")</f>
        <v/>
      </c>
      <c r="T50" s="5">
        <f t="array" ref="T50">IFERROR(IF($C50="",0,$O50*$D50*INDEX(TABELE!$B$23:$P$33,MATCH($F50,TABELE!$A$23:$A$33,0),MATCH($E50,TABELE!$B$22:$P$22,0))),0)</f>
        <v>0</v>
      </c>
      <c r="U50" s="5">
        <f t="array" ref="U50">IFERROR(IF($C50="",0,$O50*$D50*INDEX(TABELE!$B$37:$P$47,MATCH($F50,TABELE!$A$37:$A$47,0),MATCH($E50,TABELE!$B$36:$P$36,0))),0)</f>
        <v>0</v>
      </c>
      <c r="V50" s="5">
        <f t="array" ref="V50">IFERROR(IF($C50="",0,$O50*$D50*INDEX(TABELE!$B$51:$P$61,MATCH($F50,TABELE!$A$51:$A$61,0),MATCH($E50,TABELE!$B$50:$P$50,0))),0)</f>
        <v>0</v>
      </c>
      <c r="W50" s="5" t="str">
        <f t="array" ref="W50">IFERROR(INDEX(BAZA_UWAGI,MATCH($C50,BAZA_EX,0)),"")</f>
        <v/>
      </c>
      <c r="X50" s="5" t="str">
        <f t="shared" si="11"/>
        <v/>
      </c>
      <c r="Y50" s="5" t="str">
        <f t="shared" si="14"/>
        <v>E</v>
      </c>
      <c r="Z50" s="5">
        <f t="shared" si="15"/>
        <v>5</v>
      </c>
      <c r="AA50" s="5" t="str">
        <f>IF($C50="","",IF(SUMPRODUCT((START!$B$6:$B$69=$C50)*(START!$M$6:$M$69&gt;0))=0,"",SUMPRODUCT(MAX((START!$B$6:$B$69=$C50)*START!$M$6:$M$69))))</f>
        <v/>
      </c>
      <c r="AB50" s="5" t="str">
        <f t="shared" si="12"/>
        <v/>
      </c>
      <c r="AC50" s="5">
        <f>MAX(0.85,MIN(1.15,1+0.05*(COUNTIF('T1'!$AB50,"za łatwe")+COUNTIF('T2'!$AB50,"za łatwe")+COUNTIF('T3'!$AB50,"za łatwe")+COUNTIF('T4'!$AB50,"za łatwe")+COUNTIF('T5'!$AB50,"za łatwe"))-0.05*(COUNTIF('T1'!$AB50,"za trudne")+COUNTIF('T2'!$AB50,"za trudne")+COUNTIF('T3'!$AB50,"za trudne")+COUNTIF('T4'!$AB50,"za trudne")+COUNTIF('T5'!$AB50,"za trudne"))))</f>
        <v>1</v>
      </c>
      <c r="AD50" s="5">
        <f t="shared" si="13"/>
        <v>0</v>
      </c>
    </row>
    <row r="51" ht="19.5" customHeight="1" outlineLevel="1">
      <c r="A51" s="43"/>
      <c r="B51" s="43"/>
      <c r="C51" s="44" t="s">
        <v>137</v>
      </c>
      <c r="D51" s="45">
        <f>SUMPRODUCT((C39:C50&lt;&gt;"")*D39:D50)+IF(AND($B$38="TOP SET",$C$38&lt;&gt;""),1,0)</f>
      </c>
      <c r="E51" s="46" t="str">
        <f>SUMPRODUCT((C39:C50&lt;&gt;"")*D39:D50*E39:E50)&amp;" powt."</f>
        <v>0 powt.</v>
      </c>
      <c r="F51" s="43"/>
      <c r="G51" s="47" t="str">
        <f>"stres t "&amp;TEXT(SUM(T39:T50),"0.0")</f>
        <v>stres t 0,0</v>
      </c>
      <c r="H51" s="48"/>
      <c r="I51" s="43"/>
      <c r="J51" s="4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25.5" hidden="1" customHeight="1" outlineLevel="1">
      <c r="A53" s="15" t="s">
        <v>103</v>
      </c>
      <c r="B53" s="3"/>
      <c r="C53" s="3"/>
      <c r="D53" s="3"/>
      <c r="E53" s="3"/>
      <c r="F53" s="3"/>
      <c r="G53" s="3"/>
      <c r="H53" s="3"/>
      <c r="I53" s="3"/>
      <c r="J53" s="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33.75" hidden="1" customHeight="1" outlineLevel="2">
      <c r="A54" s="17" t="str">
        <f>IF($B54="TOP SET","▲","")</f>
        <v>▲</v>
      </c>
      <c r="B54" s="19" t="str">
        <f>IF('T1'!$B54="TOP SET","TOP SET","—")</f>
        <v>TOP SET</v>
      </c>
      <c r="C54" s="22" t="str">
        <f>IF(OR($B54&lt;&gt;"TOP SET",$F54=""),"",IF(N($K54)=0,"",IF(INDEX($C$55:$C$66,$K54)="","",INDEX($C$55:$C$66,$K54))))</f>
      </c>
      <c r="D54" s="23">
        <f>IF(AND($B54="TOP SET",$F54&lt;&gt;""),1,"")</f>
      </c>
      <c r="E54" s="24" t="str">
        <f>IF(AND($B54="TOP SET",$F54&lt;&gt;""),"1 powtórzenie","")</f>
      </c>
      <c r="F54" s="25">
        <v>8.0</v>
      </c>
      <c r="G54" s="27" t="str">
        <f t="array" ref="G54">IF($B54&lt;&gt;"TOP SET","",IF($C54="","",IF(OR($Q54="masa ciała",$Q54="czas",$Q54="dystans",$Q54="ręczne ustawienie"),"—",IF($C54='T1'!$C54,IF(OR($R54="",$R54=0),"— brak 1RM",MROUND($R54*IFERROR(INDEX(TABELE!$B$4:$J$18,MATCH(1,TABELE!$A$4:$A$18,0),MATCH($F54,TABELE!$B$3:$J$3,0)),0)/100,MAX($P54,0.5))),IF(OR($AA54="",$AA54=0),"— ustaw ręcznie",MROUND($AA54*IFERROR(INDEX(TABELE!$B$4:$J$18,MATCH(1,TABELE!$A$4:$A$18,0),MATCH($F54,TABELE!$B$3:$J$3,0)),0)/100,MAX($P54,0.5)))))))</f>
      </c>
      <c r="H54" s="28"/>
      <c r="I54" s="29"/>
      <c r="J54" s="29"/>
      <c r="K54" s="5">
        <f>IFERROR(MATCH("A*",$A$55:$A$66,0),0)</f>
      </c>
      <c r="L54" s="5"/>
      <c r="M54" s="5"/>
      <c r="N54" s="5"/>
      <c r="O54" s="5"/>
      <c r="P54" s="5">
        <f>IF(N($K54)=0,"",INDEX($P$55:$P$66,$K54))</f>
      </c>
      <c r="Q54" s="5">
        <f>IF(N($K54)=0,"",INDEX($Q$55:$Q$66,$K54))</f>
      </c>
      <c r="R54" s="5">
        <f>IF(N($K54)=0,"",INDEX($R$55:$R$66,$K54))</f>
      </c>
      <c r="S54" s="5"/>
      <c r="T54" s="5"/>
      <c r="U54" s="5"/>
      <c r="V54" s="5"/>
      <c r="W54" s="5"/>
      <c r="X54" s="5"/>
      <c r="Y54" s="5"/>
      <c r="Z54" s="5"/>
      <c r="AA54" s="5">
        <f>IF(N($K54)=0,"",INDEX($AA$55:$AA$66,$K54))</f>
      </c>
    </row>
    <row r="55" ht="25.5" hidden="1" customHeight="1" outlineLevel="1">
      <c r="A55" s="18" t="str">
        <f>IF('T1'!$A55="","",'T1'!$A55)</f>
        <v>A1.</v>
      </c>
      <c r="B55" s="30"/>
      <c r="C55" s="31" t="str">
        <f>IF('T1'!$C55="","",'T1'!$C55)</f>
        <v/>
      </c>
      <c r="D55" s="32">
        <v>6.0</v>
      </c>
      <c r="E55" s="32">
        <v>3.0</v>
      </c>
      <c r="F55" s="33">
        <v>7.5</v>
      </c>
      <c r="G55" s="34" t="str">
        <f>IF($C55="","",IF(OR($Q55="masa ciała",$Q55="czas",$Q55="dystans",$Q55="ręczne ustawienie"),$Q55,IF($C55='T1'!$C55,IF(AND(LEFT($A55,1)&lt;&gt;"A",PRZEL_AKCESORIA="trzymaj z bloku"),IF(NOT(ISNUMBER('T4'!$G55)),'T4'!$G55,MROUND('T4'!$G55*$AC55/(MAX('T4'!$AC55,0.0001)),MAX($P55,0.5))),IF(OR($R55="",$R55=0),"— brak 1RM",MROUND($R55*$S55/100*$AC55,MAX($P55,0.5)))),IF(OR($AA55="",$AA55=0),"— ustaw ręcznie",MROUND($AA55*$S55/100*$AC55,MAX($P55,0.5))))))</f>
        <v/>
      </c>
      <c r="H55" s="35"/>
      <c r="I55" s="36" t="str">
        <f t="array" ref="I55">IFERROR(IF(IFERROR(INDEX(BAZA_FILM,MATCH($C55,BAZA_EX,0)),"")="","",HYPERLINK(IFERROR(INDEX(BAZA_FILM,MATCH($C55,BAZA_EX,0)),""),"film")),"")</f>
        <v/>
      </c>
      <c r="J55" s="37" t="str">
        <f>IF('T1'!$J55="","",'T1'!$J55)</f>
        <v/>
      </c>
      <c r="K55" s="5" t="s">
        <v>104</v>
      </c>
      <c r="L55" s="5" t="str">
        <f t="array" ref="L55">IFERROR(INDEX(BAZA_ID,MATCH($C55,BAZA_EX,0)),"")</f>
        <v/>
      </c>
      <c r="M55" s="5" t="str">
        <f t="array" ref="M55">IFERROR(INDEX(BAZA_PART,MATCH($C55,BAZA_EX,0)),"")</f>
        <v/>
      </c>
      <c r="N55" s="5" t="str">
        <f t="array" ref="N55">IFERROR(INDEX(BAZA_KAT,MATCH($C55,BAZA_EX,0)),"")</f>
        <v/>
      </c>
      <c r="O55" s="5" t="str">
        <f t="array" ref="O55">IFERROR(INDEX(BAZA_COEFF,MATCH($C55,BAZA_EX,0)),"")</f>
        <v/>
      </c>
      <c r="P55" s="5" t="str">
        <f t="array" ref="P55">IFERROR(INDEX(BAZA_SKOK,MATCH($C55,BAZA_EX,0)),"")</f>
        <v/>
      </c>
      <c r="Q55" s="5" t="str">
        <f t="array" ref="Q55">IFERROR(INDEX(BAZA_PROG,MATCH($C55,BAZA_EX,0)),"")</f>
        <v/>
      </c>
      <c r="R55" s="5" t="str">
        <f>IF($C55="","",IF(SUMPRODUCT((START!$B$6:$B$69=$C55)*(START!$M$6:$M$69&gt;0))=0,"",SUMPRODUCT(MAX((START!$B$6:$B$69=$C55)*START!$M$6:$M$69))))</f>
        <v/>
      </c>
      <c r="S55" s="5">
        <f t="array" ref="S55">IFERROR(INDEX(TABELE!$B$4:$J$18,MATCH($E55,TABELE!$A$4:$A$18,0),MATCH($F55,TABELE!$B$3:$J$3,0)),"")</f>
        <v>83.5</v>
      </c>
      <c r="T55" s="5">
        <f t="array" ref="T55">IFERROR(IF($C55="",0,$O55*$D55*INDEX(TABELE!$B$23:$P$33,MATCH($F55,TABELE!$A$23:$A$33,0),MATCH($E55,TABELE!$B$22:$P$22,0))),0)</f>
        <v>0</v>
      </c>
      <c r="U55" s="5">
        <f t="array" ref="U55">IFERROR(IF($C55="",0,$O55*$D55*INDEX(TABELE!$B$37:$P$47,MATCH($F55,TABELE!$A$37:$A$47,0),MATCH($E55,TABELE!$B$36:$P$36,0))),0)</f>
        <v>0</v>
      </c>
      <c r="V55" s="5">
        <f t="array" ref="V55">IFERROR(IF($C55="",0,$O55*$D55*INDEX(TABELE!$B$51:$P$61,MATCH($F55,TABELE!$A$51:$A$61,0),MATCH($E55,TABELE!$B$50:$P$50,0))),0)</f>
        <v>0</v>
      </c>
      <c r="W55" s="5" t="str">
        <f t="array" ref="W55">IFERROR(INDEX(BAZA_UWAGI,MATCH($C55,BAZA_EX,0)),"")</f>
        <v/>
      </c>
      <c r="X55" s="5">
        <f t="shared" ref="X55:X66" si="16">IF($A55="","",$Z55)</f>
        <v>1</v>
      </c>
      <c r="Y55" s="5" t="str">
        <f>IF($A55="","",LEFT($A55,1))</f>
        <v>A</v>
      </c>
      <c r="Z55" s="5">
        <f>IF($A55="",0,1)</f>
        <v>1</v>
      </c>
      <c r="AA55" s="5" t="str">
        <f>IF($C55="","",IF(SUMPRODUCT((START!$B$6:$B$69=$C55)*(START!$M$6:$M$69&gt;0))=0,"",SUMPRODUCT(MAX((START!$B$6:$B$69=$C55)*START!$M$6:$M$69))))</f>
        <v/>
      </c>
      <c r="AB55" s="5" t="str">
        <f t="shared" ref="AB55:AB66" si="17">IF($C55="","",IF($H55&lt;&gt;"",$H55,IF($H$67="✓ ukończony","OK","")))</f>
        <v/>
      </c>
      <c r="AC55" s="5">
        <f>MAX(0.85,MIN(1.15,1+0.05*(COUNTIF('T1'!$AB55,"za łatwe")+COUNTIF('T2'!$AB55,"za łatwe")+COUNTIF('T3'!$AB55,"za łatwe")+COUNTIF('T4'!$AB55,"za łatwe")+COUNTIF('T5'!$AB55,"za łatwe"))-0.05*(COUNTIF('T1'!$AB55,"za trudne")+COUNTIF('T2'!$AB55,"za trudne")+COUNTIF('T3'!$AB55,"za trudne")+COUNTIF('T4'!$AB55,"za trudne")+COUNTIF('T5'!$AB55,"za trudne"))))</f>
        <v>1</v>
      </c>
      <c r="AD55" s="5">
        <f t="shared" ref="AD55:AD66" si="18">IF(OR($Q55="masa ciała",$Q55="czas",$Q55="dystans",$Q55="ręczne ustawienie"),MAX(-3,MIN(3,ROUND(($AC55-1)/0.05,0))),0)</f>
        <v>0</v>
      </c>
    </row>
    <row r="56" ht="25.5" hidden="1" customHeight="1" outlineLevel="1">
      <c r="A56" s="18" t="str">
        <f>IF('T1'!$A56="","",'T1'!$A56)</f>
        <v>B1.</v>
      </c>
      <c r="B56" s="30"/>
      <c r="C56" s="31" t="str">
        <f>IF('T1'!$C56="","",'T1'!$C56)</f>
        <v/>
      </c>
      <c r="D56" s="32">
        <v>3.0</v>
      </c>
      <c r="E56" s="39">
        <f>IF($C56="",0,MIN(15,MAX(1,IF(N($O56)&gt;=1,6,IF(N($O56)&gt;=0.75,IF(PRZEL_CZESC="część 1 (objętość)",8,6),IF(PRZEL_CZESC="część 1 (objętość)",10,8)))+2+$AD56)))</f>
        <v>0</v>
      </c>
      <c r="F56" s="33">
        <v>9.0</v>
      </c>
      <c r="G56" s="34" t="str">
        <f>IF($C56="","",IF(OR($Q56="masa ciała",$Q56="czas",$Q56="dystans",$Q56="ręczne ustawienie"),$Q56,IF($C56='T1'!$C56,IF(AND(LEFT($A56,1)&lt;&gt;"A",PRZEL_AKCESORIA="trzymaj z bloku"),IF(NOT(ISNUMBER('T4'!$G56)),'T4'!$G56,MROUND('T4'!$G56*$AC56/(MAX('T4'!$AC56,0.0001)),MAX($P56,0.5))),IF(OR($R56="",$R56=0),"— brak 1RM",MROUND($R56*$S56/100*$AC56,MAX($P56,0.5)))),IF(OR($AA56="",$AA56=0),"— ustaw ręcznie",MROUND($AA56*$S56/100*$AC56,MAX($P56,0.5))))))</f>
        <v/>
      </c>
      <c r="H56" s="35"/>
      <c r="I56" s="36" t="str">
        <f t="array" ref="I56">IFERROR(IF(IFERROR(INDEX(BAZA_FILM,MATCH($C56,BAZA_EX,0)),"")="","",HYPERLINK(IFERROR(INDEX(BAZA_FILM,MATCH($C56,BAZA_EX,0)),""),"film")),"")</f>
        <v/>
      </c>
      <c r="J56" s="37" t="str">
        <f>IF('T1'!$J56="","",'T1'!$J56)</f>
        <v/>
      </c>
      <c r="K56" s="5" t="s">
        <v>105</v>
      </c>
      <c r="L56" s="5" t="str">
        <f t="array" ref="L56">IFERROR(INDEX(BAZA_ID,MATCH($C56,BAZA_EX,0)),"")</f>
        <v/>
      </c>
      <c r="M56" s="5" t="str">
        <f t="array" ref="M56">IFERROR(INDEX(BAZA_PART,MATCH($C56,BAZA_EX,0)),"")</f>
        <v/>
      </c>
      <c r="N56" s="5" t="str">
        <f t="array" ref="N56">IFERROR(INDEX(BAZA_KAT,MATCH($C56,BAZA_EX,0)),"")</f>
        <v/>
      </c>
      <c r="O56" s="5" t="str">
        <f t="array" ref="O56">IFERROR(INDEX(BAZA_COEFF,MATCH($C56,BAZA_EX,0)),"")</f>
        <v/>
      </c>
      <c r="P56" s="5" t="str">
        <f t="array" ref="P56">IFERROR(INDEX(BAZA_SKOK,MATCH($C56,BAZA_EX,0)),"")</f>
        <v/>
      </c>
      <c r="Q56" s="5" t="str">
        <f t="array" ref="Q56">IFERROR(INDEX(BAZA_PROG,MATCH($C56,BAZA_EX,0)),"")</f>
        <v/>
      </c>
      <c r="R56" s="5" t="str">
        <f>IF($C56="","",IF(SUMPRODUCT((START!$B$6:$B$69=$C56)*(START!$M$6:$M$69&gt;0))=0,"",SUMPRODUCT(MAX((START!$B$6:$B$69=$C56)*START!$M$6:$M$69))))</f>
        <v/>
      </c>
      <c r="S56" s="5" t="str">
        <f t="array" ref="S56">IFERROR(INDEX(TABELE!$B$4:$J$18,MATCH($E56,TABELE!$A$4:$A$18,0),MATCH($F56,TABELE!$B$3:$J$3,0)),"")</f>
        <v/>
      </c>
      <c r="T56" s="5">
        <f t="array" ref="T56">IFERROR(IF($C56="",0,$O56*$D56*INDEX(TABELE!$B$23:$P$33,MATCH($F56,TABELE!$A$23:$A$33,0),MATCH($E56,TABELE!$B$22:$P$22,0))),0)</f>
        <v>0</v>
      </c>
      <c r="U56" s="5">
        <f t="array" ref="U56">IFERROR(IF($C56="",0,$O56*$D56*INDEX(TABELE!$B$37:$P$47,MATCH($F56,TABELE!$A$37:$A$47,0),MATCH($E56,TABELE!$B$36:$P$36,0))),0)</f>
        <v>0</v>
      </c>
      <c r="V56" s="5">
        <f t="array" ref="V56">IFERROR(IF($C56="",0,$O56*$D56*INDEX(TABELE!$B$51:$P$61,MATCH($F56,TABELE!$A$51:$A$61,0),MATCH($E56,TABELE!$B$50:$P$50,0))),0)</f>
        <v>0</v>
      </c>
      <c r="W56" s="5" t="str">
        <f t="array" ref="W56">IFERROR(INDEX(BAZA_UWAGI,MATCH($C56,BAZA_EX,0)),"")</f>
        <v/>
      </c>
      <c r="X56" s="5">
        <f t="shared" si="16"/>
        <v>2</v>
      </c>
      <c r="Y56" s="5" t="str">
        <f t="shared" ref="Y56:Y66" si="19">IF($A56="",$Y55,LEFT($A56,1))</f>
        <v>B</v>
      </c>
      <c r="Z56" s="5">
        <f t="shared" ref="Z56:Z66" si="20">IF($A56="",$Z55,IF(LEFT($A56,1)=$Y55,$Z55,$Z55+1))</f>
        <v>2</v>
      </c>
      <c r="AA56" s="5" t="str">
        <f>IF($C56="","",IF(SUMPRODUCT((START!$B$6:$B$69=$C56)*(START!$M$6:$M$69&gt;0))=0,"",SUMPRODUCT(MAX((START!$B$6:$B$69=$C56)*START!$M$6:$M$69))))</f>
        <v/>
      </c>
      <c r="AB56" s="5" t="str">
        <f t="shared" si="17"/>
        <v/>
      </c>
      <c r="AC56" s="5">
        <f>MAX(0.85,MIN(1.15,1+0.05*(COUNTIF('T1'!$AB56,"za łatwe")+COUNTIF('T2'!$AB56,"za łatwe")+COUNTIF('T3'!$AB56,"za łatwe")+COUNTIF('T4'!$AB56,"za łatwe")+COUNTIF('T5'!$AB56,"za łatwe"))-0.05*(COUNTIF('T1'!$AB56,"za trudne")+COUNTIF('T2'!$AB56,"za trudne")+COUNTIF('T3'!$AB56,"za trudne")+COUNTIF('T4'!$AB56,"za trudne")+COUNTIF('T5'!$AB56,"za trudne"))))</f>
        <v>1</v>
      </c>
      <c r="AD56" s="5">
        <f t="shared" si="18"/>
        <v>0</v>
      </c>
    </row>
    <row r="57" ht="25.5" hidden="1" customHeight="1" outlineLevel="1">
      <c r="A57" s="18" t="str">
        <f>IF('T1'!$A57="","",'T1'!$A57)</f>
        <v>B2.</v>
      </c>
      <c r="B57" s="30"/>
      <c r="C57" s="31" t="str">
        <f>IF('T1'!$C57="","",'T1'!$C57)</f>
        <v/>
      </c>
      <c r="D57" s="32">
        <v>3.0</v>
      </c>
      <c r="E57" s="39">
        <f>IF($C57="",0,MIN(15,MAX(1,IF(N($O57)&gt;=1,6,IF(N($O57)&gt;=0.75,IF(PRZEL_CZESC="część 1 (objętość)",8,6),IF(PRZEL_CZESC="część 1 (objętość)",10,8)))+2+$AD57)))</f>
        <v>0</v>
      </c>
      <c r="F57" s="33">
        <v>9.0</v>
      </c>
      <c r="G57" s="34" t="str">
        <f>IF($C57="","",IF(OR($Q57="masa ciała",$Q57="czas",$Q57="dystans",$Q57="ręczne ustawienie"),$Q57,IF($C57='T1'!$C57,IF(AND(LEFT($A57,1)&lt;&gt;"A",PRZEL_AKCESORIA="trzymaj z bloku"),IF(NOT(ISNUMBER('T4'!$G57)),'T4'!$G57,MROUND('T4'!$G57*$AC57/(MAX('T4'!$AC57,0.0001)),MAX($P57,0.5))),IF(OR($R57="",$R57=0),"— brak 1RM",MROUND($R57*$S57/100*$AC57,MAX($P57,0.5)))),IF(OR($AA57="",$AA57=0),"— ustaw ręcznie",MROUND($AA57*$S57/100*$AC57,MAX($P57,0.5))))))</f>
        <v/>
      </c>
      <c r="H57" s="35"/>
      <c r="I57" s="36" t="str">
        <f t="array" ref="I57">IFERROR(IF(IFERROR(INDEX(BAZA_FILM,MATCH($C57,BAZA_EX,0)),"")="","",HYPERLINK(IFERROR(INDEX(BAZA_FILM,MATCH($C57,BAZA_EX,0)),""),"film")),"")</f>
        <v/>
      </c>
      <c r="J57" s="37" t="str">
        <f>IF('T1'!$J57="","",'T1'!$J57)</f>
        <v/>
      </c>
      <c r="K57" s="5" t="s">
        <v>106</v>
      </c>
      <c r="L57" s="5" t="str">
        <f t="array" ref="L57">IFERROR(INDEX(BAZA_ID,MATCH($C57,BAZA_EX,0)),"")</f>
        <v/>
      </c>
      <c r="M57" s="5" t="str">
        <f t="array" ref="M57">IFERROR(INDEX(BAZA_PART,MATCH($C57,BAZA_EX,0)),"")</f>
        <v/>
      </c>
      <c r="N57" s="5" t="str">
        <f t="array" ref="N57">IFERROR(INDEX(BAZA_KAT,MATCH($C57,BAZA_EX,0)),"")</f>
        <v/>
      </c>
      <c r="O57" s="5" t="str">
        <f t="array" ref="O57">IFERROR(INDEX(BAZA_COEFF,MATCH($C57,BAZA_EX,0)),"")</f>
        <v/>
      </c>
      <c r="P57" s="5" t="str">
        <f t="array" ref="P57">IFERROR(INDEX(BAZA_SKOK,MATCH($C57,BAZA_EX,0)),"")</f>
        <v/>
      </c>
      <c r="Q57" s="5" t="str">
        <f t="array" ref="Q57">IFERROR(INDEX(BAZA_PROG,MATCH($C57,BAZA_EX,0)),"")</f>
        <v/>
      </c>
      <c r="R57" s="5" t="str">
        <f>IF($C57="","",IF(SUMPRODUCT((START!$B$6:$B$69=$C57)*(START!$M$6:$M$69&gt;0))=0,"",SUMPRODUCT(MAX((START!$B$6:$B$69=$C57)*START!$M$6:$M$69))))</f>
        <v/>
      </c>
      <c r="S57" s="5" t="str">
        <f t="array" ref="S57">IFERROR(INDEX(TABELE!$B$4:$J$18,MATCH($E57,TABELE!$A$4:$A$18,0),MATCH($F57,TABELE!$B$3:$J$3,0)),"")</f>
        <v/>
      </c>
      <c r="T57" s="5">
        <f t="array" ref="T57">IFERROR(IF($C57="",0,$O57*$D57*INDEX(TABELE!$B$23:$P$33,MATCH($F57,TABELE!$A$23:$A$33,0),MATCH($E57,TABELE!$B$22:$P$22,0))),0)</f>
        <v>0</v>
      </c>
      <c r="U57" s="5">
        <f t="array" ref="U57">IFERROR(IF($C57="",0,$O57*$D57*INDEX(TABELE!$B$37:$P$47,MATCH($F57,TABELE!$A$37:$A$47,0),MATCH($E57,TABELE!$B$36:$P$36,0))),0)</f>
        <v>0</v>
      </c>
      <c r="V57" s="5">
        <f t="array" ref="V57">IFERROR(IF($C57="",0,$O57*$D57*INDEX(TABELE!$B$51:$P$61,MATCH($F57,TABELE!$A$51:$A$61,0),MATCH($E57,TABELE!$B$50:$P$50,0))),0)</f>
        <v>0</v>
      </c>
      <c r="W57" s="5" t="str">
        <f t="array" ref="W57">IFERROR(INDEX(BAZA_UWAGI,MATCH($C57,BAZA_EX,0)),"")</f>
        <v/>
      </c>
      <c r="X57" s="5">
        <f t="shared" si="16"/>
        <v>2</v>
      </c>
      <c r="Y57" s="5" t="str">
        <f t="shared" si="19"/>
        <v>B</v>
      </c>
      <c r="Z57" s="5">
        <f t="shared" si="20"/>
        <v>2</v>
      </c>
      <c r="AA57" s="5" t="str">
        <f>IF($C57="","",IF(SUMPRODUCT((START!$B$6:$B$69=$C57)*(START!$M$6:$M$69&gt;0))=0,"",SUMPRODUCT(MAX((START!$B$6:$B$69=$C57)*START!$M$6:$M$69))))</f>
        <v/>
      </c>
      <c r="AB57" s="5" t="str">
        <f t="shared" si="17"/>
        <v/>
      </c>
      <c r="AC57" s="5">
        <f>MAX(0.85,MIN(1.15,1+0.05*(COUNTIF('T1'!$AB57,"za łatwe")+COUNTIF('T2'!$AB57,"za łatwe")+COUNTIF('T3'!$AB57,"za łatwe")+COUNTIF('T4'!$AB57,"za łatwe")+COUNTIF('T5'!$AB57,"za łatwe"))-0.05*(COUNTIF('T1'!$AB57,"za trudne")+COUNTIF('T2'!$AB57,"za trudne")+COUNTIF('T3'!$AB57,"za trudne")+COUNTIF('T4'!$AB57,"za trudne")+COUNTIF('T5'!$AB57,"za trudne"))))</f>
        <v>1</v>
      </c>
      <c r="AD57" s="5">
        <f t="shared" si="18"/>
        <v>0</v>
      </c>
    </row>
    <row r="58" ht="25.5" hidden="1" customHeight="1" outlineLevel="1">
      <c r="A58" s="18" t="str">
        <f>IF('T1'!$A58="","",'T1'!$A58)</f>
        <v>C1.</v>
      </c>
      <c r="B58" s="30"/>
      <c r="C58" s="31" t="str">
        <f>IF('T1'!$C58="","",'T1'!$C58)</f>
        <v/>
      </c>
      <c r="D58" s="32">
        <v>3.0</v>
      </c>
      <c r="E58" s="39">
        <f>IF($C58="",0,MIN(15,MAX(1,IF(N($O58)&gt;=1,6,IF(N($O58)&gt;=0.75,IF(PRZEL_CZESC="część 1 (objętość)",8,6),IF(PRZEL_CZESC="część 1 (objętość)",10,8)))+2+$AD58)))</f>
        <v>0</v>
      </c>
      <c r="F58" s="33">
        <v>9.0</v>
      </c>
      <c r="G58" s="34" t="str">
        <f>IF($C58="","",IF(OR($Q58="masa ciała",$Q58="czas",$Q58="dystans",$Q58="ręczne ustawienie"),$Q58,IF($C58='T1'!$C58,IF(AND(LEFT($A58,1)&lt;&gt;"A",PRZEL_AKCESORIA="trzymaj z bloku"),IF(NOT(ISNUMBER('T4'!$G58)),'T4'!$G58,MROUND('T4'!$G58*$AC58/(MAX('T4'!$AC58,0.0001)),MAX($P58,0.5))),IF(OR($R58="",$R58=0),"— brak 1RM",MROUND($R58*$S58/100*$AC58,MAX($P58,0.5)))),IF(OR($AA58="",$AA58=0),"— ustaw ręcznie",MROUND($AA58*$S58/100*$AC58,MAX($P58,0.5))))))</f>
        <v/>
      </c>
      <c r="H58" s="35"/>
      <c r="I58" s="36" t="str">
        <f t="array" ref="I58">IFERROR(IF(IFERROR(INDEX(BAZA_FILM,MATCH($C58,BAZA_EX,0)),"")="","",HYPERLINK(IFERROR(INDEX(BAZA_FILM,MATCH($C58,BAZA_EX,0)),""),"film")),"")</f>
        <v/>
      </c>
      <c r="J58" s="37" t="str">
        <f>IF('T1'!$J58="","",'T1'!$J58)</f>
        <v/>
      </c>
      <c r="K58" s="5" t="s">
        <v>108</v>
      </c>
      <c r="L58" s="5" t="str">
        <f t="array" ref="L58">IFERROR(INDEX(BAZA_ID,MATCH($C58,BAZA_EX,0)),"")</f>
        <v/>
      </c>
      <c r="M58" s="5" t="str">
        <f t="array" ref="M58">IFERROR(INDEX(BAZA_PART,MATCH($C58,BAZA_EX,0)),"")</f>
        <v/>
      </c>
      <c r="N58" s="5" t="str">
        <f t="array" ref="N58">IFERROR(INDEX(BAZA_KAT,MATCH($C58,BAZA_EX,0)),"")</f>
        <v/>
      </c>
      <c r="O58" s="5" t="str">
        <f t="array" ref="O58">IFERROR(INDEX(BAZA_COEFF,MATCH($C58,BAZA_EX,0)),"")</f>
        <v/>
      </c>
      <c r="P58" s="5" t="str">
        <f t="array" ref="P58">IFERROR(INDEX(BAZA_SKOK,MATCH($C58,BAZA_EX,0)),"")</f>
        <v/>
      </c>
      <c r="Q58" s="5" t="str">
        <f t="array" ref="Q58">IFERROR(INDEX(BAZA_PROG,MATCH($C58,BAZA_EX,0)),"")</f>
        <v/>
      </c>
      <c r="R58" s="5" t="str">
        <f>IF($C58="","",IF(SUMPRODUCT((START!$B$6:$B$69=$C58)*(START!$M$6:$M$69&gt;0))=0,"",SUMPRODUCT(MAX((START!$B$6:$B$69=$C58)*START!$M$6:$M$69))))</f>
        <v/>
      </c>
      <c r="S58" s="5" t="str">
        <f t="array" ref="S58">IFERROR(INDEX(TABELE!$B$4:$J$18,MATCH($E58,TABELE!$A$4:$A$18,0),MATCH($F58,TABELE!$B$3:$J$3,0)),"")</f>
        <v/>
      </c>
      <c r="T58" s="5">
        <f t="array" ref="T58">IFERROR(IF($C58="",0,$O58*$D58*INDEX(TABELE!$B$23:$P$33,MATCH($F58,TABELE!$A$23:$A$33,0),MATCH($E58,TABELE!$B$22:$P$22,0))),0)</f>
        <v>0</v>
      </c>
      <c r="U58" s="5">
        <f t="array" ref="U58">IFERROR(IF($C58="",0,$O58*$D58*INDEX(TABELE!$B$37:$P$47,MATCH($F58,TABELE!$A$37:$A$47,0),MATCH($E58,TABELE!$B$36:$P$36,0))),0)</f>
        <v>0</v>
      </c>
      <c r="V58" s="5">
        <f t="array" ref="V58">IFERROR(IF($C58="",0,$O58*$D58*INDEX(TABELE!$B$51:$P$61,MATCH($F58,TABELE!$A$51:$A$61,0),MATCH($E58,TABELE!$B$50:$P$50,0))),0)</f>
        <v>0</v>
      </c>
      <c r="W58" s="5" t="str">
        <f t="array" ref="W58">IFERROR(INDEX(BAZA_UWAGI,MATCH($C58,BAZA_EX,0)),"")</f>
        <v/>
      </c>
      <c r="X58" s="5">
        <f t="shared" si="16"/>
        <v>3</v>
      </c>
      <c r="Y58" s="5" t="str">
        <f t="shared" si="19"/>
        <v>C</v>
      </c>
      <c r="Z58" s="5">
        <f t="shared" si="20"/>
        <v>3</v>
      </c>
      <c r="AA58" s="5" t="str">
        <f>IF($C58="","",IF(SUMPRODUCT((START!$B$6:$B$69=$C58)*(START!$M$6:$M$69&gt;0))=0,"",SUMPRODUCT(MAX((START!$B$6:$B$69=$C58)*START!$M$6:$M$69))))</f>
        <v/>
      </c>
      <c r="AB58" s="5" t="str">
        <f t="shared" si="17"/>
        <v/>
      </c>
      <c r="AC58" s="5">
        <f>MAX(0.85,MIN(1.15,1+0.05*(COUNTIF('T1'!$AB58,"za łatwe")+COUNTIF('T2'!$AB58,"za łatwe")+COUNTIF('T3'!$AB58,"za łatwe")+COUNTIF('T4'!$AB58,"za łatwe")+COUNTIF('T5'!$AB58,"za łatwe"))-0.05*(COUNTIF('T1'!$AB58,"za trudne")+COUNTIF('T2'!$AB58,"za trudne")+COUNTIF('T3'!$AB58,"za trudne")+COUNTIF('T4'!$AB58,"za trudne")+COUNTIF('T5'!$AB58,"za trudne"))))</f>
        <v>1</v>
      </c>
      <c r="AD58" s="5">
        <f t="shared" si="18"/>
        <v>0</v>
      </c>
    </row>
    <row r="59" ht="25.5" hidden="1" customHeight="1" outlineLevel="1">
      <c r="A59" s="18" t="str">
        <f>IF('T1'!$A59="","",'T1'!$A59)</f>
        <v>C2.</v>
      </c>
      <c r="B59" s="30"/>
      <c r="C59" s="31" t="str">
        <f>IF('T1'!$C59="","",'T1'!$C59)</f>
        <v/>
      </c>
      <c r="D59" s="32">
        <v>3.0</v>
      </c>
      <c r="E59" s="39">
        <f>IF($C59="",0,MIN(15,MAX(1,IF(N($O59)&gt;=1,6,IF(N($O59)&gt;=0.75,IF(PRZEL_CZESC="część 1 (objętość)",8,6),IF(PRZEL_CZESC="część 1 (objętość)",10,8)))+2+$AD59)))</f>
        <v>0</v>
      </c>
      <c r="F59" s="33">
        <v>10.0</v>
      </c>
      <c r="G59" s="34" t="str">
        <f>IF($C59="","",IF(OR($Q59="masa ciała",$Q59="czas",$Q59="dystans",$Q59="ręczne ustawienie"),$Q59,IF($C59='T1'!$C59,IF(AND(LEFT($A59,1)&lt;&gt;"A",PRZEL_AKCESORIA="trzymaj z bloku"),IF(NOT(ISNUMBER('T4'!$G59)),'T4'!$G59,MROUND('T4'!$G59*$AC59/(MAX('T4'!$AC59,0.0001)),MAX($P59,0.5))),IF(OR($R59="",$R59=0),"— brak 1RM",MROUND($R59*$S59/100*$AC59,MAX($P59,0.5)))),IF(OR($AA59="",$AA59=0),"— ustaw ręcznie",MROUND($AA59*$S59/100*$AC59,MAX($P59,0.5))))))</f>
        <v/>
      </c>
      <c r="H59" s="35"/>
      <c r="I59" s="36" t="str">
        <f t="array" ref="I59">IFERROR(IF(IFERROR(INDEX(BAZA_FILM,MATCH($C59,BAZA_EX,0)),"")="","",HYPERLINK(IFERROR(INDEX(BAZA_FILM,MATCH($C59,BAZA_EX,0)),""),"film")),"")</f>
        <v/>
      </c>
      <c r="J59" s="37" t="str">
        <f>IF('T1'!$J59="","",'T1'!$J59)</f>
        <v/>
      </c>
      <c r="K59" s="5" t="s">
        <v>109</v>
      </c>
      <c r="L59" s="5" t="str">
        <f t="array" ref="L59">IFERROR(INDEX(BAZA_ID,MATCH($C59,BAZA_EX,0)),"")</f>
        <v/>
      </c>
      <c r="M59" s="5" t="str">
        <f t="array" ref="M59">IFERROR(INDEX(BAZA_PART,MATCH($C59,BAZA_EX,0)),"")</f>
        <v/>
      </c>
      <c r="N59" s="5" t="str">
        <f t="array" ref="N59">IFERROR(INDEX(BAZA_KAT,MATCH($C59,BAZA_EX,0)),"")</f>
        <v/>
      </c>
      <c r="O59" s="5" t="str">
        <f t="array" ref="O59">IFERROR(INDEX(BAZA_COEFF,MATCH($C59,BAZA_EX,0)),"")</f>
        <v/>
      </c>
      <c r="P59" s="5" t="str">
        <f t="array" ref="P59">IFERROR(INDEX(BAZA_SKOK,MATCH($C59,BAZA_EX,0)),"")</f>
        <v/>
      </c>
      <c r="Q59" s="5" t="str">
        <f t="array" ref="Q59">IFERROR(INDEX(BAZA_PROG,MATCH($C59,BAZA_EX,0)),"")</f>
        <v/>
      </c>
      <c r="R59" s="5" t="str">
        <f>IF($C59="","",IF(SUMPRODUCT((START!$B$6:$B$69=$C59)*(START!$M$6:$M$69&gt;0))=0,"",SUMPRODUCT(MAX((START!$B$6:$B$69=$C59)*START!$M$6:$M$69))))</f>
        <v/>
      </c>
      <c r="S59" s="5" t="str">
        <f t="array" ref="S59">IFERROR(INDEX(TABELE!$B$4:$J$18,MATCH($E59,TABELE!$A$4:$A$18,0),MATCH($F59,TABELE!$B$3:$J$3,0)),"")</f>
        <v/>
      </c>
      <c r="T59" s="5">
        <f t="array" ref="T59">IFERROR(IF($C59="",0,$O59*$D59*INDEX(TABELE!$B$23:$P$33,MATCH($F59,TABELE!$A$23:$A$33,0),MATCH($E59,TABELE!$B$22:$P$22,0))),0)</f>
        <v>0</v>
      </c>
      <c r="U59" s="5">
        <f t="array" ref="U59">IFERROR(IF($C59="",0,$O59*$D59*INDEX(TABELE!$B$37:$P$47,MATCH($F59,TABELE!$A$37:$A$47,0),MATCH($E59,TABELE!$B$36:$P$36,0))),0)</f>
        <v>0</v>
      </c>
      <c r="V59" s="5">
        <f t="array" ref="V59">IFERROR(IF($C59="",0,$O59*$D59*INDEX(TABELE!$B$51:$P$61,MATCH($F59,TABELE!$A$51:$A$61,0),MATCH($E59,TABELE!$B$50:$P$50,0))),0)</f>
        <v>0</v>
      </c>
      <c r="W59" s="5" t="str">
        <f t="array" ref="W59">IFERROR(INDEX(BAZA_UWAGI,MATCH($C59,BAZA_EX,0)),"")</f>
        <v/>
      </c>
      <c r="X59" s="5">
        <f t="shared" si="16"/>
        <v>3</v>
      </c>
      <c r="Y59" s="5" t="str">
        <f t="shared" si="19"/>
        <v>C</v>
      </c>
      <c r="Z59" s="5">
        <f t="shared" si="20"/>
        <v>3</v>
      </c>
      <c r="AA59" s="5" t="str">
        <f>IF($C59="","",IF(SUMPRODUCT((START!$B$6:$B$69=$C59)*(START!$M$6:$M$69&gt;0))=0,"",SUMPRODUCT(MAX((START!$B$6:$B$69=$C59)*START!$M$6:$M$69))))</f>
        <v/>
      </c>
      <c r="AB59" s="5" t="str">
        <f t="shared" si="17"/>
        <v/>
      </c>
      <c r="AC59" s="5">
        <f>MAX(0.85,MIN(1.15,1+0.05*(COUNTIF('T1'!$AB59,"za łatwe")+COUNTIF('T2'!$AB59,"za łatwe")+COUNTIF('T3'!$AB59,"za łatwe")+COUNTIF('T4'!$AB59,"za łatwe")+COUNTIF('T5'!$AB59,"za łatwe"))-0.05*(COUNTIF('T1'!$AB59,"za trudne")+COUNTIF('T2'!$AB59,"za trudne")+COUNTIF('T3'!$AB59,"za trudne")+COUNTIF('T4'!$AB59,"za trudne")+COUNTIF('T5'!$AB59,"za trudne"))))</f>
        <v>1</v>
      </c>
      <c r="AD59" s="5">
        <f t="shared" si="18"/>
        <v>0</v>
      </c>
    </row>
    <row r="60" ht="25.5" hidden="1" customHeight="1" outlineLevel="1">
      <c r="A60" s="18" t="str">
        <f>IF('T1'!$A60="","",'T1'!$A60)</f>
        <v>D1.</v>
      </c>
      <c r="B60" s="30"/>
      <c r="C60" s="31" t="str">
        <f>IF('T1'!$C60="","",'T1'!$C60)</f>
        <v/>
      </c>
      <c r="D60" s="32">
        <v>3.0</v>
      </c>
      <c r="E60" s="39">
        <f>IF($C60="",0,MIN(15,MAX(1,IF(N($O60)&gt;=1,6,IF(N($O60)&gt;=0.75,IF(PRZEL_CZESC="część 1 (objętość)",8,6),IF(PRZEL_CZESC="część 1 (objętość)",10,8)))+2+$AD60)))</f>
        <v>0</v>
      </c>
      <c r="F60" s="33">
        <v>9.0</v>
      </c>
      <c r="G60" s="34" t="str">
        <f>IF($C60="","",IF(OR($Q60="masa ciała",$Q60="czas",$Q60="dystans",$Q60="ręczne ustawienie"),$Q60,IF($C60='T1'!$C60,IF(AND(LEFT($A60,1)&lt;&gt;"A",PRZEL_AKCESORIA="trzymaj z bloku"),IF(NOT(ISNUMBER('T4'!$G60)),'T4'!$G60,MROUND('T4'!$G60*$AC60/(MAX('T4'!$AC60,0.0001)),MAX($P60,0.5))),IF(OR($R60="",$R60=0),"— brak 1RM",MROUND($R60*$S60/100*$AC60,MAX($P60,0.5)))),IF(OR($AA60="",$AA60=0),"— ustaw ręcznie",MROUND($AA60*$S60/100*$AC60,MAX($P60,0.5))))))</f>
        <v/>
      </c>
      <c r="H60" s="35"/>
      <c r="I60" s="36" t="str">
        <f t="array" ref="I60">IFERROR(IF(IFERROR(INDEX(BAZA_FILM,MATCH($C60,BAZA_EX,0)),"")="","",HYPERLINK(IFERROR(INDEX(BAZA_FILM,MATCH($C60,BAZA_EX,0)),""),"film")),"")</f>
        <v/>
      </c>
      <c r="J60" s="37" t="str">
        <f>IF('T1'!$J60="","",'T1'!$J60)</f>
        <v/>
      </c>
      <c r="K60" s="5" t="s">
        <v>110</v>
      </c>
      <c r="L60" s="5" t="str">
        <f t="array" ref="L60">IFERROR(INDEX(BAZA_ID,MATCH($C60,BAZA_EX,0)),"")</f>
        <v/>
      </c>
      <c r="M60" s="5" t="str">
        <f t="array" ref="M60">IFERROR(INDEX(BAZA_PART,MATCH($C60,BAZA_EX,0)),"")</f>
        <v/>
      </c>
      <c r="N60" s="5" t="str">
        <f t="array" ref="N60">IFERROR(INDEX(BAZA_KAT,MATCH($C60,BAZA_EX,0)),"")</f>
        <v/>
      </c>
      <c r="O60" s="5" t="str">
        <f t="array" ref="O60">IFERROR(INDEX(BAZA_COEFF,MATCH($C60,BAZA_EX,0)),"")</f>
        <v/>
      </c>
      <c r="P60" s="5" t="str">
        <f t="array" ref="P60">IFERROR(INDEX(BAZA_SKOK,MATCH($C60,BAZA_EX,0)),"")</f>
        <v/>
      </c>
      <c r="Q60" s="5" t="str">
        <f t="array" ref="Q60">IFERROR(INDEX(BAZA_PROG,MATCH($C60,BAZA_EX,0)),"")</f>
        <v/>
      </c>
      <c r="R60" s="5" t="str">
        <f>IF($C60="","",IF(SUMPRODUCT((START!$B$6:$B$69=$C60)*(START!$M$6:$M$69&gt;0))=0,"",SUMPRODUCT(MAX((START!$B$6:$B$69=$C60)*START!$M$6:$M$69))))</f>
        <v/>
      </c>
      <c r="S60" s="5" t="str">
        <f t="array" ref="S60">IFERROR(INDEX(TABELE!$B$4:$J$18,MATCH($E60,TABELE!$A$4:$A$18,0),MATCH($F60,TABELE!$B$3:$J$3,0)),"")</f>
        <v/>
      </c>
      <c r="T60" s="5">
        <f t="array" ref="T60">IFERROR(IF($C60="",0,$O60*$D60*INDEX(TABELE!$B$23:$P$33,MATCH($F60,TABELE!$A$23:$A$33,0),MATCH($E60,TABELE!$B$22:$P$22,0))),0)</f>
        <v>0</v>
      </c>
      <c r="U60" s="5">
        <f t="array" ref="U60">IFERROR(IF($C60="",0,$O60*$D60*INDEX(TABELE!$B$37:$P$47,MATCH($F60,TABELE!$A$37:$A$47,0),MATCH($E60,TABELE!$B$36:$P$36,0))),0)</f>
        <v>0</v>
      </c>
      <c r="V60" s="5">
        <f t="array" ref="V60">IFERROR(IF($C60="",0,$O60*$D60*INDEX(TABELE!$B$51:$P$61,MATCH($F60,TABELE!$A$51:$A$61,0),MATCH($E60,TABELE!$B$50:$P$50,0))),0)</f>
        <v>0</v>
      </c>
      <c r="W60" s="5" t="str">
        <f t="array" ref="W60">IFERROR(INDEX(BAZA_UWAGI,MATCH($C60,BAZA_EX,0)),"")</f>
        <v/>
      </c>
      <c r="X60" s="5">
        <f t="shared" si="16"/>
        <v>4</v>
      </c>
      <c r="Y60" s="5" t="str">
        <f t="shared" si="19"/>
        <v>D</v>
      </c>
      <c r="Z60" s="5">
        <f t="shared" si="20"/>
        <v>4</v>
      </c>
      <c r="AA60" s="5" t="str">
        <f>IF($C60="","",IF(SUMPRODUCT((START!$B$6:$B$69=$C60)*(START!$M$6:$M$69&gt;0))=0,"",SUMPRODUCT(MAX((START!$B$6:$B$69=$C60)*START!$M$6:$M$69))))</f>
        <v/>
      </c>
      <c r="AB60" s="5" t="str">
        <f t="shared" si="17"/>
        <v/>
      </c>
      <c r="AC60" s="5">
        <f>MAX(0.85,MIN(1.15,1+0.05*(COUNTIF('T1'!$AB60,"za łatwe")+COUNTIF('T2'!$AB60,"za łatwe")+COUNTIF('T3'!$AB60,"za łatwe")+COUNTIF('T4'!$AB60,"za łatwe")+COUNTIF('T5'!$AB60,"za łatwe"))-0.05*(COUNTIF('T1'!$AB60,"za trudne")+COUNTIF('T2'!$AB60,"za trudne")+COUNTIF('T3'!$AB60,"za trudne")+COUNTIF('T4'!$AB60,"za trudne")+COUNTIF('T5'!$AB60,"za trudne"))))</f>
        <v>1</v>
      </c>
      <c r="AD60" s="5">
        <f t="shared" si="18"/>
        <v>0</v>
      </c>
    </row>
    <row r="61" ht="25.5" hidden="1" customHeight="1" outlineLevel="1">
      <c r="A61" s="18" t="str">
        <f>IF('T1'!$A61="","",'T1'!$A61)</f>
        <v>D2.</v>
      </c>
      <c r="B61" s="30"/>
      <c r="C61" s="31" t="str">
        <f>IF('T1'!$C61="","",'T1'!$C61)</f>
        <v/>
      </c>
      <c r="D61" s="32">
        <v>3.0</v>
      </c>
      <c r="E61" s="39">
        <f>IF($C61="",0,MIN(15,MAX(1,IF(N($O61)&gt;=1,6,IF(N($O61)&gt;=0.75,IF(PRZEL_CZESC="część 1 (objętość)",8,6),IF(PRZEL_CZESC="część 1 (objętość)",10,8)))+2+$AD61)))</f>
        <v>0</v>
      </c>
      <c r="F61" s="33">
        <v>10.0</v>
      </c>
      <c r="G61" s="34" t="str">
        <f>IF($C61="","",IF(OR($Q61="masa ciała",$Q61="czas",$Q61="dystans",$Q61="ręczne ustawienie"),$Q61,IF($C61='T1'!$C61,IF(AND(LEFT($A61,1)&lt;&gt;"A",PRZEL_AKCESORIA="trzymaj z bloku"),IF(NOT(ISNUMBER('T4'!$G61)),'T4'!$G61,MROUND('T4'!$G61*$AC61/(MAX('T4'!$AC61,0.0001)),MAX($P61,0.5))),IF(OR($R61="",$R61=0),"— brak 1RM",MROUND($R61*$S61/100*$AC61,MAX($P61,0.5)))),IF(OR($AA61="",$AA61=0),"— ustaw ręcznie",MROUND($AA61*$S61/100*$AC61,MAX($P61,0.5))))))</f>
        <v/>
      </c>
      <c r="H61" s="35"/>
      <c r="I61" s="36" t="str">
        <f t="array" ref="I61">IFERROR(IF(IFERROR(INDEX(BAZA_FILM,MATCH($C61,BAZA_EX,0)),"")="","",HYPERLINK(IFERROR(INDEX(BAZA_FILM,MATCH($C61,BAZA_EX,0)),""),"film")),"")</f>
        <v/>
      </c>
      <c r="J61" s="37" t="str">
        <f>IF('T1'!$J61="","",'T1'!$J61)</f>
        <v/>
      </c>
      <c r="K61" s="5" t="s">
        <v>112</v>
      </c>
      <c r="L61" s="5" t="str">
        <f t="array" ref="L61">IFERROR(INDEX(BAZA_ID,MATCH($C61,BAZA_EX,0)),"")</f>
        <v/>
      </c>
      <c r="M61" s="5" t="str">
        <f t="array" ref="M61">IFERROR(INDEX(BAZA_PART,MATCH($C61,BAZA_EX,0)),"")</f>
        <v/>
      </c>
      <c r="N61" s="5" t="str">
        <f t="array" ref="N61">IFERROR(INDEX(BAZA_KAT,MATCH($C61,BAZA_EX,0)),"")</f>
        <v/>
      </c>
      <c r="O61" s="5" t="str">
        <f t="array" ref="O61">IFERROR(INDEX(BAZA_COEFF,MATCH($C61,BAZA_EX,0)),"")</f>
        <v/>
      </c>
      <c r="P61" s="5" t="str">
        <f t="array" ref="P61">IFERROR(INDEX(BAZA_SKOK,MATCH($C61,BAZA_EX,0)),"")</f>
        <v/>
      </c>
      <c r="Q61" s="5" t="str">
        <f t="array" ref="Q61">IFERROR(INDEX(BAZA_PROG,MATCH($C61,BAZA_EX,0)),"")</f>
        <v/>
      </c>
      <c r="R61" s="5" t="str">
        <f>IF($C61="","",IF(SUMPRODUCT((START!$B$6:$B$69=$C61)*(START!$M$6:$M$69&gt;0))=0,"",SUMPRODUCT(MAX((START!$B$6:$B$69=$C61)*START!$M$6:$M$69))))</f>
        <v/>
      </c>
      <c r="S61" s="5" t="str">
        <f t="array" ref="S61">IFERROR(INDEX(TABELE!$B$4:$J$18,MATCH($E61,TABELE!$A$4:$A$18,0),MATCH($F61,TABELE!$B$3:$J$3,0)),"")</f>
        <v/>
      </c>
      <c r="T61" s="5">
        <f t="array" ref="T61">IFERROR(IF($C61="",0,$O61*$D61*INDEX(TABELE!$B$23:$P$33,MATCH($F61,TABELE!$A$23:$A$33,0),MATCH($E61,TABELE!$B$22:$P$22,0))),0)</f>
        <v>0</v>
      </c>
      <c r="U61" s="5">
        <f t="array" ref="U61">IFERROR(IF($C61="",0,$O61*$D61*INDEX(TABELE!$B$37:$P$47,MATCH($F61,TABELE!$A$37:$A$47,0),MATCH($E61,TABELE!$B$36:$P$36,0))),0)</f>
        <v>0</v>
      </c>
      <c r="V61" s="5">
        <f t="array" ref="V61">IFERROR(IF($C61="",0,$O61*$D61*INDEX(TABELE!$B$51:$P$61,MATCH($F61,TABELE!$A$51:$A$61,0),MATCH($E61,TABELE!$B$50:$P$50,0))),0)</f>
        <v>0</v>
      </c>
      <c r="W61" s="5" t="str">
        <f t="array" ref="W61">IFERROR(INDEX(BAZA_UWAGI,MATCH($C61,BAZA_EX,0)),"")</f>
        <v/>
      </c>
      <c r="X61" s="5">
        <f t="shared" si="16"/>
        <v>4</v>
      </c>
      <c r="Y61" s="5" t="str">
        <f t="shared" si="19"/>
        <v>D</v>
      </c>
      <c r="Z61" s="5">
        <f t="shared" si="20"/>
        <v>4</v>
      </c>
      <c r="AA61" s="5" t="str">
        <f>IF($C61="","",IF(SUMPRODUCT((START!$B$6:$B$69=$C61)*(START!$M$6:$M$69&gt;0))=0,"",SUMPRODUCT(MAX((START!$B$6:$B$69=$C61)*START!$M$6:$M$69))))</f>
        <v/>
      </c>
      <c r="AB61" s="5" t="str">
        <f t="shared" si="17"/>
        <v/>
      </c>
      <c r="AC61" s="5">
        <f>MAX(0.85,MIN(1.15,1+0.05*(COUNTIF('T1'!$AB61,"za łatwe")+COUNTIF('T2'!$AB61,"za łatwe")+COUNTIF('T3'!$AB61,"za łatwe")+COUNTIF('T4'!$AB61,"za łatwe")+COUNTIF('T5'!$AB61,"za łatwe"))-0.05*(COUNTIF('T1'!$AB61,"za trudne")+COUNTIF('T2'!$AB61,"za trudne")+COUNTIF('T3'!$AB61,"za trudne")+COUNTIF('T4'!$AB61,"za trudne")+COUNTIF('T5'!$AB61,"za trudne"))))</f>
        <v>1</v>
      </c>
      <c r="AD61" s="5">
        <f t="shared" si="18"/>
        <v>0</v>
      </c>
    </row>
    <row r="62" ht="25.5" hidden="1" customHeight="1" outlineLevel="1">
      <c r="A62" s="18" t="str">
        <f>IF('T1'!$A62="","",'T1'!$A62)</f>
        <v>E1.</v>
      </c>
      <c r="B62" s="30"/>
      <c r="C62" s="31" t="str">
        <f>IF('T1'!$C62="","",'T1'!$C62)</f>
        <v/>
      </c>
      <c r="D62" s="32"/>
      <c r="E62" s="39">
        <f>IF($C62="",0,MIN(15,MAX(1,IF(N($O62)&gt;=1,6,IF(N($O62)&gt;=0.75,IF(PRZEL_CZESC="część 1 (objętość)",8,6),IF(PRZEL_CZESC="część 1 (objętość)",10,8)))+2+$AD62)))</f>
        <v>0</v>
      </c>
      <c r="F62" s="33"/>
      <c r="G62" s="34" t="str">
        <f>IF($C62="","",IF(OR($Q62="masa ciała",$Q62="czas",$Q62="dystans",$Q62="ręczne ustawienie"),$Q62,IF($C62='T1'!$C62,IF(AND(LEFT($A62,1)&lt;&gt;"A",PRZEL_AKCESORIA="trzymaj z bloku"),IF(NOT(ISNUMBER('T4'!$G62)),'T4'!$G62,MROUND('T4'!$G62*$AC62/(MAX('T4'!$AC62,0.0001)),MAX($P62,0.5))),IF(OR($R62="",$R62=0),"— brak 1RM",MROUND($R62*$S62/100*$AC62,MAX($P62,0.5)))),IF(OR($AA62="",$AA62=0),"— ustaw ręcznie",MROUND($AA62*$S62/100*$AC62,MAX($P62,0.5))))))</f>
        <v/>
      </c>
      <c r="H62" s="35"/>
      <c r="I62" s="36" t="str">
        <f t="array" ref="I62">IFERROR(IF(IFERROR(INDEX(BAZA_FILM,MATCH($C62,BAZA_EX,0)),"")="","",HYPERLINK(IFERROR(INDEX(BAZA_FILM,MATCH($C62,BAZA_EX,0)),""),"film")),"")</f>
        <v/>
      </c>
      <c r="J62" s="37" t="str">
        <f>IF('T1'!$J62="","",'T1'!$J62)</f>
        <v/>
      </c>
      <c r="K62" s="5" t="s">
        <v>114</v>
      </c>
      <c r="L62" s="5" t="str">
        <f t="array" ref="L62">IFERROR(INDEX(BAZA_ID,MATCH($C62,BAZA_EX,0)),"")</f>
        <v/>
      </c>
      <c r="M62" s="5" t="str">
        <f t="array" ref="M62">IFERROR(INDEX(BAZA_PART,MATCH($C62,BAZA_EX,0)),"")</f>
        <v/>
      </c>
      <c r="N62" s="5" t="str">
        <f t="array" ref="N62">IFERROR(INDEX(BAZA_KAT,MATCH($C62,BAZA_EX,0)),"")</f>
        <v/>
      </c>
      <c r="O62" s="5" t="str">
        <f t="array" ref="O62">IFERROR(INDEX(BAZA_COEFF,MATCH($C62,BAZA_EX,0)),"")</f>
        <v/>
      </c>
      <c r="P62" s="5" t="str">
        <f t="array" ref="P62">IFERROR(INDEX(BAZA_SKOK,MATCH($C62,BAZA_EX,0)),"")</f>
        <v/>
      </c>
      <c r="Q62" s="5" t="str">
        <f t="array" ref="Q62">IFERROR(INDEX(BAZA_PROG,MATCH($C62,BAZA_EX,0)),"")</f>
        <v/>
      </c>
      <c r="R62" s="5" t="str">
        <f>IF($C62="","",IF(SUMPRODUCT((START!$B$6:$B$69=$C62)*(START!$M$6:$M$69&gt;0))=0,"",SUMPRODUCT(MAX((START!$B$6:$B$69=$C62)*START!$M$6:$M$69))))</f>
        <v/>
      </c>
      <c r="S62" s="5" t="str">
        <f t="array" ref="S62">IFERROR(INDEX(TABELE!$B$4:$J$18,MATCH($E62,TABELE!$A$4:$A$18,0),MATCH($F62,TABELE!$B$3:$J$3,0)),"")</f>
        <v/>
      </c>
      <c r="T62" s="5">
        <f t="array" ref="T62">IFERROR(IF($C62="",0,$O62*$D62*INDEX(TABELE!$B$23:$P$33,MATCH($F62,TABELE!$A$23:$A$33,0),MATCH($E62,TABELE!$B$22:$P$22,0))),0)</f>
        <v>0</v>
      </c>
      <c r="U62" s="5">
        <f t="array" ref="U62">IFERROR(IF($C62="",0,$O62*$D62*INDEX(TABELE!$B$37:$P$47,MATCH($F62,TABELE!$A$37:$A$47,0),MATCH($E62,TABELE!$B$36:$P$36,0))),0)</f>
        <v>0</v>
      </c>
      <c r="V62" s="5">
        <f t="array" ref="V62">IFERROR(IF($C62="",0,$O62*$D62*INDEX(TABELE!$B$51:$P$61,MATCH($F62,TABELE!$A$51:$A$61,0),MATCH($E62,TABELE!$B$50:$P$50,0))),0)</f>
        <v>0</v>
      </c>
      <c r="W62" s="5" t="str">
        <f t="array" ref="W62">IFERROR(INDEX(BAZA_UWAGI,MATCH($C62,BAZA_EX,0)),"")</f>
        <v/>
      </c>
      <c r="X62" s="5">
        <f t="shared" si="16"/>
        <v>5</v>
      </c>
      <c r="Y62" s="5" t="str">
        <f t="shared" si="19"/>
        <v>E</v>
      </c>
      <c r="Z62" s="5">
        <f t="shared" si="20"/>
        <v>5</v>
      </c>
      <c r="AA62" s="5" t="str">
        <f>IF($C62="","",IF(SUMPRODUCT((START!$B$6:$B$69=$C62)*(START!$M$6:$M$69&gt;0))=0,"",SUMPRODUCT(MAX((START!$B$6:$B$69=$C62)*START!$M$6:$M$69))))</f>
        <v/>
      </c>
      <c r="AB62" s="5" t="str">
        <f t="shared" si="17"/>
        <v/>
      </c>
      <c r="AC62" s="5">
        <f>MAX(0.85,MIN(1.15,1+0.05*(COUNTIF('T1'!$AB62,"za łatwe")+COUNTIF('T2'!$AB62,"za łatwe")+COUNTIF('T3'!$AB62,"za łatwe")+COUNTIF('T4'!$AB62,"za łatwe")+COUNTIF('T5'!$AB62,"za łatwe"))-0.05*(COUNTIF('T1'!$AB62,"za trudne")+COUNTIF('T2'!$AB62,"za trudne")+COUNTIF('T3'!$AB62,"za trudne")+COUNTIF('T4'!$AB62,"za trudne")+COUNTIF('T5'!$AB62,"za trudne"))))</f>
        <v>1</v>
      </c>
      <c r="AD62" s="5">
        <f t="shared" si="18"/>
        <v>0</v>
      </c>
    </row>
    <row r="63" ht="25.5" hidden="1" customHeight="1" outlineLevel="1">
      <c r="A63" s="18" t="str">
        <f>IF('T1'!$A63="","",'T1'!$A63)</f>
        <v>E2.</v>
      </c>
      <c r="B63" s="30"/>
      <c r="C63" s="31" t="str">
        <f>IF('T1'!$C63="","",'T1'!$C63)</f>
        <v/>
      </c>
      <c r="D63" s="32"/>
      <c r="E63" s="39">
        <f>IF($C63="",0,MIN(15,MAX(1,IF(N($O63)&gt;=1,6,IF(N($O63)&gt;=0.75,IF(PRZEL_CZESC="część 1 (objętość)",8,6),IF(PRZEL_CZESC="część 1 (objętość)",10,8)))+2+$AD63)))</f>
        <v>0</v>
      </c>
      <c r="F63" s="33"/>
      <c r="G63" s="34" t="str">
        <f>IF($C63="","",IF(OR($Q63="masa ciała",$Q63="czas",$Q63="dystans",$Q63="ręczne ustawienie"),$Q63,IF($C63='T1'!$C63,IF(AND(LEFT($A63,1)&lt;&gt;"A",PRZEL_AKCESORIA="trzymaj z bloku"),IF(NOT(ISNUMBER('T4'!$G63)),'T4'!$G63,MROUND('T4'!$G63*$AC63/(MAX('T4'!$AC63,0.0001)),MAX($P63,0.5))),IF(OR($R63="",$R63=0),"— brak 1RM",MROUND($R63*$S63/100*$AC63,MAX($P63,0.5)))),IF(OR($AA63="",$AA63=0),"— ustaw ręcznie",MROUND($AA63*$S63/100*$AC63,MAX($P63,0.5))))))</f>
        <v/>
      </c>
      <c r="H63" s="35"/>
      <c r="I63" s="36" t="str">
        <f t="array" ref="I63">IFERROR(IF(IFERROR(INDEX(BAZA_FILM,MATCH($C63,BAZA_EX,0)),"")="","",HYPERLINK(IFERROR(INDEX(BAZA_FILM,MATCH($C63,BAZA_EX,0)),""),"film")),"")</f>
        <v/>
      </c>
      <c r="J63" s="37" t="str">
        <f>IF('T1'!$J63="","",'T1'!$J63)</f>
        <v/>
      </c>
      <c r="K63" s="5" t="s">
        <v>115</v>
      </c>
      <c r="L63" s="5" t="str">
        <f t="array" ref="L63">IFERROR(INDEX(BAZA_ID,MATCH($C63,BAZA_EX,0)),"")</f>
        <v/>
      </c>
      <c r="M63" s="5" t="str">
        <f t="array" ref="M63">IFERROR(INDEX(BAZA_PART,MATCH($C63,BAZA_EX,0)),"")</f>
        <v/>
      </c>
      <c r="N63" s="5" t="str">
        <f t="array" ref="N63">IFERROR(INDEX(BAZA_KAT,MATCH($C63,BAZA_EX,0)),"")</f>
        <v/>
      </c>
      <c r="O63" s="5" t="str">
        <f t="array" ref="O63">IFERROR(INDEX(BAZA_COEFF,MATCH($C63,BAZA_EX,0)),"")</f>
        <v/>
      </c>
      <c r="P63" s="5" t="str">
        <f t="array" ref="P63">IFERROR(INDEX(BAZA_SKOK,MATCH($C63,BAZA_EX,0)),"")</f>
        <v/>
      </c>
      <c r="Q63" s="5" t="str">
        <f t="array" ref="Q63">IFERROR(INDEX(BAZA_PROG,MATCH($C63,BAZA_EX,0)),"")</f>
        <v/>
      </c>
      <c r="R63" s="5" t="str">
        <f>IF($C63="","",IF(SUMPRODUCT((START!$B$6:$B$69=$C63)*(START!$M$6:$M$69&gt;0))=0,"",SUMPRODUCT(MAX((START!$B$6:$B$69=$C63)*START!$M$6:$M$69))))</f>
        <v/>
      </c>
      <c r="S63" s="5" t="str">
        <f t="array" ref="S63">IFERROR(INDEX(TABELE!$B$4:$J$18,MATCH($E63,TABELE!$A$4:$A$18,0),MATCH($F63,TABELE!$B$3:$J$3,0)),"")</f>
        <v/>
      </c>
      <c r="T63" s="5">
        <f t="array" ref="T63">IFERROR(IF($C63="",0,$O63*$D63*INDEX(TABELE!$B$23:$P$33,MATCH($F63,TABELE!$A$23:$A$33,0),MATCH($E63,TABELE!$B$22:$P$22,0))),0)</f>
        <v>0</v>
      </c>
      <c r="U63" s="5">
        <f t="array" ref="U63">IFERROR(IF($C63="",0,$O63*$D63*INDEX(TABELE!$B$37:$P$47,MATCH($F63,TABELE!$A$37:$A$47,0),MATCH($E63,TABELE!$B$36:$P$36,0))),0)</f>
        <v>0</v>
      </c>
      <c r="V63" s="5">
        <f t="array" ref="V63">IFERROR(IF($C63="",0,$O63*$D63*INDEX(TABELE!$B$51:$P$61,MATCH($F63,TABELE!$A$51:$A$61,0),MATCH($E63,TABELE!$B$50:$P$50,0))),0)</f>
        <v>0</v>
      </c>
      <c r="W63" s="5" t="str">
        <f t="array" ref="W63">IFERROR(INDEX(BAZA_UWAGI,MATCH($C63,BAZA_EX,0)),"")</f>
        <v/>
      </c>
      <c r="X63" s="5">
        <f t="shared" si="16"/>
        <v>5</v>
      </c>
      <c r="Y63" s="5" t="str">
        <f t="shared" si="19"/>
        <v>E</v>
      </c>
      <c r="Z63" s="5">
        <f t="shared" si="20"/>
        <v>5</v>
      </c>
      <c r="AA63" s="5" t="str">
        <f>IF($C63="","",IF(SUMPRODUCT((START!$B$6:$B$69=$C63)*(START!$M$6:$M$69&gt;0))=0,"",SUMPRODUCT(MAX((START!$B$6:$B$69=$C63)*START!$M$6:$M$69))))</f>
        <v/>
      </c>
      <c r="AB63" s="5" t="str">
        <f t="shared" si="17"/>
        <v/>
      </c>
      <c r="AC63" s="5">
        <f>MAX(0.85,MIN(1.15,1+0.05*(COUNTIF('T1'!$AB63,"za łatwe")+COUNTIF('T2'!$AB63,"za łatwe")+COUNTIF('T3'!$AB63,"za łatwe")+COUNTIF('T4'!$AB63,"za łatwe")+COUNTIF('T5'!$AB63,"za łatwe"))-0.05*(COUNTIF('T1'!$AB63,"za trudne")+COUNTIF('T2'!$AB63,"za trudne")+COUNTIF('T3'!$AB63,"za trudne")+COUNTIF('T4'!$AB63,"za trudne")+COUNTIF('T5'!$AB63,"za trudne"))))</f>
        <v>1</v>
      </c>
      <c r="AD63" s="5">
        <f t="shared" si="18"/>
        <v>0</v>
      </c>
    </row>
    <row r="64" ht="25.5" hidden="1" customHeight="1" outlineLevel="1">
      <c r="A64" s="18" t="str">
        <f>IF('T1'!$A64="","",'T1'!$A64)</f>
        <v/>
      </c>
      <c r="B64" s="30"/>
      <c r="C64" s="31" t="str">
        <f>IF('T1'!$C64="","",'T1'!$C64)</f>
        <v/>
      </c>
      <c r="D64" s="32"/>
      <c r="E64" s="39">
        <f>IF($C64="",0,MIN(15,MAX(1,IF(N($O64)&gt;=1,6,IF(N($O64)&gt;=0.75,IF(PRZEL_CZESC="część 1 (objętość)",8,6),IF(PRZEL_CZESC="część 1 (objętość)",10,8)))+2+$AD64)))</f>
        <v>0</v>
      </c>
      <c r="F64" s="33"/>
      <c r="G64" s="34" t="str">
        <f>IF($C64="","",IF(OR($Q64="masa ciała",$Q64="czas",$Q64="dystans",$Q64="ręczne ustawienie"),$Q64,IF($C64='T1'!$C64,IF(AND(LEFT($A64,1)&lt;&gt;"A",PRZEL_AKCESORIA="trzymaj z bloku"),IF(NOT(ISNUMBER('T4'!$G64)),'T4'!$G64,MROUND('T4'!$G64*$AC64/(MAX('T4'!$AC64,0.0001)),MAX($P64,0.5))),IF(OR($R64="",$R64=0),"— brak 1RM",MROUND($R64*$S64/100*$AC64,MAX($P64,0.5)))),IF(OR($AA64="",$AA64=0),"— ustaw ręcznie",MROUND($AA64*$S64/100*$AC64,MAX($P64,0.5))))))</f>
        <v/>
      </c>
      <c r="H64" s="35"/>
      <c r="I64" s="36" t="str">
        <f t="array" ref="I64">IFERROR(IF(IFERROR(INDEX(BAZA_FILM,MATCH($C64,BAZA_EX,0)),"")="","",HYPERLINK(IFERROR(INDEX(BAZA_FILM,MATCH($C64,BAZA_EX,0)),""),"film")),"")</f>
        <v/>
      </c>
      <c r="J64" s="37" t="str">
        <f>IF('T1'!$J64="","",'T1'!$J64)</f>
        <v/>
      </c>
      <c r="K64" s="5" t="s">
        <v>116</v>
      </c>
      <c r="L64" s="5" t="str">
        <f t="array" ref="L64">IFERROR(INDEX(BAZA_ID,MATCH($C64,BAZA_EX,0)),"")</f>
        <v/>
      </c>
      <c r="M64" s="5" t="str">
        <f t="array" ref="M64">IFERROR(INDEX(BAZA_PART,MATCH($C64,BAZA_EX,0)),"")</f>
        <v/>
      </c>
      <c r="N64" s="5" t="str">
        <f t="array" ref="N64">IFERROR(INDEX(BAZA_KAT,MATCH($C64,BAZA_EX,0)),"")</f>
        <v/>
      </c>
      <c r="O64" s="5" t="str">
        <f t="array" ref="O64">IFERROR(INDEX(BAZA_COEFF,MATCH($C64,BAZA_EX,0)),"")</f>
        <v/>
      </c>
      <c r="P64" s="5" t="str">
        <f t="array" ref="P64">IFERROR(INDEX(BAZA_SKOK,MATCH($C64,BAZA_EX,0)),"")</f>
        <v/>
      </c>
      <c r="Q64" s="5" t="str">
        <f t="array" ref="Q64">IFERROR(INDEX(BAZA_PROG,MATCH($C64,BAZA_EX,0)),"")</f>
        <v/>
      </c>
      <c r="R64" s="5" t="str">
        <f>IF($C64="","",IF(SUMPRODUCT((START!$B$6:$B$69=$C64)*(START!$M$6:$M$69&gt;0))=0,"",SUMPRODUCT(MAX((START!$B$6:$B$69=$C64)*START!$M$6:$M$69))))</f>
        <v/>
      </c>
      <c r="S64" s="5" t="str">
        <f t="array" ref="S64">IFERROR(INDEX(TABELE!$B$4:$J$18,MATCH($E64,TABELE!$A$4:$A$18,0),MATCH($F64,TABELE!$B$3:$J$3,0)),"")</f>
        <v/>
      </c>
      <c r="T64" s="5">
        <f t="array" ref="T64">IFERROR(IF($C64="",0,$O64*$D64*INDEX(TABELE!$B$23:$P$33,MATCH($F64,TABELE!$A$23:$A$33,0),MATCH($E64,TABELE!$B$22:$P$22,0))),0)</f>
        <v>0</v>
      </c>
      <c r="U64" s="5">
        <f t="array" ref="U64">IFERROR(IF($C64="",0,$O64*$D64*INDEX(TABELE!$B$37:$P$47,MATCH($F64,TABELE!$A$37:$A$47,0),MATCH($E64,TABELE!$B$36:$P$36,0))),0)</f>
        <v>0</v>
      </c>
      <c r="V64" s="5">
        <f t="array" ref="V64">IFERROR(IF($C64="",0,$O64*$D64*INDEX(TABELE!$B$51:$P$61,MATCH($F64,TABELE!$A$51:$A$61,0),MATCH($E64,TABELE!$B$50:$P$50,0))),0)</f>
        <v>0</v>
      </c>
      <c r="W64" s="5" t="str">
        <f t="array" ref="W64">IFERROR(INDEX(BAZA_UWAGI,MATCH($C64,BAZA_EX,0)),"")</f>
        <v/>
      </c>
      <c r="X64" s="5" t="str">
        <f t="shared" si="16"/>
        <v/>
      </c>
      <c r="Y64" s="5" t="str">
        <f t="shared" si="19"/>
        <v>E</v>
      </c>
      <c r="Z64" s="5">
        <f t="shared" si="20"/>
        <v>5</v>
      </c>
      <c r="AA64" s="5" t="str">
        <f>IF($C64="","",IF(SUMPRODUCT((START!$B$6:$B$69=$C64)*(START!$M$6:$M$69&gt;0))=0,"",SUMPRODUCT(MAX((START!$B$6:$B$69=$C64)*START!$M$6:$M$69))))</f>
        <v/>
      </c>
      <c r="AB64" s="5" t="str">
        <f t="shared" si="17"/>
        <v/>
      </c>
      <c r="AC64" s="5">
        <f>MAX(0.85,MIN(1.15,1+0.05*(COUNTIF('T1'!$AB64,"za łatwe")+COUNTIF('T2'!$AB64,"za łatwe")+COUNTIF('T3'!$AB64,"za łatwe")+COUNTIF('T4'!$AB64,"za łatwe")+COUNTIF('T5'!$AB64,"za łatwe"))-0.05*(COUNTIF('T1'!$AB64,"za trudne")+COUNTIF('T2'!$AB64,"za trudne")+COUNTIF('T3'!$AB64,"za trudne")+COUNTIF('T4'!$AB64,"za trudne")+COUNTIF('T5'!$AB64,"za trudne"))))</f>
        <v>1</v>
      </c>
      <c r="AD64" s="5">
        <f t="shared" si="18"/>
        <v>0</v>
      </c>
    </row>
    <row r="65" ht="25.5" hidden="1" customHeight="1" outlineLevel="1">
      <c r="A65" s="18" t="str">
        <f>IF('T1'!$A65="","",'T1'!$A65)</f>
        <v/>
      </c>
      <c r="B65" s="30"/>
      <c r="C65" s="31" t="str">
        <f>IF('T1'!$C65="","",'T1'!$C65)</f>
        <v/>
      </c>
      <c r="D65" s="32"/>
      <c r="E65" s="39">
        <f>IF($C65="",0,MIN(15,MAX(1,IF(N($O65)&gt;=1,6,IF(N($O65)&gt;=0.75,IF(PRZEL_CZESC="część 1 (objętość)",8,6),IF(PRZEL_CZESC="część 1 (objętość)",10,8)))+2+$AD65)))</f>
        <v>0</v>
      </c>
      <c r="F65" s="33"/>
      <c r="G65" s="34" t="str">
        <f>IF($C65="","",IF(OR($Q65="masa ciała",$Q65="czas",$Q65="dystans",$Q65="ręczne ustawienie"),$Q65,IF($C65='T1'!$C65,IF(AND(LEFT($A65,1)&lt;&gt;"A",PRZEL_AKCESORIA="trzymaj z bloku"),IF(NOT(ISNUMBER('T4'!$G65)),'T4'!$G65,MROUND('T4'!$G65*$AC65/(MAX('T4'!$AC65,0.0001)),MAX($P65,0.5))),IF(OR($R65="",$R65=0),"— brak 1RM",MROUND($R65*$S65/100*$AC65,MAX($P65,0.5)))),IF(OR($AA65="",$AA65=0),"— ustaw ręcznie",MROUND($AA65*$S65/100*$AC65,MAX($P65,0.5))))))</f>
        <v/>
      </c>
      <c r="H65" s="35"/>
      <c r="I65" s="36" t="str">
        <f t="array" ref="I65">IFERROR(IF(IFERROR(INDEX(BAZA_FILM,MATCH($C65,BAZA_EX,0)),"")="","",HYPERLINK(IFERROR(INDEX(BAZA_FILM,MATCH($C65,BAZA_EX,0)),""),"film")),"")</f>
        <v/>
      </c>
      <c r="J65" s="37" t="str">
        <f>IF('T1'!$J65="","",'T1'!$J65)</f>
        <v/>
      </c>
      <c r="K65" s="5" t="s">
        <v>117</v>
      </c>
      <c r="L65" s="5" t="str">
        <f t="array" ref="L65">IFERROR(INDEX(BAZA_ID,MATCH($C65,BAZA_EX,0)),"")</f>
        <v/>
      </c>
      <c r="M65" s="5" t="str">
        <f t="array" ref="M65">IFERROR(INDEX(BAZA_PART,MATCH($C65,BAZA_EX,0)),"")</f>
        <v/>
      </c>
      <c r="N65" s="5" t="str">
        <f t="array" ref="N65">IFERROR(INDEX(BAZA_KAT,MATCH($C65,BAZA_EX,0)),"")</f>
        <v/>
      </c>
      <c r="O65" s="5" t="str">
        <f t="array" ref="O65">IFERROR(INDEX(BAZA_COEFF,MATCH($C65,BAZA_EX,0)),"")</f>
        <v/>
      </c>
      <c r="P65" s="5" t="str">
        <f t="array" ref="P65">IFERROR(INDEX(BAZA_SKOK,MATCH($C65,BAZA_EX,0)),"")</f>
        <v/>
      </c>
      <c r="Q65" s="5" t="str">
        <f t="array" ref="Q65">IFERROR(INDEX(BAZA_PROG,MATCH($C65,BAZA_EX,0)),"")</f>
        <v/>
      </c>
      <c r="R65" s="5" t="str">
        <f>IF($C65="","",IF(SUMPRODUCT((START!$B$6:$B$69=$C65)*(START!$M$6:$M$69&gt;0))=0,"",SUMPRODUCT(MAX((START!$B$6:$B$69=$C65)*START!$M$6:$M$69))))</f>
        <v/>
      </c>
      <c r="S65" s="5" t="str">
        <f t="array" ref="S65">IFERROR(INDEX(TABELE!$B$4:$J$18,MATCH($E65,TABELE!$A$4:$A$18,0),MATCH($F65,TABELE!$B$3:$J$3,0)),"")</f>
        <v/>
      </c>
      <c r="T65" s="5">
        <f t="array" ref="T65">IFERROR(IF($C65="",0,$O65*$D65*INDEX(TABELE!$B$23:$P$33,MATCH($F65,TABELE!$A$23:$A$33,0),MATCH($E65,TABELE!$B$22:$P$22,0))),0)</f>
        <v>0</v>
      </c>
      <c r="U65" s="5">
        <f t="array" ref="U65">IFERROR(IF($C65="",0,$O65*$D65*INDEX(TABELE!$B$37:$P$47,MATCH($F65,TABELE!$A$37:$A$47,0),MATCH($E65,TABELE!$B$36:$P$36,0))),0)</f>
        <v>0</v>
      </c>
      <c r="V65" s="5">
        <f t="array" ref="V65">IFERROR(IF($C65="",0,$O65*$D65*INDEX(TABELE!$B$51:$P$61,MATCH($F65,TABELE!$A$51:$A$61,0),MATCH($E65,TABELE!$B$50:$P$50,0))),0)</f>
        <v>0</v>
      </c>
      <c r="W65" s="5" t="str">
        <f t="array" ref="W65">IFERROR(INDEX(BAZA_UWAGI,MATCH($C65,BAZA_EX,0)),"")</f>
        <v/>
      </c>
      <c r="X65" s="5" t="str">
        <f t="shared" si="16"/>
        <v/>
      </c>
      <c r="Y65" s="5" t="str">
        <f t="shared" si="19"/>
        <v>E</v>
      </c>
      <c r="Z65" s="5">
        <f t="shared" si="20"/>
        <v>5</v>
      </c>
      <c r="AA65" s="5" t="str">
        <f>IF($C65="","",IF(SUMPRODUCT((START!$B$6:$B$69=$C65)*(START!$M$6:$M$69&gt;0))=0,"",SUMPRODUCT(MAX((START!$B$6:$B$69=$C65)*START!$M$6:$M$69))))</f>
        <v/>
      </c>
      <c r="AB65" s="5" t="str">
        <f t="shared" si="17"/>
        <v/>
      </c>
      <c r="AC65" s="5">
        <f>MAX(0.85,MIN(1.15,1+0.05*(COUNTIF('T1'!$AB65,"za łatwe")+COUNTIF('T2'!$AB65,"za łatwe")+COUNTIF('T3'!$AB65,"za łatwe")+COUNTIF('T4'!$AB65,"za łatwe")+COUNTIF('T5'!$AB65,"za łatwe"))-0.05*(COUNTIF('T1'!$AB65,"za trudne")+COUNTIF('T2'!$AB65,"za trudne")+COUNTIF('T3'!$AB65,"za trudne")+COUNTIF('T4'!$AB65,"za trudne")+COUNTIF('T5'!$AB65,"za trudne"))))</f>
        <v>1</v>
      </c>
      <c r="AD65" s="5">
        <f t="shared" si="18"/>
        <v>0</v>
      </c>
    </row>
    <row r="66" ht="25.5" hidden="1" customHeight="1" outlineLevel="1">
      <c r="A66" s="18" t="str">
        <f>IF('T1'!$A66="","",'T1'!$A66)</f>
        <v/>
      </c>
      <c r="B66" s="30"/>
      <c r="C66" s="31" t="str">
        <f>IF('T1'!$C66="","",'T1'!$C66)</f>
        <v/>
      </c>
      <c r="D66" s="32"/>
      <c r="E66" s="39">
        <f>IF($C66="",0,MIN(15,MAX(1,IF(N($O66)&gt;=1,6,IF(N($O66)&gt;=0.75,IF(PRZEL_CZESC="część 1 (objętość)",8,6),IF(PRZEL_CZESC="część 1 (objętość)",10,8)))+2+$AD66)))</f>
        <v>0</v>
      </c>
      <c r="F66" s="33"/>
      <c r="G66" s="34" t="str">
        <f>IF($C66="","",IF(OR($Q66="masa ciała",$Q66="czas",$Q66="dystans",$Q66="ręczne ustawienie"),$Q66,IF($C66='T1'!$C66,IF(AND(LEFT($A66,1)&lt;&gt;"A",PRZEL_AKCESORIA="trzymaj z bloku"),IF(NOT(ISNUMBER('T4'!$G66)),'T4'!$G66,MROUND('T4'!$G66*$AC66/(MAX('T4'!$AC66,0.0001)),MAX($P66,0.5))),IF(OR($R66="",$R66=0),"— brak 1RM",MROUND($R66*$S66/100*$AC66,MAX($P66,0.5)))),IF(OR($AA66="",$AA66=0),"— ustaw ręcznie",MROUND($AA66*$S66/100*$AC66,MAX($P66,0.5))))))</f>
        <v/>
      </c>
      <c r="H66" s="35"/>
      <c r="I66" s="36" t="str">
        <f t="array" ref="I66">IFERROR(IF(IFERROR(INDEX(BAZA_FILM,MATCH($C66,BAZA_EX,0)),"")="","",HYPERLINK(IFERROR(INDEX(BAZA_FILM,MATCH($C66,BAZA_EX,0)),""),"film")),"")</f>
        <v/>
      </c>
      <c r="J66" s="37" t="str">
        <f>IF('T1'!$J66="","",'T1'!$J66)</f>
        <v/>
      </c>
      <c r="K66" s="5" t="s">
        <v>118</v>
      </c>
      <c r="L66" s="5" t="str">
        <f t="array" ref="L66">IFERROR(INDEX(BAZA_ID,MATCH($C66,BAZA_EX,0)),"")</f>
        <v/>
      </c>
      <c r="M66" s="5" t="str">
        <f t="array" ref="M66">IFERROR(INDEX(BAZA_PART,MATCH($C66,BAZA_EX,0)),"")</f>
        <v/>
      </c>
      <c r="N66" s="5" t="str">
        <f t="array" ref="N66">IFERROR(INDEX(BAZA_KAT,MATCH($C66,BAZA_EX,0)),"")</f>
        <v/>
      </c>
      <c r="O66" s="5" t="str">
        <f t="array" ref="O66">IFERROR(INDEX(BAZA_COEFF,MATCH($C66,BAZA_EX,0)),"")</f>
        <v/>
      </c>
      <c r="P66" s="5" t="str">
        <f t="array" ref="P66">IFERROR(INDEX(BAZA_SKOK,MATCH($C66,BAZA_EX,0)),"")</f>
        <v/>
      </c>
      <c r="Q66" s="5" t="str">
        <f t="array" ref="Q66">IFERROR(INDEX(BAZA_PROG,MATCH($C66,BAZA_EX,0)),"")</f>
        <v/>
      </c>
      <c r="R66" s="5" t="str">
        <f>IF($C66="","",IF(SUMPRODUCT((START!$B$6:$B$69=$C66)*(START!$M$6:$M$69&gt;0))=0,"",SUMPRODUCT(MAX((START!$B$6:$B$69=$C66)*START!$M$6:$M$69))))</f>
        <v/>
      </c>
      <c r="S66" s="5" t="str">
        <f t="array" ref="S66">IFERROR(INDEX(TABELE!$B$4:$J$18,MATCH($E66,TABELE!$A$4:$A$18,0),MATCH($F66,TABELE!$B$3:$J$3,0)),"")</f>
        <v/>
      </c>
      <c r="T66" s="5">
        <f t="array" ref="T66">IFERROR(IF($C66="",0,$O66*$D66*INDEX(TABELE!$B$23:$P$33,MATCH($F66,TABELE!$A$23:$A$33,0),MATCH($E66,TABELE!$B$22:$P$22,0))),0)</f>
        <v>0</v>
      </c>
      <c r="U66" s="5">
        <f t="array" ref="U66">IFERROR(IF($C66="",0,$O66*$D66*INDEX(TABELE!$B$37:$P$47,MATCH($F66,TABELE!$A$37:$A$47,0),MATCH($E66,TABELE!$B$36:$P$36,0))),0)</f>
        <v>0</v>
      </c>
      <c r="V66" s="5">
        <f t="array" ref="V66">IFERROR(IF($C66="",0,$O66*$D66*INDEX(TABELE!$B$51:$P$61,MATCH($F66,TABELE!$A$51:$A$61,0),MATCH($E66,TABELE!$B$50:$P$50,0))),0)</f>
        <v>0</v>
      </c>
      <c r="W66" s="5" t="str">
        <f t="array" ref="W66">IFERROR(INDEX(BAZA_UWAGI,MATCH($C66,BAZA_EX,0)),"")</f>
        <v/>
      </c>
      <c r="X66" s="5" t="str">
        <f t="shared" si="16"/>
        <v/>
      </c>
      <c r="Y66" s="5" t="str">
        <f t="shared" si="19"/>
        <v>E</v>
      </c>
      <c r="Z66" s="5">
        <f t="shared" si="20"/>
        <v>5</v>
      </c>
      <c r="AA66" s="5" t="str">
        <f>IF($C66="","",IF(SUMPRODUCT((START!$B$6:$B$69=$C66)*(START!$M$6:$M$69&gt;0))=0,"",SUMPRODUCT(MAX((START!$B$6:$B$69=$C66)*START!$M$6:$M$69))))</f>
        <v/>
      </c>
      <c r="AB66" s="5" t="str">
        <f t="shared" si="17"/>
        <v/>
      </c>
      <c r="AC66" s="5">
        <f>MAX(0.85,MIN(1.15,1+0.05*(COUNTIF('T1'!$AB66,"za łatwe")+COUNTIF('T2'!$AB66,"za łatwe")+COUNTIF('T3'!$AB66,"za łatwe")+COUNTIF('T4'!$AB66,"za łatwe")+COUNTIF('T5'!$AB66,"za łatwe"))-0.05*(COUNTIF('T1'!$AB66,"za trudne")+COUNTIF('T2'!$AB66,"za trudne")+COUNTIF('T3'!$AB66,"za trudne")+COUNTIF('T4'!$AB66,"za trudne")+COUNTIF('T5'!$AB66,"za trudne"))))</f>
        <v>1</v>
      </c>
      <c r="AD66" s="5">
        <f t="shared" si="18"/>
        <v>0</v>
      </c>
    </row>
    <row r="67" ht="19.5" hidden="1" customHeight="1" outlineLevel="1">
      <c r="A67" s="43"/>
      <c r="B67" s="43"/>
      <c r="C67" s="44" t="s">
        <v>138</v>
      </c>
      <c r="D67" s="45">
        <f>SUMPRODUCT((C55:C66&lt;&gt;"")*D55:D66)+IF(AND($B$54="TOP SET",$C$54&lt;&gt;""),1,0)</f>
      </c>
      <c r="E67" s="46" t="str">
        <f>SUMPRODUCT((C55:C66&lt;&gt;"")*D55:D66*E55:E66)&amp;" powt."</f>
        <v>0 powt.</v>
      </c>
      <c r="F67" s="43"/>
      <c r="G67" s="47" t="str">
        <f>"stres t "&amp;TEXT(SUM(T55:T66),"0.0")</f>
        <v>stres t 0,0</v>
      </c>
      <c r="H67" s="48"/>
      <c r="I67" s="43"/>
      <c r="J67" s="4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25.5" hidden="1" customHeight="1" outlineLevel="1">
      <c r="A69" s="15" t="s">
        <v>119</v>
      </c>
      <c r="B69" s="3"/>
      <c r="C69" s="3"/>
      <c r="D69" s="3"/>
      <c r="E69" s="3"/>
      <c r="F69" s="3"/>
      <c r="G69" s="3"/>
      <c r="H69" s="3"/>
      <c r="I69" s="3"/>
      <c r="J69" s="4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33.75" hidden="1" customHeight="1" outlineLevel="2">
      <c r="A70" s="17" t="str">
        <f>IF($B70="TOP SET","▲","")</f>
        <v>▲</v>
      </c>
      <c r="B70" s="19" t="str">
        <f>IF('T1'!$B70="TOP SET","TOP SET","—")</f>
        <v>TOP SET</v>
      </c>
      <c r="C70" s="22" t="str">
        <f>IF(OR($B70&lt;&gt;"TOP SET",$F70=""),"",IF(N($K70)=0,"",IF(INDEX($C$71:$C$82,$K70)="","",INDEX($C$71:$C$82,$K70))))</f>
      </c>
      <c r="D70" s="23">
        <f>IF(AND($B70="TOP SET",$F70&lt;&gt;""),1,"")</f>
      </c>
      <c r="E70" s="24" t="str">
        <f>IF(AND($B70="TOP SET",$F70&lt;&gt;""),"1 powtórzenie","")</f>
      </c>
      <c r="F70" s="25">
        <v>8.0</v>
      </c>
      <c r="G70" s="27" t="str">
        <f t="array" ref="G70">IF($B70&lt;&gt;"TOP SET","",IF($C70="","",IF(OR($Q70="masa ciała",$Q70="czas",$Q70="dystans",$Q70="ręczne ustawienie"),"—",IF($C70='T1'!$C70,IF(OR($R70="",$R70=0),"— brak 1RM",MROUND($R70*IFERROR(INDEX(TABELE!$B$4:$J$18,MATCH(1,TABELE!$A$4:$A$18,0),MATCH($F70,TABELE!$B$3:$J$3,0)),0)/100,MAX($P70,0.5))),IF(OR($AA70="",$AA70=0),"— ustaw ręcznie",MROUND($AA70*IFERROR(INDEX(TABELE!$B$4:$J$18,MATCH(1,TABELE!$A$4:$A$18,0),MATCH($F70,TABELE!$B$3:$J$3,0)),0)/100,MAX($P70,0.5)))))))</f>
      </c>
      <c r="H70" s="28"/>
      <c r="I70" s="29"/>
      <c r="J70" s="29"/>
      <c r="K70" s="5">
        <f>IFERROR(MATCH("A*",$A$71:$A$82,0),0)</f>
      </c>
      <c r="L70" s="5"/>
      <c r="M70" s="5"/>
      <c r="N70" s="5"/>
      <c r="O70" s="5"/>
      <c r="P70" s="5">
        <f>IF(N($K70)=0,"",INDEX($P$71:$P$82,$K70))</f>
      </c>
      <c r="Q70" s="5">
        <f>IF(N($K70)=0,"",INDEX($Q$71:$Q$82,$K70))</f>
      </c>
      <c r="R70" s="5">
        <f>IF(N($K70)=0,"",INDEX($R$71:$R$82,$K70))</f>
      </c>
      <c r="S70" s="5"/>
      <c r="T70" s="5"/>
      <c r="U70" s="5"/>
      <c r="V70" s="5"/>
      <c r="W70" s="5"/>
      <c r="X70" s="5"/>
      <c r="Y70" s="5"/>
      <c r="Z70" s="5"/>
      <c r="AA70" s="5">
        <f>IF(N($K70)=0,"",INDEX($AA$71:$AA$82,$K70))</f>
      </c>
    </row>
    <row r="71" ht="25.5" hidden="1" customHeight="1" outlineLevel="1">
      <c r="A71" s="18" t="str">
        <f>IF('T1'!$A71="","",'T1'!$A71)</f>
        <v>A1.</v>
      </c>
      <c r="B71" s="30"/>
      <c r="C71" s="31" t="str">
        <f>IF('T1'!$C71="","",'T1'!$C71)</f>
        <v/>
      </c>
      <c r="D71" s="32">
        <v>6.0</v>
      </c>
      <c r="E71" s="32">
        <v>3.0</v>
      </c>
      <c r="F71" s="33">
        <v>7.5</v>
      </c>
      <c r="G71" s="34" t="str">
        <f>IF($C71="","",IF(OR($Q71="masa ciała",$Q71="czas",$Q71="dystans",$Q71="ręczne ustawienie"),$Q71,IF($C71='T1'!$C71,IF(AND(LEFT($A71,1)&lt;&gt;"A",PRZEL_AKCESORIA="trzymaj z bloku"),IF(NOT(ISNUMBER('T4'!$G71)),'T4'!$G71,MROUND('T4'!$G71*$AC71/(MAX('T4'!$AC71,0.0001)),MAX($P71,0.5))),IF(OR($R71="",$R71=0),"— brak 1RM",MROUND($R71*$S71/100*$AC71,MAX($P71,0.5)))),IF(OR($AA71="",$AA71=0),"— ustaw ręcznie",MROUND($AA71*$S71/100*$AC71,MAX($P71,0.5))))))</f>
        <v/>
      </c>
      <c r="H71" s="35"/>
      <c r="I71" s="36" t="str">
        <f t="array" ref="I71">IFERROR(IF(IFERROR(INDEX(BAZA_FILM,MATCH($C71,BAZA_EX,0)),"")="","",HYPERLINK(IFERROR(INDEX(BAZA_FILM,MATCH($C71,BAZA_EX,0)),""),"film")),"")</f>
        <v/>
      </c>
      <c r="J71" s="37" t="str">
        <f>IF('T1'!$J71="","",'T1'!$J71)</f>
        <v/>
      </c>
      <c r="K71" s="5" t="s">
        <v>120</v>
      </c>
      <c r="L71" s="5" t="str">
        <f t="array" ref="L71">IFERROR(INDEX(BAZA_ID,MATCH($C71,BAZA_EX,0)),"")</f>
        <v/>
      </c>
      <c r="M71" s="5" t="str">
        <f t="array" ref="M71">IFERROR(INDEX(BAZA_PART,MATCH($C71,BAZA_EX,0)),"")</f>
        <v/>
      </c>
      <c r="N71" s="5" t="str">
        <f t="array" ref="N71">IFERROR(INDEX(BAZA_KAT,MATCH($C71,BAZA_EX,0)),"")</f>
        <v/>
      </c>
      <c r="O71" s="5" t="str">
        <f t="array" ref="O71">IFERROR(INDEX(BAZA_COEFF,MATCH($C71,BAZA_EX,0)),"")</f>
        <v/>
      </c>
      <c r="P71" s="5" t="str">
        <f t="array" ref="P71">IFERROR(INDEX(BAZA_SKOK,MATCH($C71,BAZA_EX,0)),"")</f>
        <v/>
      </c>
      <c r="Q71" s="5" t="str">
        <f t="array" ref="Q71">IFERROR(INDEX(BAZA_PROG,MATCH($C71,BAZA_EX,0)),"")</f>
        <v/>
      </c>
      <c r="R71" s="5" t="str">
        <f>IF($C71="","",IF(SUMPRODUCT((START!$B$6:$B$69=$C71)*(START!$M$6:$M$69&gt;0))=0,"",SUMPRODUCT(MAX((START!$B$6:$B$69=$C71)*START!$M$6:$M$69))))</f>
        <v/>
      </c>
      <c r="S71" s="5">
        <f t="array" ref="S71">IFERROR(INDEX(TABELE!$B$4:$J$18,MATCH($E71,TABELE!$A$4:$A$18,0),MATCH($F71,TABELE!$B$3:$J$3,0)),"")</f>
        <v>83.5</v>
      </c>
      <c r="T71" s="5">
        <f t="array" ref="T71">IFERROR(IF($C71="",0,$O71*$D71*INDEX(TABELE!$B$23:$P$33,MATCH($F71,TABELE!$A$23:$A$33,0),MATCH($E71,TABELE!$B$22:$P$22,0))),0)</f>
        <v>0</v>
      </c>
      <c r="U71" s="5">
        <f t="array" ref="U71">IFERROR(IF($C71="",0,$O71*$D71*INDEX(TABELE!$B$37:$P$47,MATCH($F71,TABELE!$A$37:$A$47,0),MATCH($E71,TABELE!$B$36:$P$36,0))),0)</f>
        <v>0</v>
      </c>
      <c r="V71" s="5">
        <f t="array" ref="V71">IFERROR(IF($C71="",0,$O71*$D71*INDEX(TABELE!$B$51:$P$61,MATCH($F71,TABELE!$A$51:$A$61,0),MATCH($E71,TABELE!$B$50:$P$50,0))),0)</f>
        <v>0</v>
      </c>
      <c r="W71" s="5" t="str">
        <f t="array" ref="W71">IFERROR(INDEX(BAZA_UWAGI,MATCH($C71,BAZA_EX,0)),"")</f>
        <v/>
      </c>
      <c r="X71" s="5">
        <f t="shared" ref="X71:X82" si="21">IF($A71="","",$Z71)</f>
        <v>1</v>
      </c>
      <c r="Y71" s="5" t="str">
        <f>IF($A71="","",LEFT($A71,1))</f>
        <v>A</v>
      </c>
      <c r="Z71" s="5">
        <f>IF($A71="",0,1)</f>
        <v>1</v>
      </c>
      <c r="AA71" s="5" t="str">
        <f>IF($C71="","",IF(SUMPRODUCT((START!$B$6:$B$69=$C71)*(START!$M$6:$M$69&gt;0))=0,"",SUMPRODUCT(MAX((START!$B$6:$B$69=$C71)*START!$M$6:$M$69))))</f>
        <v/>
      </c>
      <c r="AB71" s="5" t="str">
        <f t="shared" ref="AB71:AB82" si="22">IF($C71="","",IF($H71&lt;&gt;"",$H71,IF($H$83="✓ ukończony","OK","")))</f>
        <v/>
      </c>
      <c r="AC71" s="5">
        <f>MAX(0.85,MIN(1.15,1+0.05*(COUNTIF('T1'!$AB71,"za łatwe")+COUNTIF('T2'!$AB71,"za łatwe")+COUNTIF('T3'!$AB71,"za łatwe")+COUNTIF('T4'!$AB71,"za łatwe")+COUNTIF('T5'!$AB71,"za łatwe"))-0.05*(COUNTIF('T1'!$AB71,"za trudne")+COUNTIF('T2'!$AB71,"za trudne")+COUNTIF('T3'!$AB71,"za trudne")+COUNTIF('T4'!$AB71,"za trudne")+COUNTIF('T5'!$AB71,"za trudne"))))</f>
        <v>1</v>
      </c>
      <c r="AD71" s="5">
        <f t="shared" ref="AD71:AD82" si="23">IF(OR($Q71="masa ciała",$Q71="czas",$Q71="dystans",$Q71="ręczne ustawienie"),MAX(-3,MIN(3,ROUND(($AC71-1)/0.05,0))),0)</f>
        <v>0</v>
      </c>
    </row>
    <row r="72" ht="25.5" hidden="1" customHeight="1" outlineLevel="1">
      <c r="A72" s="18" t="str">
        <f>IF('T1'!$A72="","",'T1'!$A72)</f>
        <v>B1.</v>
      </c>
      <c r="B72" s="30"/>
      <c r="C72" s="31" t="str">
        <f>IF('T1'!$C72="","",'T1'!$C72)</f>
        <v/>
      </c>
      <c r="D72" s="32">
        <v>3.0</v>
      </c>
      <c r="E72" s="39">
        <f>IF($C72="",0,MIN(15,MAX(1,IF(N($O72)&gt;=1,6,IF(N($O72)&gt;=0.75,IF(PRZEL_CZESC="część 1 (objętość)",8,6),IF(PRZEL_CZESC="część 1 (objętość)",10,8)))+2+$AD72)))</f>
        <v>0</v>
      </c>
      <c r="F72" s="33">
        <v>9.0</v>
      </c>
      <c r="G72" s="34" t="str">
        <f>IF($C72="","",IF(OR($Q72="masa ciała",$Q72="czas",$Q72="dystans",$Q72="ręczne ustawienie"),$Q72,IF($C72='T1'!$C72,IF(AND(LEFT($A72,1)&lt;&gt;"A",PRZEL_AKCESORIA="trzymaj z bloku"),IF(NOT(ISNUMBER('T4'!$G72)),'T4'!$G72,MROUND('T4'!$G72*$AC72/(MAX('T4'!$AC72,0.0001)),MAX($P72,0.5))),IF(OR($R72="",$R72=0),"— brak 1RM",MROUND($R72*$S72/100*$AC72,MAX($P72,0.5)))),IF(OR($AA72="",$AA72=0),"— ustaw ręcznie",MROUND($AA72*$S72/100*$AC72,MAX($P72,0.5))))))</f>
        <v/>
      </c>
      <c r="H72" s="35"/>
      <c r="I72" s="36" t="str">
        <f t="array" ref="I72">IFERROR(IF(IFERROR(INDEX(BAZA_FILM,MATCH($C72,BAZA_EX,0)),"")="","",HYPERLINK(IFERROR(INDEX(BAZA_FILM,MATCH($C72,BAZA_EX,0)),""),"film")),"")</f>
        <v/>
      </c>
      <c r="J72" s="37" t="str">
        <f>IF('T1'!$J72="","",'T1'!$J72)</f>
        <v/>
      </c>
      <c r="K72" s="5" t="s">
        <v>121</v>
      </c>
      <c r="L72" s="5" t="str">
        <f t="array" ref="L72">IFERROR(INDEX(BAZA_ID,MATCH($C72,BAZA_EX,0)),"")</f>
        <v/>
      </c>
      <c r="M72" s="5" t="str">
        <f t="array" ref="M72">IFERROR(INDEX(BAZA_PART,MATCH($C72,BAZA_EX,0)),"")</f>
        <v/>
      </c>
      <c r="N72" s="5" t="str">
        <f t="array" ref="N72">IFERROR(INDEX(BAZA_KAT,MATCH($C72,BAZA_EX,0)),"")</f>
        <v/>
      </c>
      <c r="O72" s="5" t="str">
        <f t="array" ref="O72">IFERROR(INDEX(BAZA_COEFF,MATCH($C72,BAZA_EX,0)),"")</f>
        <v/>
      </c>
      <c r="P72" s="5" t="str">
        <f t="array" ref="P72">IFERROR(INDEX(BAZA_SKOK,MATCH($C72,BAZA_EX,0)),"")</f>
        <v/>
      </c>
      <c r="Q72" s="5" t="str">
        <f t="array" ref="Q72">IFERROR(INDEX(BAZA_PROG,MATCH($C72,BAZA_EX,0)),"")</f>
        <v/>
      </c>
      <c r="R72" s="5" t="str">
        <f>IF($C72="","",IF(SUMPRODUCT((START!$B$6:$B$69=$C72)*(START!$M$6:$M$69&gt;0))=0,"",SUMPRODUCT(MAX((START!$B$6:$B$69=$C72)*START!$M$6:$M$69))))</f>
        <v/>
      </c>
      <c r="S72" s="5" t="str">
        <f t="array" ref="S72">IFERROR(INDEX(TABELE!$B$4:$J$18,MATCH($E72,TABELE!$A$4:$A$18,0),MATCH($F72,TABELE!$B$3:$J$3,0)),"")</f>
        <v/>
      </c>
      <c r="T72" s="5">
        <f t="array" ref="T72">IFERROR(IF($C72="",0,$O72*$D72*INDEX(TABELE!$B$23:$P$33,MATCH($F72,TABELE!$A$23:$A$33,0),MATCH($E72,TABELE!$B$22:$P$22,0))),0)</f>
        <v>0</v>
      </c>
      <c r="U72" s="5">
        <f t="array" ref="U72">IFERROR(IF($C72="",0,$O72*$D72*INDEX(TABELE!$B$37:$P$47,MATCH($F72,TABELE!$A$37:$A$47,0),MATCH($E72,TABELE!$B$36:$P$36,0))),0)</f>
        <v>0</v>
      </c>
      <c r="V72" s="5">
        <f t="array" ref="V72">IFERROR(IF($C72="",0,$O72*$D72*INDEX(TABELE!$B$51:$P$61,MATCH($F72,TABELE!$A$51:$A$61,0),MATCH($E72,TABELE!$B$50:$P$50,0))),0)</f>
        <v>0</v>
      </c>
      <c r="W72" s="5" t="str">
        <f t="array" ref="W72">IFERROR(INDEX(BAZA_UWAGI,MATCH($C72,BAZA_EX,0)),"")</f>
        <v/>
      </c>
      <c r="X72" s="5">
        <f t="shared" si="21"/>
        <v>2</v>
      </c>
      <c r="Y72" s="5" t="str">
        <f t="shared" ref="Y72:Y82" si="24">IF($A72="",$Y71,LEFT($A72,1))</f>
        <v>B</v>
      </c>
      <c r="Z72" s="5">
        <f t="shared" ref="Z72:Z82" si="25">IF($A72="",$Z71,IF(LEFT($A72,1)=$Y71,$Z71,$Z71+1))</f>
        <v>2</v>
      </c>
      <c r="AA72" s="5" t="str">
        <f>IF($C72="","",IF(SUMPRODUCT((START!$B$6:$B$69=$C72)*(START!$M$6:$M$69&gt;0))=0,"",SUMPRODUCT(MAX((START!$B$6:$B$69=$C72)*START!$M$6:$M$69))))</f>
        <v/>
      </c>
      <c r="AB72" s="5" t="str">
        <f t="shared" si="22"/>
        <v/>
      </c>
      <c r="AC72" s="5">
        <f>MAX(0.85,MIN(1.15,1+0.05*(COUNTIF('T1'!$AB72,"za łatwe")+COUNTIF('T2'!$AB72,"za łatwe")+COUNTIF('T3'!$AB72,"za łatwe")+COUNTIF('T4'!$AB72,"za łatwe")+COUNTIF('T5'!$AB72,"za łatwe"))-0.05*(COUNTIF('T1'!$AB72,"za trudne")+COUNTIF('T2'!$AB72,"za trudne")+COUNTIF('T3'!$AB72,"za trudne")+COUNTIF('T4'!$AB72,"za trudne")+COUNTIF('T5'!$AB72,"za trudne"))))</f>
        <v>1</v>
      </c>
      <c r="AD72" s="5">
        <f t="shared" si="23"/>
        <v>0</v>
      </c>
    </row>
    <row r="73" ht="25.5" hidden="1" customHeight="1" outlineLevel="1">
      <c r="A73" s="18" t="str">
        <f>IF('T1'!$A73="","",'T1'!$A73)</f>
        <v>B2.</v>
      </c>
      <c r="B73" s="30"/>
      <c r="C73" s="31" t="str">
        <f>IF('T1'!$C73="","",'T1'!$C73)</f>
        <v/>
      </c>
      <c r="D73" s="32">
        <v>3.0</v>
      </c>
      <c r="E73" s="39">
        <f>IF($C73="",0,MIN(15,MAX(1,IF(N($O73)&gt;=1,6,IF(N($O73)&gt;=0.75,IF(PRZEL_CZESC="część 1 (objętość)",8,6),IF(PRZEL_CZESC="część 1 (objętość)",10,8)))+2+$AD73)))</f>
        <v>0</v>
      </c>
      <c r="F73" s="33">
        <v>9.0</v>
      </c>
      <c r="G73" s="34" t="str">
        <f>IF($C73="","",IF(OR($Q73="masa ciała",$Q73="czas",$Q73="dystans",$Q73="ręczne ustawienie"),$Q73,IF($C73='T1'!$C73,IF(AND(LEFT($A73,1)&lt;&gt;"A",PRZEL_AKCESORIA="trzymaj z bloku"),IF(NOT(ISNUMBER('T4'!$G73)),'T4'!$G73,MROUND('T4'!$G73*$AC73/(MAX('T4'!$AC73,0.0001)),MAX($P73,0.5))),IF(OR($R73="",$R73=0),"— brak 1RM",MROUND($R73*$S73/100*$AC73,MAX($P73,0.5)))),IF(OR($AA73="",$AA73=0),"— ustaw ręcznie",MROUND($AA73*$S73/100*$AC73,MAX($P73,0.5))))))</f>
        <v/>
      </c>
      <c r="H73" s="35"/>
      <c r="I73" s="36" t="str">
        <f t="array" ref="I73">IFERROR(IF(IFERROR(INDEX(BAZA_FILM,MATCH($C73,BAZA_EX,0)),"")="","",HYPERLINK(IFERROR(INDEX(BAZA_FILM,MATCH($C73,BAZA_EX,0)),""),"film")),"")</f>
        <v/>
      </c>
      <c r="J73" s="37" t="str">
        <f>IF('T1'!$J73="","",'T1'!$J73)</f>
        <v/>
      </c>
      <c r="K73" s="5" t="s">
        <v>122</v>
      </c>
      <c r="L73" s="5" t="str">
        <f t="array" ref="L73">IFERROR(INDEX(BAZA_ID,MATCH($C73,BAZA_EX,0)),"")</f>
        <v/>
      </c>
      <c r="M73" s="5" t="str">
        <f t="array" ref="M73">IFERROR(INDEX(BAZA_PART,MATCH($C73,BAZA_EX,0)),"")</f>
        <v/>
      </c>
      <c r="N73" s="5" t="str">
        <f t="array" ref="N73">IFERROR(INDEX(BAZA_KAT,MATCH($C73,BAZA_EX,0)),"")</f>
        <v/>
      </c>
      <c r="O73" s="5" t="str">
        <f t="array" ref="O73">IFERROR(INDEX(BAZA_COEFF,MATCH($C73,BAZA_EX,0)),"")</f>
        <v/>
      </c>
      <c r="P73" s="5" t="str">
        <f t="array" ref="P73">IFERROR(INDEX(BAZA_SKOK,MATCH($C73,BAZA_EX,0)),"")</f>
        <v/>
      </c>
      <c r="Q73" s="5" t="str">
        <f t="array" ref="Q73">IFERROR(INDEX(BAZA_PROG,MATCH($C73,BAZA_EX,0)),"")</f>
        <v/>
      </c>
      <c r="R73" s="5" t="str">
        <f>IF($C73="","",IF(SUMPRODUCT((START!$B$6:$B$69=$C73)*(START!$M$6:$M$69&gt;0))=0,"",SUMPRODUCT(MAX((START!$B$6:$B$69=$C73)*START!$M$6:$M$69))))</f>
        <v/>
      </c>
      <c r="S73" s="5" t="str">
        <f t="array" ref="S73">IFERROR(INDEX(TABELE!$B$4:$J$18,MATCH($E73,TABELE!$A$4:$A$18,0),MATCH($F73,TABELE!$B$3:$J$3,0)),"")</f>
        <v/>
      </c>
      <c r="T73" s="5">
        <f t="array" ref="T73">IFERROR(IF($C73="",0,$O73*$D73*INDEX(TABELE!$B$23:$P$33,MATCH($F73,TABELE!$A$23:$A$33,0),MATCH($E73,TABELE!$B$22:$P$22,0))),0)</f>
        <v>0</v>
      </c>
      <c r="U73" s="5">
        <f t="array" ref="U73">IFERROR(IF($C73="",0,$O73*$D73*INDEX(TABELE!$B$37:$P$47,MATCH($F73,TABELE!$A$37:$A$47,0),MATCH($E73,TABELE!$B$36:$P$36,0))),0)</f>
        <v>0</v>
      </c>
      <c r="V73" s="5">
        <f t="array" ref="V73">IFERROR(IF($C73="",0,$O73*$D73*INDEX(TABELE!$B$51:$P$61,MATCH($F73,TABELE!$A$51:$A$61,0),MATCH($E73,TABELE!$B$50:$P$50,0))),0)</f>
        <v>0</v>
      </c>
      <c r="W73" s="5" t="str">
        <f t="array" ref="W73">IFERROR(INDEX(BAZA_UWAGI,MATCH($C73,BAZA_EX,0)),"")</f>
        <v/>
      </c>
      <c r="X73" s="5">
        <f t="shared" si="21"/>
        <v>2</v>
      </c>
      <c r="Y73" s="5" t="str">
        <f t="shared" si="24"/>
        <v>B</v>
      </c>
      <c r="Z73" s="5">
        <f t="shared" si="25"/>
        <v>2</v>
      </c>
      <c r="AA73" s="5" t="str">
        <f>IF($C73="","",IF(SUMPRODUCT((START!$B$6:$B$69=$C73)*(START!$M$6:$M$69&gt;0))=0,"",SUMPRODUCT(MAX((START!$B$6:$B$69=$C73)*START!$M$6:$M$69))))</f>
        <v/>
      </c>
      <c r="AB73" s="5" t="str">
        <f t="shared" si="22"/>
        <v/>
      </c>
      <c r="AC73" s="5">
        <f>MAX(0.85,MIN(1.15,1+0.05*(COUNTIF('T1'!$AB73,"za łatwe")+COUNTIF('T2'!$AB73,"za łatwe")+COUNTIF('T3'!$AB73,"za łatwe")+COUNTIF('T4'!$AB73,"za łatwe")+COUNTIF('T5'!$AB73,"za łatwe"))-0.05*(COUNTIF('T1'!$AB73,"za trudne")+COUNTIF('T2'!$AB73,"za trudne")+COUNTIF('T3'!$AB73,"za trudne")+COUNTIF('T4'!$AB73,"za trudne")+COUNTIF('T5'!$AB73,"za trudne"))))</f>
        <v>1</v>
      </c>
      <c r="AD73" s="5">
        <f t="shared" si="23"/>
        <v>0</v>
      </c>
    </row>
    <row r="74" ht="25.5" hidden="1" customHeight="1" outlineLevel="1">
      <c r="A74" s="18" t="str">
        <f>IF('T1'!$A74="","",'T1'!$A74)</f>
        <v>C1.</v>
      </c>
      <c r="B74" s="30"/>
      <c r="C74" s="31" t="str">
        <f>IF('T1'!$C74="","",'T1'!$C74)</f>
        <v/>
      </c>
      <c r="D74" s="32">
        <v>3.0</v>
      </c>
      <c r="E74" s="39">
        <f>IF($C74="",0,MIN(15,MAX(1,IF(N($O74)&gt;=1,6,IF(N($O74)&gt;=0.75,IF(PRZEL_CZESC="część 1 (objętość)",8,6),IF(PRZEL_CZESC="część 1 (objętość)",10,8)))+2+$AD74)))</f>
        <v>0</v>
      </c>
      <c r="F74" s="33">
        <v>9.0</v>
      </c>
      <c r="G74" s="34" t="str">
        <f>IF($C74="","",IF(OR($Q74="masa ciała",$Q74="czas",$Q74="dystans",$Q74="ręczne ustawienie"),$Q74,IF($C74='T1'!$C74,IF(AND(LEFT($A74,1)&lt;&gt;"A",PRZEL_AKCESORIA="trzymaj z bloku"),IF(NOT(ISNUMBER('T4'!$G74)),'T4'!$G74,MROUND('T4'!$G74*$AC74/(MAX('T4'!$AC74,0.0001)),MAX($P74,0.5))),IF(OR($R74="",$R74=0),"— brak 1RM",MROUND($R74*$S74/100*$AC74,MAX($P74,0.5)))),IF(OR($AA74="",$AA74=0),"— ustaw ręcznie",MROUND($AA74*$S74/100*$AC74,MAX($P74,0.5))))))</f>
        <v/>
      </c>
      <c r="H74" s="35"/>
      <c r="I74" s="36" t="str">
        <f t="array" ref="I74">IFERROR(IF(IFERROR(INDEX(BAZA_FILM,MATCH($C74,BAZA_EX,0)),"")="","",HYPERLINK(IFERROR(INDEX(BAZA_FILM,MATCH($C74,BAZA_EX,0)),""),"film")),"")</f>
        <v/>
      </c>
      <c r="J74" s="37" t="str">
        <f>IF('T1'!$J74="","",'T1'!$J74)</f>
        <v/>
      </c>
      <c r="K74" s="5" t="s">
        <v>123</v>
      </c>
      <c r="L74" s="5" t="str">
        <f t="array" ref="L74">IFERROR(INDEX(BAZA_ID,MATCH($C74,BAZA_EX,0)),"")</f>
        <v/>
      </c>
      <c r="M74" s="5" t="str">
        <f t="array" ref="M74">IFERROR(INDEX(BAZA_PART,MATCH($C74,BAZA_EX,0)),"")</f>
        <v/>
      </c>
      <c r="N74" s="5" t="str">
        <f t="array" ref="N74">IFERROR(INDEX(BAZA_KAT,MATCH($C74,BAZA_EX,0)),"")</f>
        <v/>
      </c>
      <c r="O74" s="5" t="str">
        <f t="array" ref="O74">IFERROR(INDEX(BAZA_COEFF,MATCH($C74,BAZA_EX,0)),"")</f>
        <v/>
      </c>
      <c r="P74" s="5" t="str">
        <f t="array" ref="P74">IFERROR(INDEX(BAZA_SKOK,MATCH($C74,BAZA_EX,0)),"")</f>
        <v/>
      </c>
      <c r="Q74" s="5" t="str">
        <f t="array" ref="Q74">IFERROR(INDEX(BAZA_PROG,MATCH($C74,BAZA_EX,0)),"")</f>
        <v/>
      </c>
      <c r="R74" s="5" t="str">
        <f>IF($C74="","",IF(SUMPRODUCT((START!$B$6:$B$69=$C74)*(START!$M$6:$M$69&gt;0))=0,"",SUMPRODUCT(MAX((START!$B$6:$B$69=$C74)*START!$M$6:$M$69))))</f>
        <v/>
      </c>
      <c r="S74" s="5" t="str">
        <f t="array" ref="S74">IFERROR(INDEX(TABELE!$B$4:$J$18,MATCH($E74,TABELE!$A$4:$A$18,0),MATCH($F74,TABELE!$B$3:$J$3,0)),"")</f>
        <v/>
      </c>
      <c r="T74" s="5">
        <f t="array" ref="T74">IFERROR(IF($C74="",0,$O74*$D74*INDEX(TABELE!$B$23:$P$33,MATCH($F74,TABELE!$A$23:$A$33,0),MATCH($E74,TABELE!$B$22:$P$22,0))),0)</f>
        <v>0</v>
      </c>
      <c r="U74" s="5">
        <f t="array" ref="U74">IFERROR(IF($C74="",0,$O74*$D74*INDEX(TABELE!$B$37:$P$47,MATCH($F74,TABELE!$A$37:$A$47,0),MATCH($E74,TABELE!$B$36:$P$36,0))),0)</f>
        <v>0</v>
      </c>
      <c r="V74" s="5">
        <f t="array" ref="V74">IFERROR(IF($C74="",0,$O74*$D74*INDEX(TABELE!$B$51:$P$61,MATCH($F74,TABELE!$A$51:$A$61,0),MATCH($E74,TABELE!$B$50:$P$50,0))),0)</f>
        <v>0</v>
      </c>
      <c r="W74" s="5" t="str">
        <f t="array" ref="W74">IFERROR(INDEX(BAZA_UWAGI,MATCH($C74,BAZA_EX,0)),"")</f>
        <v/>
      </c>
      <c r="X74" s="5">
        <f t="shared" si="21"/>
        <v>3</v>
      </c>
      <c r="Y74" s="5" t="str">
        <f t="shared" si="24"/>
        <v>C</v>
      </c>
      <c r="Z74" s="5">
        <f t="shared" si="25"/>
        <v>3</v>
      </c>
      <c r="AA74" s="5" t="str">
        <f>IF($C74="","",IF(SUMPRODUCT((START!$B$6:$B$69=$C74)*(START!$M$6:$M$69&gt;0))=0,"",SUMPRODUCT(MAX((START!$B$6:$B$69=$C74)*START!$M$6:$M$69))))</f>
        <v/>
      </c>
      <c r="AB74" s="5" t="str">
        <f t="shared" si="22"/>
        <v/>
      </c>
      <c r="AC74" s="5">
        <f>MAX(0.85,MIN(1.15,1+0.05*(COUNTIF('T1'!$AB74,"za łatwe")+COUNTIF('T2'!$AB74,"za łatwe")+COUNTIF('T3'!$AB74,"za łatwe")+COUNTIF('T4'!$AB74,"za łatwe")+COUNTIF('T5'!$AB74,"za łatwe"))-0.05*(COUNTIF('T1'!$AB74,"za trudne")+COUNTIF('T2'!$AB74,"za trudne")+COUNTIF('T3'!$AB74,"za trudne")+COUNTIF('T4'!$AB74,"za trudne")+COUNTIF('T5'!$AB74,"za trudne"))))</f>
        <v>1</v>
      </c>
      <c r="AD74" s="5">
        <f t="shared" si="23"/>
        <v>0</v>
      </c>
    </row>
    <row r="75" ht="25.5" hidden="1" customHeight="1" outlineLevel="1">
      <c r="A75" s="18" t="str">
        <f>IF('T1'!$A75="","",'T1'!$A75)</f>
        <v>C2.</v>
      </c>
      <c r="B75" s="30"/>
      <c r="C75" s="31" t="str">
        <f>IF('T1'!$C75="","",'T1'!$C75)</f>
        <v/>
      </c>
      <c r="D75" s="32">
        <v>3.0</v>
      </c>
      <c r="E75" s="39">
        <f>IF($C75="",0,MIN(15,MAX(1,IF(N($O75)&gt;=1,6,IF(N($O75)&gt;=0.75,IF(PRZEL_CZESC="część 1 (objętość)",8,6),IF(PRZEL_CZESC="część 1 (objętość)",10,8)))+2+$AD75)))</f>
        <v>0</v>
      </c>
      <c r="F75" s="33">
        <v>10.0</v>
      </c>
      <c r="G75" s="34" t="str">
        <f>IF($C75="","",IF(OR($Q75="masa ciała",$Q75="czas",$Q75="dystans",$Q75="ręczne ustawienie"),$Q75,IF($C75='T1'!$C75,IF(AND(LEFT($A75,1)&lt;&gt;"A",PRZEL_AKCESORIA="trzymaj z bloku"),IF(NOT(ISNUMBER('T4'!$G75)),'T4'!$G75,MROUND('T4'!$G75*$AC75/(MAX('T4'!$AC75,0.0001)),MAX($P75,0.5))),IF(OR($R75="",$R75=0),"— brak 1RM",MROUND($R75*$S75/100*$AC75,MAX($P75,0.5)))),IF(OR($AA75="",$AA75=0),"— ustaw ręcznie",MROUND($AA75*$S75/100*$AC75,MAX($P75,0.5))))))</f>
        <v/>
      </c>
      <c r="H75" s="35"/>
      <c r="I75" s="36" t="str">
        <f t="array" ref="I75">IFERROR(IF(IFERROR(INDEX(BAZA_FILM,MATCH($C75,BAZA_EX,0)),"")="","",HYPERLINK(IFERROR(INDEX(BAZA_FILM,MATCH($C75,BAZA_EX,0)),""),"film")),"")</f>
        <v/>
      </c>
      <c r="J75" s="37" t="str">
        <f>IF('T1'!$J75="","",'T1'!$J75)</f>
        <v/>
      </c>
      <c r="K75" s="5" t="s">
        <v>124</v>
      </c>
      <c r="L75" s="5" t="str">
        <f t="array" ref="L75">IFERROR(INDEX(BAZA_ID,MATCH($C75,BAZA_EX,0)),"")</f>
        <v/>
      </c>
      <c r="M75" s="5" t="str">
        <f t="array" ref="M75">IFERROR(INDEX(BAZA_PART,MATCH($C75,BAZA_EX,0)),"")</f>
        <v/>
      </c>
      <c r="N75" s="5" t="str">
        <f t="array" ref="N75">IFERROR(INDEX(BAZA_KAT,MATCH($C75,BAZA_EX,0)),"")</f>
        <v/>
      </c>
      <c r="O75" s="5" t="str">
        <f t="array" ref="O75">IFERROR(INDEX(BAZA_COEFF,MATCH($C75,BAZA_EX,0)),"")</f>
        <v/>
      </c>
      <c r="P75" s="5" t="str">
        <f t="array" ref="P75">IFERROR(INDEX(BAZA_SKOK,MATCH($C75,BAZA_EX,0)),"")</f>
        <v/>
      </c>
      <c r="Q75" s="5" t="str">
        <f t="array" ref="Q75">IFERROR(INDEX(BAZA_PROG,MATCH($C75,BAZA_EX,0)),"")</f>
        <v/>
      </c>
      <c r="R75" s="5" t="str">
        <f>IF($C75="","",IF(SUMPRODUCT((START!$B$6:$B$69=$C75)*(START!$M$6:$M$69&gt;0))=0,"",SUMPRODUCT(MAX((START!$B$6:$B$69=$C75)*START!$M$6:$M$69))))</f>
        <v/>
      </c>
      <c r="S75" s="5" t="str">
        <f t="array" ref="S75">IFERROR(INDEX(TABELE!$B$4:$J$18,MATCH($E75,TABELE!$A$4:$A$18,0),MATCH($F75,TABELE!$B$3:$J$3,0)),"")</f>
        <v/>
      </c>
      <c r="T75" s="5">
        <f t="array" ref="T75">IFERROR(IF($C75="",0,$O75*$D75*INDEX(TABELE!$B$23:$P$33,MATCH($F75,TABELE!$A$23:$A$33,0),MATCH($E75,TABELE!$B$22:$P$22,0))),0)</f>
        <v>0</v>
      </c>
      <c r="U75" s="5">
        <f t="array" ref="U75">IFERROR(IF($C75="",0,$O75*$D75*INDEX(TABELE!$B$37:$P$47,MATCH($F75,TABELE!$A$37:$A$47,0),MATCH($E75,TABELE!$B$36:$P$36,0))),0)</f>
        <v>0</v>
      </c>
      <c r="V75" s="5">
        <f t="array" ref="V75">IFERROR(IF($C75="",0,$O75*$D75*INDEX(TABELE!$B$51:$P$61,MATCH($F75,TABELE!$A$51:$A$61,0),MATCH($E75,TABELE!$B$50:$P$50,0))),0)</f>
        <v>0</v>
      </c>
      <c r="W75" s="5" t="str">
        <f t="array" ref="W75">IFERROR(INDEX(BAZA_UWAGI,MATCH($C75,BAZA_EX,0)),"")</f>
        <v/>
      </c>
      <c r="X75" s="5">
        <f t="shared" si="21"/>
        <v>3</v>
      </c>
      <c r="Y75" s="5" t="str">
        <f t="shared" si="24"/>
        <v>C</v>
      </c>
      <c r="Z75" s="5">
        <f t="shared" si="25"/>
        <v>3</v>
      </c>
      <c r="AA75" s="5" t="str">
        <f>IF($C75="","",IF(SUMPRODUCT((START!$B$6:$B$69=$C75)*(START!$M$6:$M$69&gt;0))=0,"",SUMPRODUCT(MAX((START!$B$6:$B$69=$C75)*START!$M$6:$M$69))))</f>
        <v/>
      </c>
      <c r="AB75" s="5" t="str">
        <f t="shared" si="22"/>
        <v/>
      </c>
      <c r="AC75" s="5">
        <f>MAX(0.85,MIN(1.15,1+0.05*(COUNTIF('T1'!$AB75,"za łatwe")+COUNTIF('T2'!$AB75,"za łatwe")+COUNTIF('T3'!$AB75,"za łatwe")+COUNTIF('T4'!$AB75,"za łatwe")+COUNTIF('T5'!$AB75,"za łatwe"))-0.05*(COUNTIF('T1'!$AB75,"za trudne")+COUNTIF('T2'!$AB75,"za trudne")+COUNTIF('T3'!$AB75,"za trudne")+COUNTIF('T4'!$AB75,"za trudne")+COUNTIF('T5'!$AB75,"za trudne"))))</f>
        <v>1</v>
      </c>
      <c r="AD75" s="5">
        <f t="shared" si="23"/>
        <v>0</v>
      </c>
    </row>
    <row r="76" ht="25.5" hidden="1" customHeight="1" outlineLevel="1">
      <c r="A76" s="18" t="str">
        <f>IF('T1'!$A76="","",'T1'!$A76)</f>
        <v>D1.</v>
      </c>
      <c r="B76" s="30"/>
      <c r="C76" s="31" t="str">
        <f>IF('T1'!$C76="","",'T1'!$C76)</f>
        <v/>
      </c>
      <c r="D76" s="32">
        <v>3.0</v>
      </c>
      <c r="E76" s="39">
        <f>IF($C76="",0,MIN(15,MAX(1,IF(N($O76)&gt;=1,6,IF(N($O76)&gt;=0.75,IF(PRZEL_CZESC="część 1 (objętość)",8,6),IF(PRZEL_CZESC="część 1 (objętość)",10,8)))+2+$AD76)))</f>
        <v>0</v>
      </c>
      <c r="F76" s="33">
        <v>9.0</v>
      </c>
      <c r="G76" s="34" t="str">
        <f>IF($C76="","",IF(OR($Q76="masa ciała",$Q76="czas",$Q76="dystans",$Q76="ręczne ustawienie"),$Q76,IF($C76='T1'!$C76,IF(AND(LEFT($A76,1)&lt;&gt;"A",PRZEL_AKCESORIA="trzymaj z bloku"),IF(NOT(ISNUMBER('T4'!$G76)),'T4'!$G76,MROUND('T4'!$G76*$AC76/(MAX('T4'!$AC76,0.0001)),MAX($P76,0.5))),IF(OR($R76="",$R76=0),"— brak 1RM",MROUND($R76*$S76/100*$AC76,MAX($P76,0.5)))),IF(OR($AA76="",$AA76=0),"— ustaw ręcznie",MROUND($AA76*$S76/100*$AC76,MAX($P76,0.5))))))</f>
        <v/>
      </c>
      <c r="H76" s="35"/>
      <c r="I76" s="36" t="str">
        <f t="array" ref="I76">IFERROR(IF(IFERROR(INDEX(BAZA_FILM,MATCH($C76,BAZA_EX,0)),"")="","",HYPERLINK(IFERROR(INDEX(BAZA_FILM,MATCH($C76,BAZA_EX,0)),""),"film")),"")</f>
        <v/>
      </c>
      <c r="J76" s="37" t="str">
        <f>IF('T1'!$J76="","",'T1'!$J76)</f>
        <v/>
      </c>
      <c r="K76" s="5" t="s">
        <v>125</v>
      </c>
      <c r="L76" s="5" t="str">
        <f t="array" ref="L76">IFERROR(INDEX(BAZA_ID,MATCH($C76,BAZA_EX,0)),"")</f>
        <v/>
      </c>
      <c r="M76" s="5" t="str">
        <f t="array" ref="M76">IFERROR(INDEX(BAZA_PART,MATCH($C76,BAZA_EX,0)),"")</f>
        <v/>
      </c>
      <c r="N76" s="5" t="str">
        <f t="array" ref="N76">IFERROR(INDEX(BAZA_KAT,MATCH($C76,BAZA_EX,0)),"")</f>
        <v/>
      </c>
      <c r="O76" s="5" t="str">
        <f t="array" ref="O76">IFERROR(INDEX(BAZA_COEFF,MATCH($C76,BAZA_EX,0)),"")</f>
        <v/>
      </c>
      <c r="P76" s="5" t="str">
        <f t="array" ref="P76">IFERROR(INDEX(BAZA_SKOK,MATCH($C76,BAZA_EX,0)),"")</f>
        <v/>
      </c>
      <c r="Q76" s="5" t="str">
        <f t="array" ref="Q76">IFERROR(INDEX(BAZA_PROG,MATCH($C76,BAZA_EX,0)),"")</f>
        <v/>
      </c>
      <c r="R76" s="5" t="str">
        <f>IF($C76="","",IF(SUMPRODUCT((START!$B$6:$B$69=$C76)*(START!$M$6:$M$69&gt;0))=0,"",SUMPRODUCT(MAX((START!$B$6:$B$69=$C76)*START!$M$6:$M$69))))</f>
        <v/>
      </c>
      <c r="S76" s="5" t="str">
        <f t="array" ref="S76">IFERROR(INDEX(TABELE!$B$4:$J$18,MATCH($E76,TABELE!$A$4:$A$18,0),MATCH($F76,TABELE!$B$3:$J$3,0)),"")</f>
        <v/>
      </c>
      <c r="T76" s="5">
        <f t="array" ref="T76">IFERROR(IF($C76="",0,$O76*$D76*INDEX(TABELE!$B$23:$P$33,MATCH($F76,TABELE!$A$23:$A$33,0),MATCH($E76,TABELE!$B$22:$P$22,0))),0)</f>
        <v>0</v>
      </c>
      <c r="U76" s="5">
        <f t="array" ref="U76">IFERROR(IF($C76="",0,$O76*$D76*INDEX(TABELE!$B$37:$P$47,MATCH($F76,TABELE!$A$37:$A$47,0),MATCH($E76,TABELE!$B$36:$P$36,0))),0)</f>
        <v>0</v>
      </c>
      <c r="V76" s="5">
        <f t="array" ref="V76">IFERROR(IF($C76="",0,$O76*$D76*INDEX(TABELE!$B$51:$P$61,MATCH($F76,TABELE!$A$51:$A$61,0),MATCH($E76,TABELE!$B$50:$P$50,0))),0)</f>
        <v>0</v>
      </c>
      <c r="W76" s="5" t="str">
        <f t="array" ref="W76">IFERROR(INDEX(BAZA_UWAGI,MATCH($C76,BAZA_EX,0)),"")</f>
        <v/>
      </c>
      <c r="X76" s="5">
        <f t="shared" si="21"/>
        <v>4</v>
      </c>
      <c r="Y76" s="5" t="str">
        <f t="shared" si="24"/>
        <v>D</v>
      </c>
      <c r="Z76" s="5">
        <f t="shared" si="25"/>
        <v>4</v>
      </c>
      <c r="AA76" s="5" t="str">
        <f>IF($C76="","",IF(SUMPRODUCT((START!$B$6:$B$69=$C76)*(START!$M$6:$M$69&gt;0))=0,"",SUMPRODUCT(MAX((START!$B$6:$B$69=$C76)*START!$M$6:$M$69))))</f>
        <v/>
      </c>
      <c r="AB76" s="5" t="str">
        <f t="shared" si="22"/>
        <v/>
      </c>
      <c r="AC76" s="5">
        <f>MAX(0.85,MIN(1.15,1+0.05*(COUNTIF('T1'!$AB76,"za łatwe")+COUNTIF('T2'!$AB76,"za łatwe")+COUNTIF('T3'!$AB76,"za łatwe")+COUNTIF('T4'!$AB76,"za łatwe")+COUNTIF('T5'!$AB76,"za łatwe"))-0.05*(COUNTIF('T1'!$AB76,"za trudne")+COUNTIF('T2'!$AB76,"za trudne")+COUNTIF('T3'!$AB76,"za trudne")+COUNTIF('T4'!$AB76,"za trudne")+COUNTIF('T5'!$AB76,"za trudne"))))</f>
        <v>1</v>
      </c>
      <c r="AD76" s="5">
        <f t="shared" si="23"/>
        <v>0</v>
      </c>
    </row>
    <row r="77" ht="25.5" hidden="1" customHeight="1" outlineLevel="1">
      <c r="A77" s="18" t="str">
        <f>IF('T1'!$A77="","",'T1'!$A77)</f>
        <v>D2.</v>
      </c>
      <c r="B77" s="30"/>
      <c r="C77" s="31" t="str">
        <f>IF('T1'!$C77="","",'T1'!$C77)</f>
        <v/>
      </c>
      <c r="D77" s="32">
        <v>3.0</v>
      </c>
      <c r="E77" s="39">
        <f>IF($C77="",0,MIN(15,MAX(1,IF(N($O77)&gt;=1,6,IF(N($O77)&gt;=0.75,IF(PRZEL_CZESC="część 1 (objętość)",8,6),IF(PRZEL_CZESC="część 1 (objętość)",10,8)))+2+$AD77)))</f>
        <v>0</v>
      </c>
      <c r="F77" s="33">
        <v>10.0</v>
      </c>
      <c r="G77" s="34" t="str">
        <f>IF($C77="","",IF(OR($Q77="masa ciała",$Q77="czas",$Q77="dystans",$Q77="ręczne ustawienie"),$Q77,IF($C77='T1'!$C77,IF(AND(LEFT($A77,1)&lt;&gt;"A",PRZEL_AKCESORIA="trzymaj z bloku"),IF(NOT(ISNUMBER('T4'!$G77)),'T4'!$G77,MROUND('T4'!$G77*$AC77/(MAX('T4'!$AC77,0.0001)),MAX($P77,0.5))),IF(OR($R77="",$R77=0),"— brak 1RM",MROUND($R77*$S77/100*$AC77,MAX($P77,0.5)))),IF(OR($AA77="",$AA77=0),"— ustaw ręcznie",MROUND($AA77*$S77/100*$AC77,MAX($P77,0.5))))))</f>
        <v/>
      </c>
      <c r="H77" s="35"/>
      <c r="I77" s="36" t="str">
        <f t="array" ref="I77">IFERROR(IF(IFERROR(INDEX(BAZA_FILM,MATCH($C77,BAZA_EX,0)),"")="","",HYPERLINK(IFERROR(INDEX(BAZA_FILM,MATCH($C77,BAZA_EX,0)),""),"film")),"")</f>
        <v/>
      </c>
      <c r="J77" s="37" t="str">
        <f>IF('T1'!$J77="","",'T1'!$J77)</f>
        <v/>
      </c>
      <c r="K77" s="5" t="s">
        <v>126</v>
      </c>
      <c r="L77" s="5" t="str">
        <f t="array" ref="L77">IFERROR(INDEX(BAZA_ID,MATCH($C77,BAZA_EX,0)),"")</f>
        <v/>
      </c>
      <c r="M77" s="5" t="str">
        <f t="array" ref="M77">IFERROR(INDEX(BAZA_PART,MATCH($C77,BAZA_EX,0)),"")</f>
        <v/>
      </c>
      <c r="N77" s="5" t="str">
        <f t="array" ref="N77">IFERROR(INDEX(BAZA_KAT,MATCH($C77,BAZA_EX,0)),"")</f>
        <v/>
      </c>
      <c r="O77" s="5" t="str">
        <f t="array" ref="O77">IFERROR(INDEX(BAZA_COEFF,MATCH($C77,BAZA_EX,0)),"")</f>
        <v/>
      </c>
      <c r="P77" s="5" t="str">
        <f t="array" ref="P77">IFERROR(INDEX(BAZA_SKOK,MATCH($C77,BAZA_EX,0)),"")</f>
        <v/>
      </c>
      <c r="Q77" s="5" t="str">
        <f t="array" ref="Q77">IFERROR(INDEX(BAZA_PROG,MATCH($C77,BAZA_EX,0)),"")</f>
        <v/>
      </c>
      <c r="R77" s="5" t="str">
        <f>IF($C77="","",IF(SUMPRODUCT((START!$B$6:$B$69=$C77)*(START!$M$6:$M$69&gt;0))=0,"",SUMPRODUCT(MAX((START!$B$6:$B$69=$C77)*START!$M$6:$M$69))))</f>
        <v/>
      </c>
      <c r="S77" s="5" t="str">
        <f t="array" ref="S77">IFERROR(INDEX(TABELE!$B$4:$J$18,MATCH($E77,TABELE!$A$4:$A$18,0),MATCH($F77,TABELE!$B$3:$J$3,0)),"")</f>
        <v/>
      </c>
      <c r="T77" s="5">
        <f t="array" ref="T77">IFERROR(IF($C77="",0,$O77*$D77*INDEX(TABELE!$B$23:$P$33,MATCH($F77,TABELE!$A$23:$A$33,0),MATCH($E77,TABELE!$B$22:$P$22,0))),0)</f>
        <v>0</v>
      </c>
      <c r="U77" s="5">
        <f t="array" ref="U77">IFERROR(IF($C77="",0,$O77*$D77*INDEX(TABELE!$B$37:$P$47,MATCH($F77,TABELE!$A$37:$A$47,0),MATCH($E77,TABELE!$B$36:$P$36,0))),0)</f>
        <v>0</v>
      </c>
      <c r="V77" s="5">
        <f t="array" ref="V77">IFERROR(IF($C77="",0,$O77*$D77*INDEX(TABELE!$B$51:$P$61,MATCH($F77,TABELE!$A$51:$A$61,0),MATCH($E77,TABELE!$B$50:$P$50,0))),0)</f>
        <v>0</v>
      </c>
      <c r="W77" s="5" t="str">
        <f t="array" ref="W77">IFERROR(INDEX(BAZA_UWAGI,MATCH($C77,BAZA_EX,0)),"")</f>
        <v/>
      </c>
      <c r="X77" s="5">
        <f t="shared" si="21"/>
        <v>4</v>
      </c>
      <c r="Y77" s="5" t="str">
        <f t="shared" si="24"/>
        <v>D</v>
      </c>
      <c r="Z77" s="5">
        <f t="shared" si="25"/>
        <v>4</v>
      </c>
      <c r="AA77" s="5" t="str">
        <f>IF($C77="","",IF(SUMPRODUCT((START!$B$6:$B$69=$C77)*(START!$M$6:$M$69&gt;0))=0,"",SUMPRODUCT(MAX((START!$B$6:$B$69=$C77)*START!$M$6:$M$69))))</f>
        <v/>
      </c>
      <c r="AB77" s="5" t="str">
        <f t="shared" si="22"/>
        <v/>
      </c>
      <c r="AC77" s="5">
        <f>MAX(0.85,MIN(1.15,1+0.05*(COUNTIF('T1'!$AB77,"za łatwe")+COUNTIF('T2'!$AB77,"za łatwe")+COUNTIF('T3'!$AB77,"za łatwe")+COUNTIF('T4'!$AB77,"za łatwe")+COUNTIF('T5'!$AB77,"za łatwe"))-0.05*(COUNTIF('T1'!$AB77,"za trudne")+COUNTIF('T2'!$AB77,"za trudne")+COUNTIF('T3'!$AB77,"za trudne")+COUNTIF('T4'!$AB77,"za trudne")+COUNTIF('T5'!$AB77,"za trudne"))))</f>
        <v>1</v>
      </c>
      <c r="AD77" s="5">
        <f t="shared" si="23"/>
        <v>0</v>
      </c>
    </row>
    <row r="78" ht="25.5" hidden="1" customHeight="1" outlineLevel="1">
      <c r="A78" s="18" t="str">
        <f>IF('T1'!$A78="","",'T1'!$A78)</f>
        <v>E1.</v>
      </c>
      <c r="B78" s="30"/>
      <c r="C78" s="31" t="str">
        <f>IF('T1'!$C78="","",'T1'!$C78)</f>
        <v/>
      </c>
      <c r="D78" s="32"/>
      <c r="E78" s="39">
        <f>IF($C78="",0,MIN(15,MAX(1,IF(N($O78)&gt;=1,6,IF(N($O78)&gt;=0.75,IF(PRZEL_CZESC="część 1 (objętość)",8,6),IF(PRZEL_CZESC="część 1 (objętość)",10,8)))+2+$AD78)))</f>
        <v>0</v>
      </c>
      <c r="F78" s="33"/>
      <c r="G78" s="34" t="str">
        <f>IF($C78="","",IF(OR($Q78="masa ciała",$Q78="czas",$Q78="dystans",$Q78="ręczne ustawienie"),$Q78,IF($C78='T1'!$C78,IF(AND(LEFT($A78,1)&lt;&gt;"A",PRZEL_AKCESORIA="trzymaj z bloku"),IF(NOT(ISNUMBER('T4'!$G78)),'T4'!$G78,MROUND('T4'!$G78*$AC78/(MAX('T4'!$AC78,0.0001)),MAX($P78,0.5))),IF(OR($R78="",$R78=0),"— brak 1RM",MROUND($R78*$S78/100*$AC78,MAX($P78,0.5)))),IF(OR($AA78="",$AA78=0),"— ustaw ręcznie",MROUND($AA78*$S78/100*$AC78,MAX($P78,0.5))))))</f>
        <v/>
      </c>
      <c r="H78" s="35"/>
      <c r="I78" s="36" t="str">
        <f t="array" ref="I78">IFERROR(IF(IFERROR(INDEX(BAZA_FILM,MATCH($C78,BAZA_EX,0)),"")="","",HYPERLINK(IFERROR(INDEX(BAZA_FILM,MATCH($C78,BAZA_EX,0)),""),"film")),"")</f>
        <v/>
      </c>
      <c r="J78" s="37" t="str">
        <f>IF('T1'!$J78="","",'T1'!$J78)</f>
        <v/>
      </c>
      <c r="K78" s="5" t="s">
        <v>127</v>
      </c>
      <c r="L78" s="5" t="str">
        <f t="array" ref="L78">IFERROR(INDEX(BAZA_ID,MATCH($C78,BAZA_EX,0)),"")</f>
        <v/>
      </c>
      <c r="M78" s="5" t="str">
        <f t="array" ref="M78">IFERROR(INDEX(BAZA_PART,MATCH($C78,BAZA_EX,0)),"")</f>
        <v/>
      </c>
      <c r="N78" s="5" t="str">
        <f t="array" ref="N78">IFERROR(INDEX(BAZA_KAT,MATCH($C78,BAZA_EX,0)),"")</f>
        <v/>
      </c>
      <c r="O78" s="5" t="str">
        <f t="array" ref="O78">IFERROR(INDEX(BAZA_COEFF,MATCH($C78,BAZA_EX,0)),"")</f>
        <v/>
      </c>
      <c r="P78" s="5" t="str">
        <f t="array" ref="P78">IFERROR(INDEX(BAZA_SKOK,MATCH($C78,BAZA_EX,0)),"")</f>
        <v/>
      </c>
      <c r="Q78" s="5" t="str">
        <f t="array" ref="Q78">IFERROR(INDEX(BAZA_PROG,MATCH($C78,BAZA_EX,0)),"")</f>
        <v/>
      </c>
      <c r="R78" s="5" t="str">
        <f>IF($C78="","",IF(SUMPRODUCT((START!$B$6:$B$69=$C78)*(START!$M$6:$M$69&gt;0))=0,"",SUMPRODUCT(MAX((START!$B$6:$B$69=$C78)*START!$M$6:$M$69))))</f>
        <v/>
      </c>
      <c r="S78" s="5" t="str">
        <f t="array" ref="S78">IFERROR(INDEX(TABELE!$B$4:$J$18,MATCH($E78,TABELE!$A$4:$A$18,0),MATCH($F78,TABELE!$B$3:$J$3,0)),"")</f>
        <v/>
      </c>
      <c r="T78" s="5">
        <f t="array" ref="T78">IFERROR(IF($C78="",0,$O78*$D78*INDEX(TABELE!$B$23:$P$33,MATCH($F78,TABELE!$A$23:$A$33,0),MATCH($E78,TABELE!$B$22:$P$22,0))),0)</f>
        <v>0</v>
      </c>
      <c r="U78" s="5">
        <f t="array" ref="U78">IFERROR(IF($C78="",0,$O78*$D78*INDEX(TABELE!$B$37:$P$47,MATCH($F78,TABELE!$A$37:$A$47,0),MATCH($E78,TABELE!$B$36:$P$36,0))),0)</f>
        <v>0</v>
      </c>
      <c r="V78" s="5">
        <f t="array" ref="V78">IFERROR(IF($C78="",0,$O78*$D78*INDEX(TABELE!$B$51:$P$61,MATCH($F78,TABELE!$A$51:$A$61,0),MATCH($E78,TABELE!$B$50:$P$50,0))),0)</f>
        <v>0</v>
      </c>
      <c r="W78" s="5" t="str">
        <f t="array" ref="W78">IFERROR(INDEX(BAZA_UWAGI,MATCH($C78,BAZA_EX,0)),"")</f>
        <v/>
      </c>
      <c r="X78" s="5">
        <f t="shared" si="21"/>
        <v>5</v>
      </c>
      <c r="Y78" s="5" t="str">
        <f t="shared" si="24"/>
        <v>E</v>
      </c>
      <c r="Z78" s="5">
        <f t="shared" si="25"/>
        <v>5</v>
      </c>
      <c r="AA78" s="5" t="str">
        <f>IF($C78="","",IF(SUMPRODUCT((START!$B$6:$B$69=$C78)*(START!$M$6:$M$69&gt;0))=0,"",SUMPRODUCT(MAX((START!$B$6:$B$69=$C78)*START!$M$6:$M$69))))</f>
        <v/>
      </c>
      <c r="AB78" s="5" t="str">
        <f t="shared" si="22"/>
        <v/>
      </c>
      <c r="AC78" s="5">
        <f>MAX(0.85,MIN(1.15,1+0.05*(COUNTIF('T1'!$AB78,"za łatwe")+COUNTIF('T2'!$AB78,"za łatwe")+COUNTIF('T3'!$AB78,"za łatwe")+COUNTIF('T4'!$AB78,"za łatwe")+COUNTIF('T5'!$AB78,"za łatwe"))-0.05*(COUNTIF('T1'!$AB78,"za trudne")+COUNTIF('T2'!$AB78,"za trudne")+COUNTIF('T3'!$AB78,"za trudne")+COUNTIF('T4'!$AB78,"za trudne")+COUNTIF('T5'!$AB78,"za trudne"))))</f>
        <v>1</v>
      </c>
      <c r="AD78" s="5">
        <f t="shared" si="23"/>
        <v>0</v>
      </c>
    </row>
    <row r="79" ht="25.5" hidden="1" customHeight="1" outlineLevel="1">
      <c r="A79" s="18" t="str">
        <f>IF('T1'!$A79="","",'T1'!$A79)</f>
        <v>E2.</v>
      </c>
      <c r="B79" s="30"/>
      <c r="C79" s="31" t="str">
        <f>IF('T1'!$C79="","",'T1'!$C79)</f>
        <v/>
      </c>
      <c r="D79" s="32"/>
      <c r="E79" s="39">
        <f>IF($C79="",0,MIN(15,MAX(1,IF(N($O79)&gt;=1,6,IF(N($O79)&gt;=0.75,IF(PRZEL_CZESC="część 1 (objętość)",8,6),IF(PRZEL_CZESC="część 1 (objętość)",10,8)))+2+$AD79)))</f>
        <v>0</v>
      </c>
      <c r="F79" s="33"/>
      <c r="G79" s="34" t="str">
        <f>IF($C79="","",IF(OR($Q79="masa ciała",$Q79="czas",$Q79="dystans",$Q79="ręczne ustawienie"),$Q79,IF($C79='T1'!$C79,IF(AND(LEFT($A79,1)&lt;&gt;"A",PRZEL_AKCESORIA="trzymaj z bloku"),IF(NOT(ISNUMBER('T4'!$G79)),'T4'!$G79,MROUND('T4'!$G79*$AC79/(MAX('T4'!$AC79,0.0001)),MAX($P79,0.5))),IF(OR($R79="",$R79=0),"— brak 1RM",MROUND($R79*$S79/100*$AC79,MAX($P79,0.5)))),IF(OR($AA79="",$AA79=0),"— ustaw ręcznie",MROUND($AA79*$S79/100*$AC79,MAX($P79,0.5))))))</f>
        <v/>
      </c>
      <c r="H79" s="35"/>
      <c r="I79" s="36" t="str">
        <f t="array" ref="I79">IFERROR(IF(IFERROR(INDEX(BAZA_FILM,MATCH($C79,BAZA_EX,0)),"")="","",HYPERLINK(IFERROR(INDEX(BAZA_FILM,MATCH($C79,BAZA_EX,0)),""),"film")),"")</f>
        <v/>
      </c>
      <c r="J79" s="37" t="str">
        <f>IF('T1'!$J79="","",'T1'!$J79)</f>
        <v/>
      </c>
      <c r="K79" s="5" t="s">
        <v>128</v>
      </c>
      <c r="L79" s="5" t="str">
        <f t="array" ref="L79">IFERROR(INDEX(BAZA_ID,MATCH($C79,BAZA_EX,0)),"")</f>
        <v/>
      </c>
      <c r="M79" s="5" t="str">
        <f t="array" ref="M79">IFERROR(INDEX(BAZA_PART,MATCH($C79,BAZA_EX,0)),"")</f>
        <v/>
      </c>
      <c r="N79" s="5" t="str">
        <f t="array" ref="N79">IFERROR(INDEX(BAZA_KAT,MATCH($C79,BAZA_EX,0)),"")</f>
        <v/>
      </c>
      <c r="O79" s="5" t="str">
        <f t="array" ref="O79">IFERROR(INDEX(BAZA_COEFF,MATCH($C79,BAZA_EX,0)),"")</f>
        <v/>
      </c>
      <c r="P79" s="5" t="str">
        <f t="array" ref="P79">IFERROR(INDEX(BAZA_SKOK,MATCH($C79,BAZA_EX,0)),"")</f>
        <v/>
      </c>
      <c r="Q79" s="5" t="str">
        <f t="array" ref="Q79">IFERROR(INDEX(BAZA_PROG,MATCH($C79,BAZA_EX,0)),"")</f>
        <v/>
      </c>
      <c r="R79" s="5" t="str">
        <f>IF($C79="","",IF(SUMPRODUCT((START!$B$6:$B$69=$C79)*(START!$M$6:$M$69&gt;0))=0,"",SUMPRODUCT(MAX((START!$B$6:$B$69=$C79)*START!$M$6:$M$69))))</f>
        <v/>
      </c>
      <c r="S79" s="5" t="str">
        <f t="array" ref="S79">IFERROR(INDEX(TABELE!$B$4:$J$18,MATCH($E79,TABELE!$A$4:$A$18,0),MATCH($F79,TABELE!$B$3:$J$3,0)),"")</f>
        <v/>
      </c>
      <c r="T79" s="5">
        <f t="array" ref="T79">IFERROR(IF($C79="",0,$O79*$D79*INDEX(TABELE!$B$23:$P$33,MATCH($F79,TABELE!$A$23:$A$33,0),MATCH($E79,TABELE!$B$22:$P$22,0))),0)</f>
        <v>0</v>
      </c>
      <c r="U79" s="5">
        <f t="array" ref="U79">IFERROR(IF($C79="",0,$O79*$D79*INDEX(TABELE!$B$37:$P$47,MATCH($F79,TABELE!$A$37:$A$47,0),MATCH($E79,TABELE!$B$36:$P$36,0))),0)</f>
        <v>0</v>
      </c>
      <c r="V79" s="5">
        <f t="array" ref="V79">IFERROR(IF($C79="",0,$O79*$D79*INDEX(TABELE!$B$51:$P$61,MATCH($F79,TABELE!$A$51:$A$61,0),MATCH($E79,TABELE!$B$50:$P$50,0))),0)</f>
        <v>0</v>
      </c>
      <c r="W79" s="5" t="str">
        <f t="array" ref="W79">IFERROR(INDEX(BAZA_UWAGI,MATCH($C79,BAZA_EX,0)),"")</f>
        <v/>
      </c>
      <c r="X79" s="5">
        <f t="shared" si="21"/>
        <v>5</v>
      </c>
      <c r="Y79" s="5" t="str">
        <f t="shared" si="24"/>
        <v>E</v>
      </c>
      <c r="Z79" s="5">
        <f t="shared" si="25"/>
        <v>5</v>
      </c>
      <c r="AA79" s="5" t="str">
        <f>IF($C79="","",IF(SUMPRODUCT((START!$B$6:$B$69=$C79)*(START!$M$6:$M$69&gt;0))=0,"",SUMPRODUCT(MAX((START!$B$6:$B$69=$C79)*START!$M$6:$M$69))))</f>
        <v/>
      </c>
      <c r="AB79" s="5" t="str">
        <f t="shared" si="22"/>
        <v/>
      </c>
      <c r="AC79" s="5">
        <f>MAX(0.85,MIN(1.15,1+0.05*(COUNTIF('T1'!$AB79,"za łatwe")+COUNTIF('T2'!$AB79,"za łatwe")+COUNTIF('T3'!$AB79,"za łatwe")+COUNTIF('T4'!$AB79,"za łatwe")+COUNTIF('T5'!$AB79,"za łatwe"))-0.05*(COUNTIF('T1'!$AB79,"za trudne")+COUNTIF('T2'!$AB79,"za trudne")+COUNTIF('T3'!$AB79,"za trudne")+COUNTIF('T4'!$AB79,"za trudne")+COUNTIF('T5'!$AB79,"za trudne"))))</f>
        <v>1</v>
      </c>
      <c r="AD79" s="5">
        <f t="shared" si="23"/>
        <v>0</v>
      </c>
    </row>
    <row r="80" ht="25.5" hidden="1" customHeight="1" outlineLevel="1">
      <c r="A80" s="18" t="str">
        <f>IF('T1'!$A80="","",'T1'!$A80)</f>
        <v/>
      </c>
      <c r="B80" s="30"/>
      <c r="C80" s="31" t="str">
        <f>IF('T1'!$C80="","",'T1'!$C80)</f>
        <v/>
      </c>
      <c r="D80" s="32"/>
      <c r="E80" s="39">
        <f>IF($C80="",0,MIN(15,MAX(1,IF(N($O80)&gt;=1,6,IF(N($O80)&gt;=0.75,IF(PRZEL_CZESC="część 1 (objętość)",8,6),IF(PRZEL_CZESC="część 1 (objętość)",10,8)))+2+$AD80)))</f>
        <v>0</v>
      </c>
      <c r="F80" s="33"/>
      <c r="G80" s="34" t="str">
        <f>IF($C80="","",IF(OR($Q80="masa ciała",$Q80="czas",$Q80="dystans",$Q80="ręczne ustawienie"),$Q80,IF($C80='T1'!$C80,IF(AND(LEFT($A80,1)&lt;&gt;"A",PRZEL_AKCESORIA="trzymaj z bloku"),IF(NOT(ISNUMBER('T4'!$G80)),'T4'!$G80,MROUND('T4'!$G80*$AC80/(MAX('T4'!$AC80,0.0001)),MAX($P80,0.5))),IF(OR($R80="",$R80=0),"— brak 1RM",MROUND($R80*$S80/100*$AC80,MAX($P80,0.5)))),IF(OR($AA80="",$AA80=0),"— ustaw ręcznie",MROUND($AA80*$S80/100*$AC80,MAX($P80,0.5))))))</f>
        <v/>
      </c>
      <c r="H80" s="35"/>
      <c r="I80" s="36" t="str">
        <f t="array" ref="I80">IFERROR(IF(IFERROR(INDEX(BAZA_FILM,MATCH($C80,BAZA_EX,0)),"")="","",HYPERLINK(IFERROR(INDEX(BAZA_FILM,MATCH($C80,BAZA_EX,0)),""),"film")),"")</f>
        <v/>
      </c>
      <c r="J80" s="37" t="str">
        <f>IF('T1'!$J80="","",'T1'!$J80)</f>
        <v/>
      </c>
      <c r="K80" s="5" t="s">
        <v>129</v>
      </c>
      <c r="L80" s="5" t="str">
        <f t="array" ref="L80">IFERROR(INDEX(BAZA_ID,MATCH($C80,BAZA_EX,0)),"")</f>
        <v/>
      </c>
      <c r="M80" s="5" t="str">
        <f t="array" ref="M80">IFERROR(INDEX(BAZA_PART,MATCH($C80,BAZA_EX,0)),"")</f>
        <v/>
      </c>
      <c r="N80" s="5" t="str">
        <f t="array" ref="N80">IFERROR(INDEX(BAZA_KAT,MATCH($C80,BAZA_EX,0)),"")</f>
        <v/>
      </c>
      <c r="O80" s="5" t="str">
        <f t="array" ref="O80">IFERROR(INDEX(BAZA_COEFF,MATCH($C80,BAZA_EX,0)),"")</f>
        <v/>
      </c>
      <c r="P80" s="5" t="str">
        <f t="array" ref="P80">IFERROR(INDEX(BAZA_SKOK,MATCH($C80,BAZA_EX,0)),"")</f>
        <v/>
      </c>
      <c r="Q80" s="5" t="str">
        <f t="array" ref="Q80">IFERROR(INDEX(BAZA_PROG,MATCH($C80,BAZA_EX,0)),"")</f>
        <v/>
      </c>
      <c r="R80" s="5" t="str">
        <f>IF($C80="","",IF(SUMPRODUCT((START!$B$6:$B$69=$C80)*(START!$M$6:$M$69&gt;0))=0,"",SUMPRODUCT(MAX((START!$B$6:$B$69=$C80)*START!$M$6:$M$69))))</f>
        <v/>
      </c>
      <c r="S80" s="5" t="str">
        <f t="array" ref="S80">IFERROR(INDEX(TABELE!$B$4:$J$18,MATCH($E80,TABELE!$A$4:$A$18,0),MATCH($F80,TABELE!$B$3:$J$3,0)),"")</f>
        <v/>
      </c>
      <c r="T80" s="5">
        <f t="array" ref="T80">IFERROR(IF($C80="",0,$O80*$D80*INDEX(TABELE!$B$23:$P$33,MATCH($F80,TABELE!$A$23:$A$33,0),MATCH($E80,TABELE!$B$22:$P$22,0))),0)</f>
        <v>0</v>
      </c>
      <c r="U80" s="5">
        <f t="array" ref="U80">IFERROR(IF($C80="",0,$O80*$D80*INDEX(TABELE!$B$37:$P$47,MATCH($F80,TABELE!$A$37:$A$47,0),MATCH($E80,TABELE!$B$36:$P$36,0))),0)</f>
        <v>0</v>
      </c>
      <c r="V80" s="5">
        <f t="array" ref="V80">IFERROR(IF($C80="",0,$O80*$D80*INDEX(TABELE!$B$51:$P$61,MATCH($F80,TABELE!$A$51:$A$61,0),MATCH($E80,TABELE!$B$50:$P$50,0))),0)</f>
        <v>0</v>
      </c>
      <c r="W80" s="5" t="str">
        <f t="array" ref="W80">IFERROR(INDEX(BAZA_UWAGI,MATCH($C80,BAZA_EX,0)),"")</f>
        <v/>
      </c>
      <c r="X80" s="5" t="str">
        <f t="shared" si="21"/>
        <v/>
      </c>
      <c r="Y80" s="5" t="str">
        <f t="shared" si="24"/>
        <v>E</v>
      </c>
      <c r="Z80" s="5">
        <f t="shared" si="25"/>
        <v>5</v>
      </c>
      <c r="AA80" s="5" t="str">
        <f>IF($C80="","",IF(SUMPRODUCT((START!$B$6:$B$69=$C80)*(START!$M$6:$M$69&gt;0))=0,"",SUMPRODUCT(MAX((START!$B$6:$B$69=$C80)*START!$M$6:$M$69))))</f>
        <v/>
      </c>
      <c r="AB80" s="5" t="str">
        <f t="shared" si="22"/>
        <v/>
      </c>
      <c r="AC80" s="5">
        <f>MAX(0.85,MIN(1.15,1+0.05*(COUNTIF('T1'!$AB80,"za łatwe")+COUNTIF('T2'!$AB80,"za łatwe")+COUNTIF('T3'!$AB80,"za łatwe")+COUNTIF('T4'!$AB80,"za łatwe")+COUNTIF('T5'!$AB80,"za łatwe"))-0.05*(COUNTIF('T1'!$AB80,"za trudne")+COUNTIF('T2'!$AB80,"za trudne")+COUNTIF('T3'!$AB80,"za trudne")+COUNTIF('T4'!$AB80,"za trudne")+COUNTIF('T5'!$AB80,"za trudne"))))</f>
        <v>1</v>
      </c>
      <c r="AD80" s="5">
        <f t="shared" si="23"/>
        <v>0</v>
      </c>
    </row>
    <row r="81" ht="25.5" hidden="1" customHeight="1" outlineLevel="1">
      <c r="A81" s="18" t="str">
        <f>IF('T1'!$A81="","",'T1'!$A81)</f>
        <v/>
      </c>
      <c r="B81" s="30"/>
      <c r="C81" s="31" t="str">
        <f>IF('T1'!$C81="","",'T1'!$C81)</f>
        <v/>
      </c>
      <c r="D81" s="32"/>
      <c r="E81" s="39">
        <f>IF($C81="",0,MIN(15,MAX(1,IF(N($O81)&gt;=1,6,IF(N($O81)&gt;=0.75,IF(PRZEL_CZESC="część 1 (objętość)",8,6),IF(PRZEL_CZESC="część 1 (objętość)",10,8)))+2+$AD81)))</f>
        <v>0</v>
      </c>
      <c r="F81" s="33"/>
      <c r="G81" s="34" t="str">
        <f>IF($C81="","",IF(OR($Q81="masa ciała",$Q81="czas",$Q81="dystans",$Q81="ręczne ustawienie"),$Q81,IF($C81='T1'!$C81,IF(AND(LEFT($A81,1)&lt;&gt;"A",PRZEL_AKCESORIA="trzymaj z bloku"),IF(NOT(ISNUMBER('T4'!$G81)),'T4'!$G81,MROUND('T4'!$G81*$AC81/(MAX('T4'!$AC81,0.0001)),MAX($P81,0.5))),IF(OR($R81="",$R81=0),"— brak 1RM",MROUND($R81*$S81/100*$AC81,MAX($P81,0.5)))),IF(OR($AA81="",$AA81=0),"— ustaw ręcznie",MROUND($AA81*$S81/100*$AC81,MAX($P81,0.5))))))</f>
        <v/>
      </c>
      <c r="H81" s="35"/>
      <c r="I81" s="36" t="str">
        <f t="array" ref="I81">IFERROR(IF(IFERROR(INDEX(BAZA_FILM,MATCH($C81,BAZA_EX,0)),"")="","",HYPERLINK(IFERROR(INDEX(BAZA_FILM,MATCH($C81,BAZA_EX,0)),""),"film")),"")</f>
        <v/>
      </c>
      <c r="J81" s="37" t="str">
        <f>IF('T1'!$J81="","",'T1'!$J81)</f>
        <v/>
      </c>
      <c r="K81" s="5" t="s">
        <v>130</v>
      </c>
      <c r="L81" s="5" t="str">
        <f t="array" ref="L81">IFERROR(INDEX(BAZA_ID,MATCH($C81,BAZA_EX,0)),"")</f>
        <v/>
      </c>
      <c r="M81" s="5" t="str">
        <f t="array" ref="M81">IFERROR(INDEX(BAZA_PART,MATCH($C81,BAZA_EX,0)),"")</f>
        <v/>
      </c>
      <c r="N81" s="5" t="str">
        <f t="array" ref="N81">IFERROR(INDEX(BAZA_KAT,MATCH($C81,BAZA_EX,0)),"")</f>
        <v/>
      </c>
      <c r="O81" s="5" t="str">
        <f t="array" ref="O81">IFERROR(INDEX(BAZA_COEFF,MATCH($C81,BAZA_EX,0)),"")</f>
        <v/>
      </c>
      <c r="P81" s="5" t="str">
        <f t="array" ref="P81">IFERROR(INDEX(BAZA_SKOK,MATCH($C81,BAZA_EX,0)),"")</f>
        <v/>
      </c>
      <c r="Q81" s="5" t="str">
        <f t="array" ref="Q81">IFERROR(INDEX(BAZA_PROG,MATCH($C81,BAZA_EX,0)),"")</f>
        <v/>
      </c>
      <c r="R81" s="5" t="str">
        <f>IF($C81="","",IF(SUMPRODUCT((START!$B$6:$B$69=$C81)*(START!$M$6:$M$69&gt;0))=0,"",SUMPRODUCT(MAX((START!$B$6:$B$69=$C81)*START!$M$6:$M$69))))</f>
        <v/>
      </c>
      <c r="S81" s="5" t="str">
        <f t="array" ref="S81">IFERROR(INDEX(TABELE!$B$4:$J$18,MATCH($E81,TABELE!$A$4:$A$18,0),MATCH($F81,TABELE!$B$3:$J$3,0)),"")</f>
        <v/>
      </c>
      <c r="T81" s="5">
        <f t="array" ref="T81">IFERROR(IF($C81="",0,$O81*$D81*INDEX(TABELE!$B$23:$P$33,MATCH($F81,TABELE!$A$23:$A$33,0),MATCH($E81,TABELE!$B$22:$P$22,0))),0)</f>
        <v>0</v>
      </c>
      <c r="U81" s="5">
        <f t="array" ref="U81">IFERROR(IF($C81="",0,$O81*$D81*INDEX(TABELE!$B$37:$P$47,MATCH($F81,TABELE!$A$37:$A$47,0),MATCH($E81,TABELE!$B$36:$P$36,0))),0)</f>
        <v>0</v>
      </c>
      <c r="V81" s="5">
        <f t="array" ref="V81">IFERROR(IF($C81="",0,$O81*$D81*INDEX(TABELE!$B$51:$P$61,MATCH($F81,TABELE!$A$51:$A$61,0),MATCH($E81,TABELE!$B$50:$P$50,0))),0)</f>
        <v>0</v>
      </c>
      <c r="W81" s="5" t="str">
        <f t="array" ref="W81">IFERROR(INDEX(BAZA_UWAGI,MATCH($C81,BAZA_EX,0)),"")</f>
        <v/>
      </c>
      <c r="X81" s="5" t="str">
        <f t="shared" si="21"/>
        <v/>
      </c>
      <c r="Y81" s="5" t="str">
        <f t="shared" si="24"/>
        <v>E</v>
      </c>
      <c r="Z81" s="5">
        <f t="shared" si="25"/>
        <v>5</v>
      </c>
      <c r="AA81" s="5" t="str">
        <f>IF($C81="","",IF(SUMPRODUCT((START!$B$6:$B$69=$C81)*(START!$M$6:$M$69&gt;0))=0,"",SUMPRODUCT(MAX((START!$B$6:$B$69=$C81)*START!$M$6:$M$69))))</f>
        <v/>
      </c>
      <c r="AB81" s="5" t="str">
        <f t="shared" si="22"/>
        <v/>
      </c>
      <c r="AC81" s="5">
        <f>MAX(0.85,MIN(1.15,1+0.05*(COUNTIF('T1'!$AB81,"za łatwe")+COUNTIF('T2'!$AB81,"za łatwe")+COUNTIF('T3'!$AB81,"za łatwe")+COUNTIF('T4'!$AB81,"za łatwe")+COUNTIF('T5'!$AB81,"za łatwe"))-0.05*(COUNTIF('T1'!$AB81,"za trudne")+COUNTIF('T2'!$AB81,"za trudne")+COUNTIF('T3'!$AB81,"za trudne")+COUNTIF('T4'!$AB81,"za trudne")+COUNTIF('T5'!$AB81,"za trudne"))))</f>
        <v>1</v>
      </c>
      <c r="AD81" s="5">
        <f t="shared" si="23"/>
        <v>0</v>
      </c>
    </row>
    <row r="82" ht="25.5" hidden="1" customHeight="1" outlineLevel="1">
      <c r="A82" s="18" t="str">
        <f>IF('T1'!$A82="","",'T1'!$A82)</f>
        <v/>
      </c>
      <c r="B82" s="30"/>
      <c r="C82" s="31" t="str">
        <f>IF('T1'!$C82="","",'T1'!$C82)</f>
        <v/>
      </c>
      <c r="D82" s="32"/>
      <c r="E82" s="39">
        <f>IF($C82="",0,MIN(15,MAX(1,IF(N($O82)&gt;=1,6,IF(N($O82)&gt;=0.75,IF(PRZEL_CZESC="część 1 (objętość)",8,6),IF(PRZEL_CZESC="część 1 (objętość)",10,8)))+2+$AD82)))</f>
        <v>0</v>
      </c>
      <c r="F82" s="33"/>
      <c r="G82" s="34" t="str">
        <f>IF($C82="","",IF(OR($Q82="masa ciała",$Q82="czas",$Q82="dystans",$Q82="ręczne ustawienie"),$Q82,IF($C82='T1'!$C82,IF(AND(LEFT($A82,1)&lt;&gt;"A",PRZEL_AKCESORIA="trzymaj z bloku"),IF(NOT(ISNUMBER('T4'!$G82)),'T4'!$G82,MROUND('T4'!$G82*$AC82/(MAX('T4'!$AC82,0.0001)),MAX($P82,0.5))),IF(OR($R82="",$R82=0),"— brak 1RM",MROUND($R82*$S82/100*$AC82,MAX($P82,0.5)))),IF(OR($AA82="",$AA82=0),"— ustaw ręcznie",MROUND($AA82*$S82/100*$AC82,MAX($P82,0.5))))))</f>
        <v/>
      </c>
      <c r="H82" s="35"/>
      <c r="I82" s="36" t="str">
        <f t="array" ref="I82">IFERROR(IF(IFERROR(INDEX(BAZA_FILM,MATCH($C82,BAZA_EX,0)),"")="","",HYPERLINK(IFERROR(INDEX(BAZA_FILM,MATCH($C82,BAZA_EX,0)),""),"film")),"")</f>
        <v/>
      </c>
      <c r="J82" s="37" t="str">
        <f>IF('T1'!$J82="","",'T1'!$J82)</f>
        <v/>
      </c>
      <c r="K82" s="5" t="s">
        <v>131</v>
      </c>
      <c r="L82" s="5" t="str">
        <f t="array" ref="L82">IFERROR(INDEX(BAZA_ID,MATCH($C82,BAZA_EX,0)),"")</f>
        <v/>
      </c>
      <c r="M82" s="5" t="str">
        <f t="array" ref="M82">IFERROR(INDEX(BAZA_PART,MATCH($C82,BAZA_EX,0)),"")</f>
        <v/>
      </c>
      <c r="N82" s="5" t="str">
        <f t="array" ref="N82">IFERROR(INDEX(BAZA_KAT,MATCH($C82,BAZA_EX,0)),"")</f>
        <v/>
      </c>
      <c r="O82" s="5" t="str">
        <f t="array" ref="O82">IFERROR(INDEX(BAZA_COEFF,MATCH($C82,BAZA_EX,0)),"")</f>
        <v/>
      </c>
      <c r="P82" s="5" t="str">
        <f t="array" ref="P82">IFERROR(INDEX(BAZA_SKOK,MATCH($C82,BAZA_EX,0)),"")</f>
        <v/>
      </c>
      <c r="Q82" s="5" t="str">
        <f t="array" ref="Q82">IFERROR(INDEX(BAZA_PROG,MATCH($C82,BAZA_EX,0)),"")</f>
        <v/>
      </c>
      <c r="R82" s="5" t="str">
        <f>IF($C82="","",IF(SUMPRODUCT((START!$B$6:$B$69=$C82)*(START!$M$6:$M$69&gt;0))=0,"",SUMPRODUCT(MAX((START!$B$6:$B$69=$C82)*START!$M$6:$M$69))))</f>
        <v/>
      </c>
      <c r="S82" s="5" t="str">
        <f t="array" ref="S82">IFERROR(INDEX(TABELE!$B$4:$J$18,MATCH($E82,TABELE!$A$4:$A$18,0),MATCH($F82,TABELE!$B$3:$J$3,0)),"")</f>
        <v/>
      </c>
      <c r="T82" s="5">
        <f t="array" ref="T82">IFERROR(IF($C82="",0,$O82*$D82*INDEX(TABELE!$B$23:$P$33,MATCH($F82,TABELE!$A$23:$A$33,0),MATCH($E82,TABELE!$B$22:$P$22,0))),0)</f>
        <v>0</v>
      </c>
      <c r="U82" s="5">
        <f t="array" ref="U82">IFERROR(IF($C82="",0,$O82*$D82*INDEX(TABELE!$B$37:$P$47,MATCH($F82,TABELE!$A$37:$A$47,0),MATCH($E82,TABELE!$B$36:$P$36,0))),0)</f>
        <v>0</v>
      </c>
      <c r="V82" s="5">
        <f t="array" ref="V82">IFERROR(IF($C82="",0,$O82*$D82*INDEX(TABELE!$B$51:$P$61,MATCH($F82,TABELE!$A$51:$A$61,0),MATCH($E82,TABELE!$B$50:$P$50,0))),0)</f>
        <v>0</v>
      </c>
      <c r="W82" s="5" t="str">
        <f t="array" ref="W82">IFERROR(INDEX(BAZA_UWAGI,MATCH($C82,BAZA_EX,0)),"")</f>
        <v/>
      </c>
      <c r="X82" s="5" t="str">
        <f t="shared" si="21"/>
        <v/>
      </c>
      <c r="Y82" s="5" t="str">
        <f t="shared" si="24"/>
        <v>E</v>
      </c>
      <c r="Z82" s="5">
        <f t="shared" si="25"/>
        <v>5</v>
      </c>
      <c r="AA82" s="5" t="str">
        <f>IF($C82="","",IF(SUMPRODUCT((START!$B$6:$B$69=$C82)*(START!$M$6:$M$69&gt;0))=0,"",SUMPRODUCT(MAX((START!$B$6:$B$69=$C82)*START!$M$6:$M$69))))</f>
        <v/>
      </c>
      <c r="AB82" s="5" t="str">
        <f t="shared" si="22"/>
        <v/>
      </c>
      <c r="AC82" s="5">
        <f>MAX(0.85,MIN(1.15,1+0.05*(COUNTIF('T1'!$AB82,"za łatwe")+COUNTIF('T2'!$AB82,"za łatwe")+COUNTIF('T3'!$AB82,"za łatwe")+COUNTIF('T4'!$AB82,"za łatwe")+COUNTIF('T5'!$AB82,"za łatwe"))-0.05*(COUNTIF('T1'!$AB82,"za trudne")+COUNTIF('T2'!$AB82,"za trudne")+COUNTIF('T3'!$AB82,"za trudne")+COUNTIF('T4'!$AB82,"za trudne")+COUNTIF('T5'!$AB82,"za trudne"))))</f>
        <v>1</v>
      </c>
      <c r="AD82" s="5">
        <f t="shared" si="23"/>
        <v>0</v>
      </c>
    </row>
    <row r="83" ht="19.5" hidden="1" customHeight="1" outlineLevel="1">
      <c r="A83" s="43"/>
      <c r="B83" s="43"/>
      <c r="C83" s="44" t="s">
        <v>139</v>
      </c>
      <c r="D83" s="45">
        <f>SUMPRODUCT((C71:C82&lt;&gt;"")*D71:D82)+IF(AND($B$70="TOP SET",$C$70&lt;&gt;""),1,0)</f>
      </c>
      <c r="E83" s="46" t="str">
        <f>SUMPRODUCT((C71:C82&lt;&gt;"")*D71:D82*E71:E82)&amp;" powt."</f>
        <v>0 powt.</v>
      </c>
      <c r="F83" s="43"/>
      <c r="G83" s="47" t="str">
        <f>"stres t "&amp;TEXT(SUM(T71:T82),"0.0")</f>
        <v>stres t 0,0</v>
      </c>
      <c r="H83" s="48"/>
      <c r="I83" s="43"/>
      <c r="J83" s="43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21.75" customHeight="1">
      <c r="A85" s="49" t="s">
        <v>896</v>
      </c>
      <c r="B85" s="3"/>
      <c r="C85" s="3"/>
      <c r="D85" s="3"/>
      <c r="E85" s="3"/>
      <c r="F85" s="3"/>
      <c r="G85" s="3"/>
      <c r="H85" s="3"/>
      <c r="I85" s="3"/>
      <c r="J85" s="4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8.0" customHeight="1">
      <c r="A86" s="50"/>
      <c r="B86" s="51" t="s">
        <v>141</v>
      </c>
      <c r="C86" s="50"/>
      <c r="D86" s="51" t="s">
        <v>142</v>
      </c>
      <c r="E86" s="51" t="s">
        <v>143</v>
      </c>
      <c r="F86" s="51" t="s">
        <v>144</v>
      </c>
      <c r="G86" s="51" t="s">
        <v>145</v>
      </c>
      <c r="H86" s="51" t="s">
        <v>146</v>
      </c>
      <c r="I86" s="51" t="s">
        <v>147</v>
      </c>
      <c r="J86" s="50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9.5" customHeight="1">
      <c r="A87" s="52"/>
      <c r="B87" s="20" t="s">
        <v>148</v>
      </c>
      <c r="C87" s="53" t="str">
        <f t="shared" ref="C87:C91" si="26">IF(MAX($D$87:$D$91)=0,"",REPT("█",ROUND($D87/MAX($D$87:$D$91)*14,0))&amp;REPT("░",14-ROUND($D87/MAX($D$87:$D$91)*14,0)))</f>
        <v>░░░░░░░░░░░░░░</v>
      </c>
      <c r="D87" s="54">
        <f>SUMIF(M7:M18,$K87,T7:T18)+SUMIF(M23:M34,$K87,T23:T34)+SUMIF(M39:M50,$K87,T39:T50)+SUMIF(M55:M66,$K87,T55:T66)+SUMIF(M71:M82,$K87,T71:T82)</f>
        <v>0</v>
      </c>
      <c r="E87" s="55" t="str">
        <f t="shared" ref="E87:E91" si="27">IF(SUM($D$87:$D$91)=0,"",TEXT($D87/SUM($D$87:$D$91),"0%"))</f>
        <v>0%</v>
      </c>
      <c r="F87" s="33">
        <f>SUMIF(M7:M18,$K87,U7:U18)+SUMIF(M23:M34,$K87,U23:U34)+SUMIF(M39:M50,$K87,U39:U50)+SUMIF(M55:M66,$K87,U55:U66)+SUMIF(M71:M82,$K87,U71:U82)</f>
        <v>0</v>
      </c>
      <c r="G87" s="33">
        <f>SUMIF(M7:M18,$K87,V7:V18)+SUMIF(M23:M34,$K87,V23:V34)+SUMIF(M39:M50,$K87,V39:V50)+SUMIF(M55:M66,$K87,V55:V66)+SUMIF(M71:M82,$K87,V71:V82)</f>
        <v>0</v>
      </c>
      <c r="H87" s="56">
        <f t="shared" ref="H87:H91" si="28">SUMIF($M$7:$M$18,$K87,$D$7:$D$18)+SUMIF($M$23:$M$34,$K87,$D$23:$D$34)+SUMIF($M$39:$M$50,$K87,$D$39:$D$50)+SUMIF($M$55:$M$66,$K87,$D$55:$D$66)+SUMIF($M$71:$M$82,$K87,$D$71:$D$82)</f>
        <v>0</v>
      </c>
      <c r="I87" s="56">
        <f t="shared" ref="I87:I91" si="29">SUMPRODUCT(($M$7:$M$18=$K87)*$D$7:$D$18*$E$7:$E$18)+SUMPRODUCT(($M$23:$M$34=$K87)*$D$23:$D$34*$E$23:$E$34)+SUMPRODUCT(($M$39:$M$50=$K87)*$D$39:$D$50*$E$39:$E$50)+SUMPRODUCT(($M$55:$M$66=$K87)*$D$55:$D$66*$E$55:$E$66)+SUMPRODUCT(($M$71:$M$82=$K87)*$D$71:$D$82*$E$71:$E$82)</f>
        <v>0</v>
      </c>
      <c r="J87" s="52"/>
      <c r="K87" s="5" t="s">
        <v>149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9.5" customHeight="1">
      <c r="A88" s="52"/>
      <c r="B88" s="20" t="s">
        <v>150</v>
      </c>
      <c r="C88" s="53" t="str">
        <f t="shared" si="26"/>
        <v>░░░░░░░░░░░░░░</v>
      </c>
      <c r="D88" s="54">
        <f>SUMIF(M7:M18,$K88,T7:T18)+SUMIF(M23:M34,$K88,T23:T34)+SUMIF(M39:M50,$K88,T39:T50)+SUMIF(M55:M66,$K88,T55:T66)+SUMIF(M71:M82,$K88,T71:T82)</f>
        <v>0</v>
      </c>
      <c r="E88" s="55" t="str">
        <f t="shared" si="27"/>
        <v>0%</v>
      </c>
      <c r="F88" s="33">
        <f>SUMIF(M7:M18,$K88,U7:U18)+SUMIF(M23:M34,$K88,U23:U34)+SUMIF(M39:M50,$K88,U39:U50)+SUMIF(M55:M66,$K88,U55:U66)+SUMIF(M71:M82,$K88,U71:U82)</f>
        <v>0</v>
      </c>
      <c r="G88" s="33">
        <f>SUMIF(M7:M18,$K88,V7:V18)+SUMIF(M23:M34,$K88,V23:V34)+SUMIF(M39:M50,$K88,V39:V50)+SUMIF(M55:M66,$K88,V55:V66)+SUMIF(M71:M82,$K88,V71:V82)</f>
        <v>0</v>
      </c>
      <c r="H88" s="56">
        <f t="shared" si="28"/>
        <v>0</v>
      </c>
      <c r="I88" s="56">
        <f t="shared" si="29"/>
        <v>0</v>
      </c>
      <c r="J88" s="52"/>
      <c r="K88" s="5" t="s">
        <v>151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9.5" customHeight="1">
      <c r="A89" s="52"/>
      <c r="B89" s="20" t="s">
        <v>152</v>
      </c>
      <c r="C89" s="53" t="str">
        <f t="shared" si="26"/>
        <v>░░░░░░░░░░░░░░</v>
      </c>
      <c r="D89" s="54">
        <f>SUMIF(M7:M18,$K89,T7:T18)+SUMIF(M23:M34,$K89,T23:T34)+SUMIF(M39:M50,$K89,T39:T50)+SUMIF(M55:M66,$K89,T55:T66)+SUMIF(M71:M82,$K89,T71:T82)</f>
        <v>0</v>
      </c>
      <c r="E89" s="55" t="str">
        <f t="shared" si="27"/>
        <v>0%</v>
      </c>
      <c r="F89" s="33">
        <f>SUMIF(M7:M18,$K89,U7:U18)+SUMIF(M23:M34,$K89,U23:U34)+SUMIF(M39:M50,$K89,U39:U50)+SUMIF(M55:M66,$K89,U55:U66)+SUMIF(M71:M82,$K89,U71:U82)</f>
        <v>0</v>
      </c>
      <c r="G89" s="33">
        <f>SUMIF(M7:M18,$K89,V7:V18)+SUMIF(M23:M34,$K89,V23:V34)+SUMIF(M39:M50,$K89,V39:V50)+SUMIF(M55:M66,$K89,V55:V66)+SUMIF(M71:M82,$K89,V71:V82)</f>
        <v>0</v>
      </c>
      <c r="H89" s="56">
        <f t="shared" si="28"/>
        <v>0</v>
      </c>
      <c r="I89" s="56">
        <f t="shared" si="29"/>
        <v>0</v>
      </c>
      <c r="J89" s="52"/>
      <c r="K89" s="5" t="s">
        <v>153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9.5" customHeight="1">
      <c r="A90" s="52"/>
      <c r="B90" s="20" t="s">
        <v>154</v>
      </c>
      <c r="C90" s="53" t="str">
        <f t="shared" si="26"/>
        <v>░░░░░░░░░░░░░░</v>
      </c>
      <c r="D90" s="54">
        <f>SUMIF(M7:M18,$K90,T7:T18)+SUMIF(M23:M34,$K90,T23:T34)+SUMIF(M39:M50,$K90,T39:T50)+SUMIF(M55:M66,$K90,T55:T66)+SUMIF(M71:M82,$K90,T71:T82)</f>
        <v>0</v>
      </c>
      <c r="E90" s="55" t="str">
        <f t="shared" si="27"/>
        <v>0%</v>
      </c>
      <c r="F90" s="33">
        <f>SUMIF(M7:M18,$K90,U7:U18)+SUMIF(M23:M34,$K90,U23:U34)+SUMIF(M39:M50,$K90,U39:U50)+SUMIF(M55:M66,$K90,U55:U66)+SUMIF(M71:M82,$K90,U71:U82)</f>
        <v>0</v>
      </c>
      <c r="G90" s="33">
        <f>SUMIF(M7:M18,$K90,V7:V18)+SUMIF(M23:M34,$K90,V23:V34)+SUMIF(M39:M50,$K90,V39:V50)+SUMIF(M55:M66,$K90,V55:V66)+SUMIF(M71:M82,$K90,V71:V82)</f>
        <v>0</v>
      </c>
      <c r="H90" s="56">
        <f t="shared" si="28"/>
        <v>0</v>
      </c>
      <c r="I90" s="56">
        <f t="shared" si="29"/>
        <v>0</v>
      </c>
      <c r="J90" s="52"/>
      <c r="K90" s="5" t="s">
        <v>155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9.5" customHeight="1">
      <c r="A91" s="52"/>
      <c r="B91" s="20" t="s">
        <v>156</v>
      </c>
      <c r="C91" s="53" t="str">
        <f t="shared" si="26"/>
        <v>██████████████</v>
      </c>
      <c r="D91" s="54">
        <f>SUMIF(M7:M18,$K91,T7:T18)+SUMIF(M23:M34,$K91,T23:T34)+SUMIF(M39:M50,$K91,T39:T50)+SUMIF(M55:M66,$K91,T55:T66)+SUMIF(M71:M82,$K91,T71:T82)</f>
        <v>1.35</v>
      </c>
      <c r="E91" s="55" t="str">
        <f t="shared" si="27"/>
        <v>100%</v>
      </c>
      <c r="F91" s="33">
        <f>SUMIF(M7:M18,$K91,U7:U18)+SUMIF(M23:M34,$K91,U23:U34)+SUMIF(M39:M50,$K91,U39:U50)+SUMIF(M55:M66,$K91,U55:U66)+SUMIF(M71:M82,$K91,U71:U82)</f>
        <v>0.6</v>
      </c>
      <c r="G91" s="33">
        <f>SUMIF(M7:M18,$K91,V7:V18)+SUMIF(M23:M34,$K91,V23:V34)+SUMIF(M39:M50,$K91,V39:V50)+SUMIF(M55:M66,$K91,V55:V66)+SUMIF(M71:M82,$K91,V71:V82)</f>
        <v>2.1</v>
      </c>
      <c r="H91" s="56">
        <f t="shared" si="28"/>
        <v>3</v>
      </c>
      <c r="I91" s="56">
        <f t="shared" si="29"/>
        <v>36</v>
      </c>
      <c r="J91" s="52"/>
      <c r="K91" s="5" t="s">
        <v>157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2"/>
      <c r="B92" s="57" t="s">
        <v>158</v>
      </c>
      <c r="C92" s="52"/>
      <c r="D92" s="58">
        <f>$D$87+$D$88</f>
        <v>0</v>
      </c>
      <c r="E92" s="18" t="str">
        <f t="shared" ref="E92:E93" si="30">IF(($D92+$N92)=0,"",TEXT($D92/($D92+$N92),"0%")&amp;" / "&amp;TEXT($N92/($D92+$N92),"0%"))</f>
        <v/>
      </c>
      <c r="F92" s="52"/>
      <c r="G92" s="52"/>
      <c r="H92" s="52"/>
      <c r="I92" s="52"/>
      <c r="J92" s="52"/>
      <c r="K92" s="5"/>
      <c r="L92" s="5"/>
      <c r="M92" s="5"/>
      <c r="N92" s="59">
        <f>$D$89+$D$90</f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2"/>
      <c r="B93" s="57" t="s">
        <v>159</v>
      </c>
      <c r="C93" s="52"/>
      <c r="D93" s="58">
        <f>SUM($F$87:$F$91)</f>
        <v>0.6</v>
      </c>
      <c r="E93" s="18" t="str">
        <f t="shared" si="30"/>
        <v>22% / 78%</v>
      </c>
      <c r="F93" s="52"/>
      <c r="G93" s="52"/>
      <c r="H93" s="52"/>
      <c r="I93" s="52"/>
      <c r="J93" s="52"/>
      <c r="K93" s="5"/>
      <c r="L93" s="5"/>
      <c r="M93" s="5"/>
      <c r="N93" s="59">
        <f>SUM($G$87:$G$91)</f>
        <v>2.1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21.75" customHeight="1">
      <c r="A94" s="29"/>
      <c r="B94" s="60" t="s">
        <v>160</v>
      </c>
      <c r="C94" s="29"/>
      <c r="D94" s="61">
        <f>SUM($D$87:$D$91)</f>
        <v>1.35</v>
      </c>
      <c r="E94" s="29"/>
      <c r="F94" s="29"/>
      <c r="G94" s="29"/>
      <c r="H94" s="62">
        <f>SUM($H$87:$H$91)</f>
        <v>3</v>
      </c>
      <c r="I94" s="62">
        <f>SUM($I$87:$I$91)</f>
        <v>36</v>
      </c>
      <c r="J94" s="29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21.75" hidden="1" customHeight="1" outlineLevel="1">
      <c r="A96" s="49" t="s">
        <v>897</v>
      </c>
      <c r="B96" s="3"/>
      <c r="C96" s="3"/>
      <c r="D96" s="3"/>
      <c r="E96" s="3"/>
      <c r="F96" s="3"/>
      <c r="G96" s="3"/>
      <c r="H96" s="3"/>
      <c r="I96" s="3"/>
      <c r="J96" s="4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25.5" hidden="1" customHeight="1" outlineLevel="1">
      <c r="A97" s="5"/>
      <c r="B97" s="10" t="s">
        <v>162</v>
      </c>
      <c r="C97" s="63" t="str">
        <f>IF(ODDECH!$B$5="","— wpisz wynik TWOT w zakładce ODDECH",ODDECH!$B$8)</f>
        <v>— wpisz wynik TWOT w zakładce ODDECH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25.5" hidden="1" customHeight="1" outlineLevel="1">
      <c r="A98" s="5"/>
      <c r="B98" s="10" t="s">
        <v>163</v>
      </c>
      <c r="C98" s="63" t="str">
        <f>IF(ODDECH!$B$5="","",ODDECH!$B$9)</f>
        <v/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25.5" hidden="1" customHeight="1" outlineLevel="1">
      <c r="A99" s="5"/>
      <c r="B99" s="10" t="s">
        <v>164</v>
      </c>
      <c r="C99" s="63" t="str">
        <f>IF(ODDECH!$B$5="","",ODDECH!$B$10)</f>
        <v/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25.5" hidden="1" customHeight="1" outlineLevel="1">
      <c r="A100" s="5"/>
      <c r="B100" s="10" t="s">
        <v>165</v>
      </c>
      <c r="C100" s="63" t="str">
        <f>IF(ODDECH!$B$5="","",ODDECH!$B$11)</f>
        <v/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25.5" hidden="1" customHeight="1" outlineLevel="1">
      <c r="A101" s="5"/>
      <c r="B101" s="10" t="s">
        <v>166</v>
      </c>
      <c r="C101" s="63" t="str">
        <f>IF(ODDECH!$B$5="","",ODDECH!$B$12)</f>
        <v/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33.75" hidden="1" customHeight="1" outlineLevel="1">
      <c r="A102" s="5"/>
      <c r="B102" s="10" t="s">
        <v>167</v>
      </c>
      <c r="C102" s="63" t="str">
        <f>IF(ODDECH!$B$5="","",ODDECH!$A$14)</f>
        <v/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21.75" hidden="1" customHeight="1" outlineLevel="1">
      <c r="A104" s="49" t="s">
        <v>898</v>
      </c>
      <c r="B104" s="3"/>
      <c r="C104" s="3"/>
      <c r="D104" s="3"/>
      <c r="E104" s="3"/>
      <c r="F104" s="3"/>
      <c r="G104" s="3"/>
      <c r="H104" s="3"/>
      <c r="I104" s="3"/>
      <c r="J104" s="4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25.5" hidden="1" customHeight="1" outlineLevel="1">
      <c r="A105" s="5"/>
      <c r="B105" s="10" t="s">
        <v>169</v>
      </c>
      <c r="C105" s="63" t="str">
        <f>IF(OR(BIEG!$B$7="",BIEG!$B$8=""),"— uzupełnij dane w zakładce BIEG","łącznie "&amp;TEXT(SUM(BIEG!$O$57:$O$61),"0.0")&amp;" km  ·  "&amp;SUM(BIEG!$N$57:$N$61)&amp;" min")</f>
        <v>— uzupełnij dane w zakładce BIEG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25.5" hidden="1" customHeight="1" outlineLevel="1">
      <c r="A106" s="5"/>
      <c r="B106" s="10" t="str">
        <f>IF(N(BIEG!$B$9)&gt;=1,"jednostka 1","")</f>
        <v/>
      </c>
      <c r="C106" s="63" t="str">
        <f>IF(OR(BIEG!$B$7="",BIEG!$B$8=""),"",BIEG!$I$57)</f>
        <v/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25.5" hidden="1" customHeight="1" outlineLevel="1">
      <c r="A107" s="5"/>
      <c r="B107" s="10" t="str">
        <f>IF(N(BIEG!$B$9)&gt;=2,"jednostka 2","")</f>
        <v/>
      </c>
      <c r="C107" s="63" t="str">
        <f>IF(OR(BIEG!$B$7="",BIEG!$B$8=""),"",BIEG!$I$58)</f>
        <v/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25.5" hidden="1" customHeight="1" outlineLevel="1">
      <c r="A108" s="5"/>
      <c r="B108" s="10" t="str">
        <f>IF(N(BIEG!$B$9)&gt;=3,"jednostka 3","")</f>
        <v/>
      </c>
      <c r="C108" s="63" t="str">
        <f>IF(OR(BIEG!$B$7="",BIEG!$B$8=""),"",BIEG!$I$59)</f>
        <v/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25.5" hidden="1" customHeight="1" outlineLevel="1">
      <c r="A109" s="5"/>
      <c r="B109" s="10" t="str">
        <f>IF(N(BIEG!$B$9)&gt;=4,"jednostka 4","")</f>
        <v/>
      </c>
      <c r="C109" s="63" t="str">
        <f>IF(OR(BIEG!$B$7="",BIEG!$B$8=""),"",BIEG!$I$60)</f>
        <v/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25.5" hidden="1" customHeight="1" outlineLevel="1">
      <c r="A110" s="5"/>
      <c r="B110" s="10" t="str">
        <f>IF(N(BIEG!$B$9)&gt;=5,"jednostka 5","")</f>
        <v/>
      </c>
      <c r="C110" s="63" t="str">
        <f>IF(OR(BIEG!$B$7="",BIEG!$B$8=""),"",BIEG!$I$61)</f>
        <v/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J1"/>
    <mergeCell ref="A5:J5"/>
    <mergeCell ref="A21:J21"/>
    <mergeCell ref="A37:J37"/>
    <mergeCell ref="A53:J53"/>
    <mergeCell ref="A69:J69"/>
    <mergeCell ref="A85:J85"/>
    <mergeCell ref="A104:J104"/>
    <mergeCell ref="C105:J105"/>
    <mergeCell ref="C106:J106"/>
    <mergeCell ref="C107:J107"/>
    <mergeCell ref="C108:J108"/>
    <mergeCell ref="C109:J109"/>
    <mergeCell ref="C110:J110"/>
    <mergeCell ref="A96:J96"/>
    <mergeCell ref="C97:J97"/>
    <mergeCell ref="C98:J98"/>
    <mergeCell ref="C99:J99"/>
    <mergeCell ref="C100:J100"/>
    <mergeCell ref="C101:J101"/>
    <mergeCell ref="C102:J102"/>
  </mergeCells>
  <conditionalFormatting sqref="A7:J18">
    <cfRule type="expression" dxfId="2" priority="1">
      <formula>AND($A7&lt;&gt;"",N($X7)&lt;&gt;N($X6))</formula>
    </cfRule>
  </conditionalFormatting>
  <conditionalFormatting sqref="A7:J18">
    <cfRule type="expression" dxfId="3" priority="2">
      <formula>AND($A7&lt;&gt;"",MOD(N($X7),2)=0)</formula>
    </cfRule>
  </conditionalFormatting>
  <conditionalFormatting sqref="C7:C18">
    <cfRule type="expression" dxfId="4" priority="3">
      <formula>AND($C7&lt;&gt;"",$J7&lt;&gt;"",$N7&lt;&gt;$J7)</formula>
    </cfRule>
  </conditionalFormatting>
  <conditionalFormatting sqref="A23:J34">
    <cfRule type="expression" dxfId="2" priority="4">
      <formula>AND($A23&lt;&gt;"",N($X23)&lt;&gt;N($X22))</formula>
    </cfRule>
  </conditionalFormatting>
  <conditionalFormatting sqref="A23:J34">
    <cfRule type="expression" dxfId="3" priority="5">
      <formula>AND($A23&lt;&gt;"",MOD(N($X23),2)=0)</formula>
    </cfRule>
  </conditionalFormatting>
  <conditionalFormatting sqref="C23:C34">
    <cfRule type="expression" dxfId="4" priority="6">
      <formula>AND($C23&lt;&gt;"",$J23&lt;&gt;"",$N23&lt;&gt;$J23)</formula>
    </cfRule>
  </conditionalFormatting>
  <conditionalFormatting sqref="A39:J50">
    <cfRule type="expression" dxfId="2" priority="7">
      <formula>AND($A39&lt;&gt;"",N($X39)&lt;&gt;N($X38))</formula>
    </cfRule>
  </conditionalFormatting>
  <conditionalFormatting sqref="A39:J50">
    <cfRule type="expression" dxfId="3" priority="8">
      <formula>AND($A39&lt;&gt;"",MOD(N($X39),2)=0)</formula>
    </cfRule>
  </conditionalFormatting>
  <conditionalFormatting sqref="C39:C50">
    <cfRule type="expression" dxfId="4" priority="9">
      <formula>AND($C39&lt;&gt;"",$J39&lt;&gt;"",$N39&lt;&gt;$J39)</formula>
    </cfRule>
  </conditionalFormatting>
  <conditionalFormatting sqref="G6:G18">
    <cfRule type="expression" dxfId="0" priority="10">
      <formula>$G6="— ustaw ręcznie"</formula>
    </cfRule>
  </conditionalFormatting>
  <conditionalFormatting sqref="G22:G34">
    <cfRule type="expression" dxfId="0" priority="11">
      <formula>$G22="— ustaw ręcznie"</formula>
    </cfRule>
  </conditionalFormatting>
  <conditionalFormatting sqref="G38:G50">
    <cfRule type="expression" dxfId="0" priority="12">
      <formula>$G38="— ustaw ręcznie"</formula>
    </cfRule>
  </conditionalFormatting>
  <conditionalFormatting sqref="A55:J66">
    <cfRule type="expression" dxfId="3" priority="13">
      <formula>AND($A55&lt;&gt;"",MOD(N($X55),2)=0)</formula>
    </cfRule>
  </conditionalFormatting>
  <conditionalFormatting sqref="C55:C66">
    <cfRule type="expression" dxfId="5" priority="14">
      <formula>AND($C55&lt;&gt;"",$J55&lt;&gt;"",$N55&lt;&gt;$J55)</formula>
    </cfRule>
  </conditionalFormatting>
  <conditionalFormatting sqref="G54:G66">
    <cfRule type="expression" dxfId="0" priority="15">
      <formula>$G54="— ustaw ręcznie"</formula>
    </cfRule>
  </conditionalFormatting>
  <conditionalFormatting sqref="A71:J82">
    <cfRule type="expression" dxfId="3" priority="16">
      <formula>AND($A71&lt;&gt;"",MOD(N($X71),2)=0)</formula>
    </cfRule>
  </conditionalFormatting>
  <conditionalFormatting sqref="C71:C82">
    <cfRule type="expression" dxfId="5" priority="17">
      <formula>AND($C71&lt;&gt;"",$J71&lt;&gt;"",$N71&lt;&gt;$J71)</formula>
    </cfRule>
  </conditionalFormatting>
  <conditionalFormatting sqref="G70:G82">
    <cfRule type="expression" dxfId="0" priority="18">
      <formula>$G70="— ustaw ręcznie"</formula>
    </cfRule>
  </conditionalFormatting>
  <conditionalFormatting sqref="E7:E18">
    <cfRule type="expression" dxfId="6" priority="19">
      <formula>AND($C7&lt;&gt;"",N($E7)&gt;15)</formula>
    </cfRule>
  </conditionalFormatting>
  <conditionalFormatting sqref="E23:E34">
    <cfRule type="expression" dxfId="6" priority="20">
      <formula>AND($C23&lt;&gt;"",N($E23)&gt;15)</formula>
    </cfRule>
  </conditionalFormatting>
  <conditionalFormatting sqref="E39:E50">
    <cfRule type="expression" dxfId="6" priority="21">
      <formula>AND($C39&lt;&gt;"",N($E39)&gt;15)</formula>
    </cfRule>
  </conditionalFormatting>
  <conditionalFormatting sqref="E55:E66">
    <cfRule type="expression" dxfId="6" priority="22">
      <formula>AND($C55&lt;&gt;"",N($E55)&gt;15)</formula>
    </cfRule>
  </conditionalFormatting>
  <conditionalFormatting sqref="E71:E82">
    <cfRule type="expression" dxfId="6" priority="23">
      <formula>AND($C71&lt;&gt;"",N($E71)&gt;15)</formula>
    </cfRule>
  </conditionalFormatting>
  <dataValidations>
    <dataValidation type="list" allowBlank="1" sqref="C75">
      <formula1>LISTY!$C$75:$GT$75</formula1>
    </dataValidation>
    <dataValidation type="list" allowBlank="1" sqref="C41">
      <formula1>LISTY!$C$41:$GT$41</formula1>
    </dataValidation>
    <dataValidation type="list" allowBlank="1" sqref="C32">
      <formula1>LISTY!$C$32:$GT$32</formula1>
    </dataValidation>
    <dataValidation type="list" allowBlank="1" sqref="C12">
      <formula1>LISTY!$C$12:$GT$12</formula1>
    </dataValidation>
    <dataValidation type="list" allowBlank="1" sqref="C17">
      <formula1>LISTY!$C$17:$GT$17</formula1>
    </dataValidation>
    <dataValidation type="list" allowBlank="1" sqref="C61">
      <formula1>LISTY!$C$61:$GT$61</formula1>
    </dataValidation>
    <dataValidation type="list" allowBlank="1" sqref="C55">
      <formula1>LISTY!$C$55:$GT$55</formula1>
    </dataValidation>
    <dataValidation type="list" allowBlank="1" sqref="C57">
      <formula1>LISTY!$C$57:$GT$57</formula1>
    </dataValidation>
    <dataValidation type="list" allowBlank="1" sqref="C26">
      <formula1>LISTY!$C$26:$GT$26</formula1>
    </dataValidation>
    <dataValidation type="list" allowBlank="1" sqref="C23">
      <formula1>LISTY!$C$23:$GT$23</formula1>
    </dataValidation>
    <dataValidation type="list" allowBlank="1" sqref="C66">
      <formula1>LISTY!$C$66:$GT$66</formula1>
    </dataValidation>
    <dataValidation type="list" allowBlank="1" sqref="C46">
      <formula1>LISTY!$C$46:$GT$46</formula1>
    </dataValidation>
    <dataValidation type="list" allowBlank="1" sqref="C72">
      <formula1>LISTY!$C$72:$GT$72</formula1>
    </dataValidation>
    <dataValidation type="list" allowBlank="1" sqref="C34">
      <formula1>LISTY!$C$34:$GT$34</formula1>
    </dataValidation>
    <dataValidation type="list" allowBlank="1" sqref="C25">
      <formula1>LISTY!$C$25:$GT$25</formula1>
    </dataValidation>
    <dataValidation type="list" allowBlank="1" sqref="C59">
      <formula1>LISTY!$C$59:$GT$59</formula1>
    </dataValidation>
    <dataValidation type="list" allowBlank="1" sqref="C77">
      <formula1>LISTY!$C$77:$GT$77</formula1>
    </dataValidation>
    <dataValidation type="list" allowBlank="1" sqref="C43">
      <formula1>LISTY!$C$43:$GT$43</formula1>
    </dataValidation>
    <dataValidation type="list" allowBlank="1" sqref="C39">
      <formula1>LISTY!$C$39:$GT$39</formula1>
    </dataValidation>
    <dataValidation type="list" allowBlank="1" sqref="C63">
      <formula1>LISTY!$C$63:$GT$63</formula1>
    </dataValidation>
    <dataValidation type="list" allowBlank="1" sqref="C45">
      <formula1>LISTY!$C$45:$GT$45</formula1>
    </dataValidation>
    <dataValidation type="list" allowBlank="1" sqref="C40">
      <formula1>LISTY!$C$40:$GT$40</formula1>
    </dataValidation>
    <dataValidation type="list" allowBlank="1" sqref="C11">
      <formula1>LISTY!$C$11:$GT$11</formula1>
    </dataValidation>
    <dataValidation type="list" allowBlank="1" sqref="C14">
      <formula1>LISTY!$C$14:$GT$14</formula1>
    </dataValidation>
    <dataValidation type="list" allowBlank="1" sqref="C80">
      <formula1>LISTY!$C$80:$GT$80</formula1>
    </dataValidation>
    <dataValidation type="list" allowBlank="1" sqref="H6:H18 H22:H34 H38:H50 H54:H66 H70:H82">
      <formula1>"OK,za łatwe,za trudne"</formula1>
    </dataValidation>
    <dataValidation type="list" allowBlank="1" sqref="C28">
      <formula1>LISTY!$C$28:$GT$28</formula1>
    </dataValidation>
    <dataValidation type="list" allowBlank="1" sqref="C74">
      <formula1>LISTY!$C$74:$GT$74</formula1>
    </dataValidation>
    <dataValidation type="list" allowBlank="1" sqref="H19 H35 H51 H67 H83">
      <formula1>"✓ ukończony"</formula1>
    </dataValidation>
    <dataValidation type="list" allowBlank="1" sqref="C60">
      <formula1>LISTY!$C$60:$GT$60</formula1>
    </dataValidation>
    <dataValidation type="list" allowBlank="1" sqref="C48">
      <formula1>LISTY!$C$48:$GT$48</formula1>
    </dataValidation>
    <dataValidation type="list" allowBlank="1" sqref="C27">
      <formula1>LISTY!$C$27:$GT$27</formula1>
    </dataValidation>
    <dataValidation type="list" allowBlank="1" sqref="C13">
      <formula1>LISTY!$C$13:$GT$13</formula1>
    </dataValidation>
    <dataValidation type="list" allowBlank="1" sqref="C31">
      <formula1>LISTY!$C$31:$GT$31</formula1>
    </dataValidation>
    <dataValidation type="list" allowBlank="1" sqref="C47">
      <formula1>LISTY!$C$47:$GT$47</formula1>
    </dataValidation>
    <dataValidation type="list" allowBlank="1" sqref="C65">
      <formula1>LISTY!$C$65:$GT$65</formula1>
    </dataValidation>
    <dataValidation type="list" allowBlank="1" sqref="C71">
      <formula1>LISTY!$C$71:$GT$71</formula1>
    </dataValidation>
    <dataValidation type="list" allowBlank="1" sqref="C7">
      <formula1>LISTY!$C$7:$GT$7</formula1>
    </dataValidation>
    <dataValidation type="list" allowBlank="1" sqref="C33">
      <formula1>LISTY!$C$33:$GT$33</formula1>
    </dataValidation>
    <dataValidation type="list" allowBlank="1" sqref="C76">
      <formula1>LISTY!$C$76:$GT$76</formula1>
    </dataValidation>
    <dataValidation type="list" allowBlank="1" sqref="C79">
      <formula1>LISTY!$C$79:$GT$79</formula1>
    </dataValidation>
    <dataValidation type="list" allowBlank="1" sqref="C16">
      <formula1>LISTY!$C$16:$GT$16</formula1>
    </dataValidation>
    <dataValidation type="list" allowBlank="1" sqref="C42">
      <formula1>LISTY!$C$42:$GT$42</formula1>
    </dataValidation>
    <dataValidation type="list" allowBlank="1" sqref="C62">
      <formula1>LISTY!$C$62:$GT$62</formula1>
    </dataValidation>
    <dataValidation type="list" allowBlank="1" sqref="C56">
      <formula1>LISTY!$C$56:$GT$56</formula1>
    </dataValidation>
    <dataValidation type="list" allowBlank="1" sqref="C15">
      <formula1>LISTY!$C$15:$GT$15</formula1>
    </dataValidation>
    <dataValidation type="list" allowBlank="1" sqref="C10">
      <formula1>LISTY!$C$10:$GT$10</formula1>
    </dataValidation>
    <dataValidation type="list" allowBlank="1" sqref="C82">
      <formula1>LISTY!$C$82:$GT$82</formula1>
    </dataValidation>
    <dataValidation type="list" allowBlank="1" sqref="C9">
      <formula1>LISTY!$C$9:$GT$9</formula1>
    </dataValidation>
    <dataValidation type="list" allowBlank="1" sqref="C29">
      <formula1>LISTY!$C$29:$GT$29</formula1>
    </dataValidation>
    <dataValidation type="list" allowBlank="1" sqref="C73">
      <formula1>LISTY!$C$73:$GT$73</formula1>
    </dataValidation>
    <dataValidation type="list" allowBlank="1" sqref="C81">
      <formula1>LISTY!$C$81:$GT$81</formula1>
    </dataValidation>
    <dataValidation type="list" allowBlank="1" sqref="C49">
      <formula1>LISTY!$C$49:$GT$49</formula1>
    </dataValidation>
    <dataValidation type="list" allowBlank="1" sqref="C30">
      <formula1>LISTY!$C$30:$GT$30</formula1>
    </dataValidation>
    <dataValidation type="list" allowBlank="1" sqref="J7:J18 J23:J34 J39:J50 J55:J66 J71:J82">
      <formula1>"Lower push,Lower pull,Upper push horizontal,Upper push vertical,Upper pull horizontal,Upper pull vertical,Core,Bicep,Tricep"</formula1>
    </dataValidation>
    <dataValidation type="list" allowBlank="1" sqref="C8">
      <formula1>LISTY!$C$8:$GT$8</formula1>
    </dataValidation>
    <dataValidation type="list" allowBlank="1" sqref="C24">
      <formula1>LISTY!$C$24:$GT$24</formula1>
    </dataValidation>
    <dataValidation type="list" allowBlank="1" sqref="C18">
      <formula1>LISTY!$C$18:$GT$18</formula1>
    </dataValidation>
    <dataValidation type="list" allowBlank="1" sqref="C50">
      <formula1>LISTY!$C$50:$GT$50</formula1>
    </dataValidation>
    <dataValidation type="list" allowBlank="1" sqref="C78">
      <formula1>LISTY!$C$78:$GT$78</formula1>
    </dataValidation>
    <dataValidation type="list" allowBlank="1" sqref="C44">
      <formula1>LISTY!$C$44:$GT$44</formula1>
    </dataValidation>
    <dataValidation type="list" allowBlank="1" sqref="C58">
      <formula1>LISTY!$C$58:$GT$58</formula1>
    </dataValidation>
    <dataValidation type="list" allowBlank="1" sqref="C64">
      <formula1>LISTY!$C$64:$GT$64</formula1>
    </dataValidation>
  </dataValidations>
  <printOptions/>
  <pageMargins bottom="1.0" footer="0.0" header="0.0" left="0.75" right="0.75" top="1.0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E8"/>
    <pageSetUpPr/>
  </sheetPr>
  <sheetViews>
    <sheetView showGridLines="0" workbookViewId="0"/>
  </sheetViews>
  <sheetFormatPr customHeight="1" defaultColWidth="14.43" defaultRowHeight="15.0" outlineLevelRow="2"/>
  <cols>
    <col customWidth="1" min="1" max="1" width="26.0"/>
    <col customWidth="1" min="2" max="2" width="30.0"/>
    <col customWidth="1" min="3" max="4" width="24.0"/>
    <col customWidth="1" min="5" max="6" width="8.71"/>
  </cols>
  <sheetData>
    <row r="1" ht="30.0" customHeight="1">
      <c r="A1" s="64" t="s">
        <v>178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3.75" customHeight="1">
      <c r="A2" s="65" t="s">
        <v>179</v>
      </c>
      <c r="B2" s="3"/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75" customHeight="1">
      <c r="A4" s="66" t="s">
        <v>180</v>
      </c>
      <c r="B4" s="3"/>
      <c r="C4" s="3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67" t="s">
        <v>181</v>
      </c>
      <c r="B5" s="68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67" t="s">
        <v>182</v>
      </c>
      <c r="B6" s="69" t="s">
        <v>183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7.75" customHeight="1">
      <c r="A8" s="70" t="s">
        <v>184</v>
      </c>
      <c r="B8" s="71" t="str">
        <f t="array" ref="B8">IF($B$6="tak","Wersja łagodna — ustal indywidualnie",IFERROR(INDEX(TABELE!$C$66:$C$70,MATCH($B$5,TABELE!$A$66:$A$70,1)),""))</f>
        <v>Bardzo niski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70" t="s">
        <v>185</v>
      </c>
      <c r="B9" s="12" t="str">
        <f t="array" ref="B9">IF($B$6="tak","Wersja łagodna — ustal indywidualnie",IFERROR(INDEX(TABELE!$D$66:$D$70,MATCH($B$5,TABELE!$A$66:$A$70,1)),""))</f>
        <v>3×/tydz · 8 min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7.75" customHeight="1">
      <c r="A10" s="70" t="s">
        <v>186</v>
      </c>
      <c r="B10" s="12" t="str">
        <f t="array" ref="B10">IF($B$6="tak","Wersja łagodna — ustal indywidualnie",IFERROR(INDEX(TABELE!$E$66:$E$70,MATCH($B$5,TABELE!$A$66:$A$70,1)),""))</f>
        <v>4 min Breathe Light, głód powietrza 2/10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7.75" customHeight="1">
      <c r="A11" s="70" t="s">
        <v>187</v>
      </c>
      <c r="B11" s="12" t="str">
        <f t="array" ref="B11">IF($B$6="tak","Wersja łagodna — ustal indywidualnie",IFERROR(SUBSTITUTE(INDEX(TABELE!$F$66:$F$70,MATCH($B$5,TABELE!$A$66:$A$70,1)),"TWOT","TWOT (≈ "&amp;ROUND($B$5*INDEX(TABELE!$I$66:$I$70,MATCH($B$5,TABELE!$A$66:$A$70,1)),0)&amp;" s)"),""))</f>
        <v>bez bezdechów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7.75" customHeight="1">
      <c r="A12" s="70" t="s">
        <v>188</v>
      </c>
      <c r="B12" s="12" t="str">
        <f t="array" ref="B12">IF($B$6="tak","Wersja łagodna — ustal indywidualnie",IFERROR(INDEX(TABELE!$G$66:$G$70,MATCH($B$5,TABELE!$A$66:$A$70,1)),""))</f>
        <v>4 min oddech swobodny nosem, kadencja 4–6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7.75" hidden="1" customHeight="1">
      <c r="A13" s="70"/>
      <c r="B13" s="7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3.75" customHeight="1">
      <c r="A14" s="72" t="str">
        <f t="array" ref="A14">IF($B$6="tak","Zaznaczyłeś przeciwwskazanie — nie realizuj tej drabiny samodzielnie. Ustal ćwiczenie indywidualnie.",IFERROR(INDEX(TABELE!$H$66:$H$70,MATCH($B$5,TABELE!$A$66:$A$70,1)),""))</f>
        <v>Wynik poniżej 10 s. Zacznij od samego oddechu nosowego w spoczynku; bezdechy dopiero po wzroście TWOT.</v>
      </c>
      <c r="B14" s="3"/>
      <c r="C14" s="3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3.75" customHeight="1">
      <c r="A15" s="73" t="s">
        <v>189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1.75" customHeight="1">
      <c r="A17" s="66" t="s">
        <v>190</v>
      </c>
      <c r="B17" s="3"/>
      <c r="C17" s="3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5.5" customHeight="1">
      <c r="A18" s="12" t="s">
        <v>191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5.5" customHeight="1">
      <c r="A19" s="12" t="s">
        <v>192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5.5" customHeight="1">
      <c r="A20" s="12" t="s">
        <v>193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5.5" customHeight="1">
      <c r="A21" s="12" t="s">
        <v>194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5.5" customHeight="1">
      <c r="A22" s="12" t="s">
        <v>195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1.75" customHeight="1">
      <c r="A24" s="66" t="s">
        <v>196</v>
      </c>
      <c r="B24" s="3"/>
      <c r="C24" s="3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5.5" customHeight="1">
      <c r="A25" s="12" t="s">
        <v>197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5.5" customHeight="1">
      <c r="A26" s="12" t="s">
        <v>198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5.5" customHeight="1">
      <c r="A27" s="12" t="s">
        <v>199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5.5" customHeight="1">
      <c r="A28" s="12" t="s">
        <v>200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1.75" customHeight="1">
      <c r="A30" s="66" t="s">
        <v>201</v>
      </c>
      <c r="B30" s="3"/>
      <c r="C30" s="3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5.5" customHeight="1">
      <c r="A31" s="12" t="s">
        <v>202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5.5" customHeight="1">
      <c r="A32" s="12" t="s">
        <v>203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5.5" customHeight="1">
      <c r="A33" s="12" t="s">
        <v>204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5.5" customHeight="1">
      <c r="A34" s="12" t="s">
        <v>205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1.75" customHeight="1">
      <c r="A36" s="66" t="s">
        <v>206</v>
      </c>
      <c r="B36" s="3"/>
      <c r="C36" s="3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5.5" customHeight="1">
      <c r="A37" s="12" t="s">
        <v>207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5.5" customHeight="1">
      <c r="A38" s="12" t="s">
        <v>208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5.5" customHeight="1">
      <c r="A39" s="12" t="s">
        <v>209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5.5" customHeight="1">
      <c r="A40" s="12" t="s">
        <v>210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1.75" customHeight="1">
      <c r="A42" s="66" t="s">
        <v>211</v>
      </c>
      <c r="B42" s="3"/>
      <c r="C42" s="3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5.5" customHeight="1">
      <c r="A43" s="12" t="s">
        <v>212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5.5" customHeight="1">
      <c r="A44" s="12" t="s">
        <v>213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1:D1"/>
    <mergeCell ref="A2:D2"/>
    <mergeCell ref="A4:D4"/>
    <mergeCell ref="B8:D8"/>
    <mergeCell ref="B9:D9"/>
    <mergeCell ref="B10:D10"/>
    <mergeCell ref="B11:D11"/>
    <mergeCell ref="B12:D12"/>
    <mergeCell ref="B13:D13"/>
    <mergeCell ref="A14:D14"/>
    <mergeCell ref="A15:D15"/>
    <mergeCell ref="A17:D17"/>
    <mergeCell ref="A18:D18"/>
    <mergeCell ref="A19:D19"/>
    <mergeCell ref="A20:D20"/>
    <mergeCell ref="A21:D21"/>
    <mergeCell ref="A22:D22"/>
    <mergeCell ref="A24:D24"/>
    <mergeCell ref="A25:D25"/>
    <mergeCell ref="A26:D26"/>
    <mergeCell ref="A27:D27"/>
    <mergeCell ref="A37:D37"/>
    <mergeCell ref="A38:D38"/>
    <mergeCell ref="A39:D39"/>
    <mergeCell ref="A40:D40"/>
    <mergeCell ref="A42:D42"/>
    <mergeCell ref="A43:D43"/>
    <mergeCell ref="A44:D44"/>
    <mergeCell ref="A28:D28"/>
    <mergeCell ref="A30:D30"/>
    <mergeCell ref="A31:D31"/>
    <mergeCell ref="A32:D32"/>
    <mergeCell ref="A33:D33"/>
    <mergeCell ref="A34:D34"/>
    <mergeCell ref="A36:D36"/>
  </mergeCells>
  <dataValidations>
    <dataValidation type="list" allowBlank="1" sqref="B6">
      <formula1>"tak,nie"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2"/>
  <cols>
    <col customWidth="1" min="1" max="1" width="30.0"/>
    <col customWidth="1" min="2" max="2" width="13.0"/>
    <col customWidth="1" min="3" max="3" width="30.0"/>
    <col customWidth="1" min="4" max="4" width="10.0"/>
    <col customWidth="1" min="5" max="5" width="11.0"/>
    <col customWidth="1" min="6" max="6" width="14.0"/>
    <col customWidth="1" min="7" max="7" width="15.0"/>
    <col customWidth="1" min="8" max="8" width="8.71"/>
    <col customWidth="1" hidden="1" min="9" max="15" width="13.0"/>
    <col customWidth="1" min="16" max="17" width="8.71"/>
  </cols>
  <sheetData>
    <row r="1" ht="30.0" customHeight="1">
      <c r="A1" s="74" t="s">
        <v>217</v>
      </c>
      <c r="B1" s="3"/>
      <c r="C1" s="3"/>
      <c r="D1" s="3"/>
      <c r="E1" s="3"/>
      <c r="F1" s="3"/>
      <c r="G1" s="4"/>
      <c r="I1" s="5"/>
      <c r="J1" s="5"/>
      <c r="K1" s="5"/>
      <c r="L1" s="5"/>
      <c r="M1" s="5"/>
      <c r="N1" s="5"/>
      <c r="O1" s="5"/>
      <c r="P1" s="5"/>
      <c r="Q1" s="5"/>
    </row>
    <row r="2" ht="18.0" customHeight="1">
      <c r="A2" s="75" t="s">
        <v>218</v>
      </c>
      <c r="B2" s="3"/>
      <c r="C2" s="3"/>
      <c r="D2" s="3"/>
      <c r="E2" s="3"/>
      <c r="F2" s="3"/>
      <c r="G2" s="4"/>
      <c r="I2" s="5"/>
      <c r="J2" s="5"/>
      <c r="K2" s="5"/>
      <c r="L2" s="5"/>
      <c r="M2" s="5"/>
      <c r="N2" s="5"/>
      <c r="O2" s="5"/>
      <c r="P2" s="5"/>
      <c r="Q2" s="5"/>
    </row>
    <row r="3">
      <c r="A3" s="5"/>
      <c r="B3" s="5"/>
      <c r="C3" s="5"/>
      <c r="D3" s="5"/>
      <c r="E3" s="5"/>
      <c r="F3" s="5"/>
      <c r="G3" s="5"/>
      <c r="I3" s="5"/>
      <c r="J3" s="5"/>
      <c r="K3" s="5"/>
      <c r="L3" s="5"/>
      <c r="M3" s="5"/>
      <c r="N3" s="5"/>
      <c r="O3" s="5"/>
      <c r="P3" s="5"/>
      <c r="Q3" s="5"/>
    </row>
    <row r="4" ht="21.75" customHeight="1">
      <c r="A4" s="76" t="s">
        <v>219</v>
      </c>
      <c r="B4" s="3"/>
      <c r="C4" s="3"/>
      <c r="D4" s="3"/>
      <c r="E4" s="3"/>
      <c r="F4" s="3"/>
      <c r="G4" s="4"/>
      <c r="I4" s="5"/>
      <c r="J4" s="5"/>
      <c r="K4" s="5"/>
      <c r="L4" s="5"/>
      <c r="M4" s="5"/>
      <c r="N4" s="5"/>
      <c r="O4" s="5"/>
      <c r="P4" s="5"/>
      <c r="Q4" s="5"/>
    </row>
    <row r="5" ht="22.5" customHeight="1">
      <c r="A5" s="77" t="s">
        <v>220</v>
      </c>
      <c r="B5" s="78"/>
      <c r="C5" s="5"/>
      <c r="D5" s="5"/>
      <c r="E5" s="5"/>
      <c r="F5" s="5"/>
      <c r="G5" s="5"/>
      <c r="I5" s="5"/>
      <c r="J5" s="5"/>
      <c r="K5" s="5"/>
      <c r="L5" s="5"/>
      <c r="M5" s="5"/>
      <c r="N5" s="5"/>
      <c r="O5" s="5"/>
      <c r="P5" s="5"/>
      <c r="Q5" s="5"/>
    </row>
    <row r="6" ht="22.5" customHeight="1">
      <c r="A6" s="77" t="s">
        <v>221</v>
      </c>
      <c r="B6" s="78"/>
      <c r="C6" s="5"/>
      <c r="D6" s="5"/>
      <c r="E6" s="5"/>
      <c r="F6" s="5"/>
      <c r="G6" s="5"/>
      <c r="I6" s="5"/>
      <c r="J6" s="5"/>
      <c r="K6" s="5"/>
      <c r="L6" s="5"/>
      <c r="M6" s="5"/>
      <c r="N6" s="5"/>
      <c r="O6" s="5"/>
      <c r="P6" s="5"/>
      <c r="Q6" s="5"/>
    </row>
    <row r="7" ht="22.5" customHeight="1">
      <c r="A7" s="77" t="s">
        <v>222</v>
      </c>
      <c r="B7" s="78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</row>
    <row r="8" ht="22.5" customHeight="1">
      <c r="A8" s="77" t="s">
        <v>223</v>
      </c>
      <c r="B8" s="78"/>
      <c r="C8" s="5"/>
      <c r="D8" s="5"/>
      <c r="E8" s="5"/>
      <c r="F8" s="5"/>
      <c r="G8" s="5"/>
      <c r="I8" s="5"/>
      <c r="J8" s="5"/>
      <c r="K8" s="5"/>
      <c r="L8" s="5"/>
      <c r="M8" s="5"/>
      <c r="N8" s="5"/>
      <c r="O8" s="5"/>
      <c r="P8" s="5"/>
      <c r="Q8" s="5"/>
    </row>
    <row r="9" ht="22.5" customHeight="1">
      <c r="A9" s="77" t="s">
        <v>224</v>
      </c>
      <c r="B9" s="78"/>
      <c r="C9" s="5"/>
      <c r="D9" s="5"/>
      <c r="E9" s="5"/>
      <c r="F9" s="5"/>
      <c r="G9" s="5"/>
      <c r="I9" s="5"/>
      <c r="J9" s="5"/>
      <c r="K9" s="5"/>
      <c r="L9" s="5"/>
      <c r="M9" s="5"/>
      <c r="N9" s="5"/>
      <c r="O9" s="5"/>
      <c r="P9" s="5"/>
      <c r="Q9" s="5"/>
    </row>
    <row r="10" ht="16.5" customHeight="1">
      <c r="A10" s="9" t="s">
        <v>225</v>
      </c>
      <c r="I10" s="5"/>
      <c r="J10" s="5"/>
      <c r="K10" s="5"/>
      <c r="L10" s="5"/>
      <c r="M10" s="5"/>
      <c r="N10" s="5"/>
      <c r="O10" s="5"/>
      <c r="P10" s="5"/>
      <c r="Q10" s="5"/>
    </row>
    <row r="11">
      <c r="A11" s="5"/>
      <c r="B11" s="5"/>
      <c r="C11" s="5"/>
      <c r="D11" s="5"/>
      <c r="E11" s="5"/>
      <c r="F11" s="5"/>
      <c r="G11" s="5"/>
      <c r="I11" s="5"/>
      <c r="J11" s="5"/>
      <c r="K11" s="5"/>
      <c r="L11" s="5"/>
      <c r="M11" s="5"/>
      <c r="N11" s="5"/>
      <c r="O11" s="5"/>
      <c r="P11" s="5"/>
      <c r="Q11" s="5"/>
    </row>
    <row r="12" ht="21.75" customHeight="1">
      <c r="A12" s="76" t="s">
        <v>226</v>
      </c>
      <c r="B12" s="3"/>
      <c r="C12" s="3"/>
      <c r="D12" s="3"/>
      <c r="E12" s="3"/>
      <c r="F12" s="3"/>
      <c r="G12" s="4"/>
      <c r="I12" s="5"/>
      <c r="J12" s="5"/>
      <c r="K12" s="5"/>
      <c r="L12" s="5"/>
      <c r="M12" s="5"/>
      <c r="N12" s="5"/>
      <c r="O12" s="5"/>
      <c r="P12" s="5"/>
      <c r="Q12" s="5"/>
    </row>
    <row r="13" ht="22.5" customHeight="1">
      <c r="A13" s="77" t="s">
        <v>227</v>
      </c>
      <c r="B13" s="79" t="str">
        <f>IF($B$6&lt;&gt;"",$B$6,IF($B$5="","— podaj wiek",ROUND(208-0.7*$B$5,0)))&amp;" ud/min"</f>
        <v>— podaj wiek ud/min</v>
      </c>
      <c r="C13" s="80"/>
      <c r="D13" s="5"/>
      <c r="E13" s="5"/>
      <c r="F13" s="5"/>
      <c r="G13" s="5"/>
      <c r="I13" s="5"/>
      <c r="J13" s="5"/>
      <c r="K13" s="5"/>
      <c r="L13" s="5"/>
      <c r="M13" s="5"/>
      <c r="N13" s="5"/>
      <c r="O13" s="5"/>
      <c r="P13" s="5"/>
      <c r="Q13" s="5"/>
    </row>
    <row r="14" ht="22.5" customHeight="1">
      <c r="A14" s="77" t="s">
        <v>228</v>
      </c>
      <c r="B14" s="79" t="str">
        <f>IF(OR($B$7="",$B$8="",$B$7=0),"— uzupełnij bieg testowy",TEXT(($B$8/$B$7)/1440,"mm:ss")&amp;" min/km")</f>
        <v>— uzupełnij bieg testowy</v>
      </c>
      <c r="C14" s="80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</row>
    <row r="15" ht="22.5" customHeight="1">
      <c r="A15" s="77" t="s">
        <v>229</v>
      </c>
      <c r="B15" s="79" t="str">
        <f>IF(OR($B$7="",$B$8="",$B$7=0),"— uzupełnij bieg testowy",TEXT($B$7/($B$8/60),"0.0")&amp;" km/h")</f>
        <v>— uzupełnij bieg testowy</v>
      </c>
      <c r="C15" s="80"/>
      <c r="D15" s="5"/>
      <c r="E15" s="5"/>
      <c r="F15" s="5"/>
      <c r="G15" s="5"/>
      <c r="I15" s="5"/>
      <c r="J15" s="5"/>
      <c r="K15" s="5"/>
      <c r="L15" s="5"/>
      <c r="M15" s="5"/>
      <c r="N15" s="5"/>
      <c r="O15" s="5"/>
      <c r="P15" s="5"/>
      <c r="Q15" s="5"/>
    </row>
    <row r="16">
      <c r="A16" s="5"/>
      <c r="B16" s="5"/>
      <c r="C16" s="5"/>
      <c r="D16" s="5"/>
      <c r="E16" s="5"/>
      <c r="F16" s="5"/>
      <c r="G16" s="5"/>
      <c r="I16" s="5"/>
      <c r="J16" s="5"/>
      <c r="K16" s="5"/>
      <c r="L16" s="5"/>
      <c r="M16" s="5"/>
      <c r="N16" s="5"/>
      <c r="O16" s="5"/>
      <c r="P16" s="5"/>
      <c r="Q16" s="5"/>
    </row>
    <row r="17" ht="21.75" customHeight="1">
      <c r="A17" s="76" t="s">
        <v>230</v>
      </c>
      <c r="B17" s="3"/>
      <c r="C17" s="3"/>
      <c r="D17" s="3"/>
      <c r="E17" s="3"/>
      <c r="F17" s="3"/>
      <c r="G17" s="4"/>
      <c r="I17" s="5"/>
      <c r="J17" s="5"/>
      <c r="K17" s="5"/>
      <c r="L17" s="5"/>
      <c r="M17" s="5"/>
      <c r="N17" s="5"/>
      <c r="O17" s="5"/>
      <c r="P17" s="5"/>
      <c r="Q17" s="5"/>
    </row>
    <row r="18" ht="22.5" customHeight="1">
      <c r="A18" s="77" t="s">
        <v>231</v>
      </c>
      <c r="B18" s="79" t="str">
        <f>IF(AND($B$5="",$B$6=""),"— podaj wiek albo HR max",ROUND(IF($B$6&lt;&gt;"",$B$6,ROUND(208-0.7*$B$5,0))*0.6,0)&amp;"–"&amp;ROUND(IF($B$6&lt;&gt;"",$B$6,ROUND(208-0.7*$B$5,0))*0.7,0)&amp;" ud/min")</f>
        <v>— podaj wiek albo HR max</v>
      </c>
      <c r="C18" s="80"/>
      <c r="D18" s="5"/>
      <c r="E18" s="5"/>
      <c r="F18" s="5"/>
      <c r="G18" s="5"/>
      <c r="I18" s="5"/>
      <c r="J18" s="5"/>
      <c r="K18" s="5"/>
      <c r="L18" s="5"/>
      <c r="M18" s="5"/>
      <c r="N18" s="5"/>
      <c r="O18" s="5"/>
      <c r="P18" s="5"/>
      <c r="Q18" s="5"/>
    </row>
    <row r="19" ht="22.5" customHeight="1">
      <c r="A19" s="77" t="s">
        <v>232</v>
      </c>
      <c r="B19" s="79" t="str">
        <f>IF(AND($B$5="",$B$6=""),"— podaj wiek albo HR max",ROUND(IF($B$6&lt;&gt;"",$B$6,ROUND(208-0.7*$B$5,0))*0.7,0)&amp;"–"&amp;ROUND(IF($B$6&lt;&gt;"",$B$6,ROUND(208-0.7*$B$5,0))*0.8,0)&amp;" ud/min")</f>
        <v>— podaj wiek albo HR max</v>
      </c>
      <c r="C19" s="80"/>
      <c r="D19" s="5"/>
      <c r="E19" s="5"/>
      <c r="F19" s="5"/>
      <c r="G19" s="5"/>
      <c r="I19" s="5"/>
      <c r="J19" s="5"/>
      <c r="K19" s="5"/>
      <c r="L19" s="5"/>
      <c r="M19" s="5"/>
      <c r="N19" s="5"/>
      <c r="O19" s="5"/>
      <c r="P19" s="5"/>
      <c r="Q19" s="5"/>
    </row>
    <row r="20" ht="22.5" customHeight="1">
      <c r="A20" s="77" t="s">
        <v>233</v>
      </c>
      <c r="B20" s="79" t="str">
        <f>IF(AND($B$5="",$B$6=""),"— podaj wiek albo HR max",ROUND(IF($B$6&lt;&gt;"",$B$6,ROUND(208-0.7*$B$5,0))*0.8,0)&amp;"–"&amp;ROUND(IF($B$6&lt;&gt;"",$B$6,ROUND(208-0.7*$B$5,0))*0.87,0)&amp;" ud/min")</f>
        <v>— podaj wiek albo HR max</v>
      </c>
      <c r="C20" s="80"/>
      <c r="D20" s="5"/>
      <c r="E20" s="5"/>
      <c r="F20" s="5"/>
      <c r="G20" s="5"/>
      <c r="I20" s="5"/>
      <c r="J20" s="5"/>
      <c r="K20" s="5"/>
      <c r="L20" s="5"/>
      <c r="M20" s="5"/>
      <c r="N20" s="5"/>
      <c r="O20" s="5"/>
      <c r="P20" s="5"/>
      <c r="Q20" s="5"/>
    </row>
    <row r="21" ht="22.5" customHeight="1">
      <c r="A21" s="77" t="s">
        <v>234</v>
      </c>
      <c r="B21" s="79" t="str">
        <f>IF(AND($B$5="",$B$6=""),"— podaj wiek albo HR max",ROUND(IF($B$6&lt;&gt;"",$B$6,ROUND(208-0.7*$B$5,0))*0.87,0)&amp;"–"&amp;ROUND(IF($B$6&lt;&gt;"",$B$6,ROUND(208-0.7*$B$5,0))*0.93,0)&amp;" ud/min")</f>
        <v>— podaj wiek albo HR max</v>
      </c>
      <c r="C21" s="80"/>
      <c r="D21" s="5"/>
      <c r="E21" s="5"/>
      <c r="F21" s="5"/>
      <c r="G21" s="5"/>
      <c r="I21" s="5"/>
      <c r="J21" s="5"/>
      <c r="K21" s="5"/>
      <c r="L21" s="5"/>
      <c r="M21" s="5"/>
      <c r="N21" s="5"/>
      <c r="O21" s="5"/>
      <c r="P21" s="5"/>
      <c r="Q21" s="5"/>
    </row>
    <row r="22" ht="22.5" customHeight="1">
      <c r="A22" s="77" t="s">
        <v>235</v>
      </c>
      <c r="B22" s="79" t="str">
        <f>IF(AND($B$5="",$B$6=""),"— podaj wiek albo HR max",ROUND(IF($B$6&lt;&gt;"",$B$6,ROUND(208-0.7*$B$5,0))*0.93,0)&amp;"–"&amp;ROUND(IF($B$6&lt;&gt;"",$B$6,ROUND(208-0.7*$B$5,0))*1,0)&amp;" ud/min")</f>
        <v>— podaj wiek albo HR max</v>
      </c>
      <c r="C22" s="80"/>
      <c r="D22" s="5"/>
      <c r="E22" s="5"/>
      <c r="F22" s="5"/>
      <c r="G22" s="5"/>
      <c r="I22" s="5"/>
      <c r="J22" s="5"/>
      <c r="K22" s="5"/>
      <c r="L22" s="5"/>
      <c r="M22" s="5"/>
      <c r="N22" s="5"/>
      <c r="O22" s="5"/>
      <c r="P22" s="5"/>
      <c r="Q22" s="5"/>
    </row>
    <row r="23" ht="15.75" customHeight="1">
      <c r="A23" s="5"/>
      <c r="B23" s="5"/>
      <c r="C23" s="5"/>
      <c r="D23" s="5"/>
      <c r="E23" s="5"/>
      <c r="F23" s="5"/>
      <c r="G23" s="5"/>
      <c r="I23" s="5"/>
      <c r="J23" s="5"/>
      <c r="K23" s="5"/>
      <c r="L23" s="5"/>
      <c r="M23" s="5"/>
      <c r="N23" s="5"/>
      <c r="O23" s="5"/>
      <c r="P23" s="5"/>
      <c r="Q23" s="5"/>
    </row>
    <row r="24" ht="21.75" customHeight="1">
      <c r="A24" s="76" t="s">
        <v>236</v>
      </c>
      <c r="B24" s="3"/>
      <c r="C24" s="3"/>
      <c r="D24" s="3"/>
      <c r="E24" s="3"/>
      <c r="F24" s="3"/>
      <c r="G24" s="4"/>
      <c r="I24" s="5"/>
      <c r="J24" s="5"/>
      <c r="K24" s="5"/>
      <c r="L24" s="5"/>
      <c r="M24" s="5"/>
      <c r="N24" s="5"/>
      <c r="O24" s="5"/>
      <c r="P24" s="5"/>
      <c r="Q24" s="5"/>
    </row>
    <row r="25" ht="22.5" customHeight="1">
      <c r="A25" s="77" t="s">
        <v>237</v>
      </c>
      <c r="B25" s="79" t="str">
        <f>IF(OR($B$7="",$B$8="",$B$7=0),"— uzupełnij bieg testowy",TEXT(($B$8/$B$7+1.25)/1440,"mm:ss")&amp;" min/km")</f>
        <v>— uzupełnij bieg testowy</v>
      </c>
      <c r="C25" s="80"/>
      <c r="D25" s="5"/>
      <c r="E25" s="5"/>
      <c r="F25" s="5"/>
      <c r="G25" s="5"/>
      <c r="I25" s="5"/>
      <c r="J25" s="5" t="str">
        <f>IF($B$7=0,"",$B$8/$B$7+1.25)</f>
        <v/>
      </c>
      <c r="K25" s="5"/>
      <c r="L25" s="5"/>
      <c r="M25" s="5"/>
      <c r="N25" s="5"/>
      <c r="O25" s="5"/>
      <c r="P25" s="5"/>
      <c r="Q25" s="5"/>
    </row>
    <row r="26" ht="22.5" customHeight="1">
      <c r="A26" s="77" t="s">
        <v>238</v>
      </c>
      <c r="B26" s="79" t="str">
        <f>IF(OR($B$7="",$B$8="",$B$7=0),"— uzupełnij bieg testowy",TEXT(($B$8/$B$7+0.6667)/1440,"mm:ss")&amp;" min/km")</f>
        <v>— uzupełnij bieg testowy</v>
      </c>
      <c r="C26" s="80"/>
      <c r="D26" s="5"/>
      <c r="E26" s="5"/>
      <c r="F26" s="5"/>
      <c r="G26" s="5"/>
      <c r="I26" s="5"/>
      <c r="J26" s="5" t="str">
        <f>IF($B$7=0,"",$B$8/$B$7+0.6667)</f>
        <v/>
      </c>
      <c r="K26" s="5"/>
      <c r="L26" s="5"/>
      <c r="M26" s="5"/>
      <c r="N26" s="5"/>
      <c r="O26" s="5"/>
      <c r="P26" s="5"/>
      <c r="Q26" s="5"/>
    </row>
    <row r="27" ht="22.5" customHeight="1">
      <c r="A27" s="77" t="s">
        <v>239</v>
      </c>
      <c r="B27" s="79" t="str">
        <f>IF(OR($B$7="",$B$8="",$B$7=0),"— uzupełnij bieg testowy",TEXT(($B$8/$B$7+0.25)/1440,"mm:ss")&amp;" min/km")</f>
        <v>— uzupełnij bieg testowy</v>
      </c>
      <c r="C27" s="80"/>
      <c r="D27" s="5"/>
      <c r="E27" s="5"/>
      <c r="F27" s="5"/>
      <c r="G27" s="5"/>
      <c r="I27" s="5"/>
      <c r="J27" s="5" t="str">
        <f>IF($B$7=0,"",$B$8/$B$7+0.25)</f>
        <v/>
      </c>
      <c r="K27" s="5"/>
      <c r="L27" s="5"/>
      <c r="M27" s="5"/>
      <c r="N27" s="5"/>
      <c r="O27" s="5"/>
      <c r="P27" s="5"/>
      <c r="Q27" s="5"/>
    </row>
    <row r="28" ht="22.5" customHeight="1">
      <c r="A28" s="77" t="s">
        <v>240</v>
      </c>
      <c r="B28" s="79" t="str">
        <f>IF(OR($B$7="",$B$8="",$B$7=0),"— uzupełnij bieg testowy",TEXT(($B$8/$B$7+-0.1667)/1440,"mm:ss")&amp;" min/km")</f>
        <v>— uzupełnij bieg testowy</v>
      </c>
      <c r="C28" s="80"/>
      <c r="D28" s="5"/>
      <c r="E28" s="5"/>
      <c r="F28" s="5"/>
      <c r="G28" s="5"/>
      <c r="I28" s="5"/>
      <c r="J28" s="5" t="str">
        <f>IF($B$7=0,"",$B$8/$B$7+-0.1667)</f>
        <v/>
      </c>
      <c r="K28" s="5"/>
      <c r="L28" s="5"/>
      <c r="M28" s="5"/>
      <c r="N28" s="5"/>
      <c r="O28" s="5"/>
      <c r="P28" s="5"/>
      <c r="Q28" s="5"/>
    </row>
    <row r="29" ht="15.75" customHeight="1">
      <c r="A29" s="5"/>
      <c r="B29" s="5"/>
      <c r="C29" s="5"/>
      <c r="D29" s="5"/>
      <c r="E29" s="5"/>
      <c r="F29" s="5"/>
      <c r="G29" s="5"/>
      <c r="I29" s="5"/>
      <c r="J29" s="5"/>
      <c r="K29" s="5"/>
      <c r="L29" s="5"/>
      <c r="M29" s="5"/>
      <c r="N29" s="5"/>
      <c r="O29" s="5"/>
      <c r="P29" s="5"/>
      <c r="Q29" s="5"/>
    </row>
    <row r="30" ht="21.75" customHeight="1">
      <c r="A30" s="76" t="s">
        <v>241</v>
      </c>
      <c r="B30" s="3"/>
      <c r="C30" s="3"/>
      <c r="D30" s="3"/>
      <c r="E30" s="3"/>
      <c r="F30" s="3"/>
      <c r="G30" s="4"/>
      <c r="I30" s="5"/>
      <c r="J30" s="5"/>
      <c r="K30" s="5"/>
      <c r="L30" s="5"/>
      <c r="M30" s="5"/>
      <c r="N30" s="5"/>
      <c r="O30" s="5"/>
      <c r="P30" s="5"/>
      <c r="Q30" s="5"/>
    </row>
    <row r="31" ht="18.0" customHeight="1">
      <c r="A31" s="81" t="s">
        <v>242</v>
      </c>
      <c r="B31" s="81" t="s">
        <v>243</v>
      </c>
      <c r="C31" s="81" t="s">
        <v>244</v>
      </c>
      <c r="D31" s="82" t="s">
        <v>245</v>
      </c>
      <c r="E31" s="82" t="s">
        <v>246</v>
      </c>
      <c r="F31" s="82" t="s">
        <v>247</v>
      </c>
      <c r="G31" s="82" t="s">
        <v>248</v>
      </c>
      <c r="I31" s="5"/>
      <c r="J31" s="5"/>
      <c r="K31" s="5"/>
      <c r="L31" s="5"/>
      <c r="M31" s="5"/>
      <c r="N31" s="5"/>
      <c r="O31" s="5"/>
      <c r="P31" s="5"/>
      <c r="Q31" s="5"/>
    </row>
    <row r="32" ht="19.5" customHeight="1">
      <c r="A32" s="77" t="s">
        <v>249</v>
      </c>
      <c r="B32" s="83" t="str">
        <f>IF(NOT(N($B$9)&gt;=1),"","Jednostka 1")</f>
        <v/>
      </c>
      <c r="C32" s="84" t="str">
        <f>IF(NOT(N($B$9)&gt;=1),"—","Bieg spokojny — ciągły")</f>
        <v>—</v>
      </c>
      <c r="D32" s="85" t="str">
        <f>IF(NOT(N($B$9)&gt;=1),"",$N32&amp;" min")</f>
        <v/>
      </c>
      <c r="E32" s="85" t="str">
        <f>IF(OR(NOT(N($B$9)&gt;=1),$O32=""),"","≈ "&amp;TEXT($O32,"0.0")&amp;" km")</f>
        <v/>
      </c>
      <c r="F32" s="85" t="str">
        <f>IF(NOT(N($B$9)&gt;=1),"",$B$25)</f>
        <v/>
      </c>
      <c r="G32" s="85" t="str">
        <f>IF(NOT(N($B$9)&gt;=1),"",$B$18)</f>
        <v/>
      </c>
      <c r="I32" s="5" t="str">
        <f>IF(NOT(N($B$9)&gt;=1),"","spokojny (Z2)  ·  "&amp;""&amp;$D32&amp;"  ·  "&amp;$E32&amp;"  ·  "&amp;$F32)</f>
        <v/>
      </c>
      <c r="J32" s="5"/>
      <c r="K32" s="5" t="str">
        <f>IF(NOT(N($B$9)&gt;=1),"",MAX(10,ROUND(30*1*CHOOSE(MAX(1,MIN(5,N($B$9))),1.2,1.1,1,0.95,0.9)/5,0)*5))</f>
        <v/>
      </c>
      <c r="L32" s="5" t="str">
        <f t="shared" ref="L32:M32" si="1">IF(NOT(N($B$9)&gt;=1),"",0)</f>
        <v/>
      </c>
      <c r="M32" s="5" t="str">
        <f t="shared" si="1"/>
        <v/>
      </c>
      <c r="N32" s="5" t="str">
        <f>IF(NOT(N($B$9)&gt;=1),"",$K32+$L32+$M32)</f>
        <v/>
      </c>
      <c r="O32" s="5" t="str">
        <f>IF(OR(NOT(N($B$9)&gt;=1),$B$7=""),"",MROUND($K32/$J$25+($L32+$M32)/$J$25,0.5))</f>
        <v/>
      </c>
      <c r="P32" s="5"/>
      <c r="Q32" s="5"/>
    </row>
    <row r="33" ht="16.5" customHeight="1">
      <c r="A33" s="86"/>
      <c r="B33" s="83" t="str">
        <f>IF(NOT(N($B$9)&gt;=2),"","Jednostka 2")</f>
        <v/>
      </c>
      <c r="C33" s="84" t="str">
        <f>IF(NOT(N($B$9)&gt;=2),"—","Bieg spokojny — ciągły")</f>
        <v>—</v>
      </c>
      <c r="D33" s="85" t="str">
        <f>IF(NOT(N($B$9)&gt;=2),"",$N33&amp;" min")</f>
        <v/>
      </c>
      <c r="E33" s="85" t="str">
        <f>IF(OR(NOT(N($B$9)&gt;=2),$O33=""),"","≈ "&amp;TEXT($O33,"0.0")&amp;" km")</f>
        <v/>
      </c>
      <c r="F33" s="85" t="str">
        <f>IF(NOT(N($B$9)&gt;=2),"",$B$25)</f>
        <v/>
      </c>
      <c r="G33" s="85" t="str">
        <f>IF(NOT(N($B$9)&gt;=2),"",$B$18)</f>
        <v/>
      </c>
      <c r="I33" s="5" t="str">
        <f>IF(NOT(N($B$9)&gt;=2),"","spokojny (Z2)  ·  "&amp;""&amp;$D33&amp;"  ·  "&amp;$E33&amp;"  ·  "&amp;$F33)</f>
        <v/>
      </c>
      <c r="J33" s="5"/>
      <c r="K33" s="5" t="str">
        <f>IF(NOT(N($B$9)&gt;=2),"",MAX(10,ROUND(30*1*CHOOSE(MAX(1,MIN(5,N($B$9))),1.2,1.1,1,0.95,0.9)/5,0)*5))</f>
        <v/>
      </c>
      <c r="L33" s="5" t="str">
        <f t="shared" ref="L33:M33" si="2">IF(NOT(N($B$9)&gt;=2),"",0)</f>
        <v/>
      </c>
      <c r="M33" s="5" t="str">
        <f t="shared" si="2"/>
        <v/>
      </c>
      <c r="N33" s="5" t="str">
        <f>IF(NOT(N($B$9)&gt;=2),"",$K33+$L33+$M33)</f>
        <v/>
      </c>
      <c r="O33" s="5" t="str">
        <f>IF(OR(NOT(N($B$9)&gt;=2),$B$7=""),"",MROUND($K33/$J$25+($L33+$M33)/$J$25,0.5))</f>
        <v/>
      </c>
      <c r="P33" s="5"/>
      <c r="Q33" s="5"/>
    </row>
    <row r="34" ht="16.5" customHeight="1">
      <c r="A34" s="86"/>
      <c r="B34" s="83" t="str">
        <f>IF(NOT(N($B$9)&gt;=3),"","Jednostka 3")</f>
        <v/>
      </c>
      <c r="C34" s="84" t="str">
        <f>IF(NOT(N($B$9)&gt;=3),"—","Bieg ciągły — "&amp;$K34&amp;" min w tempie ciągłym + 20 min rozgrzewki i schłodzenia")</f>
        <v>—</v>
      </c>
      <c r="D34" s="85" t="str">
        <f>IF(NOT(N($B$9)&gt;=3),"",$N34&amp;" min")</f>
        <v/>
      </c>
      <c r="E34" s="85" t="str">
        <f>IF(OR(NOT(N($B$9)&gt;=3),$O34=""),"","≈ "&amp;TEXT($O34,"0.0")&amp;" km")</f>
        <v/>
      </c>
      <c r="F34" s="85" t="str">
        <f>IF(NOT(N($B$9)&gt;=3),"",$B$26)</f>
        <v/>
      </c>
      <c r="G34" s="85" t="str">
        <f>IF(NOT(N($B$9)&gt;=3),"",$B$19)</f>
        <v/>
      </c>
      <c r="I34" s="5" t="str">
        <f>IF(NOT(N($B$9)&gt;=3),"","ciągły (Z3)  ·  "&amp;""&amp;$D34&amp;"  ·  "&amp;$E34&amp;"  ·  "&amp;$F34)</f>
        <v/>
      </c>
      <c r="J34" s="5"/>
      <c r="K34" s="5" t="str">
        <f>IF(NOT(N($B$9)&gt;=3),"",MAX(10,ROUND(20*1*CHOOSE(MAX(1,MIN(5,N($B$9))),1.2,1.1,1,0.95,0.9)/5,0)*5))</f>
        <v/>
      </c>
      <c r="L34" s="5" t="str">
        <f>IF(NOT(N($B$9)&gt;=3),"",20)</f>
        <v/>
      </c>
      <c r="M34" s="5" t="str">
        <f>IF(NOT(N($B$9)&gt;=3),"",0)</f>
        <v/>
      </c>
      <c r="N34" s="5" t="str">
        <f>IF(NOT(N($B$9)&gt;=3),"",$K34+$L34+$M34)</f>
        <v/>
      </c>
      <c r="O34" s="5" t="str">
        <f>IF(OR(NOT(N($B$9)&gt;=3),$B$7=""),"",MROUND($K34/$J$26+($L34+$M34)/$J$25,0.5))</f>
        <v/>
      </c>
      <c r="P34" s="5"/>
      <c r="Q34" s="5"/>
    </row>
    <row r="35" ht="16.5" customHeight="1">
      <c r="A35" s="86"/>
      <c r="B35" s="83" t="str">
        <f>IF(NOT(N($B$9)&gt;=4),"","Jednostka 4")</f>
        <v/>
      </c>
      <c r="C35" s="84" t="str">
        <f>IF(NOT(N($B$9)&gt;=4),"—","Długie wybieganie — ciągły")</f>
        <v>—</v>
      </c>
      <c r="D35" s="85" t="str">
        <f>IF(NOT(N($B$9)&gt;=4),"",$N35&amp;" min")</f>
        <v/>
      </c>
      <c r="E35" s="85" t="str">
        <f>IF(OR(NOT(N($B$9)&gt;=4),$O35=""),"","≈ "&amp;TEXT($O35,"0.0")&amp;" km")</f>
        <v/>
      </c>
      <c r="F35" s="85" t="str">
        <f>IF(NOT(N($B$9)&gt;=4),"",$B$25)</f>
        <v/>
      </c>
      <c r="G35" s="85" t="str">
        <f>IF(NOT(N($B$9)&gt;=4),"",$B$18)</f>
        <v/>
      </c>
      <c r="I35" s="5" t="str">
        <f>IF(NOT(N($B$9)&gt;=4),"","długie wybieganie (Z2)  ·  "&amp;""&amp;$D35&amp;"  ·  "&amp;$E35&amp;"  ·  "&amp;$F35)</f>
        <v/>
      </c>
      <c r="J35" s="5"/>
      <c r="K35" s="5" t="str">
        <f>IF(NOT(N($B$9)&gt;=4),"",MAX(10,ROUND(45*1*CHOOSE(MAX(1,MIN(5,N($B$9))),1.2,1.1,1,0.95,0.9)/5,0)*5))</f>
        <v/>
      </c>
      <c r="L35" s="5" t="str">
        <f t="shared" ref="L35:M35" si="3">IF(NOT(N($B$9)&gt;=4),"",0)</f>
        <v/>
      </c>
      <c r="M35" s="5" t="str">
        <f t="shared" si="3"/>
        <v/>
      </c>
      <c r="N35" s="5" t="str">
        <f>IF(NOT(N($B$9)&gt;=4),"",$K35+$L35+$M35)</f>
        <v/>
      </c>
      <c r="O35" s="5" t="str">
        <f>IF(OR(NOT(N($B$9)&gt;=4),$B$7=""),"",MROUND($K35/$J$25+($L35+$M35)/$J$25,0.5))</f>
        <v/>
      </c>
      <c r="P35" s="5"/>
      <c r="Q35" s="5"/>
    </row>
    <row r="36" ht="16.5" customHeight="1">
      <c r="A36" s="86"/>
      <c r="B36" s="83" t="str">
        <f>IF(NOT(N($B$9)&gt;=5),"","Jednostka 5")</f>
        <v/>
      </c>
      <c r="C36" s="84" t="str">
        <f>IF(NOT(N($B$9)&gt;=5),"—","Interwał progowy — "&amp;ROUND($K36/4,0)&amp;" × 4 min, przerwa 2 min truchtu")</f>
        <v>—</v>
      </c>
      <c r="D36" s="85" t="str">
        <f>IF(NOT(N($B$9)&gt;=5),"",$N36&amp;" min")</f>
        <v/>
      </c>
      <c r="E36" s="85" t="str">
        <f>IF(OR(NOT(N($B$9)&gt;=5),$O36=""),"","≈ "&amp;TEXT($O36,"0.0")&amp;" km")</f>
        <v/>
      </c>
      <c r="F36" s="85" t="str">
        <f>IF(NOT(N($B$9)&gt;=5),"",$B$27)</f>
        <v/>
      </c>
      <c r="G36" s="85" t="str">
        <f>IF(NOT(N($B$9)&gt;=5),"",$B$20)</f>
        <v/>
      </c>
      <c r="I36" s="5" t="str">
        <f>IF(NOT(N($B$9)&gt;=5),"","interwał progowy (Z4)  ·  "&amp;ROUND($K36/4,0)&amp;" × 4 min  ·  "&amp;$D36&amp;"  ·  "&amp;$E36&amp;"  ·  "&amp;$F36)</f>
        <v/>
      </c>
      <c r="J36" s="5"/>
      <c r="K36" s="5" t="str">
        <f>IF(NOT(N($B$9)&gt;=5),"",MAX(10,ROUND(16*1*CHOOSE(MAX(1,MIN(5,N($B$9))),1.2,1.1,1,0.95,0.9)/5,0)*5))</f>
        <v/>
      </c>
      <c r="L36" s="5" t="str">
        <f>IF(NOT(N($B$9)&gt;=5),"",20)</f>
        <v/>
      </c>
      <c r="M36" s="5" t="str">
        <f>IF(NOT(N($B$9)&gt;=5),"",ROUND($K36/4,0)*2)</f>
        <v/>
      </c>
      <c r="N36" s="5" t="str">
        <f>IF(NOT(N($B$9)&gt;=5),"",$K36+$L36+$M36)</f>
        <v/>
      </c>
      <c r="O36" s="5" t="str">
        <f>IF(OR(NOT(N($B$9)&gt;=5),$B$7=""),"",MROUND($K36/$J$27+($L36+$M36)/$J$25,0.5))</f>
        <v/>
      </c>
      <c r="P36" s="5"/>
      <c r="Q36" s="5"/>
    </row>
    <row r="37" ht="19.5" customHeight="1">
      <c r="A37" s="77" t="s">
        <v>250</v>
      </c>
      <c r="B37" s="83" t="str">
        <f>IF(NOT(N($B$9)&gt;=1),"","Jednostka 1")</f>
        <v/>
      </c>
      <c r="C37" s="84" t="str">
        <f>IF(NOT(N($B$9)&gt;=1),"—","Bieg spokojny — ciągły")</f>
        <v>—</v>
      </c>
      <c r="D37" s="85" t="str">
        <f>IF(NOT(N($B$9)&gt;=1),"",$N37&amp;" min")</f>
        <v/>
      </c>
      <c r="E37" s="85" t="str">
        <f>IF(OR(NOT(N($B$9)&gt;=1),$O37=""),"","≈ "&amp;TEXT($O37,"0.0")&amp;" km")</f>
        <v/>
      </c>
      <c r="F37" s="85" t="str">
        <f>IF(NOT(N($B$9)&gt;=1),"",$B$25)</f>
        <v/>
      </c>
      <c r="G37" s="85" t="str">
        <f>IF(NOT(N($B$9)&gt;=1),"",$B$18)</f>
        <v/>
      </c>
      <c r="I37" s="5" t="str">
        <f>IF(NOT(N($B$9)&gt;=1),"","spokojny (Z2)  ·  "&amp;""&amp;$D37&amp;"  ·  "&amp;$E37&amp;"  ·  "&amp;$F37)</f>
        <v/>
      </c>
      <c r="J37" s="5"/>
      <c r="K37" s="5" t="str">
        <f>IF(NOT(N($B$9)&gt;=1),"",MAX(10,ROUND(30*1.1*CHOOSE(MAX(1,MIN(5,N($B$9))),1.2,1.1,1,0.95,0.9)/5,0)*5))</f>
        <v/>
      </c>
      <c r="L37" s="5" t="str">
        <f t="shared" ref="L37:M37" si="4">IF(NOT(N($B$9)&gt;=1),"",0)</f>
        <v/>
      </c>
      <c r="M37" s="5" t="str">
        <f t="shared" si="4"/>
        <v/>
      </c>
      <c r="N37" s="5" t="str">
        <f>IF(NOT(N($B$9)&gt;=1),"",$K37+$L37+$M37)</f>
        <v/>
      </c>
      <c r="O37" s="5" t="str">
        <f>IF(OR(NOT(N($B$9)&gt;=1),$B$7=""),"",MROUND($K37/$J$25+($L37+$M37)/$J$25,0.5))</f>
        <v/>
      </c>
      <c r="P37" s="5"/>
      <c r="Q37" s="5"/>
    </row>
    <row r="38" ht="16.5" customHeight="1">
      <c r="A38" s="86"/>
      <c r="B38" s="83" t="str">
        <f>IF(NOT(N($B$9)&gt;=2),"","Jednostka 2")</f>
        <v/>
      </c>
      <c r="C38" s="84" t="str">
        <f>IF(NOT(N($B$9)&gt;=2),"—","Bieg spokojny — ciągły")</f>
        <v>—</v>
      </c>
      <c r="D38" s="85" t="str">
        <f>IF(NOT(N($B$9)&gt;=2),"",$N38&amp;" min")</f>
        <v/>
      </c>
      <c r="E38" s="85" t="str">
        <f>IF(OR(NOT(N($B$9)&gt;=2),$O38=""),"","≈ "&amp;TEXT($O38,"0.0")&amp;" km")</f>
        <v/>
      </c>
      <c r="F38" s="85" t="str">
        <f>IF(NOT(N($B$9)&gt;=2),"",$B$25)</f>
        <v/>
      </c>
      <c r="G38" s="85" t="str">
        <f>IF(NOT(N($B$9)&gt;=2),"",$B$18)</f>
        <v/>
      </c>
      <c r="I38" s="5" t="str">
        <f>IF(NOT(N($B$9)&gt;=2),"","spokojny (Z2)  ·  "&amp;""&amp;$D38&amp;"  ·  "&amp;$E38&amp;"  ·  "&amp;$F38)</f>
        <v/>
      </c>
      <c r="J38" s="5"/>
      <c r="K38" s="5" t="str">
        <f>IF(NOT(N($B$9)&gt;=2),"",MAX(10,ROUND(30*1.1*CHOOSE(MAX(1,MIN(5,N($B$9))),1.2,1.1,1,0.95,0.9)/5,0)*5))</f>
        <v/>
      </c>
      <c r="L38" s="5" t="str">
        <f t="shared" ref="L38:M38" si="5">IF(NOT(N($B$9)&gt;=2),"",0)</f>
        <v/>
      </c>
      <c r="M38" s="5" t="str">
        <f t="shared" si="5"/>
        <v/>
      </c>
      <c r="N38" s="5" t="str">
        <f>IF(NOT(N($B$9)&gt;=2),"",$K38+$L38+$M38)</f>
        <v/>
      </c>
      <c r="O38" s="5" t="str">
        <f>IF(OR(NOT(N($B$9)&gt;=2),$B$7=""),"",MROUND($K38/$J$25+($L38+$M38)/$J$25,0.5))</f>
        <v/>
      </c>
      <c r="P38" s="5"/>
      <c r="Q38" s="5"/>
    </row>
    <row r="39" ht="16.5" customHeight="1">
      <c r="A39" s="86"/>
      <c r="B39" s="83" t="str">
        <f>IF(NOT(N($B$9)&gt;=3),"","Jednostka 3")</f>
        <v/>
      </c>
      <c r="C39" s="84" t="str">
        <f>IF(NOT(N($B$9)&gt;=3),"—","Bieg ciągły — "&amp;$K39&amp;" min w tempie ciągłym + 20 min rozgrzewki i schłodzenia")</f>
        <v>—</v>
      </c>
      <c r="D39" s="85" t="str">
        <f>IF(NOT(N($B$9)&gt;=3),"",$N39&amp;" min")</f>
        <v/>
      </c>
      <c r="E39" s="85" t="str">
        <f>IF(OR(NOT(N($B$9)&gt;=3),$O39=""),"","≈ "&amp;TEXT($O39,"0.0")&amp;" km")</f>
        <v/>
      </c>
      <c r="F39" s="85" t="str">
        <f>IF(NOT(N($B$9)&gt;=3),"",$B$26)</f>
        <v/>
      </c>
      <c r="G39" s="85" t="str">
        <f>IF(NOT(N($B$9)&gt;=3),"",$B$19)</f>
        <v/>
      </c>
      <c r="I39" s="5" t="str">
        <f>IF(NOT(N($B$9)&gt;=3),"","ciągły (Z3)  ·  "&amp;""&amp;$D39&amp;"  ·  "&amp;$E39&amp;"  ·  "&amp;$F39)</f>
        <v/>
      </c>
      <c r="J39" s="5"/>
      <c r="K39" s="5" t="str">
        <f>IF(NOT(N($B$9)&gt;=3),"",MAX(10,ROUND(20*1.1*CHOOSE(MAX(1,MIN(5,N($B$9))),1.2,1.1,1,0.95,0.9)/5,0)*5))</f>
        <v/>
      </c>
      <c r="L39" s="5" t="str">
        <f>IF(NOT(N($B$9)&gt;=3),"",20)</f>
        <v/>
      </c>
      <c r="M39" s="5" t="str">
        <f>IF(NOT(N($B$9)&gt;=3),"",0)</f>
        <v/>
      </c>
      <c r="N39" s="5" t="str">
        <f>IF(NOT(N($B$9)&gt;=3),"",$K39+$L39+$M39)</f>
        <v/>
      </c>
      <c r="O39" s="5" t="str">
        <f>IF(OR(NOT(N($B$9)&gt;=3),$B$7=""),"",MROUND($K39/$J$26+($L39+$M39)/$J$25,0.5))</f>
        <v/>
      </c>
      <c r="P39" s="5"/>
      <c r="Q39" s="5"/>
    </row>
    <row r="40" ht="16.5" customHeight="1">
      <c r="A40" s="86"/>
      <c r="B40" s="83" t="str">
        <f>IF(NOT(N($B$9)&gt;=4),"","Jednostka 4")</f>
        <v/>
      </c>
      <c r="C40" s="84" t="str">
        <f>IF(NOT(N($B$9)&gt;=4),"—","Długie wybieganie — ciągły")</f>
        <v>—</v>
      </c>
      <c r="D40" s="85" t="str">
        <f>IF(NOT(N($B$9)&gt;=4),"",$N40&amp;" min")</f>
        <v/>
      </c>
      <c r="E40" s="85" t="str">
        <f>IF(OR(NOT(N($B$9)&gt;=4),$O40=""),"","≈ "&amp;TEXT($O40,"0.0")&amp;" km")</f>
        <v/>
      </c>
      <c r="F40" s="85" t="str">
        <f>IF(NOT(N($B$9)&gt;=4),"",$B$25)</f>
        <v/>
      </c>
      <c r="G40" s="85" t="str">
        <f>IF(NOT(N($B$9)&gt;=4),"",$B$18)</f>
        <v/>
      </c>
      <c r="I40" s="5" t="str">
        <f>IF(NOT(N($B$9)&gt;=4),"","długie wybieganie (Z2)  ·  "&amp;""&amp;$D40&amp;"  ·  "&amp;$E40&amp;"  ·  "&amp;$F40)</f>
        <v/>
      </c>
      <c r="J40" s="5"/>
      <c r="K40" s="5" t="str">
        <f>IF(NOT(N($B$9)&gt;=4),"",MAX(10,ROUND(45*1.1*CHOOSE(MAX(1,MIN(5,N($B$9))),1.2,1.1,1,0.95,0.9)/5,0)*5))</f>
        <v/>
      </c>
      <c r="L40" s="5" t="str">
        <f t="shared" ref="L40:M40" si="6">IF(NOT(N($B$9)&gt;=4),"",0)</f>
        <v/>
      </c>
      <c r="M40" s="5" t="str">
        <f t="shared" si="6"/>
        <v/>
      </c>
      <c r="N40" s="5" t="str">
        <f>IF(NOT(N($B$9)&gt;=4),"",$K40+$L40+$M40)</f>
        <v/>
      </c>
      <c r="O40" s="5" t="str">
        <f>IF(OR(NOT(N($B$9)&gt;=4),$B$7=""),"",MROUND($K40/$J$25+($L40+$M40)/$J$25,0.5))</f>
        <v/>
      </c>
      <c r="P40" s="5"/>
      <c r="Q40" s="5"/>
    </row>
    <row r="41" ht="16.5" customHeight="1">
      <c r="A41" s="86"/>
      <c r="B41" s="83" t="str">
        <f>IF(NOT(N($B$9)&gt;=5),"","Jednostka 5")</f>
        <v/>
      </c>
      <c r="C41" s="84" t="str">
        <f>IF(NOT(N($B$9)&gt;=5),"—","Interwał progowy — "&amp;ROUND($K41/4,0)&amp;" × 4 min, przerwa 2 min truchtu")</f>
        <v>—</v>
      </c>
      <c r="D41" s="85" t="str">
        <f>IF(NOT(N($B$9)&gt;=5),"",$N41&amp;" min")</f>
        <v/>
      </c>
      <c r="E41" s="85" t="str">
        <f>IF(OR(NOT(N($B$9)&gt;=5),$O41=""),"","≈ "&amp;TEXT($O41,"0.0")&amp;" km")</f>
        <v/>
      </c>
      <c r="F41" s="85" t="str">
        <f>IF(NOT(N($B$9)&gt;=5),"",$B$27)</f>
        <v/>
      </c>
      <c r="G41" s="85" t="str">
        <f>IF(NOT(N($B$9)&gt;=5),"",$B$20)</f>
        <v/>
      </c>
      <c r="I41" s="5" t="str">
        <f>IF(NOT(N($B$9)&gt;=5),"","interwał progowy (Z4)  ·  "&amp;ROUND($K41/4,0)&amp;" × 4 min  ·  "&amp;$D41&amp;"  ·  "&amp;$E41&amp;"  ·  "&amp;$F41)</f>
        <v/>
      </c>
      <c r="J41" s="5"/>
      <c r="K41" s="5" t="str">
        <f>IF(NOT(N($B$9)&gt;=5),"",MAX(10,ROUND(16*1.1*CHOOSE(MAX(1,MIN(5,N($B$9))),1.2,1.1,1,0.95,0.9)/5,0)*5))</f>
        <v/>
      </c>
      <c r="L41" s="5" t="str">
        <f>IF(NOT(N($B$9)&gt;=5),"",20)</f>
        <v/>
      </c>
      <c r="M41" s="5" t="str">
        <f>IF(NOT(N($B$9)&gt;=5),"",ROUND($K41/4,0)*2)</f>
        <v/>
      </c>
      <c r="N41" s="5" t="str">
        <f>IF(NOT(N($B$9)&gt;=5),"",$K41+$L41+$M41)</f>
        <v/>
      </c>
      <c r="O41" s="5" t="str">
        <f>IF(OR(NOT(N($B$9)&gt;=5),$B$7=""),"",MROUND($K41/$J$27+($L41+$M41)/$J$25,0.5))</f>
        <v/>
      </c>
      <c r="P41" s="5"/>
      <c r="Q41" s="5"/>
    </row>
    <row r="42" ht="19.5" customHeight="1">
      <c r="A42" s="77" t="s">
        <v>251</v>
      </c>
      <c r="B42" s="83" t="str">
        <f>IF(NOT(N($B$9)&gt;=1),"","Jednostka 1")</f>
        <v/>
      </c>
      <c r="C42" s="84" t="str">
        <f>IF(NOT(N($B$9)&gt;=1),"—","Bieg spokojny — ciągły")</f>
        <v>—</v>
      </c>
      <c r="D42" s="85" t="str">
        <f>IF(NOT(N($B$9)&gt;=1),"",$N42&amp;" min")</f>
        <v/>
      </c>
      <c r="E42" s="85" t="str">
        <f>IF(OR(NOT(N($B$9)&gt;=1),$O42=""),"","≈ "&amp;TEXT($O42,"0.0")&amp;" km")</f>
        <v/>
      </c>
      <c r="F42" s="85" t="str">
        <f>IF(NOT(N($B$9)&gt;=1),"",$B$25)</f>
        <v/>
      </c>
      <c r="G42" s="85" t="str">
        <f>IF(NOT(N($B$9)&gt;=1),"",$B$18)</f>
        <v/>
      </c>
      <c r="I42" s="5" t="str">
        <f>IF(NOT(N($B$9)&gt;=1),"","spokojny (Z2)  ·  "&amp;""&amp;$D42&amp;"  ·  "&amp;$E42&amp;"  ·  "&amp;$F42)</f>
        <v/>
      </c>
      <c r="J42" s="5"/>
      <c r="K42" s="5" t="str">
        <f>IF(NOT(N($B$9)&gt;=1),"",MAX(10,ROUND(30*1.2*CHOOSE(MAX(1,MIN(5,N($B$9))),1.2,1.1,1,0.95,0.9)/5,0)*5))</f>
        <v/>
      </c>
      <c r="L42" s="5" t="str">
        <f t="shared" ref="L42:M42" si="7">IF(NOT(N($B$9)&gt;=1),"",0)</f>
        <v/>
      </c>
      <c r="M42" s="5" t="str">
        <f t="shared" si="7"/>
        <v/>
      </c>
      <c r="N42" s="5" t="str">
        <f>IF(NOT(N($B$9)&gt;=1),"",$K42+$L42+$M42)</f>
        <v/>
      </c>
      <c r="O42" s="5" t="str">
        <f>IF(OR(NOT(N($B$9)&gt;=1),$B$7=""),"",MROUND($K42/$J$25+($L42+$M42)/$J$25,0.5))</f>
        <v/>
      </c>
      <c r="P42" s="5"/>
      <c r="Q42" s="5"/>
    </row>
    <row r="43" ht="16.5" customHeight="1">
      <c r="A43" s="86"/>
      <c r="B43" s="83" t="str">
        <f>IF(NOT(N($B$9)&gt;=2),"","Jednostka 2")</f>
        <v/>
      </c>
      <c r="C43" s="84" t="str">
        <f>IF(NOT(N($B$9)&gt;=2),"—","Bieg spokojny — ciągły")</f>
        <v>—</v>
      </c>
      <c r="D43" s="85" t="str">
        <f>IF(NOT(N($B$9)&gt;=2),"",$N43&amp;" min")</f>
        <v/>
      </c>
      <c r="E43" s="85" t="str">
        <f>IF(OR(NOT(N($B$9)&gt;=2),$O43=""),"","≈ "&amp;TEXT($O43,"0.0")&amp;" km")</f>
        <v/>
      </c>
      <c r="F43" s="85" t="str">
        <f>IF(NOT(N($B$9)&gt;=2),"",$B$25)</f>
        <v/>
      </c>
      <c r="G43" s="85" t="str">
        <f>IF(NOT(N($B$9)&gt;=2),"",$B$18)</f>
        <v/>
      </c>
      <c r="I43" s="5" t="str">
        <f>IF(NOT(N($B$9)&gt;=2),"","spokojny (Z2)  ·  "&amp;""&amp;$D43&amp;"  ·  "&amp;$E43&amp;"  ·  "&amp;$F43)</f>
        <v/>
      </c>
      <c r="J43" s="5"/>
      <c r="K43" s="5" t="str">
        <f>IF(NOT(N($B$9)&gt;=2),"",MAX(10,ROUND(30*1.2*CHOOSE(MAX(1,MIN(5,N($B$9))),1.2,1.1,1,0.95,0.9)/5,0)*5))</f>
        <v/>
      </c>
      <c r="L43" s="5" t="str">
        <f t="shared" ref="L43:M43" si="8">IF(NOT(N($B$9)&gt;=2),"",0)</f>
        <v/>
      </c>
      <c r="M43" s="5" t="str">
        <f t="shared" si="8"/>
        <v/>
      </c>
      <c r="N43" s="5" t="str">
        <f>IF(NOT(N($B$9)&gt;=2),"",$K43+$L43+$M43)</f>
        <v/>
      </c>
      <c r="O43" s="5" t="str">
        <f>IF(OR(NOT(N($B$9)&gt;=2),$B$7=""),"",MROUND($K43/$J$25+($L43+$M43)/$J$25,0.5))</f>
        <v/>
      </c>
      <c r="P43" s="5"/>
      <c r="Q43" s="5"/>
    </row>
    <row r="44" ht="16.5" customHeight="1">
      <c r="A44" s="86"/>
      <c r="B44" s="83" t="str">
        <f>IF(NOT(N($B$9)&gt;=3),"","Jednostka 3")</f>
        <v/>
      </c>
      <c r="C44" s="84" t="str">
        <f>IF(NOT(N($B$9)&gt;=3),"—","Bieg ciągły — "&amp;$K44&amp;" min w tempie ciągłym + 20 min rozgrzewki i schłodzenia")</f>
        <v>—</v>
      </c>
      <c r="D44" s="85" t="str">
        <f>IF(NOT(N($B$9)&gt;=3),"",$N44&amp;" min")</f>
        <v/>
      </c>
      <c r="E44" s="85" t="str">
        <f>IF(OR(NOT(N($B$9)&gt;=3),$O44=""),"","≈ "&amp;TEXT($O44,"0.0")&amp;" km")</f>
        <v/>
      </c>
      <c r="F44" s="85" t="str">
        <f>IF(NOT(N($B$9)&gt;=3),"",$B$26)</f>
        <v/>
      </c>
      <c r="G44" s="85" t="str">
        <f>IF(NOT(N($B$9)&gt;=3),"",$B$19)</f>
        <v/>
      </c>
      <c r="I44" s="5" t="str">
        <f>IF(NOT(N($B$9)&gt;=3),"","ciągły (Z3)  ·  "&amp;""&amp;$D44&amp;"  ·  "&amp;$E44&amp;"  ·  "&amp;$F44)</f>
        <v/>
      </c>
      <c r="J44" s="5"/>
      <c r="K44" s="5" t="str">
        <f>IF(NOT(N($B$9)&gt;=3),"",MAX(10,ROUND(20*1.2*CHOOSE(MAX(1,MIN(5,N($B$9))),1.2,1.1,1,0.95,0.9)/5,0)*5))</f>
        <v/>
      </c>
      <c r="L44" s="5" t="str">
        <f>IF(NOT(N($B$9)&gt;=3),"",20)</f>
        <v/>
      </c>
      <c r="M44" s="5" t="str">
        <f>IF(NOT(N($B$9)&gt;=3),"",0)</f>
        <v/>
      </c>
      <c r="N44" s="5" t="str">
        <f>IF(NOT(N($B$9)&gt;=3),"",$K44+$L44+$M44)</f>
        <v/>
      </c>
      <c r="O44" s="5" t="str">
        <f>IF(OR(NOT(N($B$9)&gt;=3),$B$7=""),"",MROUND($K44/$J$26+($L44+$M44)/$J$25,0.5))</f>
        <v/>
      </c>
      <c r="P44" s="5"/>
      <c r="Q44" s="5"/>
    </row>
    <row r="45" ht="16.5" customHeight="1">
      <c r="A45" s="86"/>
      <c r="B45" s="83" t="str">
        <f>IF(NOT(N($B$9)&gt;=4),"","Jednostka 4")</f>
        <v/>
      </c>
      <c r="C45" s="84" t="str">
        <f>IF(NOT(N($B$9)&gt;=4),"—","Długie wybieganie — ciągły")</f>
        <v>—</v>
      </c>
      <c r="D45" s="85" t="str">
        <f>IF(NOT(N($B$9)&gt;=4),"",$N45&amp;" min")</f>
        <v/>
      </c>
      <c r="E45" s="85" t="str">
        <f>IF(OR(NOT(N($B$9)&gt;=4),$O45=""),"","≈ "&amp;TEXT($O45,"0.0")&amp;" km")</f>
        <v/>
      </c>
      <c r="F45" s="85" t="str">
        <f>IF(NOT(N($B$9)&gt;=4),"",$B$25)</f>
        <v/>
      </c>
      <c r="G45" s="85" t="str">
        <f>IF(NOT(N($B$9)&gt;=4),"",$B$18)</f>
        <v/>
      </c>
      <c r="I45" s="5" t="str">
        <f>IF(NOT(N($B$9)&gt;=4),"","długie wybieganie (Z2)  ·  "&amp;""&amp;$D45&amp;"  ·  "&amp;$E45&amp;"  ·  "&amp;$F45)</f>
        <v/>
      </c>
      <c r="J45" s="5"/>
      <c r="K45" s="5" t="str">
        <f>IF(NOT(N($B$9)&gt;=4),"",MAX(10,ROUND(45*1.2*CHOOSE(MAX(1,MIN(5,N($B$9))),1.2,1.1,1,0.95,0.9)/5,0)*5))</f>
        <v/>
      </c>
      <c r="L45" s="5" t="str">
        <f t="shared" ref="L45:M45" si="9">IF(NOT(N($B$9)&gt;=4),"",0)</f>
        <v/>
      </c>
      <c r="M45" s="5" t="str">
        <f t="shared" si="9"/>
        <v/>
      </c>
      <c r="N45" s="5" t="str">
        <f>IF(NOT(N($B$9)&gt;=4),"",$K45+$L45+$M45)</f>
        <v/>
      </c>
      <c r="O45" s="5" t="str">
        <f>IF(OR(NOT(N($B$9)&gt;=4),$B$7=""),"",MROUND($K45/$J$25+($L45+$M45)/$J$25,0.5))</f>
        <v/>
      </c>
      <c r="P45" s="5"/>
      <c r="Q45" s="5"/>
    </row>
    <row r="46" ht="16.5" customHeight="1">
      <c r="A46" s="86"/>
      <c r="B46" s="83" t="str">
        <f>IF(NOT(N($B$9)&gt;=5),"","Jednostka 5")</f>
        <v/>
      </c>
      <c r="C46" s="84" t="str">
        <f>IF(NOT(N($B$9)&gt;=5),"—","Interwał progowy — "&amp;ROUND($K46/4,0)&amp;" × 4 min, przerwa 2 min truchtu")</f>
        <v>—</v>
      </c>
      <c r="D46" s="85" t="str">
        <f>IF(NOT(N($B$9)&gt;=5),"",$N46&amp;" min")</f>
        <v/>
      </c>
      <c r="E46" s="85" t="str">
        <f>IF(OR(NOT(N($B$9)&gt;=5),$O46=""),"","≈ "&amp;TEXT($O46,"0.0")&amp;" km")</f>
        <v/>
      </c>
      <c r="F46" s="85" t="str">
        <f>IF(NOT(N($B$9)&gt;=5),"",$B$27)</f>
        <v/>
      </c>
      <c r="G46" s="85" t="str">
        <f>IF(NOT(N($B$9)&gt;=5),"",$B$20)</f>
        <v/>
      </c>
      <c r="I46" s="5" t="str">
        <f>IF(NOT(N($B$9)&gt;=5),"","interwał progowy (Z4)  ·  "&amp;ROUND($K46/4,0)&amp;" × 4 min  ·  "&amp;$D46&amp;"  ·  "&amp;$E46&amp;"  ·  "&amp;$F46)</f>
        <v/>
      </c>
      <c r="J46" s="5"/>
      <c r="K46" s="5" t="str">
        <f>IF(NOT(N($B$9)&gt;=5),"",MAX(10,ROUND(16*1.2*CHOOSE(MAX(1,MIN(5,N($B$9))),1.2,1.1,1,0.95,0.9)/5,0)*5))</f>
        <v/>
      </c>
      <c r="L46" s="5" t="str">
        <f>IF(NOT(N($B$9)&gt;=5),"",20)</f>
        <v/>
      </c>
      <c r="M46" s="5" t="str">
        <f>IF(NOT(N($B$9)&gt;=5),"",ROUND($K46/4,0)*2)</f>
        <v/>
      </c>
      <c r="N46" s="5" t="str">
        <f>IF(NOT(N($B$9)&gt;=5),"",$K46+$L46+$M46)</f>
        <v/>
      </c>
      <c r="O46" s="5" t="str">
        <f>IF(OR(NOT(N($B$9)&gt;=5),$B$7=""),"",MROUND($K46/$J$27+($L46+$M46)/$J$25,0.5))</f>
        <v/>
      </c>
      <c r="P46" s="5"/>
      <c r="Q46" s="5"/>
    </row>
    <row r="47" ht="19.5" customHeight="1">
      <c r="A47" s="77" t="s">
        <v>252</v>
      </c>
      <c r="B47" s="83" t="str">
        <f>IF(NOT(N($B$9)&gt;=1),"","Jednostka 1")</f>
        <v/>
      </c>
      <c r="C47" s="84" t="str">
        <f>IF(NOT(N($B$9)&gt;=1),"—","Bieg spokojny — ciągły")</f>
        <v>—</v>
      </c>
      <c r="D47" s="85" t="str">
        <f>IF(NOT(N($B$9)&gt;=1),"",$N47&amp;" min")</f>
        <v/>
      </c>
      <c r="E47" s="85" t="str">
        <f>IF(OR(NOT(N($B$9)&gt;=1),$O47=""),"","≈ "&amp;TEXT($O47,"0.0")&amp;" km")</f>
        <v/>
      </c>
      <c r="F47" s="85" t="str">
        <f>IF(NOT(N($B$9)&gt;=1),"",$B$25)</f>
        <v/>
      </c>
      <c r="G47" s="85" t="str">
        <f>IF(NOT(N($B$9)&gt;=1),"",$B$18)</f>
        <v/>
      </c>
      <c r="I47" s="5" t="str">
        <f>IF(NOT(N($B$9)&gt;=1),"","spokojny (Z2)  ·  "&amp;""&amp;$D47&amp;"  ·  "&amp;$E47&amp;"  ·  "&amp;$F47)</f>
        <v/>
      </c>
      <c r="J47" s="5"/>
      <c r="K47" s="5" t="str">
        <f>IF(NOT(N($B$9)&gt;=1),"",MAX(10,ROUND(30*0.9*CHOOSE(MAX(1,MIN(5,N($B$9))),1.2,1.1,1,0.95,0.9)/5,0)*5))</f>
        <v/>
      </c>
      <c r="L47" s="5" t="str">
        <f t="shared" ref="L47:M47" si="10">IF(NOT(N($B$9)&gt;=1),"",0)</f>
        <v/>
      </c>
      <c r="M47" s="5" t="str">
        <f t="shared" si="10"/>
        <v/>
      </c>
      <c r="N47" s="5" t="str">
        <f>IF(NOT(N($B$9)&gt;=1),"",$K47+$L47+$M47)</f>
        <v/>
      </c>
      <c r="O47" s="5" t="str">
        <f>IF(OR(NOT(N($B$9)&gt;=1),$B$7=""),"",MROUND($K47/$J$25+($L47+$M47)/$J$25,0.5))</f>
        <v/>
      </c>
      <c r="P47" s="5"/>
      <c r="Q47" s="5"/>
    </row>
    <row r="48" ht="16.5" customHeight="1">
      <c r="A48" s="86"/>
      <c r="B48" s="83" t="str">
        <f>IF(NOT(N($B$9)&gt;=2),"","Jednostka 2")</f>
        <v/>
      </c>
      <c r="C48" s="84" t="str">
        <f>IF(NOT(N($B$9)&gt;=2),"—","Bieg spokojny — ciągły")</f>
        <v>—</v>
      </c>
      <c r="D48" s="85" t="str">
        <f>IF(NOT(N($B$9)&gt;=2),"",$N48&amp;" min")</f>
        <v/>
      </c>
      <c r="E48" s="85" t="str">
        <f>IF(OR(NOT(N($B$9)&gt;=2),$O48=""),"","≈ "&amp;TEXT($O48,"0.0")&amp;" km")</f>
        <v/>
      </c>
      <c r="F48" s="85" t="str">
        <f>IF(NOT(N($B$9)&gt;=2),"",$B$25)</f>
        <v/>
      </c>
      <c r="G48" s="85" t="str">
        <f>IF(NOT(N($B$9)&gt;=2),"",$B$18)</f>
        <v/>
      </c>
      <c r="I48" s="5" t="str">
        <f>IF(NOT(N($B$9)&gt;=2),"","spokojny (Z2)  ·  "&amp;""&amp;$D48&amp;"  ·  "&amp;$E48&amp;"  ·  "&amp;$F48)</f>
        <v/>
      </c>
      <c r="J48" s="5"/>
      <c r="K48" s="5" t="str">
        <f>IF(NOT(N($B$9)&gt;=2),"",MAX(10,ROUND(30*0.9*CHOOSE(MAX(1,MIN(5,N($B$9))),1.2,1.1,1,0.95,0.9)/5,0)*5))</f>
        <v/>
      </c>
      <c r="L48" s="5" t="str">
        <f t="shared" ref="L48:M48" si="11">IF(NOT(N($B$9)&gt;=2),"",0)</f>
        <v/>
      </c>
      <c r="M48" s="5" t="str">
        <f t="shared" si="11"/>
        <v/>
      </c>
      <c r="N48" s="5" t="str">
        <f>IF(NOT(N($B$9)&gt;=2),"",$K48+$L48+$M48)</f>
        <v/>
      </c>
      <c r="O48" s="5" t="str">
        <f>IF(OR(NOT(N($B$9)&gt;=2),$B$7=""),"",MROUND($K48/$J$25+($L48+$M48)/$J$25,0.5))</f>
        <v/>
      </c>
      <c r="P48" s="5"/>
      <c r="Q48" s="5"/>
    </row>
    <row r="49" ht="16.5" customHeight="1">
      <c r="A49" s="86"/>
      <c r="B49" s="83" t="str">
        <f>IF(NOT(N($B$9)&gt;=3),"","Jednostka 3")</f>
        <v/>
      </c>
      <c r="C49" s="84" t="str">
        <f>IF(NOT(N($B$9)&gt;=3),"—","Bieg ciągły — "&amp;$K49&amp;" min w tempie ciągłym + 20 min rozgrzewki i schłodzenia")</f>
        <v>—</v>
      </c>
      <c r="D49" s="85" t="str">
        <f>IF(NOT(N($B$9)&gt;=3),"",$N49&amp;" min")</f>
        <v/>
      </c>
      <c r="E49" s="85" t="str">
        <f>IF(OR(NOT(N($B$9)&gt;=3),$O49=""),"","≈ "&amp;TEXT($O49,"0.0")&amp;" km")</f>
        <v/>
      </c>
      <c r="F49" s="85" t="str">
        <f>IF(NOT(N($B$9)&gt;=3),"",$B$26)</f>
        <v/>
      </c>
      <c r="G49" s="85" t="str">
        <f>IF(NOT(N($B$9)&gt;=3),"",$B$19)</f>
        <v/>
      </c>
      <c r="I49" s="5" t="str">
        <f>IF(NOT(N($B$9)&gt;=3),"","ciągły (Z3)  ·  "&amp;""&amp;$D49&amp;"  ·  "&amp;$E49&amp;"  ·  "&amp;$F49)</f>
        <v/>
      </c>
      <c r="J49" s="5"/>
      <c r="K49" s="5" t="str">
        <f>IF(NOT(N($B$9)&gt;=3),"",MAX(10,ROUND(20*0.9*CHOOSE(MAX(1,MIN(5,N($B$9))),1.2,1.1,1,0.95,0.9)/5,0)*5))</f>
        <v/>
      </c>
      <c r="L49" s="5" t="str">
        <f>IF(NOT(N($B$9)&gt;=3),"",20)</f>
        <v/>
      </c>
      <c r="M49" s="5" t="str">
        <f>IF(NOT(N($B$9)&gt;=3),"",0)</f>
        <v/>
      </c>
      <c r="N49" s="5" t="str">
        <f>IF(NOT(N($B$9)&gt;=3),"",$K49+$L49+$M49)</f>
        <v/>
      </c>
      <c r="O49" s="5" t="str">
        <f>IF(OR(NOT(N($B$9)&gt;=3),$B$7=""),"",MROUND($K49/$J$26+($L49+$M49)/$J$25,0.5))</f>
        <v/>
      </c>
      <c r="P49" s="5"/>
      <c r="Q49" s="5"/>
    </row>
    <row r="50" ht="16.5" customHeight="1">
      <c r="A50" s="86"/>
      <c r="B50" s="83" t="str">
        <f>IF(NOT(N($B$9)&gt;=4),"","Jednostka 4")</f>
        <v/>
      </c>
      <c r="C50" s="84" t="str">
        <f>IF(NOT(N($B$9)&gt;=4),"—","Długie wybieganie — ciągły")</f>
        <v>—</v>
      </c>
      <c r="D50" s="85" t="str">
        <f>IF(NOT(N($B$9)&gt;=4),"",$N50&amp;" min")</f>
        <v/>
      </c>
      <c r="E50" s="85" t="str">
        <f>IF(OR(NOT(N($B$9)&gt;=4),$O50=""),"","≈ "&amp;TEXT($O50,"0.0")&amp;" km")</f>
        <v/>
      </c>
      <c r="F50" s="85" t="str">
        <f>IF(NOT(N($B$9)&gt;=4),"",$B$25)</f>
        <v/>
      </c>
      <c r="G50" s="85" t="str">
        <f>IF(NOT(N($B$9)&gt;=4),"",$B$18)</f>
        <v/>
      </c>
      <c r="I50" s="5" t="str">
        <f>IF(NOT(N($B$9)&gt;=4),"","długie wybieganie (Z2)  ·  "&amp;""&amp;$D50&amp;"  ·  "&amp;$E50&amp;"  ·  "&amp;$F50)</f>
        <v/>
      </c>
      <c r="J50" s="5"/>
      <c r="K50" s="5" t="str">
        <f>IF(NOT(N($B$9)&gt;=4),"",MAX(10,ROUND(45*0.9*CHOOSE(MAX(1,MIN(5,N($B$9))),1.2,1.1,1,0.95,0.9)/5,0)*5))</f>
        <v/>
      </c>
      <c r="L50" s="5" t="str">
        <f t="shared" ref="L50:M50" si="12">IF(NOT(N($B$9)&gt;=4),"",0)</f>
        <v/>
      </c>
      <c r="M50" s="5" t="str">
        <f t="shared" si="12"/>
        <v/>
      </c>
      <c r="N50" s="5" t="str">
        <f>IF(NOT(N($B$9)&gt;=4),"",$K50+$L50+$M50)</f>
        <v/>
      </c>
      <c r="O50" s="5" t="str">
        <f>IF(OR(NOT(N($B$9)&gt;=4),$B$7=""),"",MROUND($K50/$J$25+($L50+$M50)/$J$25,0.5))</f>
        <v/>
      </c>
      <c r="P50" s="5"/>
      <c r="Q50" s="5"/>
    </row>
    <row r="51" ht="16.5" customHeight="1">
      <c r="A51" s="86"/>
      <c r="B51" s="83" t="str">
        <f>IF(NOT(N($B$9)&gt;=5),"","Jednostka 5")</f>
        <v/>
      </c>
      <c r="C51" s="84" t="str">
        <f>IF(NOT(N($B$9)&gt;=5),"—","Interwał progowy — "&amp;ROUND($K51/4,0)&amp;" × 4 min, przerwa 2 min truchtu")</f>
        <v>—</v>
      </c>
      <c r="D51" s="85" t="str">
        <f>IF(NOT(N($B$9)&gt;=5),"",$N51&amp;" min")</f>
        <v/>
      </c>
      <c r="E51" s="85" t="str">
        <f>IF(OR(NOT(N($B$9)&gt;=5),$O51=""),"","≈ "&amp;TEXT($O51,"0.0")&amp;" km")</f>
        <v/>
      </c>
      <c r="F51" s="85" t="str">
        <f>IF(NOT(N($B$9)&gt;=5),"",$B$27)</f>
        <v/>
      </c>
      <c r="G51" s="85" t="str">
        <f>IF(NOT(N($B$9)&gt;=5),"",$B$20)</f>
        <v/>
      </c>
      <c r="I51" s="5" t="str">
        <f>IF(NOT(N($B$9)&gt;=5),"","interwał progowy (Z4)  ·  "&amp;ROUND($K51/4,0)&amp;" × 4 min  ·  "&amp;$D51&amp;"  ·  "&amp;$E51&amp;"  ·  "&amp;$F51)</f>
        <v/>
      </c>
      <c r="J51" s="5"/>
      <c r="K51" s="5" t="str">
        <f>IF(NOT(N($B$9)&gt;=5),"",MAX(10,ROUND(16*0.9*CHOOSE(MAX(1,MIN(5,N($B$9))),1.2,1.1,1,0.95,0.9)/5,0)*5))</f>
        <v/>
      </c>
      <c r="L51" s="5" t="str">
        <f>IF(NOT(N($B$9)&gt;=5),"",20)</f>
        <v/>
      </c>
      <c r="M51" s="5" t="str">
        <f>IF(NOT(N($B$9)&gt;=5),"",ROUND($K51/4,0)*2)</f>
        <v/>
      </c>
      <c r="N51" s="5" t="str">
        <f>IF(NOT(N($B$9)&gt;=5),"",$K51+$L51+$M51)</f>
        <v/>
      </c>
      <c r="O51" s="5" t="str">
        <f>IF(OR(NOT(N($B$9)&gt;=5),$B$7=""),"",MROUND($K51/$J$27+($L51+$M51)/$J$25,0.5))</f>
        <v/>
      </c>
      <c r="P51" s="5"/>
      <c r="Q51" s="5"/>
    </row>
    <row r="52" ht="19.5" customHeight="1">
      <c r="A52" s="77" t="s">
        <v>253</v>
      </c>
      <c r="B52" s="83" t="str">
        <f>IF(NOT(N($B$9)&gt;=1),"","Jednostka 1")</f>
        <v/>
      </c>
      <c r="C52" s="84" t="str">
        <f>IF(NOT(N($B$9)&gt;=1),"—","Bieg spokojny — ciągły")</f>
        <v>—</v>
      </c>
      <c r="D52" s="85" t="str">
        <f>IF(NOT(N($B$9)&gt;=1),"",$N52&amp;" min")</f>
        <v/>
      </c>
      <c r="E52" s="85" t="str">
        <f>IF(OR(NOT(N($B$9)&gt;=1),$O52=""),"","≈ "&amp;TEXT($O52,"0.0")&amp;" km")</f>
        <v/>
      </c>
      <c r="F52" s="85" t="str">
        <f>IF(NOT(N($B$9)&gt;=1),"",$B$25)</f>
        <v/>
      </c>
      <c r="G52" s="85" t="str">
        <f>IF(NOT(N($B$9)&gt;=1),"",$B$18)</f>
        <v/>
      </c>
      <c r="I52" s="5" t="str">
        <f>IF(NOT(N($B$9)&gt;=1),"","spokojny (Z2)  ·  "&amp;""&amp;$D52&amp;"  ·  "&amp;$E52&amp;"  ·  "&amp;$F52)</f>
        <v/>
      </c>
      <c r="J52" s="5"/>
      <c r="K52" s="5" t="str">
        <f>IF(NOT(N($B$9)&gt;=1),"",MAX(10,ROUND(30*1.2*CHOOSE(MAX(1,MIN(5,N($B$9))),1.2,1.1,1,0.95,0.9)/5,0)*5))</f>
        <v/>
      </c>
      <c r="L52" s="5" t="str">
        <f t="shared" ref="L52:M52" si="13">IF(NOT(N($B$9)&gt;=1),"",0)</f>
        <v/>
      </c>
      <c r="M52" s="5" t="str">
        <f t="shared" si="13"/>
        <v/>
      </c>
      <c r="N52" s="5" t="str">
        <f>IF(NOT(N($B$9)&gt;=1),"",$K52+$L52+$M52)</f>
        <v/>
      </c>
      <c r="O52" s="5" t="str">
        <f>IF(OR(NOT(N($B$9)&gt;=1),$B$7=""),"",MROUND($K52/$J$25+($L52+$M52)/$J$25,0.5))</f>
        <v/>
      </c>
      <c r="P52" s="5"/>
      <c r="Q52" s="5"/>
    </row>
    <row r="53" ht="16.5" customHeight="1">
      <c r="A53" s="86"/>
      <c r="B53" s="83" t="str">
        <f>IF(NOT(N($B$9)&gt;=2),"","Jednostka 2")</f>
        <v/>
      </c>
      <c r="C53" s="84" t="str">
        <f>IF(NOT(N($B$9)&gt;=2),"—","Bieg spokojny — ciągły")</f>
        <v>—</v>
      </c>
      <c r="D53" s="85" t="str">
        <f>IF(NOT(N($B$9)&gt;=2),"",$N53&amp;" min")</f>
        <v/>
      </c>
      <c r="E53" s="85" t="str">
        <f>IF(OR(NOT(N($B$9)&gt;=2),$O53=""),"","≈ "&amp;TEXT($O53,"0.0")&amp;" km")</f>
        <v/>
      </c>
      <c r="F53" s="85" t="str">
        <f>IF(NOT(N($B$9)&gt;=2),"",$B$25)</f>
        <v/>
      </c>
      <c r="G53" s="85" t="str">
        <f>IF(NOT(N($B$9)&gt;=2),"",$B$18)</f>
        <v/>
      </c>
      <c r="I53" s="5" t="str">
        <f>IF(NOT(N($B$9)&gt;=2),"","spokojny (Z2)  ·  "&amp;""&amp;$D53&amp;"  ·  "&amp;$E53&amp;"  ·  "&amp;$F53)</f>
        <v/>
      </c>
      <c r="J53" s="5"/>
      <c r="K53" s="5" t="str">
        <f>IF(NOT(N($B$9)&gt;=2),"",MAX(10,ROUND(30*1.2*CHOOSE(MAX(1,MIN(5,N($B$9))),1.2,1.1,1,0.95,0.9)/5,0)*5))</f>
        <v/>
      </c>
      <c r="L53" s="5" t="str">
        <f t="shared" ref="L53:M53" si="14">IF(NOT(N($B$9)&gt;=2),"",0)</f>
        <v/>
      </c>
      <c r="M53" s="5" t="str">
        <f t="shared" si="14"/>
        <v/>
      </c>
      <c r="N53" s="5" t="str">
        <f>IF(NOT(N($B$9)&gt;=2),"",$K53+$L53+$M53)</f>
        <v/>
      </c>
      <c r="O53" s="5" t="str">
        <f>IF(OR(NOT(N($B$9)&gt;=2),$B$7=""),"",MROUND($K53/$J$25+($L53+$M53)/$J$25,0.5))</f>
        <v/>
      </c>
      <c r="P53" s="5"/>
      <c r="Q53" s="5"/>
    </row>
    <row r="54" ht="16.5" customHeight="1">
      <c r="A54" s="86"/>
      <c r="B54" s="83" t="str">
        <f>IF(NOT(N($B$9)&gt;=3),"","Jednostka 3")</f>
        <v/>
      </c>
      <c r="C54" s="84" t="str">
        <f>IF(NOT(N($B$9)&gt;=3),"—","Bieg ciągły — "&amp;$K54&amp;" min w tempie ciągłym + 20 min rozgrzewki i schłodzenia")</f>
        <v>—</v>
      </c>
      <c r="D54" s="85" t="str">
        <f>IF(NOT(N($B$9)&gt;=3),"",$N54&amp;" min")</f>
        <v/>
      </c>
      <c r="E54" s="85" t="str">
        <f>IF(OR(NOT(N($B$9)&gt;=3),$O54=""),"","≈ "&amp;TEXT($O54,"0.0")&amp;" km")</f>
        <v/>
      </c>
      <c r="F54" s="85" t="str">
        <f>IF(NOT(N($B$9)&gt;=3),"",$B$26)</f>
        <v/>
      </c>
      <c r="G54" s="85" t="str">
        <f>IF(NOT(N($B$9)&gt;=3),"",$B$19)</f>
        <v/>
      </c>
      <c r="I54" s="5" t="str">
        <f>IF(NOT(N($B$9)&gt;=3),"","ciągły (Z3)  ·  "&amp;""&amp;$D54&amp;"  ·  "&amp;$E54&amp;"  ·  "&amp;$F54)</f>
        <v/>
      </c>
      <c r="J54" s="5"/>
      <c r="K54" s="5" t="str">
        <f>IF(NOT(N($B$9)&gt;=3),"",MAX(10,ROUND(20*1.2*CHOOSE(MAX(1,MIN(5,N($B$9))),1.2,1.1,1,0.95,0.9)/5,0)*5))</f>
        <v/>
      </c>
      <c r="L54" s="5" t="str">
        <f>IF(NOT(N($B$9)&gt;=3),"",20)</f>
        <v/>
      </c>
      <c r="M54" s="5" t="str">
        <f>IF(NOT(N($B$9)&gt;=3),"",0)</f>
        <v/>
      </c>
      <c r="N54" s="5" t="str">
        <f>IF(NOT(N($B$9)&gt;=3),"",$K54+$L54+$M54)</f>
        <v/>
      </c>
      <c r="O54" s="5" t="str">
        <f>IF(OR(NOT(N($B$9)&gt;=3),$B$7=""),"",MROUND($K54/$J$26+($L54+$M54)/$J$25,0.5))</f>
        <v/>
      </c>
      <c r="P54" s="5"/>
      <c r="Q54" s="5"/>
    </row>
    <row r="55" ht="16.5" customHeight="1">
      <c r="A55" s="86"/>
      <c r="B55" s="83" t="str">
        <f>IF(NOT(N($B$9)&gt;=4),"","Jednostka 4")</f>
        <v/>
      </c>
      <c r="C55" s="84" t="str">
        <f>IF(NOT(N($B$9)&gt;=4),"—","Długie wybieganie — ciągły")</f>
        <v>—</v>
      </c>
      <c r="D55" s="85" t="str">
        <f>IF(NOT(N($B$9)&gt;=4),"",$N55&amp;" min")</f>
        <v/>
      </c>
      <c r="E55" s="85" t="str">
        <f>IF(OR(NOT(N($B$9)&gt;=4),$O55=""),"","≈ "&amp;TEXT($O55,"0.0")&amp;" km")</f>
        <v/>
      </c>
      <c r="F55" s="85" t="str">
        <f>IF(NOT(N($B$9)&gt;=4),"",$B$25)</f>
        <v/>
      </c>
      <c r="G55" s="85" t="str">
        <f>IF(NOT(N($B$9)&gt;=4),"",$B$18)</f>
        <v/>
      </c>
      <c r="I55" s="5" t="str">
        <f>IF(NOT(N($B$9)&gt;=4),"","długie wybieganie (Z2)  ·  "&amp;""&amp;$D55&amp;"  ·  "&amp;$E55&amp;"  ·  "&amp;$F55)</f>
        <v/>
      </c>
      <c r="J55" s="5"/>
      <c r="K55" s="5" t="str">
        <f>IF(NOT(N($B$9)&gt;=4),"",MAX(10,ROUND(45*1.2*CHOOSE(MAX(1,MIN(5,N($B$9))),1.2,1.1,1,0.95,0.9)/5,0)*5))</f>
        <v/>
      </c>
      <c r="L55" s="5" t="str">
        <f t="shared" ref="L55:M55" si="15">IF(NOT(N($B$9)&gt;=4),"",0)</f>
        <v/>
      </c>
      <c r="M55" s="5" t="str">
        <f t="shared" si="15"/>
        <v/>
      </c>
      <c r="N55" s="5" t="str">
        <f>IF(NOT(N($B$9)&gt;=4),"",$K55+$L55+$M55)</f>
        <v/>
      </c>
      <c r="O55" s="5" t="str">
        <f>IF(OR(NOT(N($B$9)&gt;=4),$B$7=""),"",MROUND($K55/$J$25+($L55+$M55)/$J$25,0.5))</f>
        <v/>
      </c>
      <c r="P55" s="5"/>
      <c r="Q55" s="5"/>
    </row>
    <row r="56" ht="16.5" customHeight="1">
      <c r="A56" s="86"/>
      <c r="B56" s="83" t="str">
        <f>IF(NOT(N($B$9)&gt;=5),"","Jednostka 5")</f>
        <v/>
      </c>
      <c r="C56" s="84" t="str">
        <f>IF(NOT(N($B$9)&gt;=5),"—","Interwał progowy — "&amp;ROUND($K56/4,0)&amp;" × 4 min, przerwa 2 min truchtu")</f>
        <v>—</v>
      </c>
      <c r="D56" s="85" t="str">
        <f>IF(NOT(N($B$9)&gt;=5),"",$N56&amp;" min")</f>
        <v/>
      </c>
      <c r="E56" s="85" t="str">
        <f>IF(OR(NOT(N($B$9)&gt;=5),$O56=""),"","≈ "&amp;TEXT($O56,"0.0")&amp;" km")</f>
        <v/>
      </c>
      <c r="F56" s="85" t="str">
        <f>IF(NOT(N($B$9)&gt;=5),"",$B$27)</f>
        <v/>
      </c>
      <c r="G56" s="85" t="str">
        <f>IF(NOT(N($B$9)&gt;=5),"",$B$20)</f>
        <v/>
      </c>
      <c r="I56" s="5" t="str">
        <f>IF(NOT(N($B$9)&gt;=5),"","interwał progowy (Z4)  ·  "&amp;ROUND($K56/4,0)&amp;" × 4 min  ·  "&amp;$D56&amp;"  ·  "&amp;$E56&amp;"  ·  "&amp;$F56)</f>
        <v/>
      </c>
      <c r="J56" s="5"/>
      <c r="K56" s="5" t="str">
        <f>IF(NOT(N($B$9)&gt;=5),"",MAX(10,ROUND(16*1.2*CHOOSE(MAX(1,MIN(5,N($B$9))),1.2,1.1,1,0.95,0.9)/5,0)*5))</f>
        <v/>
      </c>
      <c r="L56" s="5" t="str">
        <f>IF(NOT(N($B$9)&gt;=5),"",20)</f>
        <v/>
      </c>
      <c r="M56" s="5" t="str">
        <f>IF(NOT(N($B$9)&gt;=5),"",ROUND($K56/4,0)*2)</f>
        <v/>
      </c>
      <c r="N56" s="5" t="str">
        <f>IF(NOT(N($B$9)&gt;=5),"",$K56+$L56+$M56)</f>
        <v/>
      </c>
      <c r="O56" s="5" t="str">
        <f>IF(OR(NOT(N($B$9)&gt;=5),$B$7=""),"",MROUND($K56/$J$27+($L56+$M56)/$J$25,0.5))</f>
        <v/>
      </c>
      <c r="P56" s="5"/>
      <c r="Q56" s="5"/>
    </row>
    <row r="57" ht="19.5" customHeight="1">
      <c r="A57" s="77" t="s">
        <v>377</v>
      </c>
      <c r="B57" s="83" t="str">
        <f>IF(NOT(N($B$9)&gt;=1),"","Jednostka 1")</f>
        <v/>
      </c>
      <c r="C57" s="84" t="str">
        <f>IF(NOT(N($B$9)&gt;=1),"—","Bieg spokojny — ciągły")</f>
        <v>—</v>
      </c>
      <c r="D57" s="85" t="str">
        <f>IF(NOT(N($B$9)&gt;=1),"",$N57&amp;" min")</f>
        <v/>
      </c>
      <c r="E57" s="85" t="str">
        <f>IF(OR(NOT(N($B$9)&gt;=1),$O57=""),"","≈ "&amp;TEXT($O57,"0.0")&amp;" km")</f>
        <v/>
      </c>
      <c r="F57" s="85" t="str">
        <f>IF(NOT(N($B$9)&gt;=1),"",$B$25)</f>
        <v/>
      </c>
      <c r="G57" s="85" t="str">
        <f>IF(NOT(N($B$9)&gt;=1),"",$B$18)</f>
        <v/>
      </c>
      <c r="I57" s="5" t="str">
        <f>IF(NOT(N($B$9)&gt;=1),"","spokojny (Z2)  ·  "&amp;""&amp;$D57&amp;"  ·  "&amp;$E57&amp;"  ·  "&amp;$F57)</f>
        <v/>
      </c>
      <c r="J57" s="5"/>
      <c r="K57" s="5" t="str">
        <f>IF(NOT(N($B$9)&gt;=1),"",MAX(10,ROUND(30*1.3*CHOOSE(MAX(1,MIN(5,N($B$9))),1.2,1.1,1,0.95,0.9)/5,0)*5))</f>
        <v/>
      </c>
      <c r="L57" s="5" t="str">
        <f t="shared" ref="L57:M57" si="16">IF(NOT(N($B$9)&gt;=1),"",0)</f>
        <v/>
      </c>
      <c r="M57" s="5" t="str">
        <f t="shared" si="16"/>
        <v/>
      </c>
      <c r="N57" s="5" t="str">
        <f>IF(NOT(N($B$9)&gt;=1),"",$K57+$L57+$M57)</f>
        <v/>
      </c>
      <c r="O57" s="5" t="str">
        <f>IF(OR(NOT(N($B$9)&gt;=1),$B$7=""),"",MROUND($K57/$J$25+($L57+$M57)/$J$25,0.5))</f>
        <v/>
      </c>
      <c r="P57" s="5"/>
      <c r="Q57" s="5"/>
    </row>
    <row r="58" ht="16.5" customHeight="1">
      <c r="A58" s="86"/>
      <c r="B58" s="83" t="str">
        <f>IF(NOT(N($B$9)&gt;=2),"","Jednostka 2")</f>
        <v/>
      </c>
      <c r="C58" s="84" t="str">
        <f>IF(NOT(N($B$9)&gt;=2),"—","Bieg spokojny — ciągły")</f>
        <v>—</v>
      </c>
      <c r="D58" s="85" t="str">
        <f>IF(NOT(N($B$9)&gt;=2),"",$N58&amp;" min")</f>
        <v/>
      </c>
      <c r="E58" s="85" t="str">
        <f>IF(OR(NOT(N($B$9)&gt;=2),$O58=""),"","≈ "&amp;TEXT($O58,"0.0")&amp;" km")</f>
        <v/>
      </c>
      <c r="F58" s="85" t="str">
        <f>IF(NOT(N($B$9)&gt;=2),"",$B$25)</f>
        <v/>
      </c>
      <c r="G58" s="85" t="str">
        <f>IF(NOT(N($B$9)&gt;=2),"",$B$18)</f>
        <v/>
      </c>
      <c r="I58" s="5" t="str">
        <f>IF(NOT(N($B$9)&gt;=2),"","spokojny (Z2)  ·  "&amp;""&amp;$D58&amp;"  ·  "&amp;$E58&amp;"  ·  "&amp;$F58)</f>
        <v/>
      </c>
      <c r="J58" s="5"/>
      <c r="K58" s="5" t="str">
        <f>IF(NOT(N($B$9)&gt;=2),"",MAX(10,ROUND(30*1.3*CHOOSE(MAX(1,MIN(5,N($B$9))),1.2,1.1,1,0.95,0.9)/5,0)*5))</f>
        <v/>
      </c>
      <c r="L58" s="5" t="str">
        <f t="shared" ref="L58:M58" si="17">IF(NOT(N($B$9)&gt;=2),"",0)</f>
        <v/>
      </c>
      <c r="M58" s="5" t="str">
        <f t="shared" si="17"/>
        <v/>
      </c>
      <c r="N58" s="5" t="str">
        <f>IF(NOT(N($B$9)&gt;=2),"",$K58+$L58+$M58)</f>
        <v/>
      </c>
      <c r="O58" s="5" t="str">
        <f>IF(OR(NOT(N($B$9)&gt;=2),$B$7=""),"",MROUND($K58/$J$25+($L58+$M58)/$J$25,0.5))</f>
        <v/>
      </c>
      <c r="P58" s="5"/>
      <c r="Q58" s="5"/>
    </row>
    <row r="59" ht="16.5" customHeight="1">
      <c r="A59" s="86"/>
      <c r="B59" s="83" t="str">
        <f>IF(NOT(N($B$9)&gt;=3),"","Jednostka 3")</f>
        <v/>
      </c>
      <c r="C59" s="84" t="str">
        <f>IF(NOT(N($B$9)&gt;=3),"—","Bieg ciągły — "&amp;$K59&amp;" min w tempie ciągłym + 20 min rozgrzewki i schłodzenia")</f>
        <v>—</v>
      </c>
      <c r="D59" s="85" t="str">
        <f>IF(NOT(N($B$9)&gt;=3),"",$N59&amp;" min")</f>
        <v/>
      </c>
      <c r="E59" s="85" t="str">
        <f>IF(OR(NOT(N($B$9)&gt;=3),$O59=""),"","≈ "&amp;TEXT($O59,"0.0")&amp;" km")</f>
        <v/>
      </c>
      <c r="F59" s="85" t="str">
        <f>IF(NOT(N($B$9)&gt;=3),"",$B$26)</f>
        <v/>
      </c>
      <c r="G59" s="85" t="str">
        <f>IF(NOT(N($B$9)&gt;=3),"",$B$19)</f>
        <v/>
      </c>
      <c r="I59" s="5" t="str">
        <f>IF(NOT(N($B$9)&gt;=3),"","ciągły (Z3)  ·  "&amp;""&amp;$D59&amp;"  ·  "&amp;$E59&amp;"  ·  "&amp;$F59)</f>
        <v/>
      </c>
      <c r="J59" s="5"/>
      <c r="K59" s="5" t="str">
        <f>IF(NOT(N($B$9)&gt;=3),"",MAX(10,ROUND(20*1.3*CHOOSE(MAX(1,MIN(5,N($B$9))),1.2,1.1,1,0.95,0.9)/5,0)*5))</f>
        <v/>
      </c>
      <c r="L59" s="5" t="str">
        <f>IF(NOT(N($B$9)&gt;=3),"",20)</f>
        <v/>
      </c>
      <c r="M59" s="5" t="str">
        <f>IF(NOT(N($B$9)&gt;=3),"",0)</f>
        <v/>
      </c>
      <c r="N59" s="5" t="str">
        <f>IF(NOT(N($B$9)&gt;=3),"",$K59+$L59+$M59)</f>
        <v/>
      </c>
      <c r="O59" s="5" t="str">
        <f>IF(OR(NOT(N($B$9)&gt;=3),$B$7=""),"",MROUND($K59/$J$26+($L59+$M59)/$J$25,0.5))</f>
        <v/>
      </c>
      <c r="P59" s="5"/>
      <c r="Q59" s="5"/>
    </row>
    <row r="60" ht="16.5" customHeight="1">
      <c r="A60" s="86"/>
      <c r="B60" s="83" t="str">
        <f>IF(NOT(N($B$9)&gt;=4),"","Jednostka 4")</f>
        <v/>
      </c>
      <c r="C60" s="84" t="str">
        <f>IF(NOT(N($B$9)&gt;=4),"—","Długie wybieganie — ciągły")</f>
        <v>—</v>
      </c>
      <c r="D60" s="85" t="str">
        <f>IF(NOT(N($B$9)&gt;=4),"",$N60&amp;" min")</f>
        <v/>
      </c>
      <c r="E60" s="85" t="str">
        <f>IF(OR(NOT(N($B$9)&gt;=4),$O60=""),"","≈ "&amp;TEXT($O60,"0.0")&amp;" km")</f>
        <v/>
      </c>
      <c r="F60" s="85" t="str">
        <f>IF(NOT(N($B$9)&gt;=4),"",$B$25)</f>
        <v/>
      </c>
      <c r="G60" s="85" t="str">
        <f>IF(NOT(N($B$9)&gt;=4),"",$B$18)</f>
        <v/>
      </c>
      <c r="I60" s="5" t="str">
        <f>IF(NOT(N($B$9)&gt;=4),"","długie wybieganie (Z2)  ·  "&amp;""&amp;$D60&amp;"  ·  "&amp;$E60&amp;"  ·  "&amp;$F60)</f>
        <v/>
      </c>
      <c r="J60" s="5"/>
      <c r="K60" s="5" t="str">
        <f>IF(NOT(N($B$9)&gt;=4),"",MAX(10,ROUND(45*1.3*CHOOSE(MAX(1,MIN(5,N($B$9))),1.2,1.1,1,0.95,0.9)/5,0)*5))</f>
        <v/>
      </c>
      <c r="L60" s="5" t="str">
        <f t="shared" ref="L60:M60" si="18">IF(NOT(N($B$9)&gt;=4),"",0)</f>
        <v/>
      </c>
      <c r="M60" s="5" t="str">
        <f t="shared" si="18"/>
        <v/>
      </c>
      <c r="N60" s="5" t="str">
        <f>IF(NOT(N($B$9)&gt;=4),"",$K60+$L60+$M60)</f>
        <v/>
      </c>
      <c r="O60" s="5" t="str">
        <f>IF(OR(NOT(N($B$9)&gt;=4),$B$7=""),"",MROUND($K60/$J$25+($L60+$M60)/$J$25,0.5))</f>
        <v/>
      </c>
      <c r="P60" s="5"/>
      <c r="Q60" s="5"/>
    </row>
    <row r="61" ht="16.5" customHeight="1">
      <c r="A61" s="86"/>
      <c r="B61" s="83" t="str">
        <f>IF(NOT(N($B$9)&gt;=5),"","Jednostka 5")</f>
        <v/>
      </c>
      <c r="C61" s="84" t="str">
        <f>IF(NOT(N($B$9)&gt;=5),"—","Interwał progowy — "&amp;ROUND($K61/4,0)&amp;" × 4 min, przerwa 2 min truchtu")</f>
        <v>—</v>
      </c>
      <c r="D61" s="85" t="str">
        <f>IF(NOT(N($B$9)&gt;=5),"",$N61&amp;" min")</f>
        <v/>
      </c>
      <c r="E61" s="85" t="str">
        <f>IF(OR(NOT(N($B$9)&gt;=5),$O61=""),"","≈ "&amp;TEXT($O61,"0.0")&amp;" km")</f>
        <v/>
      </c>
      <c r="F61" s="85" t="str">
        <f>IF(NOT(N($B$9)&gt;=5),"",$B$27)</f>
        <v/>
      </c>
      <c r="G61" s="85" t="str">
        <f>IF(NOT(N($B$9)&gt;=5),"",$B$20)</f>
        <v/>
      </c>
      <c r="I61" s="5" t="str">
        <f>IF(NOT(N($B$9)&gt;=5),"","interwał progowy (Z4)  ·  "&amp;ROUND($K61/4,0)&amp;" × 4 min  ·  "&amp;$D61&amp;"  ·  "&amp;$E61&amp;"  ·  "&amp;$F61)</f>
        <v/>
      </c>
      <c r="J61" s="5"/>
      <c r="K61" s="5" t="str">
        <f>IF(NOT(N($B$9)&gt;=5),"",MAX(10,ROUND(16*1.3*CHOOSE(MAX(1,MIN(5,N($B$9))),1.2,1.1,1,0.95,0.9)/5,0)*5))</f>
        <v/>
      </c>
      <c r="L61" s="5" t="str">
        <f>IF(NOT(N($B$9)&gt;=5),"",20)</f>
        <v/>
      </c>
      <c r="M61" s="5" t="str">
        <f>IF(NOT(N($B$9)&gt;=5),"",ROUND($K61/4,0)*2)</f>
        <v/>
      </c>
      <c r="N61" s="5" t="str">
        <f>IF(NOT(N($B$9)&gt;=5),"",$K61+$L61+$M61)</f>
        <v/>
      </c>
      <c r="O61" s="5" t="str">
        <f>IF(OR(NOT(N($B$9)&gt;=5),$B$7=""),"",MROUND($K61/$J$27+($L61+$M61)/$J$25,0.5))</f>
        <v/>
      </c>
      <c r="P61" s="5"/>
      <c r="Q61" s="5"/>
    </row>
    <row r="62" ht="15.75" customHeight="1">
      <c r="A62" s="5"/>
      <c r="B62" s="5"/>
      <c r="C62" s="5"/>
      <c r="D62" s="5"/>
      <c r="E62" s="5"/>
      <c r="F62" s="5"/>
      <c r="G62" s="5"/>
      <c r="I62" s="5"/>
      <c r="J62" s="5"/>
      <c r="K62" s="5"/>
      <c r="L62" s="5"/>
      <c r="M62" s="5"/>
      <c r="N62" s="5"/>
      <c r="O62" s="5"/>
      <c r="P62" s="5"/>
      <c r="Q62" s="5"/>
    </row>
    <row r="63" ht="21.75" customHeight="1">
      <c r="A63" s="76" t="s">
        <v>469</v>
      </c>
      <c r="B63" s="3"/>
      <c r="C63" s="3"/>
      <c r="D63" s="3"/>
      <c r="E63" s="3"/>
      <c r="F63" s="3"/>
      <c r="G63" s="4"/>
      <c r="I63" s="5"/>
      <c r="J63" s="5"/>
      <c r="K63" s="5"/>
      <c r="L63" s="5"/>
      <c r="M63" s="5"/>
      <c r="N63" s="5"/>
      <c r="O63" s="5"/>
      <c r="P63" s="5"/>
      <c r="Q63" s="5"/>
    </row>
    <row r="64" ht="33.75" customHeight="1">
      <c r="A64" s="92" t="s">
        <v>474</v>
      </c>
      <c r="B64" s="3"/>
      <c r="C64" s="3"/>
      <c r="D64" s="3"/>
      <c r="E64" s="3"/>
      <c r="F64" s="3"/>
      <c r="G64" s="4"/>
      <c r="I64" s="5"/>
      <c r="J64" s="5"/>
      <c r="K64" s="5"/>
      <c r="L64" s="5"/>
      <c r="M64" s="5"/>
      <c r="N64" s="5"/>
      <c r="O64" s="5"/>
      <c r="P64" s="5"/>
      <c r="Q64" s="5"/>
    </row>
    <row r="65" ht="15.75" customHeight="1">
      <c r="A65" s="5"/>
      <c r="B65" s="5"/>
      <c r="C65" s="5"/>
      <c r="D65" s="5"/>
      <c r="E65" s="5"/>
      <c r="F65" s="5"/>
      <c r="G65" s="5"/>
      <c r="I65" s="5"/>
      <c r="J65" s="5"/>
      <c r="K65" s="5"/>
      <c r="L65" s="5"/>
      <c r="M65" s="5"/>
      <c r="N65" s="5"/>
      <c r="O65" s="5"/>
      <c r="P65" s="5"/>
      <c r="Q65" s="5"/>
    </row>
    <row r="66" ht="33.75" customHeight="1">
      <c r="A66" s="93" t="s">
        <v>479</v>
      </c>
      <c r="I66" s="5"/>
      <c r="J66" s="5"/>
      <c r="K66" s="5"/>
      <c r="L66" s="5"/>
      <c r="M66" s="5"/>
      <c r="N66" s="5"/>
      <c r="O66" s="5"/>
      <c r="P66" s="5"/>
      <c r="Q66" s="5"/>
    </row>
    <row r="67" ht="15.75" customHeight="1">
      <c r="A67" s="5"/>
      <c r="B67" s="5"/>
      <c r="C67" s="5"/>
      <c r="D67" s="5"/>
      <c r="E67" s="5"/>
      <c r="F67" s="5"/>
      <c r="G67" s="5"/>
      <c r="I67" s="5"/>
      <c r="J67" s="5"/>
      <c r="K67" s="5"/>
      <c r="L67" s="5"/>
      <c r="M67" s="5"/>
      <c r="N67" s="5"/>
      <c r="O67" s="5"/>
      <c r="P67" s="5"/>
      <c r="Q67" s="5"/>
    </row>
    <row r="68" ht="15.75" customHeight="1">
      <c r="A68" s="5"/>
      <c r="B68" s="5"/>
      <c r="C68" s="5"/>
      <c r="D68" s="5"/>
      <c r="E68" s="5"/>
      <c r="F68" s="5"/>
      <c r="G68" s="5"/>
      <c r="I68" s="5"/>
      <c r="J68" s="5"/>
      <c r="K68" s="5"/>
      <c r="L68" s="5"/>
      <c r="M68" s="5"/>
      <c r="N68" s="5"/>
      <c r="O68" s="5"/>
      <c r="P68" s="5"/>
      <c r="Q68" s="5"/>
    </row>
    <row r="69" ht="15.75" customHeight="1">
      <c r="A69" s="5"/>
      <c r="B69" s="5"/>
      <c r="C69" s="5"/>
      <c r="D69" s="5"/>
      <c r="E69" s="5"/>
      <c r="F69" s="5"/>
      <c r="G69" s="5"/>
      <c r="I69" s="5"/>
      <c r="J69" s="5"/>
      <c r="K69" s="5"/>
      <c r="L69" s="5"/>
      <c r="M69" s="5"/>
      <c r="N69" s="5"/>
      <c r="O69" s="5"/>
      <c r="P69" s="5"/>
      <c r="Q69" s="5"/>
    </row>
    <row r="70" ht="15.75" customHeight="1">
      <c r="A70" s="5"/>
      <c r="B70" s="5"/>
      <c r="C70" s="5"/>
      <c r="D70" s="5"/>
      <c r="E70" s="5"/>
      <c r="F70" s="5"/>
      <c r="G70" s="5"/>
      <c r="I70" s="5"/>
      <c r="J70" s="5"/>
      <c r="K70" s="5"/>
      <c r="L70" s="5"/>
      <c r="M70" s="5"/>
      <c r="N70" s="5"/>
      <c r="O70" s="5"/>
      <c r="P70" s="5"/>
      <c r="Q70" s="5"/>
    </row>
    <row r="71" ht="15.75" customHeight="1">
      <c r="A71" s="5"/>
      <c r="B71" s="5"/>
      <c r="C71" s="5"/>
      <c r="D71" s="5"/>
      <c r="E71" s="5"/>
      <c r="F71" s="5"/>
      <c r="G71" s="5"/>
      <c r="I71" s="5"/>
      <c r="J71" s="5"/>
      <c r="K71" s="5"/>
      <c r="L71" s="5"/>
      <c r="M71" s="5"/>
      <c r="N71" s="5"/>
      <c r="O71" s="5"/>
      <c r="P71" s="5"/>
      <c r="Q71" s="5"/>
    </row>
    <row r="72" ht="15.75" customHeight="1">
      <c r="A72" s="5"/>
      <c r="B72" s="5"/>
      <c r="C72" s="5"/>
      <c r="D72" s="5"/>
      <c r="E72" s="5"/>
      <c r="F72" s="5"/>
      <c r="G72" s="5"/>
      <c r="I72" s="5"/>
      <c r="J72" s="5"/>
      <c r="K72" s="5"/>
      <c r="L72" s="5"/>
      <c r="M72" s="5"/>
      <c r="N72" s="5"/>
      <c r="O72" s="5"/>
      <c r="P72" s="5"/>
      <c r="Q72" s="5"/>
    </row>
    <row r="73" ht="15.75" customHeight="1">
      <c r="A73" s="5"/>
      <c r="B73" s="5"/>
      <c r="C73" s="5"/>
      <c r="D73" s="5"/>
      <c r="E73" s="5"/>
      <c r="F73" s="5"/>
      <c r="G73" s="5"/>
      <c r="I73" s="5"/>
      <c r="J73" s="5"/>
      <c r="K73" s="5"/>
      <c r="L73" s="5"/>
      <c r="M73" s="5"/>
      <c r="N73" s="5"/>
      <c r="O73" s="5"/>
      <c r="P73" s="5"/>
      <c r="Q73" s="5"/>
    </row>
    <row r="74" ht="15.75" customHeight="1">
      <c r="A74" s="5"/>
      <c r="B74" s="5"/>
      <c r="C74" s="5"/>
      <c r="D74" s="5"/>
      <c r="E74" s="5"/>
      <c r="F74" s="5"/>
      <c r="G74" s="5"/>
      <c r="I74" s="5"/>
      <c r="J74" s="5"/>
      <c r="K74" s="5"/>
      <c r="L74" s="5"/>
      <c r="M74" s="5"/>
      <c r="N74" s="5"/>
      <c r="O74" s="5"/>
      <c r="P74" s="5"/>
      <c r="Q74" s="5"/>
    </row>
    <row r="75" ht="15.75" customHeight="1">
      <c r="A75" s="5"/>
      <c r="B75" s="5"/>
      <c r="C75" s="5"/>
      <c r="D75" s="5"/>
      <c r="E75" s="5"/>
      <c r="F75" s="5"/>
      <c r="G75" s="5"/>
      <c r="I75" s="5"/>
      <c r="J75" s="5"/>
      <c r="K75" s="5"/>
      <c r="L75" s="5"/>
      <c r="M75" s="5"/>
      <c r="N75" s="5"/>
      <c r="O75" s="5"/>
      <c r="P75" s="5"/>
      <c r="Q75" s="5"/>
    </row>
    <row r="76" ht="15.75" customHeight="1">
      <c r="A76" s="5"/>
      <c r="B76" s="5"/>
      <c r="C76" s="5"/>
      <c r="D76" s="5"/>
      <c r="E76" s="5"/>
      <c r="F76" s="5"/>
      <c r="G76" s="5"/>
      <c r="I76" s="5"/>
      <c r="J76" s="5"/>
      <c r="K76" s="5"/>
      <c r="L76" s="5"/>
      <c r="M76" s="5"/>
      <c r="N76" s="5"/>
      <c r="O76" s="5"/>
      <c r="P76" s="5"/>
      <c r="Q76" s="5"/>
    </row>
    <row r="77" ht="15.75" customHeight="1">
      <c r="A77" s="5"/>
      <c r="B77" s="5"/>
      <c r="C77" s="5"/>
      <c r="D77" s="5"/>
      <c r="E77" s="5"/>
      <c r="F77" s="5"/>
      <c r="G77" s="5"/>
      <c r="I77" s="5"/>
      <c r="J77" s="5"/>
      <c r="K77" s="5"/>
      <c r="L77" s="5"/>
      <c r="M77" s="5"/>
      <c r="N77" s="5"/>
      <c r="O77" s="5"/>
      <c r="P77" s="5"/>
      <c r="Q77" s="5"/>
    </row>
    <row r="78" ht="15.75" customHeight="1">
      <c r="A78" s="5"/>
      <c r="B78" s="5"/>
      <c r="C78" s="5"/>
      <c r="D78" s="5"/>
      <c r="E78" s="5"/>
      <c r="F78" s="5"/>
      <c r="G78" s="5"/>
      <c r="I78" s="5"/>
      <c r="J78" s="5"/>
      <c r="K78" s="5"/>
      <c r="L78" s="5"/>
      <c r="M78" s="5"/>
      <c r="N78" s="5"/>
      <c r="O78" s="5"/>
      <c r="P78" s="5"/>
      <c r="Q78" s="5"/>
    </row>
    <row r="79" ht="15.75" customHeight="1">
      <c r="A79" s="5"/>
      <c r="B79" s="5"/>
      <c r="C79" s="5"/>
      <c r="D79" s="5"/>
      <c r="E79" s="5"/>
      <c r="F79" s="5"/>
      <c r="G79" s="5"/>
      <c r="I79" s="5"/>
      <c r="J79" s="5"/>
      <c r="K79" s="5"/>
      <c r="L79" s="5"/>
      <c r="M79" s="5"/>
      <c r="N79" s="5"/>
      <c r="O79" s="5"/>
      <c r="P79" s="5"/>
      <c r="Q79" s="5"/>
    </row>
    <row r="80" ht="15.75" customHeight="1">
      <c r="A80" s="5"/>
      <c r="B80" s="5"/>
      <c r="C80" s="5"/>
      <c r="D80" s="5"/>
      <c r="E80" s="5"/>
      <c r="F80" s="5"/>
      <c r="G80" s="5"/>
      <c r="I80" s="5"/>
      <c r="J80" s="5"/>
      <c r="K80" s="5"/>
      <c r="L80" s="5"/>
      <c r="M80" s="5"/>
      <c r="N80" s="5"/>
      <c r="O80" s="5"/>
      <c r="P80" s="5"/>
      <c r="Q80" s="5"/>
    </row>
    <row r="81" ht="15.75" customHeight="1">
      <c r="A81" s="5"/>
      <c r="B81" s="5"/>
      <c r="C81" s="5"/>
      <c r="D81" s="5"/>
      <c r="E81" s="5"/>
      <c r="F81" s="5"/>
      <c r="G81" s="5"/>
      <c r="I81" s="5"/>
      <c r="J81" s="5"/>
      <c r="K81" s="5"/>
      <c r="L81" s="5"/>
      <c r="M81" s="5"/>
      <c r="N81" s="5"/>
      <c r="O81" s="5"/>
      <c r="P81" s="5"/>
      <c r="Q81" s="5"/>
    </row>
    <row r="82" ht="15.75" customHeight="1">
      <c r="A82" s="5"/>
      <c r="B82" s="5"/>
      <c r="C82" s="5"/>
      <c r="D82" s="5"/>
      <c r="E82" s="5"/>
      <c r="F82" s="5"/>
      <c r="G82" s="5"/>
      <c r="I82" s="5"/>
      <c r="J82" s="5"/>
      <c r="K82" s="5"/>
      <c r="L82" s="5"/>
      <c r="M82" s="5"/>
      <c r="N82" s="5"/>
      <c r="O82" s="5"/>
      <c r="P82" s="5"/>
      <c r="Q82" s="5"/>
    </row>
    <row r="83" ht="15.75" customHeight="1">
      <c r="A83" s="5"/>
      <c r="B83" s="5"/>
      <c r="C83" s="5"/>
      <c r="D83" s="5"/>
      <c r="E83" s="5"/>
      <c r="F83" s="5"/>
      <c r="G83" s="5"/>
      <c r="I83" s="5"/>
      <c r="J83" s="5"/>
      <c r="K83" s="5"/>
      <c r="L83" s="5"/>
      <c r="M83" s="5"/>
      <c r="N83" s="5"/>
      <c r="O83" s="5"/>
      <c r="P83" s="5"/>
      <c r="Q83" s="5"/>
    </row>
    <row r="84" ht="15.75" customHeight="1">
      <c r="A84" s="5"/>
      <c r="B84" s="5"/>
      <c r="C84" s="5"/>
      <c r="D84" s="5"/>
      <c r="E84" s="5"/>
      <c r="F84" s="5"/>
      <c r="G84" s="5"/>
      <c r="I84" s="5"/>
      <c r="J84" s="5"/>
      <c r="K84" s="5"/>
      <c r="L84" s="5"/>
      <c r="M84" s="5"/>
      <c r="N84" s="5"/>
      <c r="O84" s="5"/>
      <c r="P84" s="5"/>
      <c r="Q84" s="5"/>
    </row>
    <row r="85" ht="15.75" customHeight="1">
      <c r="A85" s="5"/>
      <c r="B85" s="5"/>
      <c r="C85" s="5"/>
      <c r="D85" s="5"/>
      <c r="E85" s="5"/>
      <c r="F85" s="5"/>
      <c r="G85" s="5"/>
      <c r="I85" s="5"/>
      <c r="J85" s="5"/>
      <c r="K85" s="5"/>
      <c r="L85" s="5"/>
      <c r="M85" s="5"/>
      <c r="N85" s="5"/>
      <c r="O85" s="5"/>
      <c r="P85" s="5"/>
      <c r="Q85" s="5"/>
    </row>
    <row r="86" ht="15.75" customHeight="1">
      <c r="A86" s="5"/>
      <c r="B86" s="5"/>
      <c r="C86" s="5"/>
      <c r="D86" s="5"/>
      <c r="E86" s="5"/>
      <c r="F86" s="5"/>
      <c r="G86" s="5"/>
      <c r="I86" s="5"/>
      <c r="J86" s="5"/>
      <c r="K86" s="5"/>
      <c r="L86" s="5"/>
      <c r="M86" s="5"/>
      <c r="N86" s="5"/>
      <c r="O86" s="5"/>
      <c r="P86" s="5"/>
      <c r="Q86" s="5"/>
    </row>
    <row r="87" ht="15.75" customHeight="1">
      <c r="A87" s="5"/>
      <c r="B87" s="5"/>
      <c r="C87" s="5"/>
      <c r="D87" s="5"/>
      <c r="E87" s="5"/>
      <c r="F87" s="5"/>
      <c r="G87" s="5"/>
      <c r="I87" s="5"/>
      <c r="J87" s="5"/>
      <c r="K87" s="5"/>
      <c r="L87" s="5"/>
      <c r="M87" s="5"/>
      <c r="N87" s="5"/>
      <c r="O87" s="5"/>
      <c r="P87" s="5"/>
      <c r="Q87" s="5"/>
    </row>
    <row r="88" ht="15.75" customHeight="1">
      <c r="A88" s="5"/>
      <c r="B88" s="5"/>
      <c r="C88" s="5"/>
      <c r="D88" s="5"/>
      <c r="E88" s="5"/>
      <c r="F88" s="5"/>
      <c r="G88" s="5"/>
      <c r="I88" s="5"/>
      <c r="J88" s="5"/>
      <c r="K88" s="5"/>
      <c r="L88" s="5"/>
      <c r="M88" s="5"/>
      <c r="N88" s="5"/>
      <c r="O88" s="5"/>
      <c r="P88" s="5"/>
      <c r="Q88" s="5"/>
    </row>
    <row r="89" ht="15.75" customHeight="1">
      <c r="A89" s="5"/>
      <c r="B89" s="5"/>
      <c r="C89" s="5"/>
      <c r="D89" s="5"/>
      <c r="E89" s="5"/>
      <c r="F89" s="5"/>
      <c r="G89" s="5"/>
      <c r="I89" s="5"/>
      <c r="J89" s="5"/>
      <c r="K89" s="5"/>
      <c r="L89" s="5"/>
      <c r="M89" s="5"/>
      <c r="N89" s="5"/>
      <c r="O89" s="5"/>
      <c r="P89" s="5"/>
      <c r="Q89" s="5"/>
    </row>
    <row r="90" ht="15.75" customHeight="1">
      <c r="A90" s="5"/>
      <c r="B90" s="5"/>
      <c r="C90" s="5"/>
      <c r="D90" s="5"/>
      <c r="E90" s="5"/>
      <c r="F90" s="5"/>
      <c r="G90" s="5"/>
      <c r="I90" s="5"/>
      <c r="J90" s="5"/>
      <c r="K90" s="5"/>
      <c r="L90" s="5"/>
      <c r="M90" s="5"/>
      <c r="N90" s="5"/>
      <c r="O90" s="5"/>
      <c r="P90" s="5"/>
      <c r="Q90" s="5"/>
    </row>
    <row r="91" ht="15.75" customHeight="1">
      <c r="A91" s="5"/>
      <c r="B91" s="5"/>
      <c r="C91" s="5"/>
      <c r="D91" s="5"/>
      <c r="E91" s="5"/>
      <c r="F91" s="5"/>
      <c r="G91" s="5"/>
      <c r="I91" s="5"/>
      <c r="J91" s="5"/>
      <c r="K91" s="5"/>
      <c r="L91" s="5"/>
      <c r="M91" s="5"/>
      <c r="N91" s="5"/>
      <c r="O91" s="5"/>
      <c r="P91" s="5"/>
      <c r="Q91" s="5"/>
    </row>
    <row r="92" ht="15.75" customHeight="1">
      <c r="A92" s="5"/>
      <c r="B92" s="5"/>
      <c r="C92" s="5"/>
      <c r="D92" s="5"/>
      <c r="E92" s="5"/>
      <c r="F92" s="5"/>
      <c r="G92" s="5"/>
      <c r="I92" s="5"/>
      <c r="J92" s="5"/>
      <c r="K92" s="5"/>
      <c r="L92" s="5"/>
      <c r="M92" s="5"/>
      <c r="N92" s="5"/>
      <c r="O92" s="5"/>
      <c r="P92" s="5"/>
      <c r="Q92" s="5"/>
    </row>
    <row r="93" ht="15.75" customHeight="1">
      <c r="A93" s="5"/>
      <c r="B93" s="5"/>
      <c r="C93" s="5"/>
      <c r="D93" s="5"/>
      <c r="E93" s="5"/>
      <c r="F93" s="5"/>
      <c r="G93" s="5"/>
      <c r="I93" s="5"/>
      <c r="J93" s="5"/>
      <c r="K93" s="5"/>
      <c r="L93" s="5"/>
      <c r="M93" s="5"/>
      <c r="N93" s="5"/>
      <c r="O93" s="5"/>
      <c r="P93" s="5"/>
      <c r="Q93" s="5"/>
    </row>
    <row r="94" ht="15.75" customHeight="1">
      <c r="A94" s="5"/>
      <c r="B94" s="5"/>
      <c r="C94" s="5"/>
      <c r="D94" s="5"/>
      <c r="E94" s="5"/>
      <c r="F94" s="5"/>
      <c r="G94" s="5"/>
      <c r="I94" s="5"/>
      <c r="J94" s="5"/>
      <c r="K94" s="5"/>
      <c r="L94" s="5"/>
      <c r="M94" s="5"/>
      <c r="N94" s="5"/>
      <c r="O94" s="5"/>
      <c r="P94" s="5"/>
      <c r="Q94" s="5"/>
    </row>
    <row r="95" ht="15.75" customHeight="1">
      <c r="A95" s="5"/>
      <c r="B95" s="5"/>
      <c r="C95" s="5"/>
      <c r="D95" s="5"/>
      <c r="E95" s="5"/>
      <c r="F95" s="5"/>
      <c r="G95" s="5"/>
      <c r="I95" s="5"/>
      <c r="J95" s="5"/>
      <c r="K95" s="5"/>
      <c r="L95" s="5"/>
      <c r="M95" s="5"/>
      <c r="N95" s="5"/>
      <c r="O95" s="5"/>
      <c r="P95" s="5"/>
      <c r="Q95" s="5"/>
    </row>
    <row r="96" ht="15.75" customHeight="1">
      <c r="A96" s="5"/>
      <c r="B96" s="5"/>
      <c r="C96" s="5"/>
      <c r="D96" s="5"/>
      <c r="E96" s="5"/>
      <c r="F96" s="5"/>
      <c r="G96" s="5"/>
      <c r="I96" s="5"/>
      <c r="J96" s="5"/>
      <c r="K96" s="5"/>
      <c r="L96" s="5"/>
      <c r="M96" s="5"/>
      <c r="N96" s="5"/>
      <c r="O96" s="5"/>
      <c r="P96" s="5"/>
      <c r="Q96" s="5"/>
    </row>
    <row r="97" ht="15.75" customHeight="1">
      <c r="A97" s="5"/>
      <c r="B97" s="5"/>
      <c r="C97" s="5"/>
      <c r="D97" s="5"/>
      <c r="E97" s="5"/>
      <c r="F97" s="5"/>
      <c r="G97" s="5"/>
      <c r="I97" s="5"/>
      <c r="J97" s="5"/>
      <c r="K97" s="5"/>
      <c r="L97" s="5"/>
      <c r="M97" s="5"/>
      <c r="N97" s="5"/>
      <c r="O97" s="5"/>
      <c r="P97" s="5"/>
      <c r="Q97" s="5"/>
    </row>
    <row r="98" ht="15.75" customHeight="1">
      <c r="A98" s="5"/>
      <c r="B98" s="5"/>
      <c r="C98" s="5"/>
      <c r="D98" s="5"/>
      <c r="E98" s="5"/>
      <c r="F98" s="5"/>
      <c r="G98" s="5"/>
      <c r="I98" s="5"/>
      <c r="J98" s="5"/>
      <c r="K98" s="5"/>
      <c r="L98" s="5"/>
      <c r="M98" s="5"/>
      <c r="N98" s="5"/>
      <c r="O98" s="5"/>
      <c r="P98" s="5"/>
      <c r="Q98" s="5"/>
    </row>
    <row r="99" ht="15.75" customHeight="1">
      <c r="A99" s="5"/>
      <c r="B99" s="5"/>
      <c r="C99" s="5"/>
      <c r="D99" s="5"/>
      <c r="E99" s="5"/>
      <c r="F99" s="5"/>
      <c r="G99" s="5"/>
      <c r="I99" s="5"/>
      <c r="J99" s="5"/>
      <c r="K99" s="5"/>
      <c r="L99" s="5"/>
      <c r="M99" s="5"/>
      <c r="N99" s="5"/>
      <c r="O99" s="5"/>
      <c r="P99" s="5"/>
      <c r="Q99" s="5"/>
    </row>
    <row r="100" ht="15.75" customHeight="1">
      <c r="A100" s="5"/>
      <c r="B100" s="5"/>
      <c r="C100" s="5"/>
      <c r="D100" s="5"/>
      <c r="E100" s="5"/>
      <c r="F100" s="5"/>
      <c r="G100" s="5"/>
      <c r="I100" s="5"/>
      <c r="J100" s="5"/>
      <c r="K100" s="5"/>
      <c r="L100" s="5"/>
      <c r="M100" s="5"/>
      <c r="N100" s="5"/>
      <c r="O100" s="5"/>
      <c r="P100" s="5"/>
      <c r="Q100" s="5"/>
    </row>
    <row r="101" ht="15.75" customHeight="1">
      <c r="A101" s="5"/>
      <c r="B101" s="5"/>
      <c r="C101" s="5"/>
      <c r="D101" s="5"/>
      <c r="E101" s="5"/>
      <c r="F101" s="5"/>
      <c r="G101" s="5"/>
      <c r="I101" s="5"/>
      <c r="J101" s="5"/>
      <c r="K101" s="5"/>
      <c r="L101" s="5"/>
      <c r="M101" s="5"/>
      <c r="N101" s="5"/>
      <c r="O101" s="5"/>
      <c r="P101" s="5"/>
      <c r="Q101" s="5"/>
    </row>
    <row r="102" ht="15.75" customHeight="1">
      <c r="A102" s="5"/>
      <c r="B102" s="5"/>
      <c r="C102" s="5"/>
      <c r="D102" s="5"/>
      <c r="E102" s="5"/>
      <c r="F102" s="5"/>
      <c r="G102" s="5"/>
      <c r="I102" s="5"/>
      <c r="J102" s="5"/>
      <c r="K102" s="5"/>
      <c r="L102" s="5"/>
      <c r="M102" s="5"/>
      <c r="N102" s="5"/>
      <c r="O102" s="5"/>
      <c r="P102" s="5"/>
      <c r="Q102" s="5"/>
    </row>
    <row r="103" ht="15.75" customHeight="1">
      <c r="A103" s="5"/>
      <c r="B103" s="5"/>
      <c r="C103" s="5"/>
      <c r="D103" s="5"/>
      <c r="E103" s="5"/>
      <c r="F103" s="5"/>
      <c r="G103" s="5"/>
      <c r="I103" s="5"/>
      <c r="J103" s="5"/>
      <c r="K103" s="5"/>
      <c r="L103" s="5"/>
      <c r="M103" s="5"/>
      <c r="N103" s="5"/>
      <c r="O103" s="5"/>
      <c r="P103" s="5"/>
      <c r="Q103" s="5"/>
    </row>
    <row r="104" ht="15.75" customHeight="1">
      <c r="A104" s="5"/>
      <c r="B104" s="5"/>
      <c r="C104" s="5"/>
      <c r="D104" s="5"/>
      <c r="E104" s="5"/>
      <c r="F104" s="5"/>
      <c r="G104" s="5"/>
      <c r="I104" s="5"/>
      <c r="J104" s="5"/>
      <c r="K104" s="5"/>
      <c r="L104" s="5"/>
      <c r="M104" s="5"/>
      <c r="N104" s="5"/>
      <c r="O104" s="5"/>
      <c r="P104" s="5"/>
      <c r="Q104" s="5"/>
    </row>
    <row r="105" ht="15.75" customHeight="1">
      <c r="A105" s="5"/>
      <c r="B105" s="5"/>
      <c r="C105" s="5"/>
      <c r="D105" s="5"/>
      <c r="E105" s="5"/>
      <c r="F105" s="5"/>
      <c r="G105" s="5"/>
      <c r="I105" s="5"/>
      <c r="J105" s="5"/>
      <c r="K105" s="5"/>
      <c r="L105" s="5"/>
      <c r="M105" s="5"/>
      <c r="N105" s="5"/>
      <c r="O105" s="5"/>
      <c r="P105" s="5"/>
      <c r="Q105" s="5"/>
    </row>
    <row r="106" ht="15.75" customHeight="1">
      <c r="A106" s="5"/>
      <c r="B106" s="5"/>
      <c r="C106" s="5"/>
      <c r="D106" s="5"/>
      <c r="E106" s="5"/>
      <c r="F106" s="5"/>
      <c r="G106" s="5"/>
      <c r="I106" s="5"/>
      <c r="J106" s="5"/>
      <c r="K106" s="5"/>
      <c r="L106" s="5"/>
      <c r="M106" s="5"/>
      <c r="N106" s="5"/>
      <c r="O106" s="5"/>
      <c r="P106" s="5"/>
      <c r="Q106" s="5"/>
    </row>
    <row r="107" ht="15.75" customHeight="1">
      <c r="A107" s="5"/>
      <c r="B107" s="5"/>
      <c r="C107" s="5"/>
      <c r="D107" s="5"/>
      <c r="E107" s="5"/>
      <c r="F107" s="5"/>
      <c r="G107" s="5"/>
      <c r="I107" s="5"/>
      <c r="J107" s="5"/>
      <c r="K107" s="5"/>
      <c r="L107" s="5"/>
      <c r="M107" s="5"/>
      <c r="N107" s="5"/>
      <c r="O107" s="5"/>
      <c r="P107" s="5"/>
      <c r="Q107" s="5"/>
    </row>
    <row r="108" ht="15.75" customHeight="1">
      <c r="A108" s="5"/>
      <c r="B108" s="5"/>
      <c r="C108" s="5"/>
      <c r="D108" s="5"/>
      <c r="E108" s="5"/>
      <c r="F108" s="5"/>
      <c r="G108" s="5"/>
      <c r="I108" s="5"/>
      <c r="J108" s="5"/>
      <c r="K108" s="5"/>
      <c r="L108" s="5"/>
      <c r="M108" s="5"/>
      <c r="N108" s="5"/>
      <c r="O108" s="5"/>
      <c r="P108" s="5"/>
      <c r="Q108" s="5"/>
    </row>
    <row r="109" ht="15.75" customHeight="1">
      <c r="A109" s="5"/>
      <c r="B109" s="5"/>
      <c r="C109" s="5"/>
      <c r="D109" s="5"/>
      <c r="E109" s="5"/>
      <c r="F109" s="5"/>
      <c r="G109" s="5"/>
      <c r="I109" s="5"/>
      <c r="J109" s="5"/>
      <c r="K109" s="5"/>
      <c r="L109" s="5"/>
      <c r="M109" s="5"/>
      <c r="N109" s="5"/>
      <c r="O109" s="5"/>
      <c r="P109" s="5"/>
      <c r="Q109" s="5"/>
    </row>
    <row r="110" ht="15.75" customHeight="1">
      <c r="A110" s="5"/>
      <c r="B110" s="5"/>
      <c r="C110" s="5"/>
      <c r="D110" s="5"/>
      <c r="E110" s="5"/>
      <c r="F110" s="5"/>
      <c r="G110" s="5"/>
      <c r="I110" s="5"/>
      <c r="J110" s="5"/>
      <c r="K110" s="5"/>
      <c r="L110" s="5"/>
      <c r="M110" s="5"/>
      <c r="N110" s="5"/>
      <c r="O110" s="5"/>
      <c r="P110" s="5"/>
      <c r="Q110" s="5"/>
    </row>
    <row r="111" ht="15.75" customHeight="1">
      <c r="A111" s="5"/>
      <c r="B111" s="5"/>
      <c r="C111" s="5"/>
      <c r="D111" s="5"/>
      <c r="E111" s="5"/>
      <c r="F111" s="5"/>
      <c r="G111" s="5"/>
      <c r="I111" s="5"/>
      <c r="J111" s="5"/>
      <c r="K111" s="5"/>
      <c r="L111" s="5"/>
      <c r="M111" s="5"/>
      <c r="N111" s="5"/>
      <c r="O111" s="5"/>
      <c r="P111" s="5"/>
      <c r="Q111" s="5"/>
    </row>
    <row r="112" ht="15.75" customHeight="1">
      <c r="A112" s="5"/>
      <c r="B112" s="5"/>
      <c r="C112" s="5"/>
      <c r="D112" s="5"/>
      <c r="E112" s="5"/>
      <c r="F112" s="5"/>
      <c r="G112" s="5"/>
      <c r="I112" s="5"/>
      <c r="J112" s="5"/>
      <c r="K112" s="5"/>
      <c r="L112" s="5"/>
      <c r="M112" s="5"/>
      <c r="N112" s="5"/>
      <c r="O112" s="5"/>
      <c r="P112" s="5"/>
      <c r="Q112" s="5"/>
    </row>
    <row r="113" ht="15.75" customHeight="1">
      <c r="A113" s="5"/>
      <c r="B113" s="5"/>
      <c r="C113" s="5"/>
      <c r="D113" s="5"/>
      <c r="E113" s="5"/>
      <c r="F113" s="5"/>
      <c r="G113" s="5"/>
      <c r="I113" s="5"/>
      <c r="J113" s="5"/>
      <c r="K113" s="5"/>
      <c r="L113" s="5"/>
      <c r="M113" s="5"/>
      <c r="N113" s="5"/>
      <c r="O113" s="5"/>
      <c r="P113" s="5"/>
      <c r="Q113" s="5"/>
    </row>
    <row r="114" ht="15.75" customHeight="1">
      <c r="A114" s="5"/>
      <c r="B114" s="5"/>
      <c r="C114" s="5"/>
      <c r="D114" s="5"/>
      <c r="E114" s="5"/>
      <c r="F114" s="5"/>
      <c r="G114" s="5"/>
      <c r="I114" s="5"/>
      <c r="J114" s="5"/>
      <c r="K114" s="5"/>
      <c r="L114" s="5"/>
      <c r="M114" s="5"/>
      <c r="N114" s="5"/>
      <c r="O114" s="5"/>
      <c r="P114" s="5"/>
      <c r="Q114" s="5"/>
    </row>
    <row r="115" ht="15.75" customHeight="1">
      <c r="A115" s="5"/>
      <c r="B115" s="5"/>
      <c r="C115" s="5"/>
      <c r="D115" s="5"/>
      <c r="E115" s="5"/>
      <c r="F115" s="5"/>
      <c r="G115" s="5"/>
      <c r="I115" s="5"/>
      <c r="J115" s="5"/>
      <c r="K115" s="5"/>
      <c r="L115" s="5"/>
      <c r="M115" s="5"/>
      <c r="N115" s="5"/>
      <c r="O115" s="5"/>
      <c r="P115" s="5"/>
      <c r="Q115" s="5"/>
    </row>
    <row r="116" ht="15.75" customHeight="1">
      <c r="A116" s="5"/>
      <c r="B116" s="5"/>
      <c r="C116" s="5"/>
      <c r="D116" s="5"/>
      <c r="E116" s="5"/>
      <c r="F116" s="5"/>
      <c r="G116" s="5"/>
      <c r="I116" s="5"/>
      <c r="J116" s="5"/>
      <c r="K116" s="5"/>
      <c r="L116" s="5"/>
      <c r="M116" s="5"/>
      <c r="N116" s="5"/>
      <c r="O116" s="5"/>
      <c r="P116" s="5"/>
      <c r="Q116" s="5"/>
    </row>
    <row r="117" ht="15.75" customHeight="1">
      <c r="A117" s="5"/>
      <c r="B117" s="5"/>
      <c r="C117" s="5"/>
      <c r="D117" s="5"/>
      <c r="E117" s="5"/>
      <c r="F117" s="5"/>
      <c r="G117" s="5"/>
      <c r="I117" s="5"/>
      <c r="J117" s="5"/>
      <c r="K117" s="5"/>
      <c r="L117" s="5"/>
      <c r="M117" s="5"/>
      <c r="N117" s="5"/>
      <c r="O117" s="5"/>
      <c r="P117" s="5"/>
      <c r="Q117" s="5"/>
    </row>
    <row r="118" ht="15.75" customHeight="1">
      <c r="A118" s="5"/>
      <c r="B118" s="5"/>
      <c r="C118" s="5"/>
      <c r="D118" s="5"/>
      <c r="E118" s="5"/>
      <c r="F118" s="5"/>
      <c r="G118" s="5"/>
      <c r="I118" s="5"/>
      <c r="J118" s="5"/>
      <c r="K118" s="5"/>
      <c r="L118" s="5"/>
      <c r="M118" s="5"/>
      <c r="N118" s="5"/>
      <c r="O118" s="5"/>
      <c r="P118" s="5"/>
      <c r="Q118" s="5"/>
    </row>
    <row r="119" ht="15.75" customHeight="1">
      <c r="A119" s="5"/>
      <c r="B119" s="5"/>
      <c r="C119" s="5"/>
      <c r="D119" s="5"/>
      <c r="E119" s="5"/>
      <c r="F119" s="5"/>
      <c r="G119" s="5"/>
      <c r="I119" s="5"/>
      <c r="J119" s="5"/>
      <c r="K119" s="5"/>
      <c r="L119" s="5"/>
      <c r="M119" s="5"/>
      <c r="N119" s="5"/>
      <c r="O119" s="5"/>
      <c r="P119" s="5"/>
      <c r="Q119" s="5"/>
    </row>
    <row r="120" ht="15.75" customHeight="1">
      <c r="A120" s="5"/>
      <c r="B120" s="5"/>
      <c r="C120" s="5"/>
      <c r="D120" s="5"/>
      <c r="E120" s="5"/>
      <c r="F120" s="5"/>
      <c r="G120" s="5"/>
      <c r="I120" s="5"/>
      <c r="J120" s="5"/>
      <c r="K120" s="5"/>
      <c r="L120" s="5"/>
      <c r="M120" s="5"/>
      <c r="N120" s="5"/>
      <c r="O120" s="5"/>
      <c r="P120" s="5"/>
      <c r="Q120" s="5"/>
    </row>
    <row r="121" ht="15.75" customHeight="1">
      <c r="A121" s="5"/>
      <c r="B121" s="5"/>
      <c r="C121" s="5"/>
      <c r="D121" s="5"/>
      <c r="E121" s="5"/>
      <c r="F121" s="5"/>
      <c r="G121" s="5"/>
      <c r="I121" s="5"/>
      <c r="J121" s="5"/>
      <c r="K121" s="5"/>
      <c r="L121" s="5"/>
      <c r="M121" s="5"/>
      <c r="N121" s="5"/>
      <c r="O121" s="5"/>
      <c r="P121" s="5"/>
      <c r="Q121" s="5"/>
    </row>
    <row r="122" ht="15.75" customHeight="1">
      <c r="A122" s="5"/>
      <c r="B122" s="5"/>
      <c r="C122" s="5"/>
      <c r="D122" s="5"/>
      <c r="E122" s="5"/>
      <c r="F122" s="5"/>
      <c r="G122" s="5"/>
      <c r="I122" s="5"/>
      <c r="J122" s="5"/>
      <c r="K122" s="5"/>
      <c r="L122" s="5"/>
      <c r="M122" s="5"/>
      <c r="N122" s="5"/>
      <c r="O122" s="5"/>
      <c r="P122" s="5"/>
      <c r="Q122" s="5"/>
    </row>
    <row r="123" ht="15.75" customHeight="1">
      <c r="A123" s="5"/>
      <c r="B123" s="5"/>
      <c r="C123" s="5"/>
      <c r="D123" s="5"/>
      <c r="E123" s="5"/>
      <c r="F123" s="5"/>
      <c r="G123" s="5"/>
      <c r="I123" s="5"/>
      <c r="J123" s="5"/>
      <c r="K123" s="5"/>
      <c r="L123" s="5"/>
      <c r="M123" s="5"/>
      <c r="N123" s="5"/>
      <c r="O123" s="5"/>
      <c r="P123" s="5"/>
      <c r="Q123" s="5"/>
    </row>
    <row r="124" ht="15.75" customHeight="1">
      <c r="A124" s="5"/>
      <c r="B124" s="5"/>
      <c r="C124" s="5"/>
      <c r="D124" s="5"/>
      <c r="E124" s="5"/>
      <c r="F124" s="5"/>
      <c r="G124" s="5"/>
      <c r="I124" s="5"/>
      <c r="J124" s="5"/>
      <c r="K124" s="5"/>
      <c r="L124" s="5"/>
      <c r="M124" s="5"/>
      <c r="N124" s="5"/>
      <c r="O124" s="5"/>
      <c r="P124" s="5"/>
      <c r="Q124" s="5"/>
    </row>
    <row r="125" ht="15.75" customHeight="1">
      <c r="A125" s="5"/>
      <c r="B125" s="5"/>
      <c r="C125" s="5"/>
      <c r="D125" s="5"/>
      <c r="E125" s="5"/>
      <c r="F125" s="5"/>
      <c r="G125" s="5"/>
      <c r="I125" s="5"/>
      <c r="J125" s="5"/>
      <c r="K125" s="5"/>
      <c r="L125" s="5"/>
      <c r="M125" s="5"/>
      <c r="N125" s="5"/>
      <c r="O125" s="5"/>
      <c r="P125" s="5"/>
      <c r="Q125" s="5"/>
    </row>
    <row r="126" ht="15.75" customHeight="1">
      <c r="A126" s="5"/>
      <c r="B126" s="5"/>
      <c r="C126" s="5"/>
      <c r="D126" s="5"/>
      <c r="E126" s="5"/>
      <c r="F126" s="5"/>
      <c r="G126" s="5"/>
      <c r="I126" s="5"/>
      <c r="J126" s="5"/>
      <c r="K126" s="5"/>
      <c r="L126" s="5"/>
      <c r="M126" s="5"/>
      <c r="N126" s="5"/>
      <c r="O126" s="5"/>
      <c r="P126" s="5"/>
      <c r="Q126" s="5"/>
    </row>
    <row r="127" ht="15.75" customHeight="1">
      <c r="A127" s="5"/>
      <c r="B127" s="5"/>
      <c r="C127" s="5"/>
      <c r="D127" s="5"/>
      <c r="E127" s="5"/>
      <c r="F127" s="5"/>
      <c r="G127" s="5"/>
      <c r="I127" s="5"/>
      <c r="J127" s="5"/>
      <c r="K127" s="5"/>
      <c r="L127" s="5"/>
      <c r="M127" s="5"/>
      <c r="N127" s="5"/>
      <c r="O127" s="5"/>
      <c r="P127" s="5"/>
      <c r="Q127" s="5"/>
    </row>
    <row r="128" ht="15.75" customHeight="1">
      <c r="A128" s="5"/>
      <c r="B128" s="5"/>
      <c r="C128" s="5"/>
      <c r="D128" s="5"/>
      <c r="E128" s="5"/>
      <c r="F128" s="5"/>
      <c r="G128" s="5"/>
      <c r="I128" s="5"/>
      <c r="J128" s="5"/>
      <c r="K128" s="5"/>
      <c r="L128" s="5"/>
      <c r="M128" s="5"/>
      <c r="N128" s="5"/>
      <c r="O128" s="5"/>
      <c r="P128" s="5"/>
      <c r="Q128" s="5"/>
    </row>
    <row r="129" ht="15.75" customHeight="1">
      <c r="A129" s="5"/>
      <c r="B129" s="5"/>
      <c r="C129" s="5"/>
      <c r="D129" s="5"/>
      <c r="E129" s="5"/>
      <c r="F129" s="5"/>
      <c r="G129" s="5"/>
      <c r="I129" s="5"/>
      <c r="J129" s="5"/>
      <c r="K129" s="5"/>
      <c r="L129" s="5"/>
      <c r="M129" s="5"/>
      <c r="N129" s="5"/>
      <c r="O129" s="5"/>
      <c r="P129" s="5"/>
      <c r="Q129" s="5"/>
    </row>
    <row r="130" ht="15.75" customHeight="1">
      <c r="A130" s="5"/>
      <c r="B130" s="5"/>
      <c r="C130" s="5"/>
      <c r="D130" s="5"/>
      <c r="E130" s="5"/>
      <c r="F130" s="5"/>
      <c r="G130" s="5"/>
      <c r="I130" s="5"/>
      <c r="J130" s="5"/>
      <c r="K130" s="5"/>
      <c r="L130" s="5"/>
      <c r="M130" s="5"/>
      <c r="N130" s="5"/>
      <c r="O130" s="5"/>
      <c r="P130" s="5"/>
      <c r="Q130" s="5"/>
    </row>
    <row r="131" ht="15.75" customHeight="1">
      <c r="A131" s="5"/>
      <c r="B131" s="5"/>
      <c r="C131" s="5"/>
      <c r="D131" s="5"/>
      <c r="E131" s="5"/>
      <c r="F131" s="5"/>
      <c r="G131" s="5"/>
      <c r="I131" s="5"/>
      <c r="J131" s="5"/>
      <c r="K131" s="5"/>
      <c r="L131" s="5"/>
      <c r="M131" s="5"/>
      <c r="N131" s="5"/>
      <c r="O131" s="5"/>
      <c r="P131" s="5"/>
      <c r="Q131" s="5"/>
    </row>
    <row r="132" ht="15.75" customHeight="1">
      <c r="A132" s="5"/>
      <c r="B132" s="5"/>
      <c r="C132" s="5"/>
      <c r="D132" s="5"/>
      <c r="E132" s="5"/>
      <c r="F132" s="5"/>
      <c r="G132" s="5"/>
      <c r="I132" s="5"/>
      <c r="J132" s="5"/>
      <c r="K132" s="5"/>
      <c r="L132" s="5"/>
      <c r="M132" s="5"/>
      <c r="N132" s="5"/>
      <c r="O132" s="5"/>
      <c r="P132" s="5"/>
      <c r="Q132" s="5"/>
    </row>
    <row r="133" ht="15.75" customHeight="1">
      <c r="A133" s="5"/>
      <c r="B133" s="5"/>
      <c r="C133" s="5"/>
      <c r="D133" s="5"/>
      <c r="E133" s="5"/>
      <c r="F133" s="5"/>
      <c r="G133" s="5"/>
      <c r="I133" s="5"/>
      <c r="J133" s="5"/>
      <c r="K133" s="5"/>
      <c r="L133" s="5"/>
      <c r="M133" s="5"/>
      <c r="N133" s="5"/>
      <c r="O133" s="5"/>
      <c r="P133" s="5"/>
      <c r="Q133" s="5"/>
    </row>
    <row r="134" ht="15.75" customHeight="1">
      <c r="A134" s="5"/>
      <c r="B134" s="5"/>
      <c r="C134" s="5"/>
      <c r="D134" s="5"/>
      <c r="E134" s="5"/>
      <c r="F134" s="5"/>
      <c r="G134" s="5"/>
      <c r="I134" s="5"/>
      <c r="J134" s="5"/>
      <c r="K134" s="5"/>
      <c r="L134" s="5"/>
      <c r="M134" s="5"/>
      <c r="N134" s="5"/>
      <c r="O134" s="5"/>
      <c r="P134" s="5"/>
      <c r="Q134" s="5"/>
    </row>
    <row r="135" ht="15.75" customHeight="1">
      <c r="A135" s="5"/>
      <c r="B135" s="5"/>
      <c r="C135" s="5"/>
      <c r="D135" s="5"/>
      <c r="E135" s="5"/>
      <c r="F135" s="5"/>
      <c r="G135" s="5"/>
      <c r="I135" s="5"/>
      <c r="J135" s="5"/>
      <c r="K135" s="5"/>
      <c r="L135" s="5"/>
      <c r="M135" s="5"/>
      <c r="N135" s="5"/>
      <c r="O135" s="5"/>
      <c r="P135" s="5"/>
      <c r="Q135" s="5"/>
    </row>
    <row r="136" ht="15.75" customHeight="1">
      <c r="A136" s="5"/>
      <c r="B136" s="5"/>
      <c r="C136" s="5"/>
      <c r="D136" s="5"/>
      <c r="E136" s="5"/>
      <c r="F136" s="5"/>
      <c r="G136" s="5"/>
      <c r="I136" s="5"/>
      <c r="J136" s="5"/>
      <c r="K136" s="5"/>
      <c r="L136" s="5"/>
      <c r="M136" s="5"/>
      <c r="N136" s="5"/>
      <c r="O136" s="5"/>
      <c r="P136" s="5"/>
      <c r="Q136" s="5"/>
    </row>
    <row r="137" ht="15.75" customHeight="1">
      <c r="A137" s="5"/>
      <c r="B137" s="5"/>
      <c r="C137" s="5"/>
      <c r="D137" s="5"/>
      <c r="E137" s="5"/>
      <c r="F137" s="5"/>
      <c r="G137" s="5"/>
      <c r="I137" s="5"/>
      <c r="J137" s="5"/>
      <c r="K137" s="5"/>
      <c r="L137" s="5"/>
      <c r="M137" s="5"/>
      <c r="N137" s="5"/>
      <c r="O137" s="5"/>
      <c r="P137" s="5"/>
      <c r="Q137" s="5"/>
    </row>
    <row r="138" ht="15.75" customHeight="1">
      <c r="A138" s="5"/>
      <c r="B138" s="5"/>
      <c r="C138" s="5"/>
      <c r="D138" s="5"/>
      <c r="E138" s="5"/>
      <c r="F138" s="5"/>
      <c r="G138" s="5"/>
      <c r="I138" s="5"/>
      <c r="J138" s="5"/>
      <c r="K138" s="5"/>
      <c r="L138" s="5"/>
      <c r="M138" s="5"/>
      <c r="N138" s="5"/>
      <c r="O138" s="5"/>
      <c r="P138" s="5"/>
      <c r="Q138" s="5"/>
    </row>
    <row r="139" ht="15.75" customHeight="1">
      <c r="A139" s="5"/>
      <c r="B139" s="5"/>
      <c r="C139" s="5"/>
      <c r="D139" s="5"/>
      <c r="E139" s="5"/>
      <c r="F139" s="5"/>
      <c r="G139" s="5"/>
      <c r="I139" s="5"/>
      <c r="J139" s="5"/>
      <c r="K139" s="5"/>
      <c r="L139" s="5"/>
      <c r="M139" s="5"/>
      <c r="N139" s="5"/>
      <c r="O139" s="5"/>
      <c r="P139" s="5"/>
      <c r="Q139" s="5"/>
    </row>
    <row r="140" ht="15.75" customHeight="1">
      <c r="A140" s="5"/>
      <c r="B140" s="5"/>
      <c r="C140" s="5"/>
      <c r="D140" s="5"/>
      <c r="E140" s="5"/>
      <c r="F140" s="5"/>
      <c r="G140" s="5"/>
      <c r="I140" s="5"/>
      <c r="J140" s="5"/>
      <c r="K140" s="5"/>
      <c r="L140" s="5"/>
      <c r="M140" s="5"/>
      <c r="N140" s="5"/>
      <c r="O140" s="5"/>
      <c r="P140" s="5"/>
      <c r="Q140" s="5"/>
    </row>
    <row r="141" ht="15.75" customHeight="1">
      <c r="A141" s="5"/>
      <c r="B141" s="5"/>
      <c r="C141" s="5"/>
      <c r="D141" s="5"/>
      <c r="E141" s="5"/>
      <c r="F141" s="5"/>
      <c r="G141" s="5"/>
      <c r="I141" s="5"/>
      <c r="J141" s="5"/>
      <c r="K141" s="5"/>
      <c r="L141" s="5"/>
      <c r="M141" s="5"/>
      <c r="N141" s="5"/>
      <c r="O141" s="5"/>
      <c r="P141" s="5"/>
      <c r="Q141" s="5"/>
    </row>
    <row r="142" ht="15.75" customHeight="1">
      <c r="A142" s="5"/>
      <c r="B142" s="5"/>
      <c r="C142" s="5"/>
      <c r="D142" s="5"/>
      <c r="E142" s="5"/>
      <c r="F142" s="5"/>
      <c r="G142" s="5"/>
      <c r="I142" s="5"/>
      <c r="J142" s="5"/>
      <c r="K142" s="5"/>
      <c r="L142" s="5"/>
      <c r="M142" s="5"/>
      <c r="N142" s="5"/>
      <c r="O142" s="5"/>
      <c r="P142" s="5"/>
      <c r="Q142" s="5"/>
    </row>
    <row r="143" ht="15.75" customHeight="1">
      <c r="A143" s="5"/>
      <c r="B143" s="5"/>
      <c r="C143" s="5"/>
      <c r="D143" s="5"/>
      <c r="E143" s="5"/>
      <c r="F143" s="5"/>
      <c r="G143" s="5"/>
      <c r="I143" s="5"/>
      <c r="J143" s="5"/>
      <c r="K143" s="5"/>
      <c r="L143" s="5"/>
      <c r="M143" s="5"/>
      <c r="N143" s="5"/>
      <c r="O143" s="5"/>
      <c r="P143" s="5"/>
      <c r="Q143" s="5"/>
    </row>
    <row r="144" ht="15.75" customHeight="1">
      <c r="A144" s="5"/>
      <c r="B144" s="5"/>
      <c r="C144" s="5"/>
      <c r="D144" s="5"/>
      <c r="E144" s="5"/>
      <c r="F144" s="5"/>
      <c r="G144" s="5"/>
      <c r="I144" s="5"/>
      <c r="J144" s="5"/>
      <c r="K144" s="5"/>
      <c r="L144" s="5"/>
      <c r="M144" s="5"/>
      <c r="N144" s="5"/>
      <c r="O144" s="5"/>
      <c r="P144" s="5"/>
      <c r="Q144" s="5"/>
    </row>
    <row r="145" ht="15.75" customHeight="1">
      <c r="A145" s="5"/>
      <c r="B145" s="5"/>
      <c r="C145" s="5"/>
      <c r="D145" s="5"/>
      <c r="E145" s="5"/>
      <c r="F145" s="5"/>
      <c r="G145" s="5"/>
      <c r="I145" s="5"/>
      <c r="J145" s="5"/>
      <c r="K145" s="5"/>
      <c r="L145" s="5"/>
      <c r="M145" s="5"/>
      <c r="N145" s="5"/>
      <c r="O145" s="5"/>
      <c r="P145" s="5"/>
      <c r="Q145" s="5"/>
    </row>
    <row r="146" ht="15.75" customHeight="1">
      <c r="A146" s="5"/>
      <c r="B146" s="5"/>
      <c r="C146" s="5"/>
      <c r="D146" s="5"/>
      <c r="E146" s="5"/>
      <c r="F146" s="5"/>
      <c r="G146" s="5"/>
      <c r="I146" s="5"/>
      <c r="J146" s="5"/>
      <c r="K146" s="5"/>
      <c r="L146" s="5"/>
      <c r="M146" s="5"/>
      <c r="N146" s="5"/>
      <c r="O146" s="5"/>
      <c r="P146" s="5"/>
      <c r="Q146" s="5"/>
    </row>
    <row r="147" ht="15.75" customHeight="1">
      <c r="A147" s="5"/>
      <c r="B147" s="5"/>
      <c r="C147" s="5"/>
      <c r="D147" s="5"/>
      <c r="E147" s="5"/>
      <c r="F147" s="5"/>
      <c r="G147" s="5"/>
      <c r="I147" s="5"/>
      <c r="J147" s="5"/>
      <c r="K147" s="5"/>
      <c r="L147" s="5"/>
      <c r="M147" s="5"/>
      <c r="N147" s="5"/>
      <c r="O147" s="5"/>
      <c r="P147" s="5"/>
      <c r="Q147" s="5"/>
    </row>
    <row r="148" ht="15.75" customHeight="1">
      <c r="A148" s="5"/>
      <c r="B148" s="5"/>
      <c r="C148" s="5"/>
      <c r="D148" s="5"/>
      <c r="E148" s="5"/>
      <c r="F148" s="5"/>
      <c r="G148" s="5"/>
      <c r="I148" s="5"/>
      <c r="J148" s="5"/>
      <c r="K148" s="5"/>
      <c r="L148" s="5"/>
      <c r="M148" s="5"/>
      <c r="N148" s="5"/>
      <c r="O148" s="5"/>
      <c r="P148" s="5"/>
      <c r="Q148" s="5"/>
    </row>
    <row r="149" ht="15.75" customHeight="1">
      <c r="A149" s="5"/>
      <c r="B149" s="5"/>
      <c r="C149" s="5"/>
      <c r="D149" s="5"/>
      <c r="E149" s="5"/>
      <c r="F149" s="5"/>
      <c r="G149" s="5"/>
      <c r="I149" s="5"/>
      <c r="J149" s="5"/>
      <c r="K149" s="5"/>
      <c r="L149" s="5"/>
      <c r="M149" s="5"/>
      <c r="N149" s="5"/>
      <c r="O149" s="5"/>
      <c r="P149" s="5"/>
      <c r="Q149" s="5"/>
    </row>
    <row r="150" ht="15.75" customHeight="1">
      <c r="A150" s="5"/>
      <c r="B150" s="5"/>
      <c r="C150" s="5"/>
      <c r="D150" s="5"/>
      <c r="E150" s="5"/>
      <c r="F150" s="5"/>
      <c r="G150" s="5"/>
      <c r="I150" s="5"/>
      <c r="J150" s="5"/>
      <c r="K150" s="5"/>
      <c r="L150" s="5"/>
      <c r="M150" s="5"/>
      <c r="N150" s="5"/>
      <c r="O150" s="5"/>
      <c r="P150" s="5"/>
      <c r="Q150" s="5"/>
    </row>
    <row r="151" ht="15.75" customHeight="1">
      <c r="A151" s="5"/>
      <c r="B151" s="5"/>
      <c r="C151" s="5"/>
      <c r="D151" s="5"/>
      <c r="E151" s="5"/>
      <c r="F151" s="5"/>
      <c r="G151" s="5"/>
      <c r="I151" s="5"/>
      <c r="J151" s="5"/>
      <c r="K151" s="5"/>
      <c r="L151" s="5"/>
      <c r="M151" s="5"/>
      <c r="N151" s="5"/>
      <c r="O151" s="5"/>
      <c r="P151" s="5"/>
      <c r="Q151" s="5"/>
    </row>
    <row r="152" ht="15.75" customHeight="1">
      <c r="A152" s="5"/>
      <c r="B152" s="5"/>
      <c r="C152" s="5"/>
      <c r="D152" s="5"/>
      <c r="E152" s="5"/>
      <c r="F152" s="5"/>
      <c r="G152" s="5"/>
      <c r="I152" s="5"/>
      <c r="J152" s="5"/>
      <c r="K152" s="5"/>
      <c r="L152" s="5"/>
      <c r="M152" s="5"/>
      <c r="N152" s="5"/>
      <c r="O152" s="5"/>
      <c r="P152" s="5"/>
      <c r="Q152" s="5"/>
    </row>
    <row r="153" ht="15.75" customHeight="1">
      <c r="A153" s="5"/>
      <c r="B153" s="5"/>
      <c r="C153" s="5"/>
      <c r="D153" s="5"/>
      <c r="E153" s="5"/>
      <c r="F153" s="5"/>
      <c r="G153" s="5"/>
      <c r="I153" s="5"/>
      <c r="J153" s="5"/>
      <c r="K153" s="5"/>
      <c r="L153" s="5"/>
      <c r="M153" s="5"/>
      <c r="N153" s="5"/>
      <c r="O153" s="5"/>
      <c r="P153" s="5"/>
      <c r="Q153" s="5"/>
    </row>
    <row r="154" ht="15.75" customHeight="1">
      <c r="A154" s="5"/>
      <c r="B154" s="5"/>
      <c r="C154" s="5"/>
      <c r="D154" s="5"/>
      <c r="E154" s="5"/>
      <c r="F154" s="5"/>
      <c r="G154" s="5"/>
      <c r="I154" s="5"/>
      <c r="J154" s="5"/>
      <c r="K154" s="5"/>
      <c r="L154" s="5"/>
      <c r="M154" s="5"/>
      <c r="N154" s="5"/>
      <c r="O154" s="5"/>
      <c r="P154" s="5"/>
      <c r="Q154" s="5"/>
    </row>
    <row r="155" ht="15.75" customHeight="1">
      <c r="A155" s="5"/>
      <c r="B155" s="5"/>
      <c r="C155" s="5"/>
      <c r="D155" s="5"/>
      <c r="E155" s="5"/>
      <c r="F155" s="5"/>
      <c r="G155" s="5"/>
      <c r="I155" s="5"/>
      <c r="J155" s="5"/>
      <c r="K155" s="5"/>
      <c r="L155" s="5"/>
      <c r="M155" s="5"/>
      <c r="N155" s="5"/>
      <c r="O155" s="5"/>
      <c r="P155" s="5"/>
      <c r="Q155" s="5"/>
    </row>
    <row r="156" ht="15.75" customHeight="1">
      <c r="A156" s="5"/>
      <c r="B156" s="5"/>
      <c r="C156" s="5"/>
      <c r="D156" s="5"/>
      <c r="E156" s="5"/>
      <c r="F156" s="5"/>
      <c r="G156" s="5"/>
      <c r="I156" s="5"/>
      <c r="J156" s="5"/>
      <c r="K156" s="5"/>
      <c r="L156" s="5"/>
      <c r="M156" s="5"/>
      <c r="N156" s="5"/>
      <c r="O156" s="5"/>
      <c r="P156" s="5"/>
      <c r="Q156" s="5"/>
    </row>
    <row r="157" ht="15.75" customHeight="1">
      <c r="A157" s="5"/>
      <c r="B157" s="5"/>
      <c r="C157" s="5"/>
      <c r="D157" s="5"/>
      <c r="E157" s="5"/>
      <c r="F157" s="5"/>
      <c r="G157" s="5"/>
      <c r="I157" s="5"/>
      <c r="J157" s="5"/>
      <c r="K157" s="5"/>
      <c r="L157" s="5"/>
      <c r="M157" s="5"/>
      <c r="N157" s="5"/>
      <c r="O157" s="5"/>
      <c r="P157" s="5"/>
      <c r="Q157" s="5"/>
    </row>
    <row r="158" ht="15.75" customHeight="1">
      <c r="A158" s="5"/>
      <c r="B158" s="5"/>
      <c r="C158" s="5"/>
      <c r="D158" s="5"/>
      <c r="E158" s="5"/>
      <c r="F158" s="5"/>
      <c r="G158" s="5"/>
      <c r="I158" s="5"/>
      <c r="J158" s="5"/>
      <c r="K158" s="5"/>
      <c r="L158" s="5"/>
      <c r="M158" s="5"/>
      <c r="N158" s="5"/>
      <c r="O158" s="5"/>
      <c r="P158" s="5"/>
      <c r="Q158" s="5"/>
    </row>
    <row r="159" ht="15.75" customHeight="1">
      <c r="A159" s="5"/>
      <c r="B159" s="5"/>
      <c r="C159" s="5"/>
      <c r="D159" s="5"/>
      <c r="E159" s="5"/>
      <c r="F159" s="5"/>
      <c r="G159" s="5"/>
      <c r="I159" s="5"/>
      <c r="J159" s="5"/>
      <c r="K159" s="5"/>
      <c r="L159" s="5"/>
      <c r="M159" s="5"/>
      <c r="N159" s="5"/>
      <c r="O159" s="5"/>
      <c r="P159" s="5"/>
      <c r="Q159" s="5"/>
    </row>
    <row r="160" ht="15.75" customHeight="1">
      <c r="A160" s="5"/>
      <c r="B160" s="5"/>
      <c r="C160" s="5"/>
      <c r="D160" s="5"/>
      <c r="E160" s="5"/>
      <c r="F160" s="5"/>
      <c r="G160" s="5"/>
      <c r="I160" s="5"/>
      <c r="J160" s="5"/>
      <c r="K160" s="5"/>
      <c r="L160" s="5"/>
      <c r="M160" s="5"/>
      <c r="N160" s="5"/>
      <c r="O160" s="5"/>
      <c r="P160" s="5"/>
      <c r="Q160" s="5"/>
    </row>
    <row r="161" ht="15.75" customHeight="1">
      <c r="A161" s="5"/>
      <c r="B161" s="5"/>
      <c r="C161" s="5"/>
      <c r="D161" s="5"/>
      <c r="E161" s="5"/>
      <c r="F161" s="5"/>
      <c r="G161" s="5"/>
      <c r="I161" s="5"/>
      <c r="J161" s="5"/>
      <c r="K161" s="5"/>
      <c r="L161" s="5"/>
      <c r="M161" s="5"/>
      <c r="N161" s="5"/>
      <c r="O161" s="5"/>
      <c r="P161" s="5"/>
      <c r="Q161" s="5"/>
    </row>
    <row r="162" ht="15.75" customHeight="1">
      <c r="A162" s="5"/>
      <c r="B162" s="5"/>
      <c r="C162" s="5"/>
      <c r="D162" s="5"/>
      <c r="E162" s="5"/>
      <c r="F162" s="5"/>
      <c r="G162" s="5"/>
      <c r="I162" s="5"/>
      <c r="J162" s="5"/>
      <c r="K162" s="5"/>
      <c r="L162" s="5"/>
      <c r="M162" s="5"/>
      <c r="N162" s="5"/>
      <c r="O162" s="5"/>
      <c r="P162" s="5"/>
      <c r="Q162" s="5"/>
    </row>
    <row r="163" ht="15.75" customHeight="1">
      <c r="A163" s="5"/>
      <c r="B163" s="5"/>
      <c r="C163" s="5"/>
      <c r="D163" s="5"/>
      <c r="E163" s="5"/>
      <c r="F163" s="5"/>
      <c r="G163" s="5"/>
      <c r="I163" s="5"/>
      <c r="J163" s="5"/>
      <c r="K163" s="5"/>
      <c r="L163" s="5"/>
      <c r="M163" s="5"/>
      <c r="N163" s="5"/>
      <c r="O163" s="5"/>
      <c r="P163" s="5"/>
      <c r="Q163" s="5"/>
    </row>
    <row r="164" ht="15.75" customHeight="1">
      <c r="A164" s="5"/>
      <c r="B164" s="5"/>
      <c r="C164" s="5"/>
      <c r="D164" s="5"/>
      <c r="E164" s="5"/>
      <c r="F164" s="5"/>
      <c r="G164" s="5"/>
      <c r="I164" s="5"/>
      <c r="J164" s="5"/>
      <c r="K164" s="5"/>
      <c r="L164" s="5"/>
      <c r="M164" s="5"/>
      <c r="N164" s="5"/>
      <c r="O164" s="5"/>
      <c r="P164" s="5"/>
      <c r="Q164" s="5"/>
    </row>
    <row r="165" ht="15.75" customHeight="1">
      <c r="A165" s="5"/>
      <c r="B165" s="5"/>
      <c r="C165" s="5"/>
      <c r="D165" s="5"/>
      <c r="E165" s="5"/>
      <c r="F165" s="5"/>
      <c r="G165" s="5"/>
      <c r="I165" s="5"/>
      <c r="J165" s="5"/>
      <c r="K165" s="5"/>
      <c r="L165" s="5"/>
      <c r="M165" s="5"/>
      <c r="N165" s="5"/>
      <c r="O165" s="5"/>
      <c r="P165" s="5"/>
      <c r="Q165" s="5"/>
    </row>
    <row r="166" ht="15.75" customHeight="1">
      <c r="A166" s="5"/>
      <c r="B166" s="5"/>
      <c r="C166" s="5"/>
      <c r="D166" s="5"/>
      <c r="E166" s="5"/>
      <c r="F166" s="5"/>
      <c r="G166" s="5"/>
      <c r="I166" s="5"/>
      <c r="J166" s="5"/>
      <c r="K166" s="5"/>
      <c r="L166" s="5"/>
      <c r="M166" s="5"/>
      <c r="N166" s="5"/>
      <c r="O166" s="5"/>
      <c r="P166" s="5"/>
      <c r="Q166" s="5"/>
    </row>
    <row r="167" ht="15.75" customHeight="1">
      <c r="A167" s="5"/>
      <c r="B167" s="5"/>
      <c r="C167" s="5"/>
      <c r="D167" s="5"/>
      <c r="E167" s="5"/>
      <c r="F167" s="5"/>
      <c r="G167" s="5"/>
      <c r="I167" s="5"/>
      <c r="J167" s="5"/>
      <c r="K167" s="5"/>
      <c r="L167" s="5"/>
      <c r="M167" s="5"/>
      <c r="N167" s="5"/>
      <c r="O167" s="5"/>
      <c r="P167" s="5"/>
      <c r="Q167" s="5"/>
    </row>
    <row r="168" ht="15.75" customHeight="1">
      <c r="A168" s="5"/>
      <c r="B168" s="5"/>
      <c r="C168" s="5"/>
      <c r="D168" s="5"/>
      <c r="E168" s="5"/>
      <c r="F168" s="5"/>
      <c r="G168" s="5"/>
      <c r="I168" s="5"/>
      <c r="J168" s="5"/>
      <c r="K168" s="5"/>
      <c r="L168" s="5"/>
      <c r="M168" s="5"/>
      <c r="N168" s="5"/>
      <c r="O168" s="5"/>
      <c r="P168" s="5"/>
      <c r="Q168" s="5"/>
    </row>
    <row r="169" ht="15.75" customHeight="1">
      <c r="A169" s="5"/>
      <c r="B169" s="5"/>
      <c r="C169" s="5"/>
      <c r="D169" s="5"/>
      <c r="E169" s="5"/>
      <c r="F169" s="5"/>
      <c r="G169" s="5"/>
      <c r="I169" s="5"/>
      <c r="J169" s="5"/>
      <c r="K169" s="5"/>
      <c r="L169" s="5"/>
      <c r="M169" s="5"/>
      <c r="N169" s="5"/>
      <c r="O169" s="5"/>
      <c r="P169" s="5"/>
      <c r="Q169" s="5"/>
    </row>
    <row r="170" ht="15.75" customHeight="1">
      <c r="A170" s="5"/>
      <c r="B170" s="5"/>
      <c r="C170" s="5"/>
      <c r="D170" s="5"/>
      <c r="E170" s="5"/>
      <c r="F170" s="5"/>
      <c r="G170" s="5"/>
      <c r="I170" s="5"/>
      <c r="J170" s="5"/>
      <c r="K170" s="5"/>
      <c r="L170" s="5"/>
      <c r="M170" s="5"/>
      <c r="N170" s="5"/>
      <c r="O170" s="5"/>
      <c r="P170" s="5"/>
      <c r="Q170" s="5"/>
    </row>
    <row r="171" ht="15.75" customHeight="1">
      <c r="A171" s="5"/>
      <c r="B171" s="5"/>
      <c r="C171" s="5"/>
      <c r="D171" s="5"/>
      <c r="E171" s="5"/>
      <c r="F171" s="5"/>
      <c r="G171" s="5"/>
      <c r="I171" s="5"/>
      <c r="J171" s="5"/>
      <c r="K171" s="5"/>
      <c r="L171" s="5"/>
      <c r="M171" s="5"/>
      <c r="N171" s="5"/>
      <c r="O171" s="5"/>
      <c r="P171" s="5"/>
      <c r="Q171" s="5"/>
    </row>
    <row r="172" ht="15.75" customHeight="1">
      <c r="A172" s="5"/>
      <c r="B172" s="5"/>
      <c r="C172" s="5"/>
      <c r="D172" s="5"/>
      <c r="E172" s="5"/>
      <c r="F172" s="5"/>
      <c r="G172" s="5"/>
      <c r="I172" s="5"/>
      <c r="J172" s="5"/>
      <c r="K172" s="5"/>
      <c r="L172" s="5"/>
      <c r="M172" s="5"/>
      <c r="N172" s="5"/>
      <c r="O172" s="5"/>
      <c r="P172" s="5"/>
      <c r="Q172" s="5"/>
    </row>
    <row r="173" ht="15.75" customHeight="1">
      <c r="A173" s="5"/>
      <c r="B173" s="5"/>
      <c r="C173" s="5"/>
      <c r="D173" s="5"/>
      <c r="E173" s="5"/>
      <c r="F173" s="5"/>
      <c r="G173" s="5"/>
      <c r="I173" s="5"/>
      <c r="J173" s="5"/>
      <c r="K173" s="5"/>
      <c r="L173" s="5"/>
      <c r="M173" s="5"/>
      <c r="N173" s="5"/>
      <c r="O173" s="5"/>
      <c r="P173" s="5"/>
      <c r="Q173" s="5"/>
    </row>
    <row r="174" ht="15.75" customHeight="1">
      <c r="A174" s="5"/>
      <c r="B174" s="5"/>
      <c r="C174" s="5"/>
      <c r="D174" s="5"/>
      <c r="E174" s="5"/>
      <c r="F174" s="5"/>
      <c r="G174" s="5"/>
      <c r="I174" s="5"/>
      <c r="J174" s="5"/>
      <c r="K174" s="5"/>
      <c r="L174" s="5"/>
      <c r="M174" s="5"/>
      <c r="N174" s="5"/>
      <c r="O174" s="5"/>
      <c r="P174" s="5"/>
      <c r="Q174" s="5"/>
    </row>
    <row r="175" ht="15.75" customHeight="1">
      <c r="A175" s="5"/>
      <c r="B175" s="5"/>
      <c r="C175" s="5"/>
      <c r="D175" s="5"/>
      <c r="E175" s="5"/>
      <c r="F175" s="5"/>
      <c r="G175" s="5"/>
      <c r="I175" s="5"/>
      <c r="J175" s="5"/>
      <c r="K175" s="5"/>
      <c r="L175" s="5"/>
      <c r="M175" s="5"/>
      <c r="N175" s="5"/>
      <c r="O175" s="5"/>
      <c r="P175" s="5"/>
      <c r="Q175" s="5"/>
    </row>
    <row r="176" ht="15.75" customHeight="1">
      <c r="A176" s="5"/>
      <c r="B176" s="5"/>
      <c r="C176" s="5"/>
      <c r="D176" s="5"/>
      <c r="E176" s="5"/>
      <c r="F176" s="5"/>
      <c r="G176" s="5"/>
      <c r="I176" s="5"/>
      <c r="J176" s="5"/>
      <c r="K176" s="5"/>
      <c r="L176" s="5"/>
      <c r="M176" s="5"/>
      <c r="N176" s="5"/>
      <c r="O176" s="5"/>
      <c r="P176" s="5"/>
      <c r="Q176" s="5"/>
    </row>
    <row r="177" ht="15.75" customHeight="1">
      <c r="A177" s="5"/>
      <c r="B177" s="5"/>
      <c r="C177" s="5"/>
      <c r="D177" s="5"/>
      <c r="E177" s="5"/>
      <c r="F177" s="5"/>
      <c r="G177" s="5"/>
      <c r="I177" s="5"/>
      <c r="J177" s="5"/>
      <c r="K177" s="5"/>
      <c r="L177" s="5"/>
      <c r="M177" s="5"/>
      <c r="N177" s="5"/>
      <c r="O177" s="5"/>
      <c r="P177" s="5"/>
      <c r="Q177" s="5"/>
    </row>
    <row r="178" ht="15.75" customHeight="1">
      <c r="A178" s="5"/>
      <c r="B178" s="5"/>
      <c r="C178" s="5"/>
      <c r="D178" s="5"/>
      <c r="E178" s="5"/>
      <c r="F178" s="5"/>
      <c r="G178" s="5"/>
      <c r="I178" s="5"/>
      <c r="J178" s="5"/>
      <c r="K178" s="5"/>
      <c r="L178" s="5"/>
      <c r="M178" s="5"/>
      <c r="N178" s="5"/>
      <c r="O178" s="5"/>
      <c r="P178" s="5"/>
      <c r="Q178" s="5"/>
    </row>
    <row r="179" ht="15.75" customHeight="1">
      <c r="A179" s="5"/>
      <c r="B179" s="5"/>
      <c r="C179" s="5"/>
      <c r="D179" s="5"/>
      <c r="E179" s="5"/>
      <c r="F179" s="5"/>
      <c r="G179" s="5"/>
      <c r="I179" s="5"/>
      <c r="J179" s="5"/>
      <c r="K179" s="5"/>
      <c r="L179" s="5"/>
      <c r="M179" s="5"/>
      <c r="N179" s="5"/>
      <c r="O179" s="5"/>
      <c r="P179" s="5"/>
      <c r="Q179" s="5"/>
    </row>
    <row r="180" ht="15.75" customHeight="1">
      <c r="A180" s="5"/>
      <c r="B180" s="5"/>
      <c r="C180" s="5"/>
      <c r="D180" s="5"/>
      <c r="E180" s="5"/>
      <c r="F180" s="5"/>
      <c r="G180" s="5"/>
      <c r="I180" s="5"/>
      <c r="J180" s="5"/>
      <c r="K180" s="5"/>
      <c r="L180" s="5"/>
      <c r="M180" s="5"/>
      <c r="N180" s="5"/>
      <c r="O180" s="5"/>
      <c r="P180" s="5"/>
      <c r="Q180" s="5"/>
    </row>
    <row r="181" ht="15.75" customHeight="1">
      <c r="A181" s="5"/>
      <c r="B181" s="5"/>
      <c r="C181" s="5"/>
      <c r="D181" s="5"/>
      <c r="E181" s="5"/>
      <c r="F181" s="5"/>
      <c r="G181" s="5"/>
      <c r="I181" s="5"/>
      <c r="J181" s="5"/>
      <c r="K181" s="5"/>
      <c r="L181" s="5"/>
      <c r="M181" s="5"/>
      <c r="N181" s="5"/>
      <c r="O181" s="5"/>
      <c r="P181" s="5"/>
      <c r="Q181" s="5"/>
    </row>
    <row r="182" ht="15.75" customHeight="1">
      <c r="A182" s="5"/>
      <c r="B182" s="5"/>
      <c r="C182" s="5"/>
      <c r="D182" s="5"/>
      <c r="E182" s="5"/>
      <c r="F182" s="5"/>
      <c r="G182" s="5"/>
      <c r="I182" s="5"/>
      <c r="J182" s="5"/>
      <c r="K182" s="5"/>
      <c r="L182" s="5"/>
      <c r="M182" s="5"/>
      <c r="N182" s="5"/>
      <c r="O182" s="5"/>
      <c r="P182" s="5"/>
      <c r="Q182" s="5"/>
    </row>
    <row r="183" ht="15.75" customHeight="1">
      <c r="A183" s="5"/>
      <c r="B183" s="5"/>
      <c r="C183" s="5"/>
      <c r="D183" s="5"/>
      <c r="E183" s="5"/>
      <c r="F183" s="5"/>
      <c r="G183" s="5"/>
      <c r="I183" s="5"/>
      <c r="J183" s="5"/>
      <c r="K183" s="5"/>
      <c r="L183" s="5"/>
      <c r="M183" s="5"/>
      <c r="N183" s="5"/>
      <c r="O183" s="5"/>
      <c r="P183" s="5"/>
      <c r="Q183" s="5"/>
    </row>
    <row r="184" ht="15.75" customHeight="1">
      <c r="A184" s="5"/>
      <c r="B184" s="5"/>
      <c r="C184" s="5"/>
      <c r="D184" s="5"/>
      <c r="E184" s="5"/>
      <c r="F184" s="5"/>
      <c r="G184" s="5"/>
      <c r="I184" s="5"/>
      <c r="J184" s="5"/>
      <c r="K184" s="5"/>
      <c r="L184" s="5"/>
      <c r="M184" s="5"/>
      <c r="N184" s="5"/>
      <c r="O184" s="5"/>
      <c r="P184" s="5"/>
      <c r="Q184" s="5"/>
    </row>
    <row r="185" ht="15.75" customHeight="1">
      <c r="A185" s="5"/>
      <c r="B185" s="5"/>
      <c r="C185" s="5"/>
      <c r="D185" s="5"/>
      <c r="E185" s="5"/>
      <c r="F185" s="5"/>
      <c r="G185" s="5"/>
      <c r="I185" s="5"/>
      <c r="J185" s="5"/>
      <c r="K185" s="5"/>
      <c r="L185" s="5"/>
      <c r="M185" s="5"/>
      <c r="N185" s="5"/>
      <c r="O185" s="5"/>
      <c r="P185" s="5"/>
      <c r="Q185" s="5"/>
    </row>
    <row r="186" ht="15.75" customHeight="1">
      <c r="A186" s="5"/>
      <c r="B186" s="5"/>
      <c r="C186" s="5"/>
      <c r="D186" s="5"/>
      <c r="E186" s="5"/>
      <c r="F186" s="5"/>
      <c r="G186" s="5"/>
      <c r="I186" s="5"/>
      <c r="J186" s="5"/>
      <c r="K186" s="5"/>
      <c r="L186" s="5"/>
      <c r="M186" s="5"/>
      <c r="N186" s="5"/>
      <c r="O186" s="5"/>
      <c r="P186" s="5"/>
      <c r="Q186" s="5"/>
    </row>
    <row r="187" ht="15.75" customHeight="1">
      <c r="A187" s="5"/>
      <c r="B187" s="5"/>
      <c r="C187" s="5"/>
      <c r="D187" s="5"/>
      <c r="E187" s="5"/>
      <c r="F187" s="5"/>
      <c r="G187" s="5"/>
      <c r="I187" s="5"/>
      <c r="J187" s="5"/>
      <c r="K187" s="5"/>
      <c r="L187" s="5"/>
      <c r="M187" s="5"/>
      <c r="N187" s="5"/>
      <c r="O187" s="5"/>
      <c r="P187" s="5"/>
      <c r="Q187" s="5"/>
    </row>
    <row r="188" ht="15.75" customHeight="1">
      <c r="A188" s="5"/>
      <c r="B188" s="5"/>
      <c r="C188" s="5"/>
      <c r="D188" s="5"/>
      <c r="E188" s="5"/>
      <c r="F188" s="5"/>
      <c r="G188" s="5"/>
      <c r="I188" s="5"/>
      <c r="J188" s="5"/>
      <c r="K188" s="5"/>
      <c r="L188" s="5"/>
      <c r="M188" s="5"/>
      <c r="N188" s="5"/>
      <c r="O188" s="5"/>
      <c r="P188" s="5"/>
      <c r="Q188" s="5"/>
    </row>
    <row r="189" ht="15.75" customHeight="1">
      <c r="A189" s="5"/>
      <c r="B189" s="5"/>
      <c r="C189" s="5"/>
      <c r="D189" s="5"/>
      <c r="E189" s="5"/>
      <c r="F189" s="5"/>
      <c r="G189" s="5"/>
      <c r="I189" s="5"/>
      <c r="J189" s="5"/>
      <c r="K189" s="5"/>
      <c r="L189" s="5"/>
      <c r="M189" s="5"/>
      <c r="N189" s="5"/>
      <c r="O189" s="5"/>
      <c r="P189" s="5"/>
      <c r="Q189" s="5"/>
    </row>
    <row r="190" ht="15.75" customHeight="1">
      <c r="A190" s="5"/>
      <c r="B190" s="5"/>
      <c r="C190" s="5"/>
      <c r="D190" s="5"/>
      <c r="E190" s="5"/>
      <c r="F190" s="5"/>
      <c r="G190" s="5"/>
      <c r="I190" s="5"/>
      <c r="J190" s="5"/>
      <c r="K190" s="5"/>
      <c r="L190" s="5"/>
      <c r="M190" s="5"/>
      <c r="N190" s="5"/>
      <c r="O190" s="5"/>
      <c r="P190" s="5"/>
      <c r="Q190" s="5"/>
    </row>
    <row r="191" ht="15.75" customHeight="1">
      <c r="A191" s="5"/>
      <c r="B191" s="5"/>
      <c r="C191" s="5"/>
      <c r="D191" s="5"/>
      <c r="E191" s="5"/>
      <c r="F191" s="5"/>
      <c r="G191" s="5"/>
      <c r="I191" s="5"/>
      <c r="J191" s="5"/>
      <c r="K191" s="5"/>
      <c r="L191" s="5"/>
      <c r="M191" s="5"/>
      <c r="N191" s="5"/>
      <c r="O191" s="5"/>
      <c r="P191" s="5"/>
      <c r="Q191" s="5"/>
    </row>
    <row r="192" ht="15.75" customHeight="1">
      <c r="A192" s="5"/>
      <c r="B192" s="5"/>
      <c r="C192" s="5"/>
      <c r="D192" s="5"/>
      <c r="E192" s="5"/>
      <c r="F192" s="5"/>
      <c r="G192" s="5"/>
      <c r="I192" s="5"/>
      <c r="J192" s="5"/>
      <c r="K192" s="5"/>
      <c r="L192" s="5"/>
      <c r="M192" s="5"/>
      <c r="N192" s="5"/>
      <c r="O192" s="5"/>
      <c r="P192" s="5"/>
      <c r="Q192" s="5"/>
    </row>
    <row r="193" ht="15.75" customHeight="1">
      <c r="A193" s="5"/>
      <c r="B193" s="5"/>
      <c r="C193" s="5"/>
      <c r="D193" s="5"/>
      <c r="E193" s="5"/>
      <c r="F193" s="5"/>
      <c r="G193" s="5"/>
      <c r="I193" s="5"/>
      <c r="J193" s="5"/>
      <c r="K193" s="5"/>
      <c r="L193" s="5"/>
      <c r="M193" s="5"/>
      <c r="N193" s="5"/>
      <c r="O193" s="5"/>
      <c r="P193" s="5"/>
      <c r="Q193" s="5"/>
    </row>
    <row r="194" ht="15.75" customHeight="1">
      <c r="A194" s="5"/>
      <c r="B194" s="5"/>
      <c r="C194" s="5"/>
      <c r="D194" s="5"/>
      <c r="E194" s="5"/>
      <c r="F194" s="5"/>
      <c r="G194" s="5"/>
      <c r="I194" s="5"/>
      <c r="J194" s="5"/>
      <c r="K194" s="5"/>
      <c r="L194" s="5"/>
      <c r="M194" s="5"/>
      <c r="N194" s="5"/>
      <c r="O194" s="5"/>
      <c r="P194" s="5"/>
      <c r="Q194" s="5"/>
    </row>
    <row r="195" ht="15.75" customHeight="1">
      <c r="A195" s="5"/>
      <c r="B195" s="5"/>
      <c r="C195" s="5"/>
      <c r="D195" s="5"/>
      <c r="E195" s="5"/>
      <c r="F195" s="5"/>
      <c r="G195" s="5"/>
      <c r="I195" s="5"/>
      <c r="J195" s="5"/>
      <c r="K195" s="5"/>
      <c r="L195" s="5"/>
      <c r="M195" s="5"/>
      <c r="N195" s="5"/>
      <c r="O195" s="5"/>
      <c r="P195" s="5"/>
      <c r="Q195" s="5"/>
    </row>
    <row r="196" ht="15.75" customHeight="1">
      <c r="A196" s="5"/>
      <c r="B196" s="5"/>
      <c r="C196" s="5"/>
      <c r="D196" s="5"/>
      <c r="E196" s="5"/>
      <c r="F196" s="5"/>
      <c r="G196" s="5"/>
      <c r="I196" s="5"/>
      <c r="J196" s="5"/>
      <c r="K196" s="5"/>
      <c r="L196" s="5"/>
      <c r="M196" s="5"/>
      <c r="N196" s="5"/>
      <c r="O196" s="5"/>
      <c r="P196" s="5"/>
      <c r="Q196" s="5"/>
    </row>
    <row r="197" ht="15.75" customHeight="1">
      <c r="A197" s="5"/>
      <c r="B197" s="5"/>
      <c r="C197" s="5"/>
      <c r="D197" s="5"/>
      <c r="E197" s="5"/>
      <c r="F197" s="5"/>
      <c r="G197" s="5"/>
      <c r="I197" s="5"/>
      <c r="J197" s="5"/>
      <c r="K197" s="5"/>
      <c r="L197" s="5"/>
      <c r="M197" s="5"/>
      <c r="N197" s="5"/>
      <c r="O197" s="5"/>
      <c r="P197" s="5"/>
      <c r="Q197" s="5"/>
    </row>
    <row r="198" ht="15.75" customHeight="1">
      <c r="A198" s="5"/>
      <c r="B198" s="5"/>
      <c r="C198" s="5"/>
      <c r="D198" s="5"/>
      <c r="E198" s="5"/>
      <c r="F198" s="5"/>
      <c r="G198" s="5"/>
      <c r="I198" s="5"/>
      <c r="J198" s="5"/>
      <c r="K198" s="5"/>
      <c r="L198" s="5"/>
      <c r="M198" s="5"/>
      <c r="N198" s="5"/>
      <c r="O198" s="5"/>
      <c r="P198" s="5"/>
      <c r="Q198" s="5"/>
    </row>
    <row r="199" ht="15.75" customHeight="1">
      <c r="A199" s="5"/>
      <c r="B199" s="5"/>
      <c r="C199" s="5"/>
      <c r="D199" s="5"/>
      <c r="E199" s="5"/>
      <c r="F199" s="5"/>
      <c r="G199" s="5"/>
      <c r="I199" s="5"/>
      <c r="J199" s="5"/>
      <c r="K199" s="5"/>
      <c r="L199" s="5"/>
      <c r="M199" s="5"/>
      <c r="N199" s="5"/>
      <c r="O199" s="5"/>
      <c r="P199" s="5"/>
      <c r="Q199" s="5"/>
    </row>
    <row r="200" ht="15.75" customHeight="1">
      <c r="A200" s="5"/>
      <c r="B200" s="5"/>
      <c r="C200" s="5"/>
      <c r="D200" s="5"/>
      <c r="E200" s="5"/>
      <c r="F200" s="5"/>
      <c r="G200" s="5"/>
      <c r="I200" s="5"/>
      <c r="J200" s="5"/>
      <c r="K200" s="5"/>
      <c r="L200" s="5"/>
      <c r="M200" s="5"/>
      <c r="N200" s="5"/>
      <c r="O200" s="5"/>
      <c r="P200" s="5"/>
      <c r="Q200" s="5"/>
    </row>
    <row r="201" ht="15.75" customHeight="1">
      <c r="A201" s="5"/>
      <c r="B201" s="5"/>
      <c r="C201" s="5"/>
      <c r="D201" s="5"/>
      <c r="E201" s="5"/>
      <c r="F201" s="5"/>
      <c r="G201" s="5"/>
      <c r="I201" s="5"/>
      <c r="J201" s="5"/>
      <c r="K201" s="5"/>
      <c r="L201" s="5"/>
      <c r="M201" s="5"/>
      <c r="N201" s="5"/>
      <c r="O201" s="5"/>
      <c r="P201" s="5"/>
      <c r="Q201" s="5"/>
    </row>
    <row r="202" ht="15.75" customHeight="1">
      <c r="A202" s="5"/>
      <c r="B202" s="5"/>
      <c r="C202" s="5"/>
      <c r="D202" s="5"/>
      <c r="E202" s="5"/>
      <c r="F202" s="5"/>
      <c r="G202" s="5"/>
      <c r="I202" s="5"/>
      <c r="J202" s="5"/>
      <c r="K202" s="5"/>
      <c r="L202" s="5"/>
      <c r="M202" s="5"/>
      <c r="N202" s="5"/>
      <c r="O202" s="5"/>
      <c r="P202" s="5"/>
      <c r="Q202" s="5"/>
    </row>
    <row r="203" ht="15.75" customHeight="1">
      <c r="A203" s="5"/>
      <c r="B203" s="5"/>
      <c r="C203" s="5"/>
      <c r="D203" s="5"/>
      <c r="E203" s="5"/>
      <c r="F203" s="5"/>
      <c r="G203" s="5"/>
      <c r="I203" s="5"/>
      <c r="J203" s="5"/>
      <c r="K203" s="5"/>
      <c r="L203" s="5"/>
      <c r="M203" s="5"/>
      <c r="N203" s="5"/>
      <c r="O203" s="5"/>
      <c r="P203" s="5"/>
      <c r="Q203" s="5"/>
    </row>
    <row r="204" ht="15.75" customHeight="1">
      <c r="A204" s="5"/>
      <c r="B204" s="5"/>
      <c r="C204" s="5"/>
      <c r="D204" s="5"/>
      <c r="E204" s="5"/>
      <c r="F204" s="5"/>
      <c r="G204" s="5"/>
      <c r="I204" s="5"/>
      <c r="J204" s="5"/>
      <c r="K204" s="5"/>
      <c r="L204" s="5"/>
      <c r="M204" s="5"/>
      <c r="N204" s="5"/>
      <c r="O204" s="5"/>
      <c r="P204" s="5"/>
      <c r="Q204" s="5"/>
    </row>
    <row r="205" ht="15.75" customHeight="1">
      <c r="A205" s="5"/>
      <c r="B205" s="5"/>
      <c r="C205" s="5"/>
      <c r="D205" s="5"/>
      <c r="E205" s="5"/>
      <c r="F205" s="5"/>
      <c r="G205" s="5"/>
      <c r="I205" s="5"/>
      <c r="J205" s="5"/>
      <c r="K205" s="5"/>
      <c r="L205" s="5"/>
      <c r="M205" s="5"/>
      <c r="N205" s="5"/>
      <c r="O205" s="5"/>
      <c r="P205" s="5"/>
      <c r="Q205" s="5"/>
    </row>
    <row r="206" ht="15.75" customHeight="1">
      <c r="A206" s="5"/>
      <c r="B206" s="5"/>
      <c r="C206" s="5"/>
      <c r="D206" s="5"/>
      <c r="E206" s="5"/>
      <c r="F206" s="5"/>
      <c r="G206" s="5"/>
      <c r="I206" s="5"/>
      <c r="J206" s="5"/>
      <c r="K206" s="5"/>
      <c r="L206" s="5"/>
      <c r="M206" s="5"/>
      <c r="N206" s="5"/>
      <c r="O206" s="5"/>
      <c r="P206" s="5"/>
      <c r="Q206" s="5"/>
    </row>
    <row r="207" ht="15.75" customHeight="1">
      <c r="A207" s="5"/>
      <c r="B207" s="5"/>
      <c r="C207" s="5"/>
      <c r="D207" s="5"/>
      <c r="E207" s="5"/>
      <c r="F207" s="5"/>
      <c r="G207" s="5"/>
      <c r="I207" s="5"/>
      <c r="J207" s="5"/>
      <c r="K207" s="5"/>
      <c r="L207" s="5"/>
      <c r="M207" s="5"/>
      <c r="N207" s="5"/>
      <c r="O207" s="5"/>
      <c r="P207" s="5"/>
      <c r="Q207" s="5"/>
    </row>
    <row r="208" ht="15.75" customHeight="1">
      <c r="A208" s="5"/>
      <c r="B208" s="5"/>
      <c r="C208" s="5"/>
      <c r="D208" s="5"/>
      <c r="E208" s="5"/>
      <c r="F208" s="5"/>
      <c r="G208" s="5"/>
      <c r="I208" s="5"/>
      <c r="J208" s="5"/>
      <c r="K208" s="5"/>
      <c r="L208" s="5"/>
      <c r="M208" s="5"/>
      <c r="N208" s="5"/>
      <c r="O208" s="5"/>
      <c r="P208" s="5"/>
      <c r="Q208" s="5"/>
    </row>
    <row r="209" ht="15.75" customHeight="1">
      <c r="A209" s="5"/>
      <c r="B209" s="5"/>
      <c r="C209" s="5"/>
      <c r="D209" s="5"/>
      <c r="E209" s="5"/>
      <c r="F209" s="5"/>
      <c r="G209" s="5"/>
      <c r="I209" s="5"/>
      <c r="J209" s="5"/>
      <c r="K209" s="5"/>
      <c r="L209" s="5"/>
      <c r="M209" s="5"/>
      <c r="N209" s="5"/>
      <c r="O209" s="5"/>
      <c r="P209" s="5"/>
      <c r="Q209" s="5"/>
    </row>
    <row r="210" ht="15.75" customHeight="1">
      <c r="A210" s="5"/>
      <c r="B210" s="5"/>
      <c r="C210" s="5"/>
      <c r="D210" s="5"/>
      <c r="E210" s="5"/>
      <c r="F210" s="5"/>
      <c r="G210" s="5"/>
      <c r="I210" s="5"/>
      <c r="J210" s="5"/>
      <c r="K210" s="5"/>
      <c r="L210" s="5"/>
      <c r="M210" s="5"/>
      <c r="N210" s="5"/>
      <c r="O210" s="5"/>
      <c r="P210" s="5"/>
      <c r="Q210" s="5"/>
    </row>
    <row r="211" ht="15.75" customHeight="1">
      <c r="A211" s="5"/>
      <c r="B211" s="5"/>
      <c r="C211" s="5"/>
      <c r="D211" s="5"/>
      <c r="E211" s="5"/>
      <c r="F211" s="5"/>
      <c r="G211" s="5"/>
      <c r="I211" s="5"/>
      <c r="J211" s="5"/>
      <c r="K211" s="5"/>
      <c r="L211" s="5"/>
      <c r="M211" s="5"/>
      <c r="N211" s="5"/>
      <c r="O211" s="5"/>
      <c r="P211" s="5"/>
      <c r="Q211" s="5"/>
    </row>
    <row r="212" ht="15.75" customHeight="1">
      <c r="A212" s="5"/>
      <c r="B212" s="5"/>
      <c r="C212" s="5"/>
      <c r="D212" s="5"/>
      <c r="E212" s="5"/>
      <c r="F212" s="5"/>
      <c r="G212" s="5"/>
      <c r="I212" s="5"/>
      <c r="J212" s="5"/>
      <c r="K212" s="5"/>
      <c r="L212" s="5"/>
      <c r="M212" s="5"/>
      <c r="N212" s="5"/>
      <c r="O212" s="5"/>
      <c r="P212" s="5"/>
      <c r="Q212" s="5"/>
    </row>
    <row r="213" ht="15.75" customHeight="1">
      <c r="A213" s="5"/>
      <c r="B213" s="5"/>
      <c r="C213" s="5"/>
      <c r="D213" s="5"/>
      <c r="E213" s="5"/>
      <c r="F213" s="5"/>
      <c r="G213" s="5"/>
      <c r="I213" s="5"/>
      <c r="J213" s="5"/>
      <c r="K213" s="5"/>
      <c r="L213" s="5"/>
      <c r="M213" s="5"/>
      <c r="N213" s="5"/>
      <c r="O213" s="5"/>
      <c r="P213" s="5"/>
      <c r="Q213" s="5"/>
    </row>
    <row r="214" ht="15.75" customHeight="1">
      <c r="A214" s="5"/>
      <c r="B214" s="5"/>
      <c r="C214" s="5"/>
      <c r="D214" s="5"/>
      <c r="E214" s="5"/>
      <c r="F214" s="5"/>
      <c r="G214" s="5"/>
      <c r="I214" s="5"/>
      <c r="J214" s="5"/>
      <c r="K214" s="5"/>
      <c r="L214" s="5"/>
      <c r="M214" s="5"/>
      <c r="N214" s="5"/>
      <c r="O214" s="5"/>
      <c r="P214" s="5"/>
      <c r="Q214" s="5"/>
    </row>
    <row r="215" ht="15.75" customHeight="1">
      <c r="A215" s="5"/>
      <c r="B215" s="5"/>
      <c r="C215" s="5"/>
      <c r="D215" s="5"/>
      <c r="E215" s="5"/>
      <c r="F215" s="5"/>
      <c r="G215" s="5"/>
      <c r="I215" s="5"/>
      <c r="J215" s="5"/>
      <c r="K215" s="5"/>
      <c r="L215" s="5"/>
      <c r="M215" s="5"/>
      <c r="N215" s="5"/>
      <c r="O215" s="5"/>
      <c r="P215" s="5"/>
      <c r="Q215" s="5"/>
    </row>
    <row r="216" ht="15.75" customHeight="1">
      <c r="A216" s="5"/>
      <c r="B216" s="5"/>
      <c r="C216" s="5"/>
      <c r="D216" s="5"/>
      <c r="E216" s="5"/>
      <c r="F216" s="5"/>
      <c r="G216" s="5"/>
      <c r="I216" s="5"/>
      <c r="J216" s="5"/>
      <c r="K216" s="5"/>
      <c r="L216" s="5"/>
      <c r="M216" s="5"/>
      <c r="N216" s="5"/>
      <c r="O216" s="5"/>
      <c r="P216" s="5"/>
      <c r="Q216" s="5"/>
    </row>
    <row r="217" ht="15.75" customHeight="1">
      <c r="A217" s="5"/>
      <c r="B217" s="5"/>
      <c r="C217" s="5"/>
      <c r="D217" s="5"/>
      <c r="E217" s="5"/>
      <c r="F217" s="5"/>
      <c r="G217" s="5"/>
      <c r="I217" s="5"/>
      <c r="J217" s="5"/>
      <c r="K217" s="5"/>
      <c r="L217" s="5"/>
      <c r="M217" s="5"/>
      <c r="N217" s="5"/>
      <c r="O217" s="5"/>
      <c r="P217" s="5"/>
      <c r="Q217" s="5"/>
    </row>
    <row r="218" ht="15.75" customHeight="1">
      <c r="A218" s="5"/>
      <c r="B218" s="5"/>
      <c r="C218" s="5"/>
      <c r="D218" s="5"/>
      <c r="E218" s="5"/>
      <c r="F218" s="5"/>
      <c r="G218" s="5"/>
      <c r="I218" s="5"/>
      <c r="J218" s="5"/>
      <c r="K218" s="5"/>
      <c r="L218" s="5"/>
      <c r="M218" s="5"/>
      <c r="N218" s="5"/>
      <c r="O218" s="5"/>
      <c r="P218" s="5"/>
      <c r="Q218" s="5"/>
    </row>
    <row r="219" ht="15.75" customHeight="1">
      <c r="A219" s="5"/>
      <c r="B219" s="5"/>
      <c r="C219" s="5"/>
      <c r="D219" s="5"/>
      <c r="E219" s="5"/>
      <c r="F219" s="5"/>
      <c r="G219" s="5"/>
      <c r="I219" s="5"/>
      <c r="J219" s="5"/>
      <c r="K219" s="5"/>
      <c r="L219" s="5"/>
      <c r="M219" s="5"/>
      <c r="N219" s="5"/>
      <c r="O219" s="5"/>
      <c r="P219" s="5"/>
      <c r="Q219" s="5"/>
    </row>
    <row r="220" ht="15.75" customHeight="1">
      <c r="A220" s="5"/>
      <c r="B220" s="5"/>
      <c r="C220" s="5"/>
      <c r="D220" s="5"/>
      <c r="E220" s="5"/>
      <c r="F220" s="5"/>
      <c r="G220" s="5"/>
      <c r="I220" s="5"/>
      <c r="J220" s="5"/>
      <c r="K220" s="5"/>
      <c r="L220" s="5"/>
      <c r="M220" s="5"/>
      <c r="N220" s="5"/>
      <c r="O220" s="5"/>
      <c r="P220" s="5"/>
      <c r="Q220" s="5"/>
    </row>
    <row r="221" ht="15.75" customHeight="1">
      <c r="A221" s="5"/>
      <c r="B221" s="5"/>
      <c r="C221" s="5"/>
      <c r="D221" s="5"/>
      <c r="E221" s="5"/>
      <c r="F221" s="5"/>
      <c r="G221" s="5"/>
      <c r="I221" s="5"/>
      <c r="J221" s="5"/>
      <c r="K221" s="5"/>
      <c r="L221" s="5"/>
      <c r="M221" s="5"/>
      <c r="N221" s="5"/>
      <c r="O221" s="5"/>
      <c r="P221" s="5"/>
      <c r="Q221" s="5"/>
    </row>
    <row r="222" ht="15.75" customHeight="1">
      <c r="A222" s="5"/>
      <c r="B222" s="5"/>
      <c r="C222" s="5"/>
      <c r="D222" s="5"/>
      <c r="E222" s="5"/>
      <c r="F222" s="5"/>
      <c r="G222" s="5"/>
      <c r="I222" s="5"/>
      <c r="J222" s="5"/>
      <c r="K222" s="5"/>
      <c r="L222" s="5"/>
      <c r="M222" s="5"/>
      <c r="N222" s="5"/>
      <c r="O222" s="5"/>
      <c r="P222" s="5"/>
      <c r="Q222" s="5"/>
    </row>
    <row r="223" ht="15.75" customHeight="1">
      <c r="A223" s="5"/>
      <c r="B223" s="5"/>
      <c r="C223" s="5"/>
      <c r="D223" s="5"/>
      <c r="E223" s="5"/>
      <c r="F223" s="5"/>
      <c r="G223" s="5"/>
      <c r="I223" s="5"/>
      <c r="J223" s="5"/>
      <c r="K223" s="5"/>
      <c r="L223" s="5"/>
      <c r="M223" s="5"/>
      <c r="N223" s="5"/>
      <c r="O223" s="5"/>
      <c r="P223" s="5"/>
      <c r="Q223" s="5"/>
    </row>
    <row r="224" ht="15.75" customHeight="1">
      <c r="A224" s="5"/>
      <c r="B224" s="5"/>
      <c r="C224" s="5"/>
      <c r="D224" s="5"/>
      <c r="E224" s="5"/>
      <c r="F224" s="5"/>
      <c r="G224" s="5"/>
      <c r="I224" s="5"/>
      <c r="J224" s="5"/>
      <c r="K224" s="5"/>
      <c r="L224" s="5"/>
      <c r="M224" s="5"/>
      <c r="N224" s="5"/>
      <c r="O224" s="5"/>
      <c r="P224" s="5"/>
      <c r="Q224" s="5"/>
    </row>
    <row r="225" ht="15.75" customHeight="1">
      <c r="A225" s="5"/>
      <c r="B225" s="5"/>
      <c r="C225" s="5"/>
      <c r="D225" s="5"/>
      <c r="E225" s="5"/>
      <c r="F225" s="5"/>
      <c r="G225" s="5"/>
      <c r="I225" s="5"/>
      <c r="J225" s="5"/>
      <c r="K225" s="5"/>
      <c r="L225" s="5"/>
      <c r="M225" s="5"/>
      <c r="N225" s="5"/>
      <c r="O225" s="5"/>
      <c r="P225" s="5"/>
      <c r="Q225" s="5"/>
    </row>
    <row r="226" ht="15.75" customHeight="1">
      <c r="A226" s="5"/>
      <c r="B226" s="5"/>
      <c r="C226" s="5"/>
      <c r="D226" s="5"/>
      <c r="E226" s="5"/>
      <c r="F226" s="5"/>
      <c r="G226" s="5"/>
      <c r="I226" s="5"/>
      <c r="J226" s="5"/>
      <c r="K226" s="5"/>
      <c r="L226" s="5"/>
      <c r="M226" s="5"/>
      <c r="N226" s="5"/>
      <c r="O226" s="5"/>
      <c r="P226" s="5"/>
      <c r="Q226" s="5"/>
    </row>
    <row r="227" ht="15.75" customHeight="1">
      <c r="A227" s="5"/>
      <c r="B227" s="5"/>
      <c r="C227" s="5"/>
      <c r="D227" s="5"/>
      <c r="E227" s="5"/>
      <c r="F227" s="5"/>
      <c r="G227" s="5"/>
      <c r="I227" s="5"/>
      <c r="J227" s="5"/>
      <c r="K227" s="5"/>
      <c r="L227" s="5"/>
      <c r="M227" s="5"/>
      <c r="N227" s="5"/>
      <c r="O227" s="5"/>
      <c r="P227" s="5"/>
      <c r="Q227" s="5"/>
    </row>
    <row r="228" ht="15.75" customHeight="1">
      <c r="A228" s="5"/>
      <c r="B228" s="5"/>
      <c r="C228" s="5"/>
      <c r="D228" s="5"/>
      <c r="E228" s="5"/>
      <c r="F228" s="5"/>
      <c r="G228" s="5"/>
      <c r="I228" s="5"/>
      <c r="J228" s="5"/>
      <c r="K228" s="5"/>
      <c r="L228" s="5"/>
      <c r="M228" s="5"/>
      <c r="N228" s="5"/>
      <c r="O228" s="5"/>
      <c r="P228" s="5"/>
      <c r="Q228" s="5"/>
    </row>
    <row r="229" ht="15.75" customHeight="1">
      <c r="A229" s="5"/>
      <c r="B229" s="5"/>
      <c r="C229" s="5"/>
      <c r="D229" s="5"/>
      <c r="E229" s="5"/>
      <c r="F229" s="5"/>
      <c r="G229" s="5"/>
      <c r="I229" s="5"/>
      <c r="J229" s="5"/>
      <c r="K229" s="5"/>
      <c r="L229" s="5"/>
      <c r="M229" s="5"/>
      <c r="N229" s="5"/>
      <c r="O229" s="5"/>
      <c r="P229" s="5"/>
      <c r="Q229" s="5"/>
    </row>
    <row r="230" ht="15.75" customHeight="1">
      <c r="A230" s="5"/>
      <c r="B230" s="5"/>
      <c r="C230" s="5"/>
      <c r="D230" s="5"/>
      <c r="E230" s="5"/>
      <c r="F230" s="5"/>
      <c r="G230" s="5"/>
      <c r="I230" s="5"/>
      <c r="J230" s="5"/>
      <c r="K230" s="5"/>
      <c r="L230" s="5"/>
      <c r="M230" s="5"/>
      <c r="N230" s="5"/>
      <c r="O230" s="5"/>
      <c r="P230" s="5"/>
      <c r="Q230" s="5"/>
    </row>
    <row r="231" ht="15.75" customHeight="1">
      <c r="A231" s="5"/>
      <c r="B231" s="5"/>
      <c r="C231" s="5"/>
      <c r="D231" s="5"/>
      <c r="E231" s="5"/>
      <c r="F231" s="5"/>
      <c r="G231" s="5"/>
      <c r="I231" s="5"/>
      <c r="J231" s="5"/>
      <c r="K231" s="5"/>
      <c r="L231" s="5"/>
      <c r="M231" s="5"/>
      <c r="N231" s="5"/>
      <c r="O231" s="5"/>
      <c r="P231" s="5"/>
      <c r="Q231" s="5"/>
    </row>
    <row r="232" ht="15.75" customHeight="1">
      <c r="A232" s="5"/>
      <c r="B232" s="5"/>
      <c r="C232" s="5"/>
      <c r="D232" s="5"/>
      <c r="E232" s="5"/>
      <c r="F232" s="5"/>
      <c r="G232" s="5"/>
      <c r="I232" s="5"/>
      <c r="J232" s="5"/>
      <c r="K232" s="5"/>
      <c r="L232" s="5"/>
      <c r="M232" s="5"/>
      <c r="N232" s="5"/>
      <c r="O232" s="5"/>
      <c r="P232" s="5"/>
      <c r="Q232" s="5"/>
    </row>
    <row r="233" ht="15.75" customHeight="1">
      <c r="A233" s="5"/>
      <c r="B233" s="5"/>
      <c r="C233" s="5"/>
      <c r="D233" s="5"/>
      <c r="E233" s="5"/>
      <c r="F233" s="5"/>
      <c r="G233" s="5"/>
      <c r="I233" s="5"/>
      <c r="J233" s="5"/>
      <c r="K233" s="5"/>
      <c r="L233" s="5"/>
      <c r="M233" s="5"/>
      <c r="N233" s="5"/>
      <c r="O233" s="5"/>
      <c r="P233" s="5"/>
      <c r="Q233" s="5"/>
    </row>
    <row r="234" ht="15.75" customHeight="1">
      <c r="A234" s="5"/>
      <c r="B234" s="5"/>
      <c r="C234" s="5"/>
      <c r="D234" s="5"/>
      <c r="E234" s="5"/>
      <c r="F234" s="5"/>
      <c r="G234" s="5"/>
      <c r="I234" s="5"/>
      <c r="J234" s="5"/>
      <c r="K234" s="5"/>
      <c r="L234" s="5"/>
      <c r="M234" s="5"/>
      <c r="N234" s="5"/>
      <c r="O234" s="5"/>
      <c r="P234" s="5"/>
      <c r="Q234" s="5"/>
    </row>
    <row r="235" ht="15.75" customHeight="1">
      <c r="A235" s="5"/>
      <c r="B235" s="5"/>
      <c r="C235" s="5"/>
      <c r="D235" s="5"/>
      <c r="E235" s="5"/>
      <c r="F235" s="5"/>
      <c r="G235" s="5"/>
      <c r="I235" s="5"/>
      <c r="J235" s="5"/>
      <c r="K235" s="5"/>
      <c r="L235" s="5"/>
      <c r="M235" s="5"/>
      <c r="N235" s="5"/>
      <c r="O235" s="5"/>
      <c r="P235" s="5"/>
      <c r="Q235" s="5"/>
    </row>
    <row r="236" ht="15.75" customHeight="1">
      <c r="A236" s="5"/>
      <c r="B236" s="5"/>
      <c r="C236" s="5"/>
      <c r="D236" s="5"/>
      <c r="E236" s="5"/>
      <c r="F236" s="5"/>
      <c r="G236" s="5"/>
      <c r="I236" s="5"/>
      <c r="J236" s="5"/>
      <c r="K236" s="5"/>
      <c r="L236" s="5"/>
      <c r="M236" s="5"/>
      <c r="N236" s="5"/>
      <c r="O236" s="5"/>
      <c r="P236" s="5"/>
      <c r="Q236" s="5"/>
    </row>
    <row r="237" ht="15.75" customHeight="1">
      <c r="A237" s="5"/>
      <c r="B237" s="5"/>
      <c r="C237" s="5"/>
      <c r="D237" s="5"/>
      <c r="E237" s="5"/>
      <c r="F237" s="5"/>
      <c r="G237" s="5"/>
      <c r="I237" s="5"/>
      <c r="J237" s="5"/>
      <c r="K237" s="5"/>
      <c r="L237" s="5"/>
      <c r="M237" s="5"/>
      <c r="N237" s="5"/>
      <c r="O237" s="5"/>
      <c r="P237" s="5"/>
      <c r="Q237" s="5"/>
    </row>
    <row r="238" ht="15.75" customHeight="1">
      <c r="A238" s="5"/>
      <c r="B238" s="5"/>
      <c r="C238" s="5"/>
      <c r="D238" s="5"/>
      <c r="E238" s="5"/>
      <c r="F238" s="5"/>
      <c r="G238" s="5"/>
      <c r="I238" s="5"/>
      <c r="J238" s="5"/>
      <c r="K238" s="5"/>
      <c r="L238" s="5"/>
      <c r="M238" s="5"/>
      <c r="N238" s="5"/>
      <c r="O238" s="5"/>
      <c r="P238" s="5"/>
      <c r="Q238" s="5"/>
    </row>
    <row r="239" ht="15.75" customHeight="1">
      <c r="A239" s="5"/>
      <c r="B239" s="5"/>
      <c r="C239" s="5"/>
      <c r="D239" s="5"/>
      <c r="E239" s="5"/>
      <c r="F239" s="5"/>
      <c r="G239" s="5"/>
      <c r="I239" s="5"/>
      <c r="J239" s="5"/>
      <c r="K239" s="5"/>
      <c r="L239" s="5"/>
      <c r="M239" s="5"/>
      <c r="N239" s="5"/>
      <c r="O239" s="5"/>
      <c r="P239" s="5"/>
      <c r="Q239" s="5"/>
    </row>
    <row r="240" ht="15.75" customHeight="1">
      <c r="A240" s="5"/>
      <c r="B240" s="5"/>
      <c r="C240" s="5"/>
      <c r="D240" s="5"/>
      <c r="E240" s="5"/>
      <c r="F240" s="5"/>
      <c r="G240" s="5"/>
      <c r="I240" s="5"/>
      <c r="J240" s="5"/>
      <c r="K240" s="5"/>
      <c r="L240" s="5"/>
      <c r="M240" s="5"/>
      <c r="N240" s="5"/>
      <c r="O240" s="5"/>
      <c r="P240" s="5"/>
      <c r="Q240" s="5"/>
    </row>
    <row r="241" ht="15.75" customHeight="1">
      <c r="A241" s="5"/>
      <c r="B241" s="5"/>
      <c r="C241" s="5"/>
      <c r="D241" s="5"/>
      <c r="E241" s="5"/>
      <c r="F241" s="5"/>
      <c r="G241" s="5"/>
      <c r="I241" s="5"/>
      <c r="J241" s="5"/>
      <c r="K241" s="5"/>
      <c r="L241" s="5"/>
      <c r="M241" s="5"/>
      <c r="N241" s="5"/>
      <c r="O241" s="5"/>
      <c r="P241" s="5"/>
      <c r="Q241" s="5"/>
    </row>
    <row r="242" ht="15.75" customHeight="1">
      <c r="A242" s="5"/>
      <c r="B242" s="5"/>
      <c r="C242" s="5"/>
      <c r="D242" s="5"/>
      <c r="E242" s="5"/>
      <c r="F242" s="5"/>
      <c r="G242" s="5"/>
      <c r="I242" s="5"/>
      <c r="J242" s="5"/>
      <c r="K242" s="5"/>
      <c r="L242" s="5"/>
      <c r="M242" s="5"/>
      <c r="N242" s="5"/>
      <c r="O242" s="5"/>
      <c r="P242" s="5"/>
      <c r="Q242" s="5"/>
    </row>
    <row r="243" ht="15.75" customHeight="1">
      <c r="A243" s="5"/>
      <c r="B243" s="5"/>
      <c r="C243" s="5"/>
      <c r="D243" s="5"/>
      <c r="E243" s="5"/>
      <c r="F243" s="5"/>
      <c r="G243" s="5"/>
      <c r="I243" s="5"/>
      <c r="J243" s="5"/>
      <c r="K243" s="5"/>
      <c r="L243" s="5"/>
      <c r="M243" s="5"/>
      <c r="N243" s="5"/>
      <c r="O243" s="5"/>
      <c r="P243" s="5"/>
      <c r="Q243" s="5"/>
    </row>
    <row r="244" ht="15.75" customHeight="1">
      <c r="A244" s="5"/>
      <c r="B244" s="5"/>
      <c r="C244" s="5"/>
      <c r="D244" s="5"/>
      <c r="E244" s="5"/>
      <c r="F244" s="5"/>
      <c r="G244" s="5"/>
      <c r="I244" s="5"/>
      <c r="J244" s="5"/>
      <c r="K244" s="5"/>
      <c r="L244" s="5"/>
      <c r="M244" s="5"/>
      <c r="N244" s="5"/>
      <c r="O244" s="5"/>
      <c r="P244" s="5"/>
      <c r="Q244" s="5"/>
    </row>
    <row r="245" ht="15.75" customHeight="1">
      <c r="A245" s="5"/>
      <c r="B245" s="5"/>
      <c r="C245" s="5"/>
      <c r="D245" s="5"/>
      <c r="E245" s="5"/>
      <c r="F245" s="5"/>
      <c r="G245" s="5"/>
      <c r="I245" s="5"/>
      <c r="J245" s="5"/>
      <c r="K245" s="5"/>
      <c r="L245" s="5"/>
      <c r="M245" s="5"/>
      <c r="N245" s="5"/>
      <c r="O245" s="5"/>
      <c r="P245" s="5"/>
      <c r="Q245" s="5"/>
    </row>
    <row r="246" ht="15.75" customHeight="1">
      <c r="A246" s="5"/>
      <c r="B246" s="5"/>
      <c r="C246" s="5"/>
      <c r="D246" s="5"/>
      <c r="E246" s="5"/>
      <c r="F246" s="5"/>
      <c r="G246" s="5"/>
      <c r="I246" s="5"/>
      <c r="J246" s="5"/>
      <c r="K246" s="5"/>
      <c r="L246" s="5"/>
      <c r="M246" s="5"/>
      <c r="N246" s="5"/>
      <c r="O246" s="5"/>
      <c r="P246" s="5"/>
      <c r="Q246" s="5"/>
    </row>
    <row r="247" ht="15.75" customHeight="1">
      <c r="A247" s="5"/>
      <c r="B247" s="5"/>
      <c r="C247" s="5"/>
      <c r="D247" s="5"/>
      <c r="E247" s="5"/>
      <c r="F247" s="5"/>
      <c r="G247" s="5"/>
      <c r="I247" s="5"/>
      <c r="J247" s="5"/>
      <c r="K247" s="5"/>
      <c r="L247" s="5"/>
      <c r="M247" s="5"/>
      <c r="N247" s="5"/>
      <c r="O247" s="5"/>
      <c r="P247" s="5"/>
      <c r="Q247" s="5"/>
    </row>
    <row r="248" ht="15.75" customHeight="1">
      <c r="A248" s="5"/>
      <c r="B248" s="5"/>
      <c r="C248" s="5"/>
      <c r="D248" s="5"/>
      <c r="E248" s="5"/>
      <c r="F248" s="5"/>
      <c r="G248" s="5"/>
      <c r="I248" s="5"/>
      <c r="J248" s="5"/>
      <c r="K248" s="5"/>
      <c r="L248" s="5"/>
      <c r="M248" s="5"/>
      <c r="N248" s="5"/>
      <c r="O248" s="5"/>
      <c r="P248" s="5"/>
      <c r="Q248" s="5"/>
    </row>
    <row r="249" ht="15.75" customHeight="1">
      <c r="A249" s="5"/>
      <c r="B249" s="5"/>
      <c r="C249" s="5"/>
      <c r="D249" s="5"/>
      <c r="E249" s="5"/>
      <c r="F249" s="5"/>
      <c r="G249" s="5"/>
      <c r="I249" s="5"/>
      <c r="J249" s="5"/>
      <c r="K249" s="5"/>
      <c r="L249" s="5"/>
      <c r="M249" s="5"/>
      <c r="N249" s="5"/>
      <c r="O249" s="5"/>
      <c r="P249" s="5"/>
      <c r="Q249" s="5"/>
    </row>
    <row r="250" ht="15.75" customHeight="1">
      <c r="A250" s="5"/>
      <c r="B250" s="5"/>
      <c r="C250" s="5"/>
      <c r="D250" s="5"/>
      <c r="E250" s="5"/>
      <c r="F250" s="5"/>
      <c r="G250" s="5"/>
      <c r="I250" s="5"/>
      <c r="J250" s="5"/>
      <c r="K250" s="5"/>
      <c r="L250" s="5"/>
      <c r="M250" s="5"/>
      <c r="N250" s="5"/>
      <c r="O250" s="5"/>
      <c r="P250" s="5"/>
      <c r="Q250" s="5"/>
    </row>
    <row r="251" ht="15.75" customHeight="1">
      <c r="A251" s="5"/>
      <c r="B251" s="5"/>
      <c r="C251" s="5"/>
      <c r="D251" s="5"/>
      <c r="E251" s="5"/>
      <c r="F251" s="5"/>
      <c r="G251" s="5"/>
      <c r="I251" s="5"/>
      <c r="J251" s="5"/>
      <c r="K251" s="5"/>
      <c r="L251" s="5"/>
      <c r="M251" s="5"/>
      <c r="N251" s="5"/>
      <c r="O251" s="5"/>
      <c r="P251" s="5"/>
      <c r="Q251" s="5"/>
    </row>
    <row r="252" ht="15.75" customHeight="1">
      <c r="A252" s="5"/>
      <c r="B252" s="5"/>
      <c r="C252" s="5"/>
      <c r="D252" s="5"/>
      <c r="E252" s="5"/>
      <c r="F252" s="5"/>
      <c r="G252" s="5"/>
      <c r="I252" s="5"/>
      <c r="J252" s="5"/>
      <c r="K252" s="5"/>
      <c r="L252" s="5"/>
      <c r="M252" s="5"/>
      <c r="N252" s="5"/>
      <c r="O252" s="5"/>
      <c r="P252" s="5"/>
      <c r="Q252" s="5"/>
    </row>
    <row r="253" ht="15.75" customHeight="1">
      <c r="A253" s="5"/>
      <c r="B253" s="5"/>
      <c r="C253" s="5"/>
      <c r="D253" s="5"/>
      <c r="E253" s="5"/>
      <c r="F253" s="5"/>
      <c r="G253" s="5"/>
      <c r="I253" s="5"/>
      <c r="J253" s="5"/>
      <c r="K253" s="5"/>
      <c r="L253" s="5"/>
      <c r="M253" s="5"/>
      <c r="N253" s="5"/>
      <c r="O253" s="5"/>
      <c r="P253" s="5"/>
      <c r="Q253" s="5"/>
    </row>
    <row r="254" ht="15.75" customHeight="1">
      <c r="A254" s="5"/>
      <c r="B254" s="5"/>
      <c r="C254" s="5"/>
      <c r="D254" s="5"/>
      <c r="E254" s="5"/>
      <c r="F254" s="5"/>
      <c r="G254" s="5"/>
      <c r="I254" s="5"/>
      <c r="J254" s="5"/>
      <c r="K254" s="5"/>
      <c r="L254" s="5"/>
      <c r="M254" s="5"/>
      <c r="N254" s="5"/>
      <c r="O254" s="5"/>
      <c r="P254" s="5"/>
      <c r="Q254" s="5"/>
    </row>
    <row r="255" ht="15.75" customHeight="1">
      <c r="A255" s="5"/>
      <c r="B255" s="5"/>
      <c r="C255" s="5"/>
      <c r="D255" s="5"/>
      <c r="E255" s="5"/>
      <c r="F255" s="5"/>
      <c r="G255" s="5"/>
      <c r="I255" s="5"/>
      <c r="J255" s="5"/>
      <c r="K255" s="5"/>
      <c r="L255" s="5"/>
      <c r="M255" s="5"/>
      <c r="N255" s="5"/>
      <c r="O255" s="5"/>
      <c r="P255" s="5"/>
      <c r="Q255" s="5"/>
    </row>
    <row r="256" ht="15.75" customHeight="1">
      <c r="A256" s="5"/>
      <c r="B256" s="5"/>
      <c r="C256" s="5"/>
      <c r="D256" s="5"/>
      <c r="E256" s="5"/>
      <c r="F256" s="5"/>
      <c r="G256" s="5"/>
      <c r="I256" s="5"/>
      <c r="J256" s="5"/>
      <c r="K256" s="5"/>
      <c r="L256" s="5"/>
      <c r="M256" s="5"/>
      <c r="N256" s="5"/>
      <c r="O256" s="5"/>
      <c r="P256" s="5"/>
      <c r="Q256" s="5"/>
    </row>
    <row r="257" ht="15.75" customHeight="1">
      <c r="A257" s="5"/>
      <c r="B257" s="5"/>
      <c r="C257" s="5"/>
      <c r="D257" s="5"/>
      <c r="E257" s="5"/>
      <c r="F257" s="5"/>
      <c r="G257" s="5"/>
      <c r="I257" s="5"/>
      <c r="J257" s="5"/>
      <c r="K257" s="5"/>
      <c r="L257" s="5"/>
      <c r="M257" s="5"/>
      <c r="N257" s="5"/>
      <c r="O257" s="5"/>
      <c r="P257" s="5"/>
      <c r="Q257" s="5"/>
    </row>
    <row r="258" ht="15.75" customHeight="1">
      <c r="A258" s="5"/>
      <c r="B258" s="5"/>
      <c r="C258" s="5"/>
      <c r="D258" s="5"/>
      <c r="E258" s="5"/>
      <c r="F258" s="5"/>
      <c r="G258" s="5"/>
      <c r="I258" s="5"/>
      <c r="J258" s="5"/>
      <c r="K258" s="5"/>
      <c r="L258" s="5"/>
      <c r="M258" s="5"/>
      <c r="N258" s="5"/>
      <c r="O258" s="5"/>
      <c r="P258" s="5"/>
      <c r="Q258" s="5"/>
    </row>
    <row r="259" ht="15.75" customHeight="1">
      <c r="A259" s="5"/>
      <c r="B259" s="5"/>
      <c r="C259" s="5"/>
      <c r="D259" s="5"/>
      <c r="E259" s="5"/>
      <c r="F259" s="5"/>
      <c r="G259" s="5"/>
      <c r="I259" s="5"/>
      <c r="J259" s="5"/>
      <c r="K259" s="5"/>
      <c r="L259" s="5"/>
      <c r="M259" s="5"/>
      <c r="N259" s="5"/>
      <c r="O259" s="5"/>
      <c r="P259" s="5"/>
      <c r="Q259" s="5"/>
    </row>
    <row r="260" ht="15.75" customHeight="1">
      <c r="A260" s="5"/>
      <c r="B260" s="5"/>
      <c r="C260" s="5"/>
      <c r="D260" s="5"/>
      <c r="E260" s="5"/>
      <c r="F260" s="5"/>
      <c r="G260" s="5"/>
      <c r="I260" s="5"/>
      <c r="J260" s="5"/>
      <c r="K260" s="5"/>
      <c r="L260" s="5"/>
      <c r="M260" s="5"/>
      <c r="N260" s="5"/>
      <c r="O260" s="5"/>
      <c r="P260" s="5"/>
      <c r="Q260" s="5"/>
    </row>
    <row r="261" ht="15.75" customHeight="1">
      <c r="A261" s="5"/>
      <c r="B261" s="5"/>
      <c r="C261" s="5"/>
      <c r="D261" s="5"/>
      <c r="E261" s="5"/>
      <c r="F261" s="5"/>
      <c r="G261" s="5"/>
      <c r="I261" s="5"/>
      <c r="J261" s="5"/>
      <c r="K261" s="5"/>
      <c r="L261" s="5"/>
      <c r="M261" s="5"/>
      <c r="N261" s="5"/>
      <c r="O261" s="5"/>
      <c r="P261" s="5"/>
      <c r="Q261" s="5"/>
    </row>
    <row r="262" ht="15.75" customHeight="1">
      <c r="A262" s="5"/>
      <c r="B262" s="5"/>
      <c r="C262" s="5"/>
      <c r="D262" s="5"/>
      <c r="E262" s="5"/>
      <c r="F262" s="5"/>
      <c r="G262" s="5"/>
      <c r="I262" s="5"/>
      <c r="J262" s="5"/>
      <c r="K262" s="5"/>
      <c r="L262" s="5"/>
      <c r="M262" s="5"/>
      <c r="N262" s="5"/>
      <c r="O262" s="5"/>
      <c r="P262" s="5"/>
      <c r="Q262" s="5"/>
    </row>
    <row r="263" ht="15.75" customHeight="1">
      <c r="A263" s="5"/>
      <c r="B263" s="5"/>
      <c r="C263" s="5"/>
      <c r="D263" s="5"/>
      <c r="E263" s="5"/>
      <c r="F263" s="5"/>
      <c r="G263" s="5"/>
      <c r="I263" s="5"/>
      <c r="J263" s="5"/>
      <c r="K263" s="5"/>
      <c r="L263" s="5"/>
      <c r="M263" s="5"/>
      <c r="N263" s="5"/>
      <c r="O263" s="5"/>
      <c r="P263" s="5"/>
      <c r="Q263" s="5"/>
    </row>
    <row r="264" ht="15.75" customHeight="1">
      <c r="A264" s="5"/>
      <c r="B264" s="5"/>
      <c r="C264" s="5"/>
      <c r="D264" s="5"/>
      <c r="E264" s="5"/>
      <c r="F264" s="5"/>
      <c r="G264" s="5"/>
      <c r="I264" s="5"/>
      <c r="J264" s="5"/>
      <c r="K264" s="5"/>
      <c r="L264" s="5"/>
      <c r="M264" s="5"/>
      <c r="N264" s="5"/>
      <c r="O264" s="5"/>
      <c r="P264" s="5"/>
      <c r="Q264" s="5"/>
    </row>
    <row r="265" ht="15.75" customHeight="1">
      <c r="A265" s="5"/>
      <c r="B265" s="5"/>
      <c r="C265" s="5"/>
      <c r="D265" s="5"/>
      <c r="E265" s="5"/>
      <c r="F265" s="5"/>
      <c r="G265" s="5"/>
      <c r="I265" s="5"/>
      <c r="J265" s="5"/>
      <c r="K265" s="5"/>
      <c r="L265" s="5"/>
      <c r="M265" s="5"/>
      <c r="N265" s="5"/>
      <c r="O265" s="5"/>
      <c r="P265" s="5"/>
      <c r="Q265" s="5"/>
    </row>
    <row r="266" ht="15.75" customHeight="1">
      <c r="A266" s="5"/>
      <c r="B266" s="5"/>
      <c r="C266" s="5"/>
      <c r="D266" s="5"/>
      <c r="E266" s="5"/>
      <c r="F266" s="5"/>
      <c r="G266" s="5"/>
      <c r="I266" s="5"/>
      <c r="J266" s="5"/>
      <c r="K266" s="5"/>
      <c r="L266" s="5"/>
      <c r="M266" s="5"/>
      <c r="N266" s="5"/>
      <c r="O266" s="5"/>
      <c r="P266" s="5"/>
      <c r="Q266" s="5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G1"/>
    <mergeCell ref="A2:G2"/>
    <mergeCell ref="A4:G4"/>
    <mergeCell ref="A10:G10"/>
    <mergeCell ref="A12:G12"/>
    <mergeCell ref="B13:C13"/>
    <mergeCell ref="B14:C14"/>
    <mergeCell ref="B22:C22"/>
    <mergeCell ref="B25:C25"/>
    <mergeCell ref="B26:C26"/>
    <mergeCell ref="B27:C27"/>
    <mergeCell ref="B28:C28"/>
    <mergeCell ref="A30:G30"/>
    <mergeCell ref="A63:G63"/>
    <mergeCell ref="A64:G64"/>
    <mergeCell ref="A66:G66"/>
    <mergeCell ref="B15:C15"/>
    <mergeCell ref="A17:G17"/>
    <mergeCell ref="B18:C18"/>
    <mergeCell ref="B19:C19"/>
    <mergeCell ref="B20:C20"/>
    <mergeCell ref="B21:C21"/>
    <mergeCell ref="A24:G24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2"/>
  <cols>
    <col customWidth="1" min="1" max="1" width="36.0"/>
    <col customWidth="1" min="2" max="2" width="22.0"/>
    <col customWidth="1" min="3" max="3" width="6.0"/>
    <col customWidth="1" min="4" max="4" width="7.0"/>
    <col customWidth="1" min="5" max="5" width="9.0"/>
    <col customWidth="1" min="6" max="6" width="17.0"/>
    <col customWidth="1" min="7" max="7" width="34.0"/>
    <col customWidth="1" min="8" max="8" width="10.0"/>
    <col customWidth="1" min="9" max="9" width="40.0"/>
    <col customWidth="1" min="10" max="10" width="26.0"/>
  </cols>
  <sheetData>
    <row r="1" ht="21.75" customHeight="1">
      <c r="A1" s="49" t="s">
        <v>254</v>
      </c>
      <c r="B1" s="3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87" t="s">
        <v>255</v>
      </c>
      <c r="B2" s="87" t="s">
        <v>256</v>
      </c>
      <c r="C2" s="87" t="s">
        <v>257</v>
      </c>
      <c r="D2" s="87" t="s">
        <v>258</v>
      </c>
      <c r="E2" s="87" t="s">
        <v>259</v>
      </c>
      <c r="F2" s="87" t="s">
        <v>260</v>
      </c>
      <c r="G2" s="87" t="s">
        <v>261</v>
      </c>
      <c r="H2" s="87" t="s">
        <v>262</v>
      </c>
      <c r="I2" s="87" t="s">
        <v>263</v>
      </c>
      <c r="J2" s="87" t="s">
        <v>264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88" t="s">
        <v>265</v>
      </c>
      <c r="B3" s="88" t="s">
        <v>266</v>
      </c>
      <c r="C3" s="89" t="s">
        <v>151</v>
      </c>
      <c r="D3" s="89">
        <v>0.25</v>
      </c>
      <c r="E3" s="89">
        <v>2.5</v>
      </c>
      <c r="F3" s="88" t="s">
        <v>267</v>
      </c>
      <c r="G3" s="88" t="s">
        <v>268</v>
      </c>
      <c r="H3" s="88" t="s">
        <v>269</v>
      </c>
      <c r="I3" s="88"/>
      <c r="J3" s="88" t="s">
        <v>270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88" t="s">
        <v>271</v>
      </c>
      <c r="B4" s="88" t="s">
        <v>272</v>
      </c>
      <c r="C4" s="89" t="s">
        <v>149</v>
      </c>
      <c r="D4" s="89">
        <v>0.25</v>
      </c>
      <c r="E4" s="89">
        <v>2.5</v>
      </c>
      <c r="F4" s="88" t="s">
        <v>267</v>
      </c>
      <c r="G4" s="88" t="s">
        <v>273</v>
      </c>
      <c r="H4" s="88" t="s">
        <v>274</v>
      </c>
      <c r="I4" s="88"/>
      <c r="J4" s="88" t="s">
        <v>275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88" t="s">
        <v>65</v>
      </c>
      <c r="B5" s="88" t="s">
        <v>276</v>
      </c>
      <c r="C5" s="89" t="s">
        <v>157</v>
      </c>
      <c r="D5" s="89">
        <v>0.5</v>
      </c>
      <c r="E5" s="89">
        <v>2.5</v>
      </c>
      <c r="F5" s="88" t="s">
        <v>267</v>
      </c>
      <c r="G5" s="88" t="s">
        <v>277</v>
      </c>
      <c r="H5" s="88" t="s">
        <v>278</v>
      </c>
      <c r="I5" s="88"/>
      <c r="J5" s="88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88" t="s">
        <v>279</v>
      </c>
      <c r="B6" s="88" t="s">
        <v>280</v>
      </c>
      <c r="C6" s="89" t="s">
        <v>153</v>
      </c>
      <c r="D6" s="89">
        <v>0.75</v>
      </c>
      <c r="E6" s="89">
        <v>2.5</v>
      </c>
      <c r="F6" s="88" t="s">
        <v>267</v>
      </c>
      <c r="G6" s="88" t="s">
        <v>281</v>
      </c>
      <c r="H6" s="88" t="s">
        <v>282</v>
      </c>
      <c r="I6" s="88"/>
      <c r="J6" s="88" t="s">
        <v>283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88" t="s">
        <v>284</v>
      </c>
      <c r="B7" s="88" t="s">
        <v>280</v>
      </c>
      <c r="C7" s="89" t="s">
        <v>153</v>
      </c>
      <c r="D7" s="89">
        <v>0.5</v>
      </c>
      <c r="E7" s="89">
        <v>2.5</v>
      </c>
      <c r="F7" s="88" t="s">
        <v>267</v>
      </c>
      <c r="G7" s="88"/>
      <c r="H7" s="88" t="s">
        <v>285</v>
      </c>
      <c r="I7" s="88"/>
      <c r="J7" s="88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88" t="s">
        <v>286</v>
      </c>
      <c r="B8" s="88" t="s">
        <v>276</v>
      </c>
      <c r="C8" s="89" t="s">
        <v>157</v>
      </c>
      <c r="D8" s="89">
        <v>0.75</v>
      </c>
      <c r="E8" s="89">
        <v>2.5</v>
      </c>
      <c r="F8" s="88" t="s">
        <v>267</v>
      </c>
      <c r="G8" s="88" t="s">
        <v>287</v>
      </c>
      <c r="H8" s="88" t="s">
        <v>288</v>
      </c>
      <c r="I8" s="88"/>
      <c r="J8" s="88" t="s">
        <v>289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88" t="s">
        <v>290</v>
      </c>
      <c r="B9" s="88" t="s">
        <v>266</v>
      </c>
      <c r="C9" s="89" t="s">
        <v>151</v>
      </c>
      <c r="D9" s="89">
        <v>0.75</v>
      </c>
      <c r="E9" s="89">
        <v>2.5</v>
      </c>
      <c r="F9" s="88" t="s">
        <v>267</v>
      </c>
      <c r="G9" s="88" t="s">
        <v>291</v>
      </c>
      <c r="H9" s="88" t="s">
        <v>292</v>
      </c>
      <c r="I9" s="88"/>
      <c r="J9" s="88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88" t="s">
        <v>293</v>
      </c>
      <c r="B10" s="88" t="s">
        <v>272</v>
      </c>
      <c r="C10" s="89" t="s">
        <v>149</v>
      </c>
      <c r="D10" s="89">
        <v>0.5</v>
      </c>
      <c r="E10" s="89">
        <v>5.0</v>
      </c>
      <c r="F10" s="88" t="s">
        <v>294</v>
      </c>
      <c r="G10" s="88"/>
      <c r="H10" s="88" t="s">
        <v>295</v>
      </c>
      <c r="I10" s="90" t="s">
        <v>296</v>
      </c>
      <c r="J10" s="88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88" t="s">
        <v>297</v>
      </c>
      <c r="B11" s="88" t="s">
        <v>298</v>
      </c>
      <c r="C11" s="89" t="s">
        <v>155</v>
      </c>
      <c r="D11" s="89">
        <v>0.75</v>
      </c>
      <c r="E11" s="89">
        <v>5.0</v>
      </c>
      <c r="F11" s="88" t="s">
        <v>294</v>
      </c>
      <c r="G11" s="88" t="s">
        <v>299</v>
      </c>
      <c r="H11" s="88" t="s">
        <v>300</v>
      </c>
      <c r="I11" s="88"/>
      <c r="J11" s="88" t="s">
        <v>301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88" t="s">
        <v>302</v>
      </c>
      <c r="B12" s="88" t="s">
        <v>272</v>
      </c>
      <c r="C12" s="89" t="s">
        <v>149</v>
      </c>
      <c r="D12" s="89">
        <v>1.0</v>
      </c>
      <c r="E12" s="89">
        <v>2.5</v>
      </c>
      <c r="F12" s="88" t="s">
        <v>267</v>
      </c>
      <c r="G12" s="88" t="s">
        <v>303</v>
      </c>
      <c r="H12" s="88" t="s">
        <v>304</v>
      </c>
      <c r="I12" s="88"/>
      <c r="J12" s="88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88" t="s">
        <v>305</v>
      </c>
      <c r="B13" s="88" t="s">
        <v>306</v>
      </c>
      <c r="C13" s="89" t="s">
        <v>153</v>
      </c>
      <c r="D13" s="89">
        <v>1.0</v>
      </c>
      <c r="E13" s="89">
        <v>2.5</v>
      </c>
      <c r="F13" s="88" t="s">
        <v>267</v>
      </c>
      <c r="G13" s="88" t="s">
        <v>307</v>
      </c>
      <c r="H13" s="88" t="s">
        <v>308</v>
      </c>
      <c r="I13" s="88"/>
      <c r="J13" s="88" t="s">
        <v>309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88" t="s">
        <v>310</v>
      </c>
      <c r="B14" s="88" t="s">
        <v>311</v>
      </c>
      <c r="C14" s="89" t="s">
        <v>155</v>
      </c>
      <c r="D14" s="89">
        <v>0.25</v>
      </c>
      <c r="E14" s="89">
        <v>1.0</v>
      </c>
      <c r="F14" s="88" t="s">
        <v>267</v>
      </c>
      <c r="G14" s="88" t="s">
        <v>312</v>
      </c>
      <c r="H14" s="88" t="s">
        <v>313</v>
      </c>
      <c r="I14" s="88"/>
      <c r="J14" s="88" t="s">
        <v>314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88" t="s">
        <v>315</v>
      </c>
      <c r="B15" s="88" t="s">
        <v>272</v>
      </c>
      <c r="C15" s="89" t="s">
        <v>149</v>
      </c>
      <c r="D15" s="89">
        <v>1.0</v>
      </c>
      <c r="E15" s="89">
        <v>2.5</v>
      </c>
      <c r="F15" s="88" t="s">
        <v>267</v>
      </c>
      <c r="G15" s="88" t="s">
        <v>316</v>
      </c>
      <c r="H15" s="88" t="s">
        <v>317</v>
      </c>
      <c r="I15" s="88"/>
      <c r="J15" s="88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88" t="s">
        <v>318</v>
      </c>
      <c r="B16" s="88" t="s">
        <v>280</v>
      </c>
      <c r="C16" s="89" t="s">
        <v>153</v>
      </c>
      <c r="D16" s="89">
        <v>0.75</v>
      </c>
      <c r="E16" s="89">
        <v>2.5</v>
      </c>
      <c r="F16" s="88" t="s">
        <v>267</v>
      </c>
      <c r="G16" s="88" t="s">
        <v>319</v>
      </c>
      <c r="H16" s="88" t="s">
        <v>320</v>
      </c>
      <c r="I16" s="88"/>
      <c r="J16" s="88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88" t="s">
        <v>321</v>
      </c>
      <c r="B17" s="88" t="s">
        <v>276</v>
      </c>
      <c r="C17" s="89" t="s">
        <v>157</v>
      </c>
      <c r="D17" s="89">
        <v>0.75</v>
      </c>
      <c r="E17" s="89">
        <v>2.5</v>
      </c>
      <c r="F17" s="88" t="s">
        <v>267</v>
      </c>
      <c r="G17" s="88"/>
      <c r="H17" s="88" t="s">
        <v>322</v>
      </c>
      <c r="I17" s="88"/>
      <c r="J17" s="8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88" t="s">
        <v>323</v>
      </c>
      <c r="B18" s="88" t="s">
        <v>324</v>
      </c>
      <c r="C18" s="89" t="s">
        <v>155</v>
      </c>
      <c r="D18" s="89">
        <v>0.75</v>
      </c>
      <c r="E18" s="89">
        <v>2.5</v>
      </c>
      <c r="F18" s="88" t="s">
        <v>267</v>
      </c>
      <c r="G18" s="88" t="s">
        <v>325</v>
      </c>
      <c r="H18" s="88" t="s">
        <v>326</v>
      </c>
      <c r="I18" s="88"/>
      <c r="J18" s="88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88" t="s">
        <v>327</v>
      </c>
      <c r="B19" s="88" t="s">
        <v>324</v>
      </c>
      <c r="C19" s="89" t="s">
        <v>155</v>
      </c>
      <c r="D19" s="89">
        <v>0.75</v>
      </c>
      <c r="E19" s="89">
        <v>2.5</v>
      </c>
      <c r="F19" s="88" t="s">
        <v>267</v>
      </c>
      <c r="G19" s="88" t="s">
        <v>328</v>
      </c>
      <c r="H19" s="88" t="s">
        <v>329</v>
      </c>
      <c r="I19" s="88"/>
      <c r="J19" s="88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88" t="s">
        <v>330</v>
      </c>
      <c r="B20" s="88" t="s">
        <v>266</v>
      </c>
      <c r="C20" s="89" t="s">
        <v>151</v>
      </c>
      <c r="D20" s="89">
        <v>0.25</v>
      </c>
      <c r="E20" s="89">
        <v>2.5</v>
      </c>
      <c r="F20" s="88" t="s">
        <v>267</v>
      </c>
      <c r="G20" s="88" t="s">
        <v>331</v>
      </c>
      <c r="H20" s="88" t="s">
        <v>332</v>
      </c>
      <c r="I20" s="88"/>
      <c r="J20" s="88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88" t="s">
        <v>333</v>
      </c>
      <c r="B21" s="88" t="s">
        <v>311</v>
      </c>
      <c r="C21" s="89" t="s">
        <v>155</v>
      </c>
      <c r="D21" s="89">
        <v>0.25</v>
      </c>
      <c r="E21" s="89">
        <v>1.0</v>
      </c>
      <c r="F21" s="88" t="s">
        <v>267</v>
      </c>
      <c r="G21" s="88" t="s">
        <v>334</v>
      </c>
      <c r="H21" s="88" t="s">
        <v>335</v>
      </c>
      <c r="I21" s="88"/>
      <c r="J21" s="88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88" t="s">
        <v>336</v>
      </c>
      <c r="B22" s="88" t="s">
        <v>276</v>
      </c>
      <c r="C22" s="89" t="s">
        <v>157</v>
      </c>
      <c r="D22" s="89">
        <v>0.5</v>
      </c>
      <c r="E22" s="89">
        <v>2.5</v>
      </c>
      <c r="F22" s="88" t="s">
        <v>267</v>
      </c>
      <c r="G22" s="88"/>
      <c r="H22" s="88" t="s">
        <v>337</v>
      </c>
      <c r="I22" s="88"/>
      <c r="J22" s="88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88" t="s">
        <v>338</v>
      </c>
      <c r="B23" s="88" t="s">
        <v>306</v>
      </c>
      <c r="C23" s="89" t="s">
        <v>153</v>
      </c>
      <c r="D23" s="89">
        <v>1.0</v>
      </c>
      <c r="E23" s="89">
        <v>2.5</v>
      </c>
      <c r="F23" s="88" t="s">
        <v>267</v>
      </c>
      <c r="G23" s="88" t="s">
        <v>339</v>
      </c>
      <c r="H23" s="88" t="s">
        <v>340</v>
      </c>
      <c r="I23" s="88"/>
      <c r="J23" s="88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88" t="s">
        <v>341</v>
      </c>
      <c r="B24" s="88" t="s">
        <v>311</v>
      </c>
      <c r="C24" s="89" t="s">
        <v>155</v>
      </c>
      <c r="D24" s="89">
        <v>0.25</v>
      </c>
      <c r="E24" s="89">
        <v>1.0</v>
      </c>
      <c r="F24" s="88" t="s">
        <v>267</v>
      </c>
      <c r="G24" s="88" t="s">
        <v>342</v>
      </c>
      <c r="H24" s="88" t="s">
        <v>343</v>
      </c>
      <c r="I24" s="88"/>
      <c r="J24" s="88" t="s">
        <v>344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88" t="s">
        <v>345</v>
      </c>
      <c r="B25" s="88" t="s">
        <v>311</v>
      </c>
      <c r="C25" s="89" t="s">
        <v>155</v>
      </c>
      <c r="D25" s="89">
        <v>0.25</v>
      </c>
      <c r="E25" s="89">
        <v>1.0</v>
      </c>
      <c r="F25" s="88" t="s">
        <v>267</v>
      </c>
      <c r="G25" s="88" t="s">
        <v>346</v>
      </c>
      <c r="H25" s="88" t="s">
        <v>347</v>
      </c>
      <c r="I25" s="88"/>
      <c r="J25" s="88" t="s">
        <v>348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88" t="s">
        <v>349</v>
      </c>
      <c r="B26" s="88" t="s">
        <v>324</v>
      </c>
      <c r="C26" s="89" t="s">
        <v>155</v>
      </c>
      <c r="D26" s="89">
        <v>0.5</v>
      </c>
      <c r="E26" s="89">
        <v>0.0</v>
      </c>
      <c r="F26" s="88" t="s">
        <v>350</v>
      </c>
      <c r="G26" s="88" t="s">
        <v>351</v>
      </c>
      <c r="H26" s="88" t="s">
        <v>352</v>
      </c>
      <c r="I26" s="88"/>
      <c r="J26" s="88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88" t="s">
        <v>353</v>
      </c>
      <c r="B27" s="88" t="s">
        <v>272</v>
      </c>
      <c r="C27" s="89" t="s">
        <v>149</v>
      </c>
      <c r="D27" s="89">
        <v>0.5</v>
      </c>
      <c r="E27" s="89">
        <v>2.5</v>
      </c>
      <c r="F27" s="88" t="s">
        <v>267</v>
      </c>
      <c r="G27" s="88"/>
      <c r="H27" s="88" t="s">
        <v>354</v>
      </c>
      <c r="I27" s="88"/>
      <c r="J27" s="88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88" t="s">
        <v>355</v>
      </c>
      <c r="B28" s="88" t="s">
        <v>266</v>
      </c>
      <c r="C28" s="89" t="s">
        <v>151</v>
      </c>
      <c r="D28" s="89">
        <v>0.5</v>
      </c>
      <c r="E28" s="89">
        <v>2.5</v>
      </c>
      <c r="F28" s="88" t="s">
        <v>267</v>
      </c>
      <c r="G28" s="88"/>
      <c r="H28" s="88" t="s">
        <v>356</v>
      </c>
      <c r="I28" s="88"/>
      <c r="J28" s="88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88" t="s">
        <v>357</v>
      </c>
      <c r="B29" s="88" t="s">
        <v>272</v>
      </c>
      <c r="C29" s="89" t="s">
        <v>149</v>
      </c>
      <c r="D29" s="89">
        <v>1.0</v>
      </c>
      <c r="E29" s="89">
        <v>5.0</v>
      </c>
      <c r="F29" s="88" t="s">
        <v>294</v>
      </c>
      <c r="G29" s="88"/>
      <c r="H29" s="88" t="s">
        <v>358</v>
      </c>
      <c r="I29" s="88"/>
      <c r="J29" s="88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88" t="s">
        <v>359</v>
      </c>
      <c r="B30" s="88" t="s">
        <v>311</v>
      </c>
      <c r="C30" s="89" t="s">
        <v>155</v>
      </c>
      <c r="D30" s="89">
        <v>0.25</v>
      </c>
      <c r="E30" s="89">
        <v>1.0</v>
      </c>
      <c r="F30" s="88" t="s">
        <v>267</v>
      </c>
      <c r="G30" s="88" t="s">
        <v>360</v>
      </c>
      <c r="H30" s="88" t="s">
        <v>361</v>
      </c>
      <c r="I30" s="88"/>
      <c r="J30" s="88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88" t="s">
        <v>362</v>
      </c>
      <c r="B31" s="88" t="s">
        <v>306</v>
      </c>
      <c r="C31" s="89" t="s">
        <v>153</v>
      </c>
      <c r="D31" s="89">
        <v>0.5</v>
      </c>
      <c r="E31" s="89">
        <v>2.5</v>
      </c>
      <c r="F31" s="88" t="s">
        <v>267</v>
      </c>
      <c r="G31" s="88" t="s">
        <v>363</v>
      </c>
      <c r="H31" s="88" t="s">
        <v>364</v>
      </c>
      <c r="I31" s="88"/>
      <c r="J31" s="88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88" t="s">
        <v>365</v>
      </c>
      <c r="B32" s="88" t="s">
        <v>280</v>
      </c>
      <c r="C32" s="89" t="s">
        <v>153</v>
      </c>
      <c r="D32" s="89">
        <v>0.25</v>
      </c>
      <c r="E32" s="89">
        <v>1.0</v>
      </c>
      <c r="F32" s="88" t="s">
        <v>267</v>
      </c>
      <c r="G32" s="88" t="s">
        <v>366</v>
      </c>
      <c r="H32" s="88" t="s">
        <v>367</v>
      </c>
      <c r="I32" s="91" t="s">
        <v>368</v>
      </c>
      <c r="J32" s="88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88" t="s">
        <v>369</v>
      </c>
      <c r="B33" s="88" t="s">
        <v>324</v>
      </c>
      <c r="C33" s="89" t="s">
        <v>155</v>
      </c>
      <c r="D33" s="89">
        <v>0.5</v>
      </c>
      <c r="E33" s="89">
        <v>2.5</v>
      </c>
      <c r="F33" s="88" t="s">
        <v>267</v>
      </c>
      <c r="G33" s="88" t="s">
        <v>370</v>
      </c>
      <c r="H33" s="88" t="s">
        <v>371</v>
      </c>
      <c r="I33" s="88"/>
      <c r="J33" s="88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88" t="s">
        <v>372</v>
      </c>
      <c r="B34" s="88" t="s">
        <v>324</v>
      </c>
      <c r="C34" s="89" t="s">
        <v>155</v>
      </c>
      <c r="D34" s="89">
        <v>0.5</v>
      </c>
      <c r="E34" s="89">
        <v>2.5</v>
      </c>
      <c r="F34" s="88" t="s">
        <v>267</v>
      </c>
      <c r="G34" s="88" t="s">
        <v>373</v>
      </c>
      <c r="H34" s="88" t="s">
        <v>374</v>
      </c>
      <c r="I34" s="88"/>
      <c r="J34" s="88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88" t="s">
        <v>375</v>
      </c>
      <c r="B35" s="88" t="s">
        <v>272</v>
      </c>
      <c r="C35" s="89" t="s">
        <v>149</v>
      </c>
      <c r="D35" s="89">
        <v>0.25</v>
      </c>
      <c r="E35" s="89">
        <v>2.5</v>
      </c>
      <c r="F35" s="88" t="s">
        <v>267</v>
      </c>
      <c r="G35" s="88"/>
      <c r="H35" s="88" t="s">
        <v>376</v>
      </c>
      <c r="I35" s="88"/>
      <c r="J35" s="88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88" t="s">
        <v>378</v>
      </c>
      <c r="B36" s="88" t="s">
        <v>306</v>
      </c>
      <c r="C36" s="89" t="s">
        <v>153</v>
      </c>
      <c r="D36" s="89">
        <v>0.5</v>
      </c>
      <c r="E36" s="89">
        <v>2.5</v>
      </c>
      <c r="F36" s="88" t="s">
        <v>267</v>
      </c>
      <c r="G36" s="88"/>
      <c r="H36" s="88" t="s">
        <v>379</v>
      </c>
      <c r="I36" s="88"/>
      <c r="J36" s="88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88" t="s">
        <v>380</v>
      </c>
      <c r="B37" s="88" t="s">
        <v>266</v>
      </c>
      <c r="C37" s="89" t="s">
        <v>151</v>
      </c>
      <c r="D37" s="89">
        <v>1.0</v>
      </c>
      <c r="E37" s="89">
        <v>2.5</v>
      </c>
      <c r="F37" s="88" t="s">
        <v>267</v>
      </c>
      <c r="G37" s="88"/>
      <c r="H37" s="88" t="s">
        <v>381</v>
      </c>
      <c r="I37" s="88"/>
      <c r="J37" s="88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88" t="s">
        <v>382</v>
      </c>
      <c r="B38" s="88" t="s">
        <v>266</v>
      </c>
      <c r="C38" s="89" t="s">
        <v>151</v>
      </c>
      <c r="D38" s="89">
        <v>0.75</v>
      </c>
      <c r="E38" s="89">
        <v>2.5</v>
      </c>
      <c r="F38" s="88" t="s">
        <v>267</v>
      </c>
      <c r="G38" s="88"/>
      <c r="H38" s="88" t="s">
        <v>383</v>
      </c>
      <c r="I38" s="88"/>
      <c r="J38" s="88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88" t="s">
        <v>384</v>
      </c>
      <c r="B39" s="88" t="s">
        <v>276</v>
      </c>
      <c r="C39" s="89" t="s">
        <v>157</v>
      </c>
      <c r="D39" s="89">
        <v>0.75</v>
      </c>
      <c r="E39" s="89">
        <v>0.0</v>
      </c>
      <c r="F39" s="88" t="s">
        <v>245</v>
      </c>
      <c r="G39" s="88" t="s">
        <v>385</v>
      </c>
      <c r="H39" s="88" t="s">
        <v>386</v>
      </c>
      <c r="I39" s="88"/>
      <c r="J39" s="88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88" t="s">
        <v>387</v>
      </c>
      <c r="B40" s="88" t="s">
        <v>276</v>
      </c>
      <c r="C40" s="89" t="s">
        <v>157</v>
      </c>
      <c r="D40" s="89">
        <v>0.5</v>
      </c>
      <c r="E40" s="89">
        <v>0.0</v>
      </c>
      <c r="F40" s="88" t="s">
        <v>350</v>
      </c>
      <c r="G40" s="88" t="s">
        <v>388</v>
      </c>
      <c r="H40" s="88" t="s">
        <v>389</v>
      </c>
      <c r="I40" s="91" t="s">
        <v>368</v>
      </c>
      <c r="J40" s="88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88" t="s">
        <v>390</v>
      </c>
      <c r="B41" s="88" t="s">
        <v>276</v>
      </c>
      <c r="C41" s="89" t="s">
        <v>157</v>
      </c>
      <c r="D41" s="89">
        <v>0.5</v>
      </c>
      <c r="E41" s="89">
        <v>0.0</v>
      </c>
      <c r="F41" s="88" t="s">
        <v>350</v>
      </c>
      <c r="G41" s="88" t="s">
        <v>391</v>
      </c>
      <c r="H41" s="88" t="s">
        <v>392</v>
      </c>
      <c r="I41" s="88"/>
      <c r="J41" s="88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88" t="s">
        <v>393</v>
      </c>
      <c r="B42" s="88" t="s">
        <v>324</v>
      </c>
      <c r="C42" s="89" t="s">
        <v>155</v>
      </c>
      <c r="D42" s="89">
        <v>0.75</v>
      </c>
      <c r="E42" s="89">
        <v>2.5</v>
      </c>
      <c r="F42" s="88" t="s">
        <v>267</v>
      </c>
      <c r="G42" s="88" t="s">
        <v>394</v>
      </c>
      <c r="H42" s="88" t="s">
        <v>395</v>
      </c>
      <c r="I42" s="88"/>
      <c r="J42" s="88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88" t="s">
        <v>396</v>
      </c>
      <c r="B43" s="88" t="s">
        <v>276</v>
      </c>
      <c r="C43" s="89" t="s">
        <v>157</v>
      </c>
      <c r="D43" s="89">
        <v>0.5</v>
      </c>
      <c r="E43" s="89">
        <v>0.0</v>
      </c>
      <c r="F43" s="88" t="s">
        <v>350</v>
      </c>
      <c r="G43" s="88" t="s">
        <v>388</v>
      </c>
      <c r="H43" s="88" t="s">
        <v>397</v>
      </c>
      <c r="I43" s="88"/>
      <c r="J43" s="88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88" t="s">
        <v>398</v>
      </c>
      <c r="B44" s="88" t="s">
        <v>266</v>
      </c>
      <c r="C44" s="89" t="s">
        <v>151</v>
      </c>
      <c r="D44" s="89">
        <v>1.0</v>
      </c>
      <c r="E44" s="89">
        <v>2.5</v>
      </c>
      <c r="F44" s="88" t="s">
        <v>267</v>
      </c>
      <c r="G44" s="88" t="s">
        <v>399</v>
      </c>
      <c r="H44" s="88" t="s">
        <v>400</v>
      </c>
      <c r="I44" s="88"/>
      <c r="J44" s="88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88" t="s">
        <v>401</v>
      </c>
      <c r="B45" s="88" t="s">
        <v>306</v>
      </c>
      <c r="C45" s="89" t="s">
        <v>153</v>
      </c>
      <c r="D45" s="89">
        <v>0.5</v>
      </c>
      <c r="E45" s="89">
        <v>0.0</v>
      </c>
      <c r="F45" s="88" t="s">
        <v>350</v>
      </c>
      <c r="G45" s="88" t="s">
        <v>402</v>
      </c>
      <c r="H45" s="88" t="s">
        <v>403</v>
      </c>
      <c r="I45" s="91" t="s">
        <v>368</v>
      </c>
      <c r="J45" s="88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88" t="s">
        <v>404</v>
      </c>
      <c r="B46" s="88" t="s">
        <v>272</v>
      </c>
      <c r="C46" s="89" t="s">
        <v>149</v>
      </c>
      <c r="D46" s="89">
        <v>0.75</v>
      </c>
      <c r="E46" s="89">
        <v>2.5</v>
      </c>
      <c r="F46" s="88" t="s">
        <v>267</v>
      </c>
      <c r="G46" s="88" t="s">
        <v>405</v>
      </c>
      <c r="H46" s="88" t="s">
        <v>406</v>
      </c>
      <c r="I46" s="88"/>
      <c r="J46" s="88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88" t="s">
        <v>407</v>
      </c>
      <c r="B47" s="88" t="s">
        <v>306</v>
      </c>
      <c r="C47" s="89" t="s">
        <v>153</v>
      </c>
      <c r="D47" s="89">
        <v>1.0</v>
      </c>
      <c r="E47" s="89">
        <v>0.0</v>
      </c>
      <c r="F47" s="88" t="s">
        <v>350</v>
      </c>
      <c r="G47" s="88" t="s">
        <v>408</v>
      </c>
      <c r="H47" s="88" t="s">
        <v>409</v>
      </c>
      <c r="I47" s="91" t="s">
        <v>368</v>
      </c>
      <c r="J47" s="88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88" t="s">
        <v>410</v>
      </c>
      <c r="B48" s="88" t="s">
        <v>306</v>
      </c>
      <c r="C48" s="89" t="s">
        <v>153</v>
      </c>
      <c r="D48" s="89">
        <v>1.0</v>
      </c>
      <c r="E48" s="89">
        <v>2.5</v>
      </c>
      <c r="F48" s="88" t="s">
        <v>411</v>
      </c>
      <c r="G48" s="88" t="s">
        <v>412</v>
      </c>
      <c r="H48" s="88" t="s">
        <v>413</v>
      </c>
      <c r="I48" s="88"/>
      <c r="J48" s="88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88" t="s">
        <v>414</v>
      </c>
      <c r="B49" s="88" t="s">
        <v>306</v>
      </c>
      <c r="C49" s="89" t="s">
        <v>153</v>
      </c>
      <c r="D49" s="89">
        <v>0.75</v>
      </c>
      <c r="E49" s="89">
        <v>2.5</v>
      </c>
      <c r="F49" s="88" t="s">
        <v>267</v>
      </c>
      <c r="G49" s="88" t="s">
        <v>415</v>
      </c>
      <c r="H49" s="88" t="s">
        <v>416</v>
      </c>
      <c r="I49" s="88"/>
      <c r="J49" s="88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88" t="s">
        <v>417</v>
      </c>
      <c r="B50" s="88" t="s">
        <v>306</v>
      </c>
      <c r="C50" s="89" t="s">
        <v>153</v>
      </c>
      <c r="D50" s="89">
        <v>0.75</v>
      </c>
      <c r="E50" s="89">
        <v>2.5</v>
      </c>
      <c r="F50" s="88" t="s">
        <v>267</v>
      </c>
      <c r="G50" s="88" t="s">
        <v>418</v>
      </c>
      <c r="H50" s="88" t="s">
        <v>419</v>
      </c>
      <c r="I50" s="88"/>
      <c r="J50" s="88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88" t="s">
        <v>420</v>
      </c>
      <c r="B51" s="88" t="s">
        <v>311</v>
      </c>
      <c r="C51" s="89" t="s">
        <v>155</v>
      </c>
      <c r="D51" s="89">
        <v>0.25</v>
      </c>
      <c r="E51" s="89">
        <v>1.0</v>
      </c>
      <c r="F51" s="88" t="s">
        <v>267</v>
      </c>
      <c r="G51" s="88" t="s">
        <v>421</v>
      </c>
      <c r="H51" s="88" t="s">
        <v>422</v>
      </c>
      <c r="I51" s="88"/>
      <c r="J51" s="88" t="s">
        <v>423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88" t="s">
        <v>424</v>
      </c>
      <c r="B52" s="88" t="s">
        <v>324</v>
      </c>
      <c r="C52" s="89" t="s">
        <v>155</v>
      </c>
      <c r="D52" s="89">
        <v>0.25</v>
      </c>
      <c r="E52" s="89">
        <v>2.5</v>
      </c>
      <c r="F52" s="88" t="s">
        <v>267</v>
      </c>
      <c r="G52" s="88" t="s">
        <v>425</v>
      </c>
      <c r="H52" s="88" t="s">
        <v>426</v>
      </c>
      <c r="I52" s="88"/>
      <c r="J52" s="88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88" t="s">
        <v>427</v>
      </c>
      <c r="B53" s="88" t="s">
        <v>311</v>
      </c>
      <c r="C53" s="89" t="s">
        <v>155</v>
      </c>
      <c r="D53" s="89">
        <v>0.25</v>
      </c>
      <c r="E53" s="89">
        <v>1.0</v>
      </c>
      <c r="F53" s="88" t="s">
        <v>267</v>
      </c>
      <c r="G53" s="88" t="s">
        <v>428</v>
      </c>
      <c r="H53" s="88" t="s">
        <v>429</v>
      </c>
      <c r="I53" s="88"/>
      <c r="J53" s="88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88" t="s">
        <v>430</v>
      </c>
      <c r="B54" s="88" t="s">
        <v>306</v>
      </c>
      <c r="C54" s="89" t="s">
        <v>153</v>
      </c>
      <c r="D54" s="89">
        <v>0.5</v>
      </c>
      <c r="E54" s="89">
        <v>2.5</v>
      </c>
      <c r="F54" s="88" t="s">
        <v>267</v>
      </c>
      <c r="G54" s="88" t="s">
        <v>431</v>
      </c>
      <c r="H54" s="88" t="s">
        <v>432</v>
      </c>
      <c r="I54" s="88"/>
      <c r="J54" s="88" t="s">
        <v>433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88" t="s">
        <v>434</v>
      </c>
      <c r="B55" s="88" t="s">
        <v>435</v>
      </c>
      <c r="C55" s="89" t="s">
        <v>153</v>
      </c>
      <c r="D55" s="89">
        <v>0.25</v>
      </c>
      <c r="E55" s="89">
        <v>1.0</v>
      </c>
      <c r="F55" s="88" t="s">
        <v>267</v>
      </c>
      <c r="G55" s="88" t="s">
        <v>436</v>
      </c>
      <c r="H55" s="88" t="s">
        <v>437</v>
      </c>
      <c r="I55" s="88"/>
      <c r="J55" s="88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88" t="s">
        <v>438</v>
      </c>
      <c r="B56" s="88" t="s">
        <v>280</v>
      </c>
      <c r="C56" s="89" t="s">
        <v>153</v>
      </c>
      <c r="D56" s="89">
        <v>0.25</v>
      </c>
      <c r="E56" s="89">
        <v>1.0</v>
      </c>
      <c r="F56" s="88" t="s">
        <v>267</v>
      </c>
      <c r="G56" s="88" t="s">
        <v>439</v>
      </c>
      <c r="H56" s="88" t="s">
        <v>440</v>
      </c>
      <c r="I56" s="88"/>
      <c r="J56" s="88" t="s">
        <v>441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88" t="s">
        <v>442</v>
      </c>
      <c r="B57" s="88" t="s">
        <v>272</v>
      </c>
      <c r="C57" s="89" t="s">
        <v>149</v>
      </c>
      <c r="D57" s="89">
        <v>0.75</v>
      </c>
      <c r="E57" s="89">
        <v>2.5</v>
      </c>
      <c r="F57" s="88" t="s">
        <v>267</v>
      </c>
      <c r="G57" s="88" t="s">
        <v>443</v>
      </c>
      <c r="H57" s="88" t="s">
        <v>444</v>
      </c>
      <c r="I57" s="88"/>
      <c r="J57" s="88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88" t="s">
        <v>445</v>
      </c>
      <c r="B58" s="88" t="s">
        <v>435</v>
      </c>
      <c r="C58" s="89" t="s">
        <v>153</v>
      </c>
      <c r="D58" s="89">
        <v>0.25</v>
      </c>
      <c r="E58" s="89">
        <v>1.0</v>
      </c>
      <c r="F58" s="88" t="s">
        <v>267</v>
      </c>
      <c r="G58" s="88" t="s">
        <v>446</v>
      </c>
      <c r="H58" s="88" t="s">
        <v>447</v>
      </c>
      <c r="I58" s="88"/>
      <c r="J58" s="88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88" t="s">
        <v>448</v>
      </c>
      <c r="B59" s="88" t="s">
        <v>280</v>
      </c>
      <c r="C59" s="89" t="s">
        <v>153</v>
      </c>
      <c r="D59" s="89">
        <v>0.75</v>
      </c>
      <c r="E59" s="89">
        <v>2.5</v>
      </c>
      <c r="F59" s="88" t="s">
        <v>267</v>
      </c>
      <c r="G59" s="88" t="s">
        <v>449</v>
      </c>
      <c r="H59" s="88" t="s">
        <v>450</v>
      </c>
      <c r="I59" s="88"/>
      <c r="J59" s="88" t="s">
        <v>451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88" t="s">
        <v>452</v>
      </c>
      <c r="B60" s="88" t="s">
        <v>280</v>
      </c>
      <c r="C60" s="89" t="s">
        <v>153</v>
      </c>
      <c r="D60" s="89">
        <v>0.75</v>
      </c>
      <c r="E60" s="89">
        <v>2.5</v>
      </c>
      <c r="F60" s="88" t="s">
        <v>267</v>
      </c>
      <c r="G60" s="88" t="s">
        <v>453</v>
      </c>
      <c r="H60" s="88" t="s">
        <v>454</v>
      </c>
      <c r="I60" s="88"/>
      <c r="J60" s="88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88" t="s">
        <v>455</v>
      </c>
      <c r="B61" s="88" t="s">
        <v>324</v>
      </c>
      <c r="C61" s="89" t="s">
        <v>155</v>
      </c>
      <c r="D61" s="89">
        <v>0.75</v>
      </c>
      <c r="E61" s="89">
        <v>2.5</v>
      </c>
      <c r="F61" s="88" t="s">
        <v>267</v>
      </c>
      <c r="G61" s="88" t="s">
        <v>456</v>
      </c>
      <c r="H61" s="88" t="s">
        <v>457</v>
      </c>
      <c r="I61" s="88"/>
      <c r="J61" s="88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88" t="s">
        <v>458</v>
      </c>
      <c r="B62" s="88" t="s">
        <v>280</v>
      </c>
      <c r="C62" s="89" t="s">
        <v>153</v>
      </c>
      <c r="D62" s="89">
        <v>0.5</v>
      </c>
      <c r="E62" s="89">
        <v>2.5</v>
      </c>
      <c r="F62" s="88" t="s">
        <v>267</v>
      </c>
      <c r="G62" s="88" t="s">
        <v>459</v>
      </c>
      <c r="H62" s="88" t="s">
        <v>460</v>
      </c>
      <c r="I62" s="88"/>
      <c r="J62" s="88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88" t="s">
        <v>461</v>
      </c>
      <c r="B63" s="88" t="s">
        <v>324</v>
      </c>
      <c r="C63" s="89" t="s">
        <v>155</v>
      </c>
      <c r="D63" s="89">
        <v>0.5</v>
      </c>
      <c r="E63" s="89">
        <v>2.5</v>
      </c>
      <c r="F63" s="88" t="s">
        <v>267</v>
      </c>
      <c r="G63" s="88" t="s">
        <v>462</v>
      </c>
      <c r="H63" s="88" t="s">
        <v>463</v>
      </c>
      <c r="I63" s="88"/>
      <c r="J63" s="88" t="s">
        <v>464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88" t="s">
        <v>465</v>
      </c>
      <c r="B64" s="88" t="s">
        <v>324</v>
      </c>
      <c r="C64" s="89" t="s">
        <v>155</v>
      </c>
      <c r="D64" s="89">
        <v>0.75</v>
      </c>
      <c r="E64" s="89">
        <v>2.5</v>
      </c>
      <c r="F64" s="88" t="s">
        <v>267</v>
      </c>
      <c r="G64" s="88" t="s">
        <v>466</v>
      </c>
      <c r="H64" s="88" t="s">
        <v>467</v>
      </c>
      <c r="I64" s="88"/>
      <c r="J64" s="88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88" t="s">
        <v>468</v>
      </c>
      <c r="B65" s="88" t="s">
        <v>272</v>
      </c>
      <c r="C65" s="89" t="s">
        <v>149</v>
      </c>
      <c r="D65" s="89">
        <v>0.75</v>
      </c>
      <c r="E65" s="89">
        <v>2.5</v>
      </c>
      <c r="F65" s="88" t="s">
        <v>267</v>
      </c>
      <c r="G65" s="88"/>
      <c r="H65" s="88" t="s">
        <v>470</v>
      </c>
      <c r="I65" s="88"/>
      <c r="J65" s="88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88" t="s">
        <v>471</v>
      </c>
      <c r="B66" s="88" t="s">
        <v>298</v>
      </c>
      <c r="C66" s="89" t="s">
        <v>155</v>
      </c>
      <c r="D66" s="89">
        <v>0.75</v>
      </c>
      <c r="E66" s="89">
        <v>0.0</v>
      </c>
      <c r="F66" s="88" t="s">
        <v>350</v>
      </c>
      <c r="G66" s="88" t="s">
        <v>472</v>
      </c>
      <c r="H66" s="88" t="s">
        <v>473</v>
      </c>
      <c r="I66" s="91" t="s">
        <v>368</v>
      </c>
      <c r="J66" s="88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88" t="s">
        <v>475</v>
      </c>
      <c r="B67" s="88" t="s">
        <v>306</v>
      </c>
      <c r="C67" s="89" t="s">
        <v>153</v>
      </c>
      <c r="D67" s="89">
        <v>0.5</v>
      </c>
      <c r="E67" s="89">
        <v>0.0</v>
      </c>
      <c r="F67" s="88" t="s">
        <v>350</v>
      </c>
      <c r="G67" s="88" t="s">
        <v>476</v>
      </c>
      <c r="H67" s="88" t="s">
        <v>477</v>
      </c>
      <c r="I67" s="88"/>
      <c r="J67" s="88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88" t="s">
        <v>478</v>
      </c>
      <c r="B68" s="88" t="s">
        <v>272</v>
      </c>
      <c r="C68" s="89" t="s">
        <v>149</v>
      </c>
      <c r="D68" s="89">
        <v>0.25</v>
      </c>
      <c r="E68" s="89">
        <v>2.5</v>
      </c>
      <c r="F68" s="88" t="s">
        <v>267</v>
      </c>
      <c r="G68" s="88"/>
      <c r="H68" s="88" t="s">
        <v>480</v>
      </c>
      <c r="I68" s="88"/>
      <c r="J68" s="88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88" t="s">
        <v>481</v>
      </c>
      <c r="B69" s="88" t="s">
        <v>311</v>
      </c>
      <c r="C69" s="89" t="s">
        <v>155</v>
      </c>
      <c r="D69" s="89">
        <v>0.25</v>
      </c>
      <c r="E69" s="89">
        <v>1.0</v>
      </c>
      <c r="F69" s="88" t="s">
        <v>267</v>
      </c>
      <c r="G69" s="88" t="s">
        <v>482</v>
      </c>
      <c r="H69" s="88" t="s">
        <v>483</v>
      </c>
      <c r="I69" s="88"/>
      <c r="J69" s="88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88" t="s">
        <v>484</v>
      </c>
      <c r="B70" s="88" t="s">
        <v>324</v>
      </c>
      <c r="C70" s="89" t="s">
        <v>155</v>
      </c>
      <c r="D70" s="89">
        <v>0.5</v>
      </c>
      <c r="E70" s="89">
        <v>2.5</v>
      </c>
      <c r="F70" s="88" t="s">
        <v>267</v>
      </c>
      <c r="G70" s="88" t="s">
        <v>485</v>
      </c>
      <c r="H70" s="88" t="s">
        <v>486</v>
      </c>
      <c r="I70" s="88"/>
      <c r="J70" s="88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88" t="s">
        <v>487</v>
      </c>
      <c r="B71" s="88" t="s">
        <v>272</v>
      </c>
      <c r="C71" s="89" t="s">
        <v>149</v>
      </c>
      <c r="D71" s="89">
        <v>0.75</v>
      </c>
      <c r="E71" s="89">
        <v>2.5</v>
      </c>
      <c r="F71" s="88" t="s">
        <v>267</v>
      </c>
      <c r="G71" s="88" t="s">
        <v>488</v>
      </c>
      <c r="H71" s="88" t="s">
        <v>489</v>
      </c>
      <c r="I71" s="88"/>
      <c r="J71" s="88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88" t="s">
        <v>490</v>
      </c>
      <c r="B72" s="88" t="s">
        <v>272</v>
      </c>
      <c r="C72" s="89" t="s">
        <v>149</v>
      </c>
      <c r="D72" s="89">
        <v>1.0</v>
      </c>
      <c r="E72" s="89">
        <v>2.5</v>
      </c>
      <c r="F72" s="88" t="s">
        <v>267</v>
      </c>
      <c r="G72" s="88"/>
      <c r="H72" s="88" t="s">
        <v>491</v>
      </c>
      <c r="I72" s="88"/>
      <c r="J72" s="88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88" t="s">
        <v>492</v>
      </c>
      <c r="B73" s="88" t="s">
        <v>276</v>
      </c>
      <c r="C73" s="89" t="s">
        <v>157</v>
      </c>
      <c r="D73" s="89">
        <v>0.5</v>
      </c>
      <c r="E73" s="89">
        <v>2.5</v>
      </c>
      <c r="F73" s="88" t="s">
        <v>267</v>
      </c>
      <c r="G73" s="88"/>
      <c r="H73" s="88" t="s">
        <v>493</v>
      </c>
      <c r="I73" s="88"/>
      <c r="J73" s="88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88" t="s">
        <v>494</v>
      </c>
      <c r="B74" s="88" t="s">
        <v>266</v>
      </c>
      <c r="C74" s="89" t="s">
        <v>151</v>
      </c>
      <c r="D74" s="89">
        <v>0.5</v>
      </c>
      <c r="E74" s="89">
        <v>2.5</v>
      </c>
      <c r="F74" s="88" t="s">
        <v>267</v>
      </c>
      <c r="G74" s="88" t="s">
        <v>495</v>
      </c>
      <c r="H74" s="88" t="s">
        <v>496</v>
      </c>
      <c r="I74" s="88"/>
      <c r="J74" s="88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88" t="s">
        <v>497</v>
      </c>
      <c r="B75" s="88" t="s">
        <v>266</v>
      </c>
      <c r="C75" s="89" t="s">
        <v>151</v>
      </c>
      <c r="D75" s="89">
        <v>0.5</v>
      </c>
      <c r="E75" s="89">
        <v>2.5</v>
      </c>
      <c r="F75" s="88" t="s">
        <v>267</v>
      </c>
      <c r="G75" s="88" t="s">
        <v>498</v>
      </c>
      <c r="H75" s="88" t="s">
        <v>499</v>
      </c>
      <c r="I75" s="88"/>
      <c r="J75" s="88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88" t="s">
        <v>500</v>
      </c>
      <c r="B76" s="88" t="s">
        <v>324</v>
      </c>
      <c r="C76" s="89" t="s">
        <v>155</v>
      </c>
      <c r="D76" s="89">
        <v>0.75</v>
      </c>
      <c r="E76" s="89">
        <v>2.5</v>
      </c>
      <c r="F76" s="88" t="s">
        <v>267</v>
      </c>
      <c r="G76" s="88" t="s">
        <v>501</v>
      </c>
      <c r="H76" s="88" t="s">
        <v>502</v>
      </c>
      <c r="I76" s="88"/>
      <c r="J76" s="88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88" t="s">
        <v>503</v>
      </c>
      <c r="B77" s="88" t="s">
        <v>298</v>
      </c>
      <c r="C77" s="89" t="s">
        <v>155</v>
      </c>
      <c r="D77" s="89">
        <v>0.5</v>
      </c>
      <c r="E77" s="89">
        <v>2.5</v>
      </c>
      <c r="F77" s="88" t="s">
        <v>267</v>
      </c>
      <c r="G77" s="88" t="s">
        <v>504</v>
      </c>
      <c r="H77" s="88" t="s">
        <v>505</v>
      </c>
      <c r="I77" s="88"/>
      <c r="J77" s="88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88" t="s">
        <v>506</v>
      </c>
      <c r="B78" s="88" t="s">
        <v>276</v>
      </c>
      <c r="C78" s="89" t="s">
        <v>157</v>
      </c>
      <c r="D78" s="89">
        <v>0.5</v>
      </c>
      <c r="E78" s="89">
        <v>2.5</v>
      </c>
      <c r="F78" s="88" t="s">
        <v>267</v>
      </c>
      <c r="G78" s="88" t="s">
        <v>507</v>
      </c>
      <c r="H78" s="88" t="s">
        <v>508</v>
      </c>
      <c r="I78" s="88"/>
      <c r="J78" s="88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88" t="s">
        <v>509</v>
      </c>
      <c r="B79" s="88" t="s">
        <v>324</v>
      </c>
      <c r="C79" s="89" t="s">
        <v>155</v>
      </c>
      <c r="D79" s="89">
        <v>0.5</v>
      </c>
      <c r="E79" s="89">
        <v>2.5</v>
      </c>
      <c r="F79" s="88" t="s">
        <v>267</v>
      </c>
      <c r="G79" s="88" t="s">
        <v>510</v>
      </c>
      <c r="H79" s="88" t="s">
        <v>511</v>
      </c>
      <c r="I79" s="88"/>
      <c r="J79" s="88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88" t="s">
        <v>512</v>
      </c>
      <c r="B80" s="88" t="s">
        <v>266</v>
      </c>
      <c r="C80" s="89" t="s">
        <v>151</v>
      </c>
      <c r="D80" s="89">
        <v>0.25</v>
      </c>
      <c r="E80" s="89">
        <v>0.0</v>
      </c>
      <c r="F80" s="88" t="s">
        <v>513</v>
      </c>
      <c r="G80" s="88" t="s">
        <v>514</v>
      </c>
      <c r="H80" s="88" t="s">
        <v>515</v>
      </c>
      <c r="I80" s="88"/>
      <c r="J80" s="88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88" t="s">
        <v>516</v>
      </c>
      <c r="B81" s="88" t="s">
        <v>272</v>
      </c>
      <c r="C81" s="89" t="s">
        <v>149</v>
      </c>
      <c r="D81" s="89">
        <v>0.5</v>
      </c>
      <c r="E81" s="89">
        <v>2.5</v>
      </c>
      <c r="F81" s="88" t="s">
        <v>267</v>
      </c>
      <c r="G81" s="88"/>
      <c r="H81" s="88" t="s">
        <v>517</v>
      </c>
      <c r="I81" s="88"/>
      <c r="J81" s="88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88" t="s">
        <v>518</v>
      </c>
      <c r="B82" s="88" t="s">
        <v>266</v>
      </c>
      <c r="C82" s="89" t="s">
        <v>151</v>
      </c>
      <c r="D82" s="89">
        <v>1.0</v>
      </c>
      <c r="E82" s="89">
        <v>2.5</v>
      </c>
      <c r="F82" s="88" t="s">
        <v>267</v>
      </c>
      <c r="G82" s="88" t="s">
        <v>519</v>
      </c>
      <c r="H82" s="88" t="s">
        <v>520</v>
      </c>
      <c r="I82" s="88"/>
      <c r="J82" s="88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88" t="s">
        <v>521</v>
      </c>
      <c r="B83" s="88" t="s">
        <v>276</v>
      </c>
      <c r="C83" s="89" t="s">
        <v>157</v>
      </c>
      <c r="D83" s="89">
        <v>0.5</v>
      </c>
      <c r="E83" s="89">
        <v>0.0</v>
      </c>
      <c r="F83" s="88" t="s">
        <v>350</v>
      </c>
      <c r="G83" s="88" t="s">
        <v>522</v>
      </c>
      <c r="H83" s="88" t="s">
        <v>523</v>
      </c>
      <c r="I83" s="91" t="s">
        <v>368</v>
      </c>
      <c r="J83" s="88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88" t="s">
        <v>524</v>
      </c>
      <c r="B84" s="88" t="s">
        <v>272</v>
      </c>
      <c r="C84" s="89" t="s">
        <v>149</v>
      </c>
      <c r="D84" s="89">
        <v>0.5</v>
      </c>
      <c r="E84" s="89">
        <v>2.5</v>
      </c>
      <c r="F84" s="88" t="s">
        <v>267</v>
      </c>
      <c r="G84" s="88"/>
      <c r="H84" s="88" t="s">
        <v>525</v>
      </c>
      <c r="I84" s="88"/>
      <c r="J84" s="88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88" t="s">
        <v>526</v>
      </c>
      <c r="B85" s="88" t="s">
        <v>280</v>
      </c>
      <c r="C85" s="89" t="s">
        <v>153</v>
      </c>
      <c r="D85" s="89">
        <v>0.25</v>
      </c>
      <c r="E85" s="89">
        <v>1.0</v>
      </c>
      <c r="F85" s="88" t="s">
        <v>267</v>
      </c>
      <c r="G85" s="88" t="s">
        <v>527</v>
      </c>
      <c r="H85" s="88" t="s">
        <v>528</v>
      </c>
      <c r="I85" s="90" t="s">
        <v>529</v>
      </c>
      <c r="J85" s="88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88" t="s">
        <v>530</v>
      </c>
      <c r="B86" s="88" t="s">
        <v>311</v>
      </c>
      <c r="C86" s="89" t="s">
        <v>155</v>
      </c>
      <c r="D86" s="89">
        <v>0.25</v>
      </c>
      <c r="E86" s="89">
        <v>1.0</v>
      </c>
      <c r="F86" s="88" t="s">
        <v>267</v>
      </c>
      <c r="G86" s="88"/>
      <c r="H86" s="88" t="s">
        <v>531</v>
      </c>
      <c r="I86" s="88"/>
      <c r="J86" s="88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88" t="s">
        <v>532</v>
      </c>
      <c r="B87" s="88" t="s">
        <v>311</v>
      </c>
      <c r="C87" s="89" t="s">
        <v>155</v>
      </c>
      <c r="D87" s="89">
        <v>0.25</v>
      </c>
      <c r="E87" s="89">
        <v>1.0</v>
      </c>
      <c r="F87" s="88" t="s">
        <v>267</v>
      </c>
      <c r="G87" s="88" t="s">
        <v>533</v>
      </c>
      <c r="H87" s="88" t="s">
        <v>534</v>
      </c>
      <c r="I87" s="88"/>
      <c r="J87" s="88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88" t="s">
        <v>535</v>
      </c>
      <c r="B88" s="88" t="s">
        <v>311</v>
      </c>
      <c r="C88" s="89" t="s">
        <v>155</v>
      </c>
      <c r="D88" s="89">
        <v>0.25</v>
      </c>
      <c r="E88" s="89">
        <v>1.0</v>
      </c>
      <c r="F88" s="88" t="s">
        <v>267</v>
      </c>
      <c r="G88" s="88" t="s">
        <v>536</v>
      </c>
      <c r="H88" s="88" t="s">
        <v>537</v>
      </c>
      <c r="I88" s="88"/>
      <c r="J88" s="88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88" t="s">
        <v>538</v>
      </c>
      <c r="B89" s="88" t="s">
        <v>311</v>
      </c>
      <c r="C89" s="89" t="s">
        <v>155</v>
      </c>
      <c r="D89" s="89">
        <v>0.25</v>
      </c>
      <c r="E89" s="89">
        <v>1.0</v>
      </c>
      <c r="F89" s="88" t="s">
        <v>267</v>
      </c>
      <c r="G89" s="88" t="s">
        <v>539</v>
      </c>
      <c r="H89" s="88" t="s">
        <v>540</v>
      </c>
      <c r="I89" s="88"/>
      <c r="J89" s="88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88" t="s">
        <v>541</v>
      </c>
      <c r="B90" s="88" t="s">
        <v>306</v>
      </c>
      <c r="C90" s="89" t="s">
        <v>153</v>
      </c>
      <c r="D90" s="89">
        <v>0.5</v>
      </c>
      <c r="E90" s="89">
        <v>2.5</v>
      </c>
      <c r="F90" s="88" t="s">
        <v>267</v>
      </c>
      <c r="G90" s="88" t="s">
        <v>542</v>
      </c>
      <c r="H90" s="88" t="s">
        <v>543</v>
      </c>
      <c r="I90" s="88"/>
      <c r="J90" s="88" t="s">
        <v>544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88" t="s">
        <v>545</v>
      </c>
      <c r="B91" s="88" t="s">
        <v>306</v>
      </c>
      <c r="C91" s="89" t="s">
        <v>153</v>
      </c>
      <c r="D91" s="89">
        <v>0.75</v>
      </c>
      <c r="E91" s="89">
        <v>2.5</v>
      </c>
      <c r="F91" s="88" t="s">
        <v>267</v>
      </c>
      <c r="G91" s="88" t="s">
        <v>546</v>
      </c>
      <c r="H91" s="88" t="s">
        <v>547</v>
      </c>
      <c r="I91" s="91" t="s">
        <v>368</v>
      </c>
      <c r="J91" s="88" t="s">
        <v>548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88" t="s">
        <v>549</v>
      </c>
      <c r="B92" s="88" t="s">
        <v>306</v>
      </c>
      <c r="C92" s="89" t="s">
        <v>153</v>
      </c>
      <c r="D92" s="89">
        <v>0.75</v>
      </c>
      <c r="E92" s="89">
        <v>2.5</v>
      </c>
      <c r="F92" s="88" t="s">
        <v>267</v>
      </c>
      <c r="G92" s="88" t="s">
        <v>550</v>
      </c>
      <c r="H92" s="88" t="s">
        <v>551</v>
      </c>
      <c r="I92" s="88"/>
      <c r="J92" s="88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88" t="s">
        <v>552</v>
      </c>
      <c r="B93" s="88" t="s">
        <v>276</v>
      </c>
      <c r="C93" s="89" t="s">
        <v>157</v>
      </c>
      <c r="D93" s="89">
        <v>0.75</v>
      </c>
      <c r="E93" s="89">
        <v>2.5</v>
      </c>
      <c r="F93" s="88" t="s">
        <v>267</v>
      </c>
      <c r="G93" s="88" t="s">
        <v>553</v>
      </c>
      <c r="H93" s="88" t="s">
        <v>554</v>
      </c>
      <c r="I93" s="88"/>
      <c r="J93" s="88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88" t="s">
        <v>555</v>
      </c>
      <c r="B94" s="88" t="s">
        <v>266</v>
      </c>
      <c r="C94" s="89" t="s">
        <v>151</v>
      </c>
      <c r="D94" s="89">
        <v>0.25</v>
      </c>
      <c r="E94" s="89">
        <v>2.5</v>
      </c>
      <c r="F94" s="88" t="s">
        <v>267</v>
      </c>
      <c r="G94" s="88" t="s">
        <v>556</v>
      </c>
      <c r="H94" s="88" t="s">
        <v>557</v>
      </c>
      <c r="I94" s="88"/>
      <c r="J94" s="88" t="s">
        <v>558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88" t="s">
        <v>559</v>
      </c>
      <c r="B95" s="88" t="s">
        <v>276</v>
      </c>
      <c r="C95" s="89" t="s">
        <v>157</v>
      </c>
      <c r="D95" s="89">
        <v>0.75</v>
      </c>
      <c r="E95" s="89">
        <v>2.5</v>
      </c>
      <c r="F95" s="88" t="s">
        <v>267</v>
      </c>
      <c r="G95" s="88" t="s">
        <v>560</v>
      </c>
      <c r="H95" s="88" t="s">
        <v>561</v>
      </c>
      <c r="I95" s="88"/>
      <c r="J95" s="88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88" t="s">
        <v>562</v>
      </c>
      <c r="B96" s="88" t="s">
        <v>266</v>
      </c>
      <c r="C96" s="89" t="s">
        <v>151</v>
      </c>
      <c r="D96" s="89">
        <v>0.5</v>
      </c>
      <c r="E96" s="89">
        <v>2.5</v>
      </c>
      <c r="F96" s="88" t="s">
        <v>267</v>
      </c>
      <c r="G96" s="88" t="s">
        <v>563</v>
      </c>
      <c r="H96" s="88" t="s">
        <v>564</v>
      </c>
      <c r="I96" s="88"/>
      <c r="J96" s="88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88" t="s">
        <v>565</v>
      </c>
      <c r="B97" s="88" t="s">
        <v>272</v>
      </c>
      <c r="C97" s="89" t="s">
        <v>149</v>
      </c>
      <c r="D97" s="89">
        <v>0.25</v>
      </c>
      <c r="E97" s="89">
        <v>2.5</v>
      </c>
      <c r="F97" s="88" t="s">
        <v>267</v>
      </c>
      <c r="G97" s="88" t="s">
        <v>566</v>
      </c>
      <c r="H97" s="88" t="s">
        <v>567</v>
      </c>
      <c r="I97" s="88"/>
      <c r="J97" s="88" t="s">
        <v>568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88" t="s">
        <v>569</v>
      </c>
      <c r="B98" s="88" t="s">
        <v>266</v>
      </c>
      <c r="C98" s="89" t="s">
        <v>151</v>
      </c>
      <c r="D98" s="89">
        <v>0.25</v>
      </c>
      <c r="E98" s="89">
        <v>2.5</v>
      </c>
      <c r="F98" s="88" t="s">
        <v>267</v>
      </c>
      <c r="G98" s="88" t="s">
        <v>570</v>
      </c>
      <c r="H98" s="88" t="s">
        <v>571</v>
      </c>
      <c r="I98" s="90" t="s">
        <v>572</v>
      </c>
      <c r="J98" s="88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88" t="s">
        <v>573</v>
      </c>
      <c r="B99" s="88" t="s">
        <v>276</v>
      </c>
      <c r="C99" s="89" t="s">
        <v>157</v>
      </c>
      <c r="D99" s="89">
        <v>0.75</v>
      </c>
      <c r="E99" s="89">
        <v>0.0</v>
      </c>
      <c r="F99" s="88" t="s">
        <v>350</v>
      </c>
      <c r="G99" s="88" t="s">
        <v>574</v>
      </c>
      <c r="H99" s="88" t="s">
        <v>575</v>
      </c>
      <c r="I99" s="88"/>
      <c r="J99" s="88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88" t="s">
        <v>576</v>
      </c>
      <c r="B100" s="88" t="s">
        <v>276</v>
      </c>
      <c r="C100" s="89" t="s">
        <v>157</v>
      </c>
      <c r="D100" s="89">
        <v>1.0</v>
      </c>
      <c r="E100" s="89">
        <v>2.5</v>
      </c>
      <c r="F100" s="88" t="s">
        <v>267</v>
      </c>
      <c r="G100" s="88" t="s">
        <v>577</v>
      </c>
      <c r="H100" s="88" t="s">
        <v>578</v>
      </c>
      <c r="I100" s="88"/>
      <c r="J100" s="88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88" t="s">
        <v>579</v>
      </c>
      <c r="B101" s="88" t="s">
        <v>280</v>
      </c>
      <c r="C101" s="89" t="s">
        <v>153</v>
      </c>
      <c r="D101" s="89">
        <v>0.75</v>
      </c>
      <c r="E101" s="89">
        <v>2.5</v>
      </c>
      <c r="F101" s="88" t="s">
        <v>267</v>
      </c>
      <c r="G101" s="88" t="s">
        <v>580</v>
      </c>
      <c r="H101" s="88" t="s">
        <v>581</v>
      </c>
      <c r="I101" s="88"/>
      <c r="J101" s="88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88" t="s">
        <v>582</v>
      </c>
      <c r="B102" s="88" t="s">
        <v>276</v>
      </c>
      <c r="C102" s="89" t="s">
        <v>157</v>
      </c>
      <c r="D102" s="89">
        <v>0.75</v>
      </c>
      <c r="E102" s="89">
        <v>2.5</v>
      </c>
      <c r="F102" s="88" t="s">
        <v>267</v>
      </c>
      <c r="G102" s="88" t="s">
        <v>577</v>
      </c>
      <c r="H102" s="88" t="s">
        <v>583</v>
      </c>
      <c r="I102" s="88"/>
      <c r="J102" s="88" t="s">
        <v>584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88" t="s">
        <v>585</v>
      </c>
      <c r="B103" s="88" t="s">
        <v>266</v>
      </c>
      <c r="C103" s="89" t="s">
        <v>151</v>
      </c>
      <c r="D103" s="89">
        <v>0.75</v>
      </c>
      <c r="E103" s="89">
        <v>2.5</v>
      </c>
      <c r="F103" s="88" t="s">
        <v>267</v>
      </c>
      <c r="G103" s="88" t="s">
        <v>586</v>
      </c>
      <c r="H103" s="88" t="s">
        <v>587</v>
      </c>
      <c r="I103" s="88"/>
      <c r="J103" s="88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88" t="s">
        <v>588</v>
      </c>
      <c r="B104" s="88" t="s">
        <v>298</v>
      </c>
      <c r="C104" s="89" t="s">
        <v>155</v>
      </c>
      <c r="D104" s="89">
        <v>0.5</v>
      </c>
      <c r="E104" s="89">
        <v>2.5</v>
      </c>
      <c r="F104" s="88" t="s">
        <v>267</v>
      </c>
      <c r="G104" s="88" t="s">
        <v>589</v>
      </c>
      <c r="H104" s="88" t="s">
        <v>590</v>
      </c>
      <c r="I104" s="88"/>
      <c r="J104" s="88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88" t="s">
        <v>591</v>
      </c>
      <c r="B105" s="88" t="s">
        <v>298</v>
      </c>
      <c r="C105" s="89" t="s">
        <v>155</v>
      </c>
      <c r="D105" s="89">
        <v>0.5</v>
      </c>
      <c r="E105" s="89">
        <v>2.5</v>
      </c>
      <c r="F105" s="88" t="s">
        <v>267</v>
      </c>
      <c r="G105" s="88"/>
      <c r="H105" s="88" t="s">
        <v>592</v>
      </c>
      <c r="I105" s="88"/>
      <c r="J105" s="88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88" t="s">
        <v>593</v>
      </c>
      <c r="B106" s="88" t="s">
        <v>298</v>
      </c>
      <c r="C106" s="89" t="s">
        <v>155</v>
      </c>
      <c r="D106" s="89">
        <v>0.5</v>
      </c>
      <c r="E106" s="89">
        <v>2.5</v>
      </c>
      <c r="F106" s="88" t="s">
        <v>267</v>
      </c>
      <c r="G106" s="88" t="s">
        <v>594</v>
      </c>
      <c r="H106" s="88" t="s">
        <v>595</v>
      </c>
      <c r="I106" s="88"/>
      <c r="J106" s="88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88" t="s">
        <v>596</v>
      </c>
      <c r="B107" s="88" t="s">
        <v>280</v>
      </c>
      <c r="C107" s="89" t="s">
        <v>153</v>
      </c>
      <c r="D107" s="89">
        <v>0.25</v>
      </c>
      <c r="E107" s="89">
        <v>1.0</v>
      </c>
      <c r="F107" s="88" t="s">
        <v>267</v>
      </c>
      <c r="G107" s="88" t="s">
        <v>597</v>
      </c>
      <c r="H107" s="88" t="s">
        <v>598</v>
      </c>
      <c r="I107" s="88"/>
      <c r="J107" s="88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88" t="s">
        <v>599</v>
      </c>
      <c r="B108" s="88" t="s">
        <v>280</v>
      </c>
      <c r="C108" s="89" t="s">
        <v>153</v>
      </c>
      <c r="D108" s="89">
        <v>0.25</v>
      </c>
      <c r="E108" s="89">
        <v>1.0</v>
      </c>
      <c r="F108" s="88" t="s">
        <v>267</v>
      </c>
      <c r="G108" s="88" t="s">
        <v>439</v>
      </c>
      <c r="H108" s="88" t="s">
        <v>600</v>
      </c>
      <c r="I108" s="88"/>
      <c r="J108" s="88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88" t="s">
        <v>601</v>
      </c>
      <c r="B109" s="88" t="s">
        <v>280</v>
      </c>
      <c r="C109" s="89" t="s">
        <v>153</v>
      </c>
      <c r="D109" s="89">
        <v>0.25</v>
      </c>
      <c r="E109" s="89">
        <v>1.0</v>
      </c>
      <c r="F109" s="88" t="s">
        <v>267</v>
      </c>
      <c r="G109" s="88" t="s">
        <v>602</v>
      </c>
      <c r="H109" s="88" t="s">
        <v>603</v>
      </c>
      <c r="I109" s="88"/>
      <c r="J109" s="88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88" t="s">
        <v>604</v>
      </c>
      <c r="B110" s="88" t="s">
        <v>280</v>
      </c>
      <c r="C110" s="89" t="s">
        <v>153</v>
      </c>
      <c r="D110" s="89">
        <v>0.25</v>
      </c>
      <c r="E110" s="89">
        <v>1.0</v>
      </c>
      <c r="F110" s="88" t="s">
        <v>267</v>
      </c>
      <c r="G110" s="88" t="s">
        <v>605</v>
      </c>
      <c r="H110" s="88" t="s">
        <v>606</v>
      </c>
      <c r="I110" s="88"/>
      <c r="J110" s="88" t="s">
        <v>607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88" t="s">
        <v>608</v>
      </c>
      <c r="B111" s="88" t="s">
        <v>280</v>
      </c>
      <c r="C111" s="89" t="s">
        <v>153</v>
      </c>
      <c r="D111" s="89">
        <v>0.25</v>
      </c>
      <c r="E111" s="89">
        <v>1.0</v>
      </c>
      <c r="F111" s="88" t="s">
        <v>267</v>
      </c>
      <c r="G111" s="88" t="s">
        <v>609</v>
      </c>
      <c r="H111" s="88" t="s">
        <v>610</v>
      </c>
      <c r="I111" s="90" t="s">
        <v>611</v>
      </c>
      <c r="J111" s="88" t="s">
        <v>612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88" t="s">
        <v>613</v>
      </c>
      <c r="B112" s="88" t="s">
        <v>280</v>
      </c>
      <c r="C112" s="89" t="s">
        <v>153</v>
      </c>
      <c r="D112" s="89">
        <v>0.25</v>
      </c>
      <c r="E112" s="89">
        <v>1.0</v>
      </c>
      <c r="F112" s="88" t="s">
        <v>267</v>
      </c>
      <c r="G112" s="88" t="s">
        <v>614</v>
      </c>
      <c r="H112" s="88" t="s">
        <v>615</v>
      </c>
      <c r="I112" s="88"/>
      <c r="J112" s="88" t="s">
        <v>616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88" t="s">
        <v>617</v>
      </c>
      <c r="B113" s="88" t="s">
        <v>266</v>
      </c>
      <c r="C113" s="89" t="s">
        <v>151</v>
      </c>
      <c r="D113" s="89">
        <v>0.25</v>
      </c>
      <c r="E113" s="89">
        <v>2.5</v>
      </c>
      <c r="F113" s="88" t="s">
        <v>267</v>
      </c>
      <c r="G113" s="88" t="s">
        <v>618</v>
      </c>
      <c r="H113" s="88" t="s">
        <v>619</v>
      </c>
      <c r="I113" s="91" t="s">
        <v>368</v>
      </c>
      <c r="J113" s="88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88" t="s">
        <v>620</v>
      </c>
      <c r="B114" s="88" t="s">
        <v>324</v>
      </c>
      <c r="C114" s="89" t="s">
        <v>155</v>
      </c>
      <c r="D114" s="89">
        <v>0.5</v>
      </c>
      <c r="E114" s="89">
        <v>2.5</v>
      </c>
      <c r="F114" s="88" t="s">
        <v>267</v>
      </c>
      <c r="G114" s="88"/>
      <c r="H114" s="88" t="s">
        <v>621</v>
      </c>
      <c r="I114" s="88"/>
      <c r="J114" s="88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88" t="s">
        <v>622</v>
      </c>
      <c r="B115" s="88" t="s">
        <v>324</v>
      </c>
      <c r="C115" s="89" t="s">
        <v>155</v>
      </c>
      <c r="D115" s="89">
        <v>0.5</v>
      </c>
      <c r="E115" s="89">
        <v>2.5</v>
      </c>
      <c r="F115" s="88" t="s">
        <v>267</v>
      </c>
      <c r="G115" s="88"/>
      <c r="H115" s="88" t="s">
        <v>623</v>
      </c>
      <c r="I115" s="88"/>
      <c r="J115" s="88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88" t="s">
        <v>624</v>
      </c>
      <c r="B116" s="88" t="s">
        <v>324</v>
      </c>
      <c r="C116" s="89" t="s">
        <v>155</v>
      </c>
      <c r="D116" s="89">
        <v>0.75</v>
      </c>
      <c r="E116" s="89">
        <v>2.5</v>
      </c>
      <c r="F116" s="88" t="s">
        <v>267</v>
      </c>
      <c r="G116" s="88" t="s">
        <v>625</v>
      </c>
      <c r="H116" s="88" t="s">
        <v>626</v>
      </c>
      <c r="I116" s="88"/>
      <c r="J116" s="88" t="s">
        <v>627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88" t="s">
        <v>628</v>
      </c>
      <c r="B117" s="88" t="s">
        <v>306</v>
      </c>
      <c r="C117" s="89" t="s">
        <v>153</v>
      </c>
      <c r="D117" s="89">
        <v>0.25</v>
      </c>
      <c r="E117" s="89">
        <v>2.5</v>
      </c>
      <c r="F117" s="88" t="s">
        <v>267</v>
      </c>
      <c r="G117" s="88" t="s">
        <v>629</v>
      </c>
      <c r="H117" s="88" t="s">
        <v>630</v>
      </c>
      <c r="I117" s="88"/>
      <c r="J117" s="88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88" t="s">
        <v>631</v>
      </c>
      <c r="B118" s="88" t="s">
        <v>435</v>
      </c>
      <c r="C118" s="89" t="s">
        <v>153</v>
      </c>
      <c r="D118" s="89">
        <v>0.25</v>
      </c>
      <c r="E118" s="89">
        <v>1.0</v>
      </c>
      <c r="F118" s="88" t="s">
        <v>267</v>
      </c>
      <c r="G118" s="88"/>
      <c r="H118" s="88" t="s">
        <v>632</v>
      </c>
      <c r="I118" s="88"/>
      <c r="J118" s="88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88" t="s">
        <v>633</v>
      </c>
      <c r="B119" s="88" t="s">
        <v>272</v>
      </c>
      <c r="C119" s="89" t="s">
        <v>149</v>
      </c>
      <c r="D119" s="89">
        <v>0.75</v>
      </c>
      <c r="E119" s="89">
        <v>2.5</v>
      </c>
      <c r="F119" s="88" t="s">
        <v>267</v>
      </c>
      <c r="G119" s="88"/>
      <c r="H119" s="88" t="s">
        <v>634</v>
      </c>
      <c r="I119" s="91" t="s">
        <v>635</v>
      </c>
      <c r="J119" s="88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88" t="s">
        <v>636</v>
      </c>
      <c r="B120" s="88" t="s">
        <v>272</v>
      </c>
      <c r="C120" s="89" t="s">
        <v>149</v>
      </c>
      <c r="D120" s="89">
        <v>0.5</v>
      </c>
      <c r="E120" s="89">
        <v>0.0</v>
      </c>
      <c r="F120" s="88" t="s">
        <v>350</v>
      </c>
      <c r="G120" s="88" t="s">
        <v>637</v>
      </c>
      <c r="H120" s="88" t="s">
        <v>638</v>
      </c>
      <c r="I120" s="88"/>
      <c r="J120" s="88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88" t="s">
        <v>639</v>
      </c>
      <c r="B121" s="88" t="s">
        <v>276</v>
      </c>
      <c r="C121" s="89" t="s">
        <v>157</v>
      </c>
      <c r="D121" s="89">
        <v>0.5</v>
      </c>
      <c r="E121" s="89">
        <v>0.0</v>
      </c>
      <c r="F121" s="88" t="s">
        <v>245</v>
      </c>
      <c r="G121" s="88" t="s">
        <v>640</v>
      </c>
      <c r="H121" s="88" t="s">
        <v>641</v>
      </c>
      <c r="I121" s="88"/>
      <c r="J121" s="88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88" t="s">
        <v>642</v>
      </c>
      <c r="B122" s="88" t="s">
        <v>276</v>
      </c>
      <c r="C122" s="89" t="s">
        <v>157</v>
      </c>
      <c r="D122" s="89">
        <v>0.5</v>
      </c>
      <c r="E122" s="89">
        <v>0.0</v>
      </c>
      <c r="F122" s="88" t="s">
        <v>245</v>
      </c>
      <c r="G122" s="88" t="s">
        <v>643</v>
      </c>
      <c r="H122" s="88" t="s">
        <v>644</v>
      </c>
      <c r="I122" s="88"/>
      <c r="J122" s="88" t="s">
        <v>645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88" t="s">
        <v>646</v>
      </c>
      <c r="B123" s="88" t="s">
        <v>276</v>
      </c>
      <c r="C123" s="89" t="s">
        <v>157</v>
      </c>
      <c r="D123" s="89">
        <v>0.5</v>
      </c>
      <c r="E123" s="89">
        <v>0.0</v>
      </c>
      <c r="F123" s="88" t="s">
        <v>245</v>
      </c>
      <c r="G123" s="88" t="s">
        <v>647</v>
      </c>
      <c r="H123" s="88" t="s">
        <v>648</v>
      </c>
      <c r="I123" s="88"/>
      <c r="J123" s="88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88" t="s">
        <v>649</v>
      </c>
      <c r="B124" s="88" t="s">
        <v>272</v>
      </c>
      <c r="C124" s="89" t="s">
        <v>149</v>
      </c>
      <c r="D124" s="89">
        <v>0.75</v>
      </c>
      <c r="E124" s="89">
        <v>2.5</v>
      </c>
      <c r="F124" s="88" t="s">
        <v>267</v>
      </c>
      <c r="G124" s="88" t="s">
        <v>650</v>
      </c>
      <c r="H124" s="88" t="s">
        <v>651</v>
      </c>
      <c r="I124" s="88"/>
      <c r="J124" s="88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88" t="s">
        <v>652</v>
      </c>
      <c r="B125" s="88" t="s">
        <v>272</v>
      </c>
      <c r="C125" s="89" t="s">
        <v>149</v>
      </c>
      <c r="D125" s="89">
        <v>0.75</v>
      </c>
      <c r="E125" s="89">
        <v>2.5</v>
      </c>
      <c r="F125" s="88" t="s">
        <v>267</v>
      </c>
      <c r="G125" s="88" t="s">
        <v>650</v>
      </c>
      <c r="H125" s="88" t="s">
        <v>653</v>
      </c>
      <c r="I125" s="88"/>
      <c r="J125" s="88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88" t="s">
        <v>654</v>
      </c>
      <c r="B126" s="88" t="s">
        <v>311</v>
      </c>
      <c r="C126" s="89" t="s">
        <v>155</v>
      </c>
      <c r="D126" s="89">
        <v>0.25</v>
      </c>
      <c r="E126" s="89">
        <v>1.0</v>
      </c>
      <c r="F126" s="88" t="s">
        <v>267</v>
      </c>
      <c r="G126" s="88" t="s">
        <v>655</v>
      </c>
      <c r="H126" s="88" t="s">
        <v>656</v>
      </c>
      <c r="I126" s="88"/>
      <c r="J126" s="88" t="s">
        <v>657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88" t="s">
        <v>658</v>
      </c>
      <c r="B127" s="88" t="s">
        <v>298</v>
      </c>
      <c r="C127" s="89" t="s">
        <v>155</v>
      </c>
      <c r="D127" s="89">
        <v>0.75</v>
      </c>
      <c r="E127" s="89">
        <v>0.0</v>
      </c>
      <c r="F127" s="88" t="s">
        <v>350</v>
      </c>
      <c r="G127" s="88" t="s">
        <v>659</v>
      </c>
      <c r="H127" s="88" t="s">
        <v>660</v>
      </c>
      <c r="I127" s="88"/>
      <c r="J127" s="88" t="s">
        <v>661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88" t="s">
        <v>662</v>
      </c>
      <c r="B128" s="88" t="s">
        <v>298</v>
      </c>
      <c r="C128" s="89" t="s">
        <v>155</v>
      </c>
      <c r="D128" s="89">
        <v>1.0</v>
      </c>
      <c r="E128" s="89">
        <v>2.5</v>
      </c>
      <c r="F128" s="88" t="s">
        <v>411</v>
      </c>
      <c r="G128" s="88" t="s">
        <v>663</v>
      </c>
      <c r="H128" s="88" t="s">
        <v>664</v>
      </c>
      <c r="I128" s="91" t="s">
        <v>368</v>
      </c>
      <c r="J128" s="88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88" t="s">
        <v>665</v>
      </c>
      <c r="B129" s="88" t="s">
        <v>298</v>
      </c>
      <c r="C129" s="89" t="s">
        <v>155</v>
      </c>
      <c r="D129" s="89">
        <v>0.75</v>
      </c>
      <c r="E129" s="89">
        <v>2.5</v>
      </c>
      <c r="F129" s="88" t="s">
        <v>411</v>
      </c>
      <c r="G129" s="88" t="s">
        <v>663</v>
      </c>
      <c r="H129" s="88" t="s">
        <v>666</v>
      </c>
      <c r="I129" s="88"/>
      <c r="J129" s="88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88" t="s">
        <v>667</v>
      </c>
      <c r="B130" s="88" t="s">
        <v>298</v>
      </c>
      <c r="C130" s="89" t="s">
        <v>155</v>
      </c>
      <c r="D130" s="89">
        <v>1.0</v>
      </c>
      <c r="E130" s="89">
        <v>2.5</v>
      </c>
      <c r="F130" s="88" t="s">
        <v>411</v>
      </c>
      <c r="G130" s="88" t="s">
        <v>668</v>
      </c>
      <c r="H130" s="88" t="s">
        <v>669</v>
      </c>
      <c r="I130" s="88"/>
      <c r="J130" s="88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88" t="s">
        <v>670</v>
      </c>
      <c r="B131" s="88" t="s">
        <v>298</v>
      </c>
      <c r="C131" s="89" t="s">
        <v>155</v>
      </c>
      <c r="D131" s="89">
        <v>0.75</v>
      </c>
      <c r="E131" s="89">
        <v>0.0</v>
      </c>
      <c r="F131" s="88" t="s">
        <v>350</v>
      </c>
      <c r="G131" s="88" t="s">
        <v>671</v>
      </c>
      <c r="H131" s="88" t="s">
        <v>672</v>
      </c>
      <c r="I131" s="88"/>
      <c r="J131" s="88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88" t="s">
        <v>673</v>
      </c>
      <c r="B132" s="88" t="s">
        <v>280</v>
      </c>
      <c r="C132" s="89" t="s">
        <v>153</v>
      </c>
      <c r="D132" s="89">
        <v>1.0</v>
      </c>
      <c r="E132" s="89">
        <v>2.5</v>
      </c>
      <c r="F132" s="88" t="s">
        <v>267</v>
      </c>
      <c r="G132" s="88"/>
      <c r="H132" s="88" t="s">
        <v>674</v>
      </c>
      <c r="I132" s="88"/>
      <c r="J132" s="88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88" t="s">
        <v>675</v>
      </c>
      <c r="B133" s="88" t="s">
        <v>306</v>
      </c>
      <c r="C133" s="89" t="s">
        <v>153</v>
      </c>
      <c r="D133" s="89">
        <v>0.5</v>
      </c>
      <c r="E133" s="89">
        <v>0.0</v>
      </c>
      <c r="F133" s="88" t="s">
        <v>350</v>
      </c>
      <c r="G133" s="88" t="s">
        <v>676</v>
      </c>
      <c r="H133" s="88" t="s">
        <v>677</v>
      </c>
      <c r="I133" s="88"/>
      <c r="J133" s="88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88" t="s">
        <v>678</v>
      </c>
      <c r="B134" s="88" t="s">
        <v>276</v>
      </c>
      <c r="C134" s="89" t="s">
        <v>157</v>
      </c>
      <c r="D134" s="89">
        <v>0.75</v>
      </c>
      <c r="E134" s="89">
        <v>0.0</v>
      </c>
      <c r="F134" s="88" t="s">
        <v>350</v>
      </c>
      <c r="G134" s="88" t="s">
        <v>679</v>
      </c>
      <c r="H134" s="88" t="s">
        <v>680</v>
      </c>
      <c r="I134" s="88"/>
      <c r="J134" s="88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88" t="s">
        <v>681</v>
      </c>
      <c r="B135" s="88" t="s">
        <v>266</v>
      </c>
      <c r="C135" s="89" t="s">
        <v>151</v>
      </c>
      <c r="D135" s="89">
        <v>1.0</v>
      </c>
      <c r="E135" s="89">
        <v>2.5</v>
      </c>
      <c r="F135" s="88" t="s">
        <v>267</v>
      </c>
      <c r="G135" s="88" t="s">
        <v>682</v>
      </c>
      <c r="H135" s="88" t="s">
        <v>683</v>
      </c>
      <c r="I135" s="88"/>
      <c r="J135" s="88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88" t="s">
        <v>684</v>
      </c>
      <c r="B136" s="88" t="s">
        <v>272</v>
      </c>
      <c r="C136" s="89" t="s">
        <v>149</v>
      </c>
      <c r="D136" s="89">
        <v>0.5</v>
      </c>
      <c r="E136" s="89">
        <v>2.5</v>
      </c>
      <c r="F136" s="88" t="s">
        <v>267</v>
      </c>
      <c r="G136" s="88" t="s">
        <v>685</v>
      </c>
      <c r="H136" s="88" t="s">
        <v>686</v>
      </c>
      <c r="I136" s="88"/>
      <c r="J136" s="88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88" t="s">
        <v>687</v>
      </c>
      <c r="B137" s="88" t="s">
        <v>435</v>
      </c>
      <c r="C137" s="89" t="s">
        <v>153</v>
      </c>
      <c r="D137" s="89">
        <v>0.25</v>
      </c>
      <c r="E137" s="89">
        <v>1.0</v>
      </c>
      <c r="F137" s="88" t="s">
        <v>267</v>
      </c>
      <c r="G137" s="88" t="s">
        <v>688</v>
      </c>
      <c r="H137" s="88" t="s">
        <v>689</v>
      </c>
      <c r="I137" s="88"/>
      <c r="J137" s="88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88" t="s">
        <v>690</v>
      </c>
      <c r="B138" s="88" t="s">
        <v>435</v>
      </c>
      <c r="C138" s="89" t="s">
        <v>153</v>
      </c>
      <c r="D138" s="89">
        <v>0.25</v>
      </c>
      <c r="E138" s="89">
        <v>1.0</v>
      </c>
      <c r="F138" s="88" t="s">
        <v>267</v>
      </c>
      <c r="G138" s="88" t="s">
        <v>691</v>
      </c>
      <c r="H138" s="88" t="s">
        <v>692</v>
      </c>
      <c r="I138" s="88"/>
      <c r="J138" s="88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88" t="s">
        <v>693</v>
      </c>
      <c r="B139" s="88" t="s">
        <v>298</v>
      </c>
      <c r="C139" s="89" t="s">
        <v>155</v>
      </c>
      <c r="D139" s="89">
        <v>0.75</v>
      </c>
      <c r="E139" s="89">
        <v>2.5</v>
      </c>
      <c r="F139" s="88" t="s">
        <v>267</v>
      </c>
      <c r="G139" s="88" t="s">
        <v>694</v>
      </c>
      <c r="H139" s="88" t="s">
        <v>695</v>
      </c>
      <c r="I139" s="88"/>
      <c r="J139" s="88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88" t="s">
        <v>696</v>
      </c>
      <c r="B140" s="88" t="s">
        <v>298</v>
      </c>
      <c r="C140" s="89" t="s">
        <v>155</v>
      </c>
      <c r="D140" s="89">
        <v>0.5</v>
      </c>
      <c r="E140" s="89">
        <v>2.5</v>
      </c>
      <c r="F140" s="88" t="s">
        <v>267</v>
      </c>
      <c r="G140" s="88" t="s">
        <v>697</v>
      </c>
      <c r="H140" s="88" t="s">
        <v>698</v>
      </c>
      <c r="I140" s="88"/>
      <c r="J140" s="88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88" t="s">
        <v>699</v>
      </c>
      <c r="B141" s="88" t="s">
        <v>276</v>
      </c>
      <c r="C141" s="89" t="s">
        <v>157</v>
      </c>
      <c r="D141" s="89">
        <v>0.75</v>
      </c>
      <c r="E141" s="89">
        <v>2.5</v>
      </c>
      <c r="F141" s="88" t="s">
        <v>267</v>
      </c>
      <c r="G141" s="88" t="s">
        <v>700</v>
      </c>
      <c r="H141" s="88" t="s">
        <v>701</v>
      </c>
      <c r="I141" s="88"/>
      <c r="J141" s="88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88" t="s">
        <v>702</v>
      </c>
      <c r="B142" s="88" t="s">
        <v>266</v>
      </c>
      <c r="C142" s="89" t="s">
        <v>151</v>
      </c>
      <c r="D142" s="89">
        <v>0.75</v>
      </c>
      <c r="E142" s="89">
        <v>2.5</v>
      </c>
      <c r="F142" s="88" t="s">
        <v>267</v>
      </c>
      <c r="G142" s="88" t="s">
        <v>703</v>
      </c>
      <c r="H142" s="88" t="s">
        <v>704</v>
      </c>
      <c r="I142" s="88"/>
      <c r="J142" s="88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88" t="s">
        <v>705</v>
      </c>
      <c r="B143" s="88" t="s">
        <v>272</v>
      </c>
      <c r="C143" s="89" t="s">
        <v>149</v>
      </c>
      <c r="D143" s="89">
        <v>0.25</v>
      </c>
      <c r="E143" s="89">
        <v>2.5</v>
      </c>
      <c r="F143" s="88" t="s">
        <v>267</v>
      </c>
      <c r="G143" s="88" t="s">
        <v>706</v>
      </c>
      <c r="H143" s="88" t="s">
        <v>707</v>
      </c>
      <c r="I143" s="88"/>
      <c r="J143" s="88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88" t="s">
        <v>708</v>
      </c>
      <c r="B144" s="88" t="s">
        <v>324</v>
      </c>
      <c r="C144" s="89" t="s">
        <v>155</v>
      </c>
      <c r="D144" s="89">
        <v>0.5</v>
      </c>
      <c r="E144" s="89">
        <v>2.5</v>
      </c>
      <c r="F144" s="88" t="s">
        <v>267</v>
      </c>
      <c r="G144" s="88" t="s">
        <v>709</v>
      </c>
      <c r="H144" s="88" t="s">
        <v>710</v>
      </c>
      <c r="I144" s="91" t="s">
        <v>368</v>
      </c>
      <c r="J144" s="88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88" t="s">
        <v>711</v>
      </c>
      <c r="B145" s="88" t="s">
        <v>280</v>
      </c>
      <c r="C145" s="89" t="s">
        <v>153</v>
      </c>
      <c r="D145" s="89">
        <v>0.75</v>
      </c>
      <c r="E145" s="89">
        <v>2.5</v>
      </c>
      <c r="F145" s="88" t="s">
        <v>267</v>
      </c>
      <c r="G145" s="88" t="s">
        <v>712</v>
      </c>
      <c r="H145" s="88" t="s">
        <v>713</v>
      </c>
      <c r="I145" s="88"/>
      <c r="J145" s="88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88" t="s">
        <v>714</v>
      </c>
      <c r="B146" s="88" t="s">
        <v>280</v>
      </c>
      <c r="C146" s="89" t="s">
        <v>153</v>
      </c>
      <c r="D146" s="89">
        <v>0.5</v>
      </c>
      <c r="E146" s="89">
        <v>2.5</v>
      </c>
      <c r="F146" s="88" t="s">
        <v>267</v>
      </c>
      <c r="G146" s="88" t="s">
        <v>715</v>
      </c>
      <c r="H146" s="88" t="s">
        <v>716</v>
      </c>
      <c r="I146" s="91" t="s">
        <v>368</v>
      </c>
      <c r="J146" s="88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88" t="s">
        <v>717</v>
      </c>
      <c r="B147" s="88" t="s">
        <v>276</v>
      </c>
      <c r="C147" s="89" t="s">
        <v>157</v>
      </c>
      <c r="D147" s="89">
        <v>0.75</v>
      </c>
      <c r="E147" s="89">
        <v>0.0</v>
      </c>
      <c r="F147" s="88" t="s">
        <v>350</v>
      </c>
      <c r="G147" s="88" t="s">
        <v>718</v>
      </c>
      <c r="H147" s="88" t="s">
        <v>719</v>
      </c>
      <c r="I147" s="91" t="s">
        <v>368</v>
      </c>
      <c r="J147" s="88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88" t="s">
        <v>720</v>
      </c>
      <c r="B148" s="88" t="s">
        <v>276</v>
      </c>
      <c r="C148" s="89" t="s">
        <v>157</v>
      </c>
      <c r="D148" s="89">
        <v>0.75</v>
      </c>
      <c r="E148" s="89">
        <v>0.0</v>
      </c>
      <c r="F148" s="88" t="s">
        <v>245</v>
      </c>
      <c r="G148" s="88" t="s">
        <v>721</v>
      </c>
      <c r="H148" s="88" t="s">
        <v>722</v>
      </c>
      <c r="I148" s="88"/>
      <c r="J148" s="88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88" t="s">
        <v>723</v>
      </c>
      <c r="B149" s="88" t="s">
        <v>276</v>
      </c>
      <c r="C149" s="89" t="s">
        <v>157</v>
      </c>
      <c r="D149" s="89">
        <v>0.5</v>
      </c>
      <c r="E149" s="89">
        <v>0.0</v>
      </c>
      <c r="F149" s="88" t="s">
        <v>245</v>
      </c>
      <c r="G149" s="88" t="s">
        <v>724</v>
      </c>
      <c r="H149" s="88" t="s">
        <v>725</v>
      </c>
      <c r="I149" s="88"/>
      <c r="J149" s="88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88" t="s">
        <v>726</v>
      </c>
      <c r="B150" s="88" t="s">
        <v>266</v>
      </c>
      <c r="C150" s="89" t="s">
        <v>151</v>
      </c>
      <c r="D150" s="89">
        <v>0.25</v>
      </c>
      <c r="E150" s="89">
        <v>0.0</v>
      </c>
      <c r="F150" s="88" t="s">
        <v>513</v>
      </c>
      <c r="G150" s="88" t="s">
        <v>331</v>
      </c>
      <c r="H150" s="88" t="s">
        <v>727</v>
      </c>
      <c r="I150" s="88"/>
      <c r="J150" s="88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88" t="s">
        <v>728</v>
      </c>
      <c r="B151" s="88" t="s">
        <v>272</v>
      </c>
      <c r="C151" s="89" t="s">
        <v>149</v>
      </c>
      <c r="D151" s="89">
        <v>0.75</v>
      </c>
      <c r="E151" s="89">
        <v>2.5</v>
      </c>
      <c r="F151" s="88" t="s">
        <v>267</v>
      </c>
      <c r="G151" s="88" t="s">
        <v>729</v>
      </c>
      <c r="H151" s="88" t="s">
        <v>730</v>
      </c>
      <c r="I151" s="88"/>
      <c r="J151" s="88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88" t="s">
        <v>731</v>
      </c>
      <c r="B152" s="88" t="s">
        <v>266</v>
      </c>
      <c r="C152" s="89" t="s">
        <v>151</v>
      </c>
      <c r="D152" s="89">
        <v>0.75</v>
      </c>
      <c r="E152" s="89">
        <v>2.5</v>
      </c>
      <c r="F152" s="88" t="s">
        <v>267</v>
      </c>
      <c r="G152" s="88" t="s">
        <v>732</v>
      </c>
      <c r="H152" s="88" t="s">
        <v>733</v>
      </c>
      <c r="I152" s="88"/>
      <c r="J152" s="88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88" t="s">
        <v>734</v>
      </c>
      <c r="B153" s="88" t="s">
        <v>272</v>
      </c>
      <c r="C153" s="89" t="s">
        <v>149</v>
      </c>
      <c r="D153" s="89">
        <v>1.0</v>
      </c>
      <c r="E153" s="89">
        <v>2.5</v>
      </c>
      <c r="F153" s="88" t="s">
        <v>267</v>
      </c>
      <c r="G153" s="88" t="s">
        <v>735</v>
      </c>
      <c r="H153" s="88" t="s">
        <v>736</v>
      </c>
      <c r="I153" s="88"/>
      <c r="J153" s="88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88" t="s">
        <v>737</v>
      </c>
      <c r="B154" s="88" t="s">
        <v>280</v>
      </c>
      <c r="C154" s="89" t="s">
        <v>153</v>
      </c>
      <c r="D154" s="89">
        <v>0.75</v>
      </c>
      <c r="E154" s="89">
        <v>2.5</v>
      </c>
      <c r="F154" s="88" t="s">
        <v>267</v>
      </c>
      <c r="G154" s="88"/>
      <c r="H154" s="88" t="s">
        <v>738</v>
      </c>
      <c r="I154" s="88"/>
      <c r="J154" s="88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88" t="s">
        <v>739</v>
      </c>
      <c r="B155" s="88" t="s">
        <v>276</v>
      </c>
      <c r="C155" s="89" t="s">
        <v>157</v>
      </c>
      <c r="D155" s="89">
        <v>0.75</v>
      </c>
      <c r="E155" s="89">
        <v>0.0</v>
      </c>
      <c r="F155" s="88" t="s">
        <v>246</v>
      </c>
      <c r="G155" s="88" t="s">
        <v>740</v>
      </c>
      <c r="H155" s="88" t="s">
        <v>741</v>
      </c>
      <c r="I155" s="88"/>
      <c r="J155" s="88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88" t="s">
        <v>742</v>
      </c>
      <c r="B156" s="88" t="s">
        <v>276</v>
      </c>
      <c r="C156" s="89" t="s">
        <v>157</v>
      </c>
      <c r="D156" s="89">
        <v>0.75</v>
      </c>
      <c r="E156" s="89">
        <v>2.5</v>
      </c>
      <c r="F156" s="88" t="s">
        <v>267</v>
      </c>
      <c r="G156" s="88" t="s">
        <v>743</v>
      </c>
      <c r="H156" s="88" t="s">
        <v>744</v>
      </c>
      <c r="I156" s="88"/>
      <c r="J156" s="88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88" t="s">
        <v>745</v>
      </c>
      <c r="B157" s="88" t="s">
        <v>266</v>
      </c>
      <c r="C157" s="89" t="s">
        <v>151</v>
      </c>
      <c r="D157" s="89">
        <v>0.75</v>
      </c>
      <c r="E157" s="89">
        <v>2.5</v>
      </c>
      <c r="F157" s="88" t="s">
        <v>267</v>
      </c>
      <c r="G157" s="88" t="s">
        <v>746</v>
      </c>
      <c r="H157" s="88" t="s">
        <v>747</v>
      </c>
      <c r="I157" s="88"/>
      <c r="J157" s="88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88" t="s">
        <v>748</v>
      </c>
      <c r="B158" s="88" t="s">
        <v>276</v>
      </c>
      <c r="C158" s="89" t="s">
        <v>157</v>
      </c>
      <c r="D158" s="89">
        <v>0.5</v>
      </c>
      <c r="E158" s="89">
        <v>2.5</v>
      </c>
      <c r="F158" s="88" t="s">
        <v>267</v>
      </c>
      <c r="G158" s="88" t="s">
        <v>749</v>
      </c>
      <c r="H158" s="88" t="s">
        <v>750</v>
      </c>
      <c r="I158" s="88"/>
      <c r="J158" s="88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88" t="s">
        <v>751</v>
      </c>
      <c r="B159" s="88" t="s">
        <v>266</v>
      </c>
      <c r="C159" s="89" t="s">
        <v>151</v>
      </c>
      <c r="D159" s="89">
        <v>1.0</v>
      </c>
      <c r="E159" s="89">
        <v>2.5</v>
      </c>
      <c r="F159" s="88" t="s">
        <v>267</v>
      </c>
      <c r="G159" s="88" t="s">
        <v>752</v>
      </c>
      <c r="H159" s="88" t="s">
        <v>753</v>
      </c>
      <c r="I159" s="91" t="s">
        <v>368</v>
      </c>
      <c r="J159" s="88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88" t="s">
        <v>754</v>
      </c>
      <c r="B160" s="88" t="s">
        <v>435</v>
      </c>
      <c r="C160" s="89" t="s">
        <v>153</v>
      </c>
      <c r="D160" s="89">
        <v>0.25</v>
      </c>
      <c r="E160" s="89">
        <v>1.0</v>
      </c>
      <c r="F160" s="88" t="s">
        <v>267</v>
      </c>
      <c r="G160" s="88" t="s">
        <v>755</v>
      </c>
      <c r="H160" s="88" t="s">
        <v>756</v>
      </c>
      <c r="I160" s="88"/>
      <c r="J160" s="88" t="s">
        <v>757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88" t="s">
        <v>758</v>
      </c>
      <c r="B161" s="88" t="s">
        <v>435</v>
      </c>
      <c r="C161" s="89" t="s">
        <v>153</v>
      </c>
      <c r="D161" s="89">
        <v>0.25</v>
      </c>
      <c r="E161" s="89">
        <v>1.0</v>
      </c>
      <c r="F161" s="88" t="s">
        <v>267</v>
      </c>
      <c r="G161" s="88" t="s">
        <v>759</v>
      </c>
      <c r="H161" s="88" t="s">
        <v>760</v>
      </c>
      <c r="I161" s="88"/>
      <c r="J161" s="88" t="s">
        <v>761</v>
      </c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88" t="s">
        <v>762</v>
      </c>
      <c r="B162" s="88" t="s">
        <v>435</v>
      </c>
      <c r="C162" s="89" t="s">
        <v>153</v>
      </c>
      <c r="D162" s="89">
        <v>0.25</v>
      </c>
      <c r="E162" s="89">
        <v>1.0</v>
      </c>
      <c r="F162" s="88" t="s">
        <v>267</v>
      </c>
      <c r="G162" s="88" t="s">
        <v>763</v>
      </c>
      <c r="H162" s="88" t="s">
        <v>764</v>
      </c>
      <c r="I162" s="88"/>
      <c r="J162" s="88" t="s">
        <v>765</v>
      </c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88" t="s">
        <v>766</v>
      </c>
      <c r="B163" s="88" t="s">
        <v>435</v>
      </c>
      <c r="C163" s="89" t="s">
        <v>153</v>
      </c>
      <c r="D163" s="89">
        <v>0.25</v>
      </c>
      <c r="E163" s="89">
        <v>1.0</v>
      </c>
      <c r="F163" s="88" t="s">
        <v>267</v>
      </c>
      <c r="G163" s="88" t="s">
        <v>767</v>
      </c>
      <c r="H163" s="88" t="s">
        <v>768</v>
      </c>
      <c r="I163" s="88"/>
      <c r="J163" s="88" t="s">
        <v>769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88" t="s">
        <v>770</v>
      </c>
      <c r="B164" s="88" t="s">
        <v>272</v>
      </c>
      <c r="C164" s="89" t="s">
        <v>149</v>
      </c>
      <c r="D164" s="89">
        <v>1.0</v>
      </c>
      <c r="E164" s="89">
        <v>2.5</v>
      </c>
      <c r="F164" s="88" t="s">
        <v>267</v>
      </c>
      <c r="G164" s="88" t="s">
        <v>443</v>
      </c>
      <c r="H164" s="88" t="s">
        <v>771</v>
      </c>
      <c r="I164" s="88"/>
      <c r="J164" s="88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88" t="s">
        <v>772</v>
      </c>
      <c r="B165" s="88" t="s">
        <v>276</v>
      </c>
      <c r="C165" s="89" t="s">
        <v>157</v>
      </c>
      <c r="D165" s="89">
        <v>0.5</v>
      </c>
      <c r="E165" s="89">
        <v>2.5</v>
      </c>
      <c r="F165" s="88" t="s">
        <v>267</v>
      </c>
      <c r="G165" s="88" t="s">
        <v>773</v>
      </c>
      <c r="H165" s="88" t="s">
        <v>774</v>
      </c>
      <c r="I165" s="88"/>
      <c r="J165" s="88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88" t="s">
        <v>775</v>
      </c>
      <c r="B166" s="88" t="s">
        <v>272</v>
      </c>
      <c r="C166" s="89" t="s">
        <v>149</v>
      </c>
      <c r="D166" s="89">
        <v>0.5</v>
      </c>
      <c r="E166" s="89">
        <v>2.5</v>
      </c>
      <c r="F166" s="88" t="s">
        <v>267</v>
      </c>
      <c r="G166" s="88"/>
      <c r="H166" s="88" t="s">
        <v>776</v>
      </c>
      <c r="I166" s="90" t="s">
        <v>296</v>
      </c>
      <c r="J166" s="88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88"/>
      <c r="B167" s="88"/>
      <c r="C167" s="89"/>
      <c r="D167" s="89"/>
      <c r="E167" s="89"/>
      <c r="F167" s="88"/>
      <c r="G167" s="88"/>
      <c r="H167" s="88"/>
      <c r="I167" s="90"/>
      <c r="J167" s="88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88"/>
      <c r="B168" s="88"/>
      <c r="C168" s="89"/>
      <c r="D168" s="89"/>
      <c r="E168" s="89"/>
      <c r="F168" s="88"/>
      <c r="G168" s="88"/>
      <c r="H168" s="88"/>
      <c r="I168" s="90"/>
      <c r="J168" s="88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88"/>
      <c r="B169" s="88"/>
      <c r="C169" s="89"/>
      <c r="D169" s="89"/>
      <c r="E169" s="89"/>
      <c r="F169" s="88"/>
      <c r="G169" s="88"/>
      <c r="H169" s="88"/>
      <c r="I169" s="90"/>
      <c r="J169" s="88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88"/>
      <c r="B170" s="88"/>
      <c r="C170" s="89"/>
      <c r="D170" s="89"/>
      <c r="E170" s="89"/>
      <c r="F170" s="88"/>
      <c r="G170" s="88"/>
      <c r="H170" s="88"/>
      <c r="I170" s="90"/>
      <c r="J170" s="88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88"/>
      <c r="B171" s="88"/>
      <c r="C171" s="89"/>
      <c r="D171" s="89"/>
      <c r="E171" s="89"/>
      <c r="F171" s="88"/>
      <c r="G171" s="88"/>
      <c r="H171" s="88"/>
      <c r="I171" s="90"/>
      <c r="J171" s="88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88"/>
      <c r="B172" s="88"/>
      <c r="C172" s="89"/>
      <c r="D172" s="89"/>
      <c r="E172" s="89"/>
      <c r="F172" s="88"/>
      <c r="G172" s="88"/>
      <c r="H172" s="88"/>
      <c r="I172" s="90"/>
      <c r="J172" s="88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88"/>
      <c r="B173" s="88"/>
      <c r="C173" s="89"/>
      <c r="D173" s="89"/>
      <c r="E173" s="89"/>
      <c r="F173" s="88"/>
      <c r="G173" s="88"/>
      <c r="H173" s="88"/>
      <c r="I173" s="90"/>
      <c r="J173" s="88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88"/>
      <c r="B174" s="88"/>
      <c r="C174" s="89"/>
      <c r="D174" s="89"/>
      <c r="E174" s="89"/>
      <c r="F174" s="88"/>
      <c r="G174" s="88"/>
      <c r="H174" s="88"/>
      <c r="I174" s="90"/>
      <c r="J174" s="88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88"/>
      <c r="B175" s="88"/>
      <c r="C175" s="89"/>
      <c r="D175" s="89"/>
      <c r="E175" s="89"/>
      <c r="F175" s="88"/>
      <c r="G175" s="88"/>
      <c r="H175" s="88"/>
      <c r="I175" s="90"/>
      <c r="J175" s="88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88"/>
      <c r="B176" s="88"/>
      <c r="C176" s="89"/>
      <c r="D176" s="89"/>
      <c r="E176" s="89"/>
      <c r="F176" s="88"/>
      <c r="G176" s="88"/>
      <c r="H176" s="88"/>
      <c r="I176" s="90"/>
      <c r="J176" s="88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88"/>
      <c r="B177" s="88"/>
      <c r="C177" s="89"/>
      <c r="D177" s="89"/>
      <c r="E177" s="89"/>
      <c r="F177" s="88"/>
      <c r="G177" s="88"/>
      <c r="H177" s="88"/>
      <c r="I177" s="90"/>
      <c r="J177" s="88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88"/>
      <c r="B178" s="88"/>
      <c r="C178" s="89"/>
      <c r="D178" s="89"/>
      <c r="E178" s="89"/>
      <c r="F178" s="88"/>
      <c r="G178" s="88"/>
      <c r="H178" s="88"/>
      <c r="I178" s="90"/>
      <c r="J178" s="88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88"/>
      <c r="B179" s="88"/>
      <c r="C179" s="89"/>
      <c r="D179" s="89"/>
      <c r="E179" s="89"/>
      <c r="F179" s="88"/>
      <c r="G179" s="88"/>
      <c r="H179" s="88"/>
      <c r="I179" s="90"/>
      <c r="J179" s="88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88"/>
      <c r="B180" s="88"/>
      <c r="C180" s="89"/>
      <c r="D180" s="89"/>
      <c r="E180" s="89"/>
      <c r="F180" s="88"/>
      <c r="G180" s="88"/>
      <c r="H180" s="88"/>
      <c r="I180" s="90"/>
      <c r="J180" s="88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88"/>
      <c r="B181" s="88"/>
      <c r="C181" s="89"/>
      <c r="D181" s="89"/>
      <c r="E181" s="89"/>
      <c r="F181" s="88"/>
      <c r="G181" s="88"/>
      <c r="H181" s="88"/>
      <c r="I181" s="90"/>
      <c r="J181" s="88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88"/>
      <c r="B182" s="88"/>
      <c r="C182" s="89"/>
      <c r="D182" s="89"/>
      <c r="E182" s="89"/>
      <c r="F182" s="88"/>
      <c r="G182" s="88"/>
      <c r="H182" s="88"/>
      <c r="I182" s="90"/>
      <c r="J182" s="88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88"/>
      <c r="B183" s="88"/>
      <c r="C183" s="89"/>
      <c r="D183" s="89"/>
      <c r="E183" s="89"/>
      <c r="F183" s="88"/>
      <c r="G183" s="88"/>
      <c r="H183" s="88"/>
      <c r="I183" s="90"/>
      <c r="J183" s="88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88"/>
      <c r="B184" s="88"/>
      <c r="C184" s="89"/>
      <c r="D184" s="89"/>
      <c r="E184" s="89"/>
      <c r="F184" s="88"/>
      <c r="G184" s="88"/>
      <c r="H184" s="88"/>
      <c r="I184" s="90"/>
      <c r="J184" s="88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88"/>
      <c r="B185" s="88"/>
      <c r="C185" s="89"/>
      <c r="D185" s="89"/>
      <c r="E185" s="89"/>
      <c r="F185" s="88"/>
      <c r="G185" s="88"/>
      <c r="H185" s="88"/>
      <c r="I185" s="90"/>
      <c r="J185" s="88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88"/>
      <c r="B186" s="88"/>
      <c r="C186" s="89"/>
      <c r="D186" s="89"/>
      <c r="E186" s="89"/>
      <c r="F186" s="88"/>
      <c r="G186" s="88"/>
      <c r="H186" s="88"/>
      <c r="I186" s="90"/>
      <c r="J186" s="88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88"/>
      <c r="B187" s="88"/>
      <c r="C187" s="89"/>
      <c r="D187" s="89"/>
      <c r="E187" s="89"/>
      <c r="F187" s="88"/>
      <c r="G187" s="88"/>
      <c r="H187" s="88"/>
      <c r="I187" s="90"/>
      <c r="J187" s="88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88"/>
      <c r="B188" s="88"/>
      <c r="C188" s="89"/>
      <c r="D188" s="89"/>
      <c r="E188" s="89"/>
      <c r="F188" s="88"/>
      <c r="G188" s="88"/>
      <c r="H188" s="88"/>
      <c r="I188" s="90"/>
      <c r="J188" s="88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88"/>
      <c r="B189" s="88"/>
      <c r="C189" s="89"/>
      <c r="D189" s="89"/>
      <c r="E189" s="89"/>
      <c r="F189" s="88"/>
      <c r="G189" s="88"/>
      <c r="H189" s="88"/>
      <c r="I189" s="90"/>
      <c r="J189" s="88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88"/>
      <c r="B190" s="88"/>
      <c r="C190" s="89"/>
      <c r="D190" s="89"/>
      <c r="E190" s="89"/>
      <c r="F190" s="88"/>
      <c r="G190" s="88"/>
      <c r="H190" s="88"/>
      <c r="I190" s="90"/>
      <c r="J190" s="88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88"/>
      <c r="B191" s="88"/>
      <c r="C191" s="89"/>
      <c r="D191" s="89"/>
      <c r="E191" s="89"/>
      <c r="F191" s="88"/>
      <c r="G191" s="88"/>
      <c r="H191" s="88"/>
      <c r="I191" s="90"/>
      <c r="J191" s="88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88"/>
      <c r="B192" s="88"/>
      <c r="C192" s="89"/>
      <c r="D192" s="89"/>
      <c r="E192" s="89"/>
      <c r="F192" s="88"/>
      <c r="G192" s="88"/>
      <c r="H192" s="88"/>
      <c r="I192" s="90"/>
      <c r="J192" s="88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88"/>
      <c r="B193" s="88"/>
      <c r="C193" s="89"/>
      <c r="D193" s="89"/>
      <c r="E193" s="89"/>
      <c r="F193" s="88"/>
      <c r="G193" s="88"/>
      <c r="H193" s="88"/>
      <c r="I193" s="90"/>
      <c r="J193" s="88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88"/>
      <c r="B194" s="88"/>
      <c r="C194" s="89"/>
      <c r="D194" s="89"/>
      <c r="E194" s="89"/>
      <c r="F194" s="88"/>
      <c r="G194" s="88"/>
      <c r="H194" s="88"/>
      <c r="I194" s="90"/>
      <c r="J194" s="88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88"/>
      <c r="B195" s="88"/>
      <c r="C195" s="89"/>
      <c r="D195" s="89"/>
      <c r="E195" s="89"/>
      <c r="F195" s="88"/>
      <c r="G195" s="88"/>
      <c r="H195" s="88"/>
      <c r="I195" s="90"/>
      <c r="J195" s="88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88"/>
      <c r="B196" s="88"/>
      <c r="C196" s="89"/>
      <c r="D196" s="89"/>
      <c r="E196" s="89"/>
      <c r="F196" s="88"/>
      <c r="G196" s="88"/>
      <c r="H196" s="88"/>
      <c r="I196" s="90"/>
      <c r="J196" s="88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88"/>
      <c r="B197" s="88"/>
      <c r="C197" s="89"/>
      <c r="D197" s="89"/>
      <c r="E197" s="89"/>
      <c r="F197" s="88"/>
      <c r="G197" s="88"/>
      <c r="H197" s="88"/>
      <c r="I197" s="90"/>
      <c r="J197" s="88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88"/>
      <c r="B198" s="88"/>
      <c r="C198" s="89"/>
      <c r="D198" s="89"/>
      <c r="E198" s="89"/>
      <c r="F198" s="88"/>
      <c r="G198" s="88"/>
      <c r="H198" s="88"/>
      <c r="I198" s="90"/>
      <c r="J198" s="88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88"/>
      <c r="B199" s="88"/>
      <c r="C199" s="89"/>
      <c r="D199" s="89"/>
      <c r="E199" s="89"/>
      <c r="F199" s="88"/>
      <c r="G199" s="88"/>
      <c r="H199" s="88"/>
      <c r="I199" s="90"/>
      <c r="J199" s="88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88"/>
      <c r="B200" s="88"/>
      <c r="C200" s="89"/>
      <c r="D200" s="89"/>
      <c r="E200" s="89"/>
      <c r="F200" s="88"/>
      <c r="G200" s="88"/>
      <c r="H200" s="88"/>
      <c r="I200" s="90"/>
      <c r="J200" s="88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88"/>
      <c r="B201" s="88"/>
      <c r="C201" s="89"/>
      <c r="D201" s="89"/>
      <c r="E201" s="89"/>
      <c r="F201" s="88"/>
      <c r="G201" s="88"/>
      <c r="H201" s="88"/>
      <c r="I201" s="90"/>
      <c r="J201" s="88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88"/>
      <c r="B202" s="88"/>
      <c r="C202" s="89"/>
      <c r="D202" s="89"/>
      <c r="E202" s="89"/>
      <c r="F202" s="88"/>
      <c r="G202" s="88"/>
      <c r="H202" s="88"/>
      <c r="I202" s="90"/>
      <c r="J202" s="88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748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2"/>
  <cols>
    <col customWidth="1" min="1" max="1" width="30.0"/>
    <col customWidth="1" min="2" max="7" width="13.0"/>
    <col customWidth="1" min="8" max="12" width="11.0"/>
  </cols>
  <sheetData>
    <row r="1" ht="30.0" customHeight="1">
      <c r="A1" s="2" t="s">
        <v>777</v>
      </c>
      <c r="B1" s="3"/>
      <c r="C1" s="3"/>
      <c r="D1" s="3"/>
      <c r="E1" s="3"/>
      <c r="F1" s="3"/>
      <c r="G1" s="3"/>
      <c r="H1" s="3"/>
      <c r="I1" s="3"/>
      <c r="J1" s="4"/>
      <c r="K1" s="94"/>
      <c r="L1" s="9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95" t="s">
        <v>778</v>
      </c>
      <c r="B2" s="3"/>
      <c r="C2" s="3"/>
      <c r="D2" s="3"/>
      <c r="E2" s="3"/>
      <c r="F2" s="3"/>
      <c r="G2" s="3"/>
      <c r="H2" s="3"/>
      <c r="I2" s="3"/>
      <c r="J2" s="4"/>
      <c r="K2" s="94"/>
      <c r="L2" s="9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8" t="s">
        <v>779</v>
      </c>
      <c r="B3" s="3"/>
      <c r="C3" s="3"/>
      <c r="D3" s="3"/>
      <c r="E3" s="3"/>
      <c r="F3" s="3"/>
      <c r="G3" s="3"/>
      <c r="H3" s="3"/>
      <c r="I3" s="3"/>
      <c r="J3" s="4"/>
      <c r="K3" s="94"/>
      <c r="L3" s="94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96" t="s">
        <v>780</v>
      </c>
      <c r="B4" s="97" t="s">
        <v>781</v>
      </c>
      <c r="C4" s="3"/>
      <c r="D4" s="4"/>
      <c r="E4" s="98" t="s">
        <v>782</v>
      </c>
      <c r="F4" s="94"/>
      <c r="G4" s="94"/>
      <c r="H4" s="94"/>
      <c r="I4" s="94"/>
      <c r="J4" s="94"/>
      <c r="K4" s="94"/>
      <c r="L4" s="9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96" t="s">
        <v>783</v>
      </c>
      <c r="B5" s="97" t="s">
        <v>784</v>
      </c>
      <c r="C5" s="3"/>
      <c r="D5" s="4"/>
      <c r="E5" s="98" t="s">
        <v>785</v>
      </c>
      <c r="F5" s="94"/>
      <c r="G5" s="94"/>
      <c r="H5" s="94"/>
      <c r="I5" s="94"/>
      <c r="J5" s="94"/>
      <c r="K5" s="94"/>
      <c r="L5" s="94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1.75" customHeight="1">
      <c r="A7" s="8" t="s">
        <v>786</v>
      </c>
      <c r="B7" s="3"/>
      <c r="C7" s="3"/>
      <c r="D7" s="3"/>
      <c r="E7" s="3"/>
      <c r="F7" s="3"/>
      <c r="G7" s="3"/>
      <c r="H7" s="3"/>
      <c r="I7" s="3"/>
      <c r="J7" s="4"/>
      <c r="K7" s="99"/>
      <c r="L7" s="4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100" t="s">
        <v>242</v>
      </c>
      <c r="B8" s="101" t="s">
        <v>787</v>
      </c>
      <c r="C8" s="101" t="s">
        <v>788</v>
      </c>
      <c r="D8" s="101"/>
      <c r="E8" s="101"/>
      <c r="F8" s="101"/>
      <c r="G8" s="101"/>
      <c r="H8" s="101" t="s">
        <v>789</v>
      </c>
      <c r="I8" s="101" t="s">
        <v>790</v>
      </c>
      <c r="J8" s="101" t="s">
        <v>791</v>
      </c>
      <c r="K8" s="101" t="s">
        <v>792</v>
      </c>
      <c r="L8" s="101" t="s">
        <v>793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96" t="s">
        <v>794</v>
      </c>
      <c r="B9" s="102">
        <f>'T1'!D94</f>
        <v>1.05</v>
      </c>
      <c r="C9" s="103" t="str">
        <f t="shared" ref="C9:C14" si="1">IF(MAX($B$9:$B$14)=0,"",REPT("█",ROUND(B9/MAX($B$9:$B$14)*12,0))&amp;REPT("░",12-ROUND(B9/MAX($B$9:$B$14)*12,0)))</f>
        <v>█████████░░░</v>
      </c>
      <c r="D9" s="104"/>
      <c r="E9" s="104"/>
      <c r="F9" s="104"/>
      <c r="G9" s="104"/>
      <c r="H9" s="105" t="str">
        <f t="shared" ref="H9:H14" si="2">IF(ROW()=9,"—",IF(B8=0,"",TEXT(B9/B8-1,"+0%;-0%")))</f>
        <v>—</v>
      </c>
      <c r="I9" s="106">
        <f>'T1'!D93</f>
        <v>0.6</v>
      </c>
      <c r="J9" s="106">
        <f>'T1'!N93</f>
        <v>1.65</v>
      </c>
      <c r="K9" s="107" t="str">
        <f t="shared" ref="K9:K14" si="3">IF($B$76=0,"—",TEXT($B$76*12,"0")&amp;"–"&amp;TEXT($B$76*18,"0"))</f>
        <v>12–18</v>
      </c>
      <c r="L9" s="108" t="str">
        <f t="shared" ref="L9:L14" si="4">IF($B$76=0,"",IF($B9&lt;$B$76*12,"▼ poniżej",IF($B9&gt;$B$76*18,"▲ powyżej","✓ w normie")))</f>
        <v>▼ poniżej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96" t="s">
        <v>795</v>
      </c>
      <c r="B10" s="102">
        <f>'T2'!D94</f>
        <v>1.05</v>
      </c>
      <c r="C10" s="103" t="str">
        <f t="shared" si="1"/>
        <v>█████████░░░</v>
      </c>
      <c r="D10" s="104"/>
      <c r="E10" s="104"/>
      <c r="F10" s="104"/>
      <c r="G10" s="104"/>
      <c r="H10" s="105" t="str">
        <f t="shared" si="2"/>
        <v>+0%</v>
      </c>
      <c r="I10" s="106">
        <f>'T2'!D93</f>
        <v>0.45</v>
      </c>
      <c r="J10" s="106">
        <f>'T2'!N93</f>
        <v>1.65</v>
      </c>
      <c r="K10" s="107" t="str">
        <f t="shared" si="3"/>
        <v>12–18</v>
      </c>
      <c r="L10" s="108" t="str">
        <f t="shared" si="4"/>
        <v>▼ poniżej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96" t="s">
        <v>796</v>
      </c>
      <c r="B11" s="102">
        <f>'T3'!D94</f>
        <v>1.05</v>
      </c>
      <c r="C11" s="103" t="str">
        <f t="shared" si="1"/>
        <v>█████████░░░</v>
      </c>
      <c r="D11" s="104"/>
      <c r="E11" s="104"/>
      <c r="F11" s="104"/>
      <c r="G11" s="104"/>
      <c r="H11" s="105" t="str">
        <f t="shared" si="2"/>
        <v>+0%</v>
      </c>
      <c r="I11" s="106">
        <f>'T3'!D93</f>
        <v>0.45</v>
      </c>
      <c r="J11" s="106">
        <f>'T3'!N93</f>
        <v>1.5</v>
      </c>
      <c r="K11" s="107" t="str">
        <f t="shared" si="3"/>
        <v>12–18</v>
      </c>
      <c r="L11" s="108" t="str">
        <f t="shared" si="4"/>
        <v>▼ poniżej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6.5" customHeight="1">
      <c r="A12" s="96" t="s">
        <v>797</v>
      </c>
      <c r="B12" s="102">
        <f>'T4'!D94</f>
        <v>1.35</v>
      </c>
      <c r="C12" s="103" t="str">
        <f t="shared" si="1"/>
        <v>████████████</v>
      </c>
      <c r="D12" s="104"/>
      <c r="E12" s="104"/>
      <c r="F12" s="104"/>
      <c r="G12" s="104"/>
      <c r="H12" s="105" t="str">
        <f t="shared" si="2"/>
        <v>+29%</v>
      </c>
      <c r="I12" s="106">
        <f>'T4'!D93</f>
        <v>0.75</v>
      </c>
      <c r="J12" s="106">
        <f>'T4'!N93</f>
        <v>2.1</v>
      </c>
      <c r="K12" s="107" t="str">
        <f t="shared" si="3"/>
        <v>12–18</v>
      </c>
      <c r="L12" s="108" t="str">
        <f t="shared" si="4"/>
        <v>▼ poniżej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6.5" customHeight="1">
      <c r="A13" s="96" t="s">
        <v>798</v>
      </c>
      <c r="B13" s="102">
        <f>'T5'!D94</f>
        <v>1.35</v>
      </c>
      <c r="C13" s="103" t="str">
        <f t="shared" si="1"/>
        <v>████████████</v>
      </c>
      <c r="D13" s="104"/>
      <c r="E13" s="104"/>
      <c r="F13" s="104"/>
      <c r="G13" s="104"/>
      <c r="H13" s="105" t="str">
        <f t="shared" si="2"/>
        <v>+0%</v>
      </c>
      <c r="I13" s="106">
        <f>'T5'!D93</f>
        <v>0.6</v>
      </c>
      <c r="J13" s="106">
        <f>'T5'!N93</f>
        <v>2.1</v>
      </c>
      <c r="K13" s="107" t="str">
        <f t="shared" si="3"/>
        <v>12–18</v>
      </c>
      <c r="L13" s="108" t="str">
        <f t="shared" si="4"/>
        <v>▼ poniżej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96" t="s">
        <v>799</v>
      </c>
      <c r="B14" s="102">
        <f>'T6'!D94</f>
        <v>1.35</v>
      </c>
      <c r="C14" s="103" t="str">
        <f t="shared" si="1"/>
        <v>████████████</v>
      </c>
      <c r="D14" s="104"/>
      <c r="E14" s="104"/>
      <c r="F14" s="104"/>
      <c r="G14" s="104"/>
      <c r="H14" s="105" t="str">
        <f t="shared" si="2"/>
        <v>+0%</v>
      </c>
      <c r="I14" s="106">
        <f>'T6'!D93</f>
        <v>0.6</v>
      </c>
      <c r="J14" s="106">
        <f>'T6'!N93</f>
        <v>2.1</v>
      </c>
      <c r="K14" s="107" t="str">
        <f t="shared" si="3"/>
        <v>12–18</v>
      </c>
      <c r="L14" s="108" t="str">
        <f t="shared" si="4"/>
        <v>▼ poniżej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96" t="s">
        <v>800</v>
      </c>
      <c r="B15" s="102">
        <f>ROUND(AVERAGE($B$9:$B$14),1)</f>
        <v>1.2</v>
      </c>
      <c r="C15" s="109" t="str">
        <f>"min "&amp;TEXT(MIN($B$9:$B$14),"0,0")&amp;"   ·   max "&amp;TEXT(MAX($B$9:$B$14),"0,0")</f>
        <v>min 01   ·   max 01</v>
      </c>
      <c r="D15" s="104"/>
      <c r="E15" s="104"/>
      <c r="F15" s="104"/>
      <c r="G15" s="104"/>
      <c r="H15" s="94"/>
      <c r="I15" s="94"/>
      <c r="J15" s="94"/>
      <c r="K15" s="94"/>
      <c r="L15" s="94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1.75" customHeight="1">
      <c r="A17" s="8" t="s">
        <v>801</v>
      </c>
      <c r="B17" s="3"/>
      <c r="C17" s="3"/>
      <c r="D17" s="3"/>
      <c r="E17" s="3"/>
      <c r="F17" s="3"/>
      <c r="G17" s="3"/>
      <c r="H17" s="3"/>
      <c r="I17" s="3"/>
      <c r="J17" s="4"/>
      <c r="K17" s="94"/>
      <c r="L17" s="94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0" customHeight="1">
      <c r="A18" s="100" t="s">
        <v>141</v>
      </c>
      <c r="B18" s="101" t="s">
        <v>787</v>
      </c>
      <c r="C18" s="101" t="s">
        <v>143</v>
      </c>
      <c r="D18" s="101" t="s">
        <v>788</v>
      </c>
      <c r="E18" s="101"/>
      <c r="F18" s="101"/>
      <c r="G18" s="101"/>
      <c r="H18" s="101" t="s">
        <v>146</v>
      </c>
      <c r="I18" s="101" t="s">
        <v>20</v>
      </c>
      <c r="J18" s="101"/>
      <c r="K18" s="94"/>
      <c r="L18" s="94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6.5" customHeight="1">
      <c r="A19" s="96" t="s">
        <v>802</v>
      </c>
      <c r="B19" s="102">
        <f>'T1'!D87</f>
        <v>0</v>
      </c>
      <c r="C19" s="105" t="str">
        <f t="shared" ref="C19:C23" si="5">IF(SUM($B$19:$B$23)=0,"",TEXT(B19/SUM($B$19:$B$23),"0%"))</f>
        <v>0%</v>
      </c>
      <c r="D19" s="103" t="str">
        <f t="shared" ref="D19:D23" si="6">IF(MAX($B$19:$B$23)=0,"",REPT("█",ROUND(B19/MAX($B$19:$B$23)*12,0))&amp;REPT("░",12-ROUND(B19/MAX($B$19:$B$23)*12,0)))</f>
        <v>░░░░░░░░░░░░</v>
      </c>
      <c r="E19" s="104"/>
      <c r="F19" s="104"/>
      <c r="G19" s="104"/>
      <c r="H19" s="110">
        <f>'T1'!H87</f>
        <v>0</v>
      </c>
      <c r="I19" s="110">
        <f>'T1'!I87</f>
        <v>0</v>
      </c>
      <c r="J19" s="94"/>
      <c r="K19" s="94"/>
      <c r="L19" s="94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96" t="s">
        <v>803</v>
      </c>
      <c r="B20" s="102">
        <f>'T1'!D88</f>
        <v>0</v>
      </c>
      <c r="C20" s="105" t="str">
        <f t="shared" si="5"/>
        <v>0%</v>
      </c>
      <c r="D20" s="103" t="str">
        <f t="shared" si="6"/>
        <v>░░░░░░░░░░░░</v>
      </c>
      <c r="E20" s="104"/>
      <c r="F20" s="104"/>
      <c r="G20" s="104"/>
      <c r="H20" s="110">
        <f>'T1'!H88</f>
        <v>0</v>
      </c>
      <c r="I20" s="110">
        <f>'T1'!I88</f>
        <v>0</v>
      </c>
      <c r="J20" s="94"/>
      <c r="K20" s="94"/>
      <c r="L20" s="94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96" t="s">
        <v>804</v>
      </c>
      <c r="B21" s="102">
        <f>'T1'!D89</f>
        <v>0</v>
      </c>
      <c r="C21" s="111" t="str">
        <f t="shared" si="5"/>
        <v>0%</v>
      </c>
      <c r="D21" s="112" t="str">
        <f t="shared" si="6"/>
        <v>░░░░░░░░░░░░</v>
      </c>
      <c r="E21" s="104"/>
      <c r="F21" s="104"/>
      <c r="G21" s="104"/>
      <c r="H21" s="106">
        <f>'T1'!H89</f>
        <v>0</v>
      </c>
      <c r="I21" s="106">
        <f>'T1'!I89</f>
        <v>0</v>
      </c>
      <c r="J21" s="94"/>
      <c r="K21" s="94"/>
      <c r="L21" s="94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96" t="s">
        <v>805</v>
      </c>
      <c r="B22" s="102">
        <f>'T1'!D90</f>
        <v>0</v>
      </c>
      <c r="C22" s="111" t="str">
        <f t="shared" si="5"/>
        <v>0%</v>
      </c>
      <c r="D22" s="112" t="str">
        <f t="shared" si="6"/>
        <v>░░░░░░░░░░░░</v>
      </c>
      <c r="E22" s="104"/>
      <c r="F22" s="104"/>
      <c r="G22" s="104"/>
      <c r="H22" s="110">
        <f>'T1'!H90</f>
        <v>0</v>
      </c>
      <c r="I22" s="110">
        <f>'T1'!I90</f>
        <v>0</v>
      </c>
      <c r="J22" s="94"/>
      <c r="K22" s="94"/>
      <c r="L22" s="94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96" t="s">
        <v>806</v>
      </c>
      <c r="B23" s="102">
        <f>'T1'!D91</f>
        <v>1.05</v>
      </c>
      <c r="C23" s="111" t="str">
        <f t="shared" si="5"/>
        <v>100%</v>
      </c>
      <c r="D23" s="112" t="str">
        <f t="shared" si="6"/>
        <v>████████████</v>
      </c>
      <c r="E23" s="104"/>
      <c r="F23" s="104"/>
      <c r="G23" s="104"/>
      <c r="H23" s="110">
        <f>'T1'!H91</f>
        <v>3</v>
      </c>
      <c r="I23" s="110">
        <f>'T1'!I91</f>
        <v>30</v>
      </c>
      <c r="J23" s="94"/>
      <c r="K23" s="94"/>
      <c r="L23" s="94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96" t="s">
        <v>158</v>
      </c>
      <c r="B24" s="106" t="str">
        <f>IF(('T1'!$D$92+'T1'!$N$92)=0,"",TEXT('T1'!$D$92/('T1'!$D$92+'T1'!$N$92),"0%")&amp;"  /  "&amp;TEXT('T1'!$N$92/('T1'!$D$92+'T1'!$N$92),"0%"))</f>
        <v/>
      </c>
      <c r="C24" s="104"/>
      <c r="D24" s="104"/>
      <c r="E24" s="113"/>
      <c r="F24" s="113"/>
      <c r="G24" s="113"/>
      <c r="H24" s="94"/>
      <c r="I24" s="94"/>
      <c r="J24" s="94"/>
      <c r="K24" s="94"/>
      <c r="L24" s="94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96" t="s">
        <v>159</v>
      </c>
      <c r="B25" s="106" t="str">
        <f>IF(('T1'!$D$93+'T1'!$N$93)=0,"",TEXT('T1'!$D$93/('T1'!$D$93+'T1'!$N$93),"0%")&amp;"  /  "&amp;TEXT('T1'!$N$93/('T1'!$D$93+'T1'!$N$93),"0%"))</f>
        <v>27%  /  73%</v>
      </c>
      <c r="C25" s="104"/>
      <c r="D25" s="104"/>
      <c r="E25" s="113"/>
      <c r="F25" s="113"/>
      <c r="G25" s="113"/>
      <c r="H25" s="94"/>
      <c r="I25" s="94"/>
      <c r="J25" s="94"/>
      <c r="K25" s="94"/>
      <c r="L25" s="94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1.75" customHeight="1">
      <c r="A27" s="8" t="s">
        <v>807</v>
      </c>
      <c r="B27" s="3"/>
      <c r="C27" s="3"/>
      <c r="D27" s="3"/>
      <c r="E27" s="3"/>
      <c r="F27" s="3"/>
      <c r="G27" s="3"/>
      <c r="H27" s="3"/>
      <c r="I27" s="3"/>
      <c r="J27" s="4"/>
      <c r="K27" s="94"/>
      <c r="L27" s="94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114" t="s">
        <v>808</v>
      </c>
      <c r="B28" s="115">
        <f>COUNTIF('T1'!$J$7:$J$18,$A28)+SUMPRODUCT(('T1'!$J$7:$J$18="")*('T1'!$N$7:$N$18=$A28))+COUNTIF('T1'!$J$23:$J$34,$A28)+SUMPRODUCT(('T1'!$J$23:$J$34="")*('T1'!$N$23:$N$34=$A28))+COUNTIF('T1'!$J$39:$J$50,$A28)+SUMPRODUCT(('T1'!$J$39:$J$50="")*('T1'!$N$39:$N$50=$A28))+COUNTIF('T1'!$J$55:$J$66,$A28)+SUMPRODUCT(('T1'!$J$55:$J$66="")*('T1'!$N$55:$N$66=$A28))+COUNTIF('T1'!$J$71:$J$82,$A28)+SUMPRODUCT(('T1'!$J$71:$J$82="")*('T1'!$N$71:$N$82=$A28))</f>
        <v>0</v>
      </c>
      <c r="C28" s="103" t="str">
        <f t="shared" ref="C28:C36" si="7">IF(MAX($B$28:$B$36)=0,"",REPT("█",ROUND(B28/MAX($B$28:$B$36)*12,0))&amp;REPT("░",12-ROUND(B28/MAX($B$28:$B$36)*12,0)))</f>
        <v/>
      </c>
      <c r="D28" s="104"/>
      <c r="E28" s="104"/>
      <c r="F28" s="104"/>
      <c r="G28" s="104"/>
      <c r="H28" s="94"/>
      <c r="I28" s="94"/>
      <c r="J28" s="94"/>
      <c r="K28" s="94"/>
      <c r="L28" s="94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114" t="s">
        <v>809</v>
      </c>
      <c r="B29" s="115">
        <f>COUNTIF('T1'!$J$7:$J$18,$A29)+SUMPRODUCT(('T1'!$J$7:$J$18="")*('T1'!$N$7:$N$18=$A29))+COUNTIF('T1'!$J$23:$J$34,$A29)+SUMPRODUCT(('T1'!$J$23:$J$34="")*('T1'!$N$23:$N$34=$A29))+COUNTIF('T1'!$J$39:$J$50,$A29)+SUMPRODUCT(('T1'!$J$39:$J$50="")*('T1'!$N$39:$N$50=$A29))+COUNTIF('T1'!$J$55:$J$66,$A29)+SUMPRODUCT(('T1'!$J$55:$J$66="")*('T1'!$N$55:$N$66=$A29))+COUNTIF('T1'!$J$71:$J$82,$A29)+SUMPRODUCT(('T1'!$J$71:$J$82="")*('T1'!$N$71:$N$82=$A29))</f>
        <v>0</v>
      </c>
      <c r="C29" s="103" t="str">
        <f t="shared" si="7"/>
        <v/>
      </c>
      <c r="D29" s="104"/>
      <c r="E29" s="104"/>
      <c r="F29" s="104"/>
      <c r="G29" s="104"/>
      <c r="H29" s="94"/>
      <c r="I29" s="94"/>
      <c r="J29" s="94"/>
      <c r="K29" s="94"/>
      <c r="L29" s="94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114" t="s">
        <v>810</v>
      </c>
      <c r="B30" s="115">
        <f>COUNTIF('T1'!$J$7:$J$18,$A30)+SUMPRODUCT(('T1'!$J$7:$J$18="")*('T1'!$N$7:$N$18=$A30))+COUNTIF('T1'!$J$23:$J$34,$A30)+SUMPRODUCT(('T1'!$J$23:$J$34="")*('T1'!$N$23:$N$34=$A30))+COUNTIF('T1'!$J$39:$J$50,$A30)+SUMPRODUCT(('T1'!$J$39:$J$50="")*('T1'!$N$39:$N$50=$A30))+COUNTIF('T1'!$J$55:$J$66,$A30)+SUMPRODUCT(('T1'!$J$55:$J$66="")*('T1'!$N$55:$N$66=$A30))+COUNTIF('T1'!$J$71:$J$82,$A30)+SUMPRODUCT(('T1'!$J$71:$J$82="")*('T1'!$N$71:$N$82=$A30))</f>
        <v>0</v>
      </c>
      <c r="C30" s="103" t="str">
        <f t="shared" si="7"/>
        <v/>
      </c>
      <c r="D30" s="104"/>
      <c r="E30" s="104"/>
      <c r="F30" s="104"/>
      <c r="G30" s="104"/>
      <c r="H30" s="94"/>
      <c r="I30" s="94"/>
      <c r="J30" s="94"/>
      <c r="K30" s="94"/>
      <c r="L30" s="94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114" t="s">
        <v>811</v>
      </c>
      <c r="B31" s="115">
        <f>COUNTIF('T1'!$J$7:$J$18,$A31)+SUMPRODUCT(('T1'!$J$7:$J$18="")*('T1'!$N$7:$N$18=$A31))+COUNTIF('T1'!$J$23:$J$34,$A31)+SUMPRODUCT(('T1'!$J$23:$J$34="")*('T1'!$N$23:$N$34=$A31))+COUNTIF('T1'!$J$39:$J$50,$A31)+SUMPRODUCT(('T1'!$J$39:$J$50="")*('T1'!$N$39:$N$50=$A31))+COUNTIF('T1'!$J$55:$J$66,$A31)+SUMPRODUCT(('T1'!$J$55:$J$66="")*('T1'!$N$55:$N$66=$A31))+COUNTIF('T1'!$J$71:$J$82,$A31)+SUMPRODUCT(('T1'!$J$71:$J$82="")*('T1'!$N$71:$N$82=$A31))</f>
        <v>0</v>
      </c>
      <c r="C31" s="103" t="str">
        <f t="shared" si="7"/>
        <v/>
      </c>
      <c r="D31" s="104"/>
      <c r="E31" s="104"/>
      <c r="F31" s="104"/>
      <c r="G31" s="104"/>
      <c r="H31" s="94"/>
      <c r="I31" s="94"/>
      <c r="J31" s="94"/>
      <c r="K31" s="94"/>
      <c r="L31" s="94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114" t="s">
        <v>812</v>
      </c>
      <c r="B32" s="115">
        <f>COUNTIF('T1'!$J$7:$J$18,$A32)+SUMPRODUCT(('T1'!$J$7:$J$18="")*('T1'!$N$7:$N$18=$A32))+COUNTIF('T1'!$J$23:$J$34,$A32)+SUMPRODUCT(('T1'!$J$23:$J$34="")*('T1'!$N$23:$N$34=$A32))+COUNTIF('T1'!$J$39:$J$50,$A32)+SUMPRODUCT(('T1'!$J$39:$J$50="")*('T1'!$N$39:$N$50=$A32))+COUNTIF('T1'!$J$55:$J$66,$A32)+SUMPRODUCT(('T1'!$J$55:$J$66="")*('T1'!$N$55:$N$66=$A32))+COUNTIF('T1'!$J$71:$J$82,$A32)+SUMPRODUCT(('T1'!$J$71:$J$82="")*('T1'!$N$71:$N$82=$A32))</f>
        <v>0</v>
      </c>
      <c r="C32" s="103" t="str">
        <f t="shared" si="7"/>
        <v/>
      </c>
      <c r="D32" s="104"/>
      <c r="E32" s="104"/>
      <c r="F32" s="104"/>
      <c r="G32" s="104"/>
      <c r="H32" s="94"/>
      <c r="I32" s="94"/>
      <c r="J32" s="94"/>
      <c r="K32" s="94"/>
      <c r="L32" s="94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114" t="s">
        <v>813</v>
      </c>
      <c r="B33" s="115">
        <f>COUNTIF('T1'!$J$7:$J$18,$A33)+SUMPRODUCT(('T1'!$J$7:$J$18="")*('T1'!$N$7:$N$18=$A33))+COUNTIF('T1'!$J$23:$J$34,$A33)+SUMPRODUCT(('T1'!$J$23:$J$34="")*('T1'!$N$23:$N$34=$A33))+COUNTIF('T1'!$J$39:$J$50,$A33)+SUMPRODUCT(('T1'!$J$39:$J$50="")*('T1'!$N$39:$N$50=$A33))+COUNTIF('T1'!$J$55:$J$66,$A33)+SUMPRODUCT(('T1'!$J$55:$J$66="")*('T1'!$N$55:$N$66=$A33))+COUNTIF('T1'!$J$71:$J$82,$A33)+SUMPRODUCT(('T1'!$J$71:$J$82="")*('T1'!$N$71:$N$82=$A33))</f>
        <v>0</v>
      </c>
      <c r="C33" s="103" t="str">
        <f t="shared" si="7"/>
        <v/>
      </c>
      <c r="D33" s="104"/>
      <c r="E33" s="104"/>
      <c r="F33" s="104"/>
      <c r="G33" s="104"/>
      <c r="H33" s="94"/>
      <c r="I33" s="94"/>
      <c r="J33" s="94"/>
      <c r="K33" s="94"/>
      <c r="L33" s="94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114" t="s">
        <v>814</v>
      </c>
      <c r="B34" s="115">
        <f>COUNTIF('T1'!$J$7:$J$18,$A34)+SUMPRODUCT(('T1'!$J$7:$J$18="")*('T1'!$N$7:$N$18=$A34))+COUNTIF('T1'!$J$23:$J$34,$A34)+SUMPRODUCT(('T1'!$J$23:$J$34="")*('T1'!$N$23:$N$34=$A34))+COUNTIF('T1'!$J$39:$J$50,$A34)+SUMPRODUCT(('T1'!$J$39:$J$50="")*('T1'!$N$39:$N$50=$A34))+COUNTIF('T1'!$J$55:$J$66,$A34)+SUMPRODUCT(('T1'!$J$55:$J$66="")*('T1'!$N$55:$N$66=$A34))+COUNTIF('T1'!$J$71:$J$82,$A34)+SUMPRODUCT(('T1'!$J$71:$J$82="")*('T1'!$N$71:$N$82=$A34))</f>
        <v>0</v>
      </c>
      <c r="C34" s="103" t="str">
        <f t="shared" si="7"/>
        <v/>
      </c>
      <c r="D34" s="104"/>
      <c r="E34" s="104"/>
      <c r="F34" s="104"/>
      <c r="G34" s="104"/>
      <c r="H34" s="94"/>
      <c r="I34" s="94"/>
      <c r="J34" s="94"/>
      <c r="K34" s="94"/>
      <c r="L34" s="94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6.5" customHeight="1">
      <c r="A35" s="114" t="s">
        <v>815</v>
      </c>
      <c r="B35" s="115">
        <f>COUNTIF('T1'!$J$7:$J$18,$A35)+SUMPRODUCT(('T1'!$J$7:$J$18="")*('T1'!$N$7:$N$18=$A35))+COUNTIF('T1'!$J$23:$J$34,$A35)+SUMPRODUCT(('T1'!$J$23:$J$34="")*('T1'!$N$23:$N$34=$A35))+COUNTIF('T1'!$J$39:$J$50,$A35)+SUMPRODUCT(('T1'!$J$39:$J$50="")*('T1'!$N$39:$N$50=$A35))+COUNTIF('T1'!$J$55:$J$66,$A35)+SUMPRODUCT(('T1'!$J$55:$J$66="")*('T1'!$N$55:$N$66=$A35))+COUNTIF('T1'!$J$71:$J$82,$A35)+SUMPRODUCT(('T1'!$J$71:$J$82="")*('T1'!$N$71:$N$82=$A35))</f>
        <v>0</v>
      </c>
      <c r="C35" s="103" t="str">
        <f t="shared" si="7"/>
        <v/>
      </c>
      <c r="D35" s="104"/>
      <c r="E35" s="104"/>
      <c r="F35" s="104"/>
      <c r="G35" s="104"/>
      <c r="H35" s="94"/>
      <c r="I35" s="94"/>
      <c r="J35" s="94"/>
      <c r="K35" s="94"/>
      <c r="L35" s="94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6.5" customHeight="1">
      <c r="A36" s="114" t="s">
        <v>816</v>
      </c>
      <c r="B36" s="115">
        <f>COUNTIF('T1'!$J$7:$J$18,$A36)+SUMPRODUCT(('T1'!$J$7:$J$18="")*('T1'!$N$7:$N$18=$A36))+COUNTIF('T1'!$J$23:$J$34,$A36)+SUMPRODUCT(('T1'!$J$23:$J$34="")*('T1'!$N$23:$N$34=$A36))+COUNTIF('T1'!$J$39:$J$50,$A36)+SUMPRODUCT(('T1'!$J$39:$J$50="")*('T1'!$N$39:$N$50=$A36))+COUNTIF('T1'!$J$55:$J$66,$A36)+SUMPRODUCT(('T1'!$J$55:$J$66="")*('T1'!$N$55:$N$66=$A36))+COUNTIF('T1'!$J$71:$J$82,$A36)+SUMPRODUCT(('T1'!$J$71:$J$82="")*('T1'!$N$71:$N$82=$A36))</f>
        <v>0</v>
      </c>
      <c r="C36" s="103" t="str">
        <f t="shared" si="7"/>
        <v/>
      </c>
      <c r="D36" s="104"/>
      <c r="E36" s="104"/>
      <c r="F36" s="104"/>
      <c r="G36" s="104"/>
      <c r="H36" s="94"/>
      <c r="I36" s="94"/>
      <c r="J36" s="94"/>
      <c r="K36" s="94"/>
      <c r="L36" s="94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6.5" customHeight="1">
      <c r="A37" s="96" t="s">
        <v>817</v>
      </c>
      <c r="B37" s="108" t="str">
        <f>($B$28+$B$30+$B$31+$B$36)&amp;"  /  "&amp;($B$29+$B$32+$B$33+$B$35)</f>
        <v>0  /  0</v>
      </c>
      <c r="C37" s="104"/>
      <c r="D37" s="104"/>
      <c r="E37" s="94"/>
      <c r="F37" s="94"/>
      <c r="G37" s="94"/>
      <c r="H37" s="94"/>
      <c r="I37" s="94"/>
      <c r="J37" s="94"/>
      <c r="K37" s="94"/>
      <c r="L37" s="94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6.5" customHeight="1">
      <c r="A38" s="96" t="s">
        <v>818</v>
      </c>
      <c r="B38" s="108" t="str">
        <f>($B$30+$B$31+$B$32+$B$33+$B$35+$B$36)&amp;"  /  "&amp;($B$28+$B$29)</f>
        <v>0  /  0</v>
      </c>
      <c r="C38" s="104"/>
      <c r="D38" s="104"/>
      <c r="E38" s="94"/>
      <c r="F38" s="94"/>
      <c r="G38" s="94"/>
      <c r="H38" s="94"/>
      <c r="I38" s="94"/>
      <c r="J38" s="94"/>
      <c r="K38" s="94"/>
      <c r="L38" s="94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1.75" customHeight="1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1.75" customHeight="1">
      <c r="A40" s="8" t="s">
        <v>819</v>
      </c>
      <c r="B40" s="3"/>
      <c r="C40" s="3"/>
      <c r="D40" s="3"/>
      <c r="E40" s="3"/>
      <c r="F40" s="3"/>
      <c r="G40" s="3"/>
      <c r="H40" s="3"/>
      <c r="I40" s="3"/>
      <c r="J40" s="4"/>
      <c r="K40" s="94"/>
      <c r="L40" s="94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0" customHeight="1">
      <c r="A41" s="100" t="s">
        <v>820</v>
      </c>
      <c r="B41" s="116" t="s">
        <v>821</v>
      </c>
      <c r="C41" s="116" t="s">
        <v>822</v>
      </c>
      <c r="D41" s="116" t="s">
        <v>823</v>
      </c>
      <c r="E41" s="116" t="s">
        <v>824</v>
      </c>
      <c r="F41" s="116" t="s">
        <v>825</v>
      </c>
      <c r="G41" s="116" t="s">
        <v>826</v>
      </c>
      <c r="H41" s="117"/>
      <c r="I41" s="117"/>
      <c r="J41" s="101"/>
      <c r="K41" s="101" t="s">
        <v>792</v>
      </c>
      <c r="L41" s="101" t="s">
        <v>793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114" t="s">
        <v>802</v>
      </c>
      <c r="B42" s="110">
        <f>'T1'!$H$87</f>
        <v>0</v>
      </c>
      <c r="C42" s="110">
        <f>'T2'!$H$87</f>
        <v>0</v>
      </c>
      <c r="D42" s="110">
        <f>'T3'!$H$87</f>
        <v>0</v>
      </c>
      <c r="E42" s="110">
        <f>'T4'!$H$87</f>
        <v>0</v>
      </c>
      <c r="F42" s="110">
        <f>'T5'!$H$87</f>
        <v>0</v>
      </c>
      <c r="G42" s="110">
        <f>'T6'!$H$87</f>
        <v>0</v>
      </c>
      <c r="H42" s="113"/>
      <c r="I42" s="113"/>
      <c r="J42" s="94"/>
      <c r="K42" s="107" t="str">
        <f t="shared" ref="K42:K43" si="8">IF($B$76=0,"—",TEXT($B$76*4,"0")&amp;"–"&amp;TEXT($B$76*7,"0"))</f>
        <v>4–7</v>
      </c>
      <c r="L42" s="108" t="str">
        <f t="shared" ref="L42:L43" si="9">IF($B$76=0,"",IF(AVERAGE($B42:$G42)&lt;$B$76*4,"▼ poniżej",IF(AVERAGE($B42:$G42)&gt;$B$76*7,"▲ powyżej","✓ w normie")))</f>
        <v>▼ poniżej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114" t="s">
        <v>803</v>
      </c>
      <c r="B43" s="110">
        <f>'T1'!$H$88</f>
        <v>0</v>
      </c>
      <c r="C43" s="110">
        <f>'T2'!$H$88</f>
        <v>0</v>
      </c>
      <c r="D43" s="110">
        <f>'T3'!$H$88</f>
        <v>0</v>
      </c>
      <c r="E43" s="110">
        <f>'T4'!$H$88</f>
        <v>0</v>
      </c>
      <c r="F43" s="110">
        <f>'T5'!$H$88</f>
        <v>0</v>
      </c>
      <c r="G43" s="110">
        <f>'T6'!$H$88</f>
        <v>0</v>
      </c>
      <c r="H43" s="113"/>
      <c r="I43" s="113"/>
      <c r="J43" s="94"/>
      <c r="K43" s="107" t="str">
        <f t="shared" si="8"/>
        <v>4–7</v>
      </c>
      <c r="L43" s="108" t="str">
        <f t="shared" si="9"/>
        <v>▼ poniżej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114" t="s">
        <v>804</v>
      </c>
      <c r="B44" s="110">
        <f>'T1'!$H$89</f>
        <v>0</v>
      </c>
      <c r="C44" s="110">
        <f>'T2'!$H$89</f>
        <v>0</v>
      </c>
      <c r="D44" s="110">
        <f>'T3'!$H$89</f>
        <v>0</v>
      </c>
      <c r="E44" s="110">
        <f>'T4'!$H$89</f>
        <v>0</v>
      </c>
      <c r="F44" s="110">
        <f>'T5'!$H$89</f>
        <v>0</v>
      </c>
      <c r="G44" s="110">
        <f>'T6'!$H$89</f>
        <v>0</v>
      </c>
      <c r="H44" s="113"/>
      <c r="I44" s="113"/>
      <c r="J44" s="94"/>
      <c r="K44" s="107" t="str">
        <f>IF($B$76=0,"—",TEXT($B$76*8,"0")&amp;"–"&amp;TEXT($B$76*13,"0"))</f>
        <v>8–13</v>
      </c>
      <c r="L44" s="108" t="str">
        <f>IF($B$76=0,"",IF(AVERAGE($B44:$G44)&lt;$B$76*8,"▼ poniżej",IF(AVERAGE($B44:$G44)&gt;$B$76*13,"▲ powyżej","✓ w normie")))</f>
        <v>▼ poniżej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114" t="s">
        <v>805</v>
      </c>
      <c r="B45" s="110">
        <f>'T1'!$H$90</f>
        <v>0</v>
      </c>
      <c r="C45" s="110">
        <f>'T2'!$H$90</f>
        <v>0</v>
      </c>
      <c r="D45" s="110">
        <f>'T3'!$H$90</f>
        <v>0</v>
      </c>
      <c r="E45" s="110">
        <f>'T4'!$H$90</f>
        <v>0</v>
      </c>
      <c r="F45" s="110">
        <f>'T5'!$H$90</f>
        <v>0</v>
      </c>
      <c r="G45" s="110">
        <f>'T6'!$H$90</f>
        <v>0</v>
      </c>
      <c r="H45" s="94"/>
      <c r="I45" s="94"/>
      <c r="J45" s="94"/>
      <c r="K45" s="107" t="str">
        <f>IF($B$76=0,"—",TEXT($B$76*7,"0")&amp;"–"&amp;TEXT($B$76*11,"0"))</f>
        <v>7–11</v>
      </c>
      <c r="L45" s="108" t="str">
        <f>IF($B$76=0,"",IF(AVERAGE($B45:$G45)&lt;$B$76*7,"▼ poniżej",IF(AVERAGE($B45:$G45)&gt;$B$76*11,"▲ powyżej","✓ w normie")))</f>
        <v>▼ poniżej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114" t="s">
        <v>806</v>
      </c>
      <c r="B46" s="110">
        <f>'T1'!$H$91</f>
        <v>3</v>
      </c>
      <c r="C46" s="110">
        <f>'T2'!$H$91</f>
        <v>3</v>
      </c>
      <c r="D46" s="110">
        <f>'T3'!$H$91</f>
        <v>3</v>
      </c>
      <c r="E46" s="110">
        <f>'T4'!$H$91</f>
        <v>3</v>
      </c>
      <c r="F46" s="110">
        <f>'T5'!$H$91</f>
        <v>3</v>
      </c>
      <c r="G46" s="110">
        <f>'T6'!$H$91</f>
        <v>3</v>
      </c>
      <c r="H46" s="94"/>
      <c r="I46" s="94"/>
      <c r="J46" s="94"/>
      <c r="K46" s="107" t="str">
        <f>IF($B$76=0,"—",TEXT($B$76*3,"0")&amp;"–"&amp;TEXT($B$76*6,"0"))</f>
        <v>3–6</v>
      </c>
      <c r="L46" s="108" t="str">
        <f>IF($B$76=0,"",IF(AVERAGE($B46:$G46)&lt;$B$76*3,"▼ poniżej",IF(AVERAGE($B46:$G46)&gt;$B$76*6,"▲ powyżej","✓ w normie")))</f>
        <v>✓ w normie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96" t="s">
        <v>827</v>
      </c>
      <c r="B47" s="118">
        <f>'T1'!$H$94</f>
        <v>3</v>
      </c>
      <c r="C47" s="118">
        <f>'T2'!$H$94</f>
        <v>3</v>
      </c>
      <c r="D47" s="118">
        <f>'T3'!$H$94</f>
        <v>3</v>
      </c>
      <c r="E47" s="118">
        <f>'T4'!$H$94</f>
        <v>3</v>
      </c>
      <c r="F47" s="118">
        <f>'T5'!$H$94</f>
        <v>3</v>
      </c>
      <c r="G47" s="118">
        <f>'T6'!$H$94</f>
        <v>3</v>
      </c>
      <c r="H47" s="94"/>
      <c r="I47" s="94"/>
      <c r="J47" s="94"/>
      <c r="K47" s="94"/>
      <c r="L47" s="94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1.75" customHeight="1">
      <c r="A48" s="94"/>
      <c r="B48" s="119"/>
      <c r="C48" s="119"/>
      <c r="D48" s="119"/>
      <c r="E48" s="119"/>
      <c r="F48" s="119"/>
      <c r="G48" s="119"/>
      <c r="H48" s="113"/>
      <c r="I48" s="113"/>
      <c r="J48" s="94"/>
      <c r="K48" s="94"/>
      <c r="L48" s="94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100" t="s">
        <v>20</v>
      </c>
      <c r="B49" s="116" t="s">
        <v>821</v>
      </c>
      <c r="C49" s="116" t="s">
        <v>822</v>
      </c>
      <c r="D49" s="116" t="s">
        <v>823</v>
      </c>
      <c r="E49" s="116" t="s">
        <v>824</v>
      </c>
      <c r="F49" s="116" t="s">
        <v>825</v>
      </c>
      <c r="G49" s="116" t="s">
        <v>826</v>
      </c>
      <c r="H49" s="117"/>
      <c r="I49" s="117"/>
      <c r="J49" s="101"/>
      <c r="K49" s="94"/>
      <c r="L49" s="94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114" t="s">
        <v>802</v>
      </c>
      <c r="B50" s="110">
        <f>'T1'!$I$87</f>
        <v>0</v>
      </c>
      <c r="C50" s="110">
        <f>'T2'!$I$87</f>
        <v>0</v>
      </c>
      <c r="D50" s="110">
        <f>'T3'!$I$87</f>
        <v>0</v>
      </c>
      <c r="E50" s="110">
        <f>'T4'!$I$87</f>
        <v>0</v>
      </c>
      <c r="F50" s="110">
        <f>'T5'!$I$87</f>
        <v>0</v>
      </c>
      <c r="G50" s="110">
        <f>'T6'!$I$87</f>
        <v>0</v>
      </c>
      <c r="H50" s="113"/>
      <c r="I50" s="113"/>
      <c r="J50" s="94"/>
      <c r="K50" s="94"/>
      <c r="L50" s="94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114" t="s">
        <v>803</v>
      </c>
      <c r="B51" s="110">
        <f>'T1'!$I$88</f>
        <v>0</v>
      </c>
      <c r="C51" s="110">
        <f>'T2'!$I$88</f>
        <v>0</v>
      </c>
      <c r="D51" s="110">
        <f>'T3'!$I$88</f>
        <v>0</v>
      </c>
      <c r="E51" s="110">
        <f>'T4'!$I$88</f>
        <v>0</v>
      </c>
      <c r="F51" s="110">
        <f>'T5'!$I$88</f>
        <v>0</v>
      </c>
      <c r="G51" s="110">
        <f>'T6'!$I$88</f>
        <v>0</v>
      </c>
      <c r="H51" s="113"/>
      <c r="I51" s="113"/>
      <c r="J51" s="94"/>
      <c r="K51" s="94"/>
      <c r="L51" s="94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114" t="s">
        <v>804</v>
      </c>
      <c r="B52" s="110">
        <f>'T1'!$I$89</f>
        <v>0</v>
      </c>
      <c r="C52" s="110">
        <f>'T2'!$I$89</f>
        <v>0</v>
      </c>
      <c r="D52" s="110">
        <f>'T3'!$I$89</f>
        <v>0</v>
      </c>
      <c r="E52" s="110">
        <f>'T4'!$I$89</f>
        <v>0</v>
      </c>
      <c r="F52" s="110">
        <f>'T5'!$I$89</f>
        <v>0</v>
      </c>
      <c r="G52" s="110">
        <f>'T6'!$I$89</f>
        <v>0</v>
      </c>
      <c r="H52" s="113"/>
      <c r="I52" s="113"/>
      <c r="J52" s="94"/>
      <c r="K52" s="94"/>
      <c r="L52" s="94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114" t="s">
        <v>805</v>
      </c>
      <c r="B53" s="110">
        <f>'T1'!$I$90</f>
        <v>0</v>
      </c>
      <c r="C53" s="110">
        <f>'T2'!$I$90</f>
        <v>0</v>
      </c>
      <c r="D53" s="110">
        <f>'T3'!$I$90</f>
        <v>0</v>
      </c>
      <c r="E53" s="110">
        <f>'T4'!$I$90</f>
        <v>0</v>
      </c>
      <c r="F53" s="110">
        <f>'T5'!$I$90</f>
        <v>0</v>
      </c>
      <c r="G53" s="110">
        <f>'T6'!$I$90</f>
        <v>0</v>
      </c>
      <c r="H53" s="94"/>
      <c r="I53" s="94"/>
      <c r="J53" s="94"/>
      <c r="K53" s="94"/>
      <c r="L53" s="94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114" t="s">
        <v>806</v>
      </c>
      <c r="B54" s="110">
        <f>'T1'!$I$91</f>
        <v>30</v>
      </c>
      <c r="C54" s="110">
        <f>'T2'!$I$91</f>
        <v>33</v>
      </c>
      <c r="D54" s="110">
        <f>'T3'!$I$91</f>
        <v>36</v>
      </c>
      <c r="E54" s="110">
        <f>'T4'!$I$91</f>
        <v>30</v>
      </c>
      <c r="F54" s="110">
        <f>'T5'!$I$91</f>
        <v>33</v>
      </c>
      <c r="G54" s="110">
        <f>'T6'!$I$91</f>
        <v>36</v>
      </c>
      <c r="H54" s="94"/>
      <c r="I54" s="94"/>
      <c r="J54" s="94"/>
      <c r="K54" s="94"/>
      <c r="L54" s="94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96" t="s">
        <v>827</v>
      </c>
      <c r="B55" s="118">
        <f>'T1'!$I$94</f>
        <v>30</v>
      </c>
      <c r="C55" s="118">
        <f>'T2'!$I$94</f>
        <v>33</v>
      </c>
      <c r="D55" s="118">
        <f>'T3'!$I$94</f>
        <v>36</v>
      </c>
      <c r="E55" s="118">
        <f>'T4'!$I$94</f>
        <v>30</v>
      </c>
      <c r="F55" s="118">
        <f>'T5'!$I$94</f>
        <v>33</v>
      </c>
      <c r="G55" s="118">
        <f>'T6'!$I$94</f>
        <v>36</v>
      </c>
      <c r="H55" s="94"/>
      <c r="I55" s="94"/>
      <c r="J55" s="94"/>
      <c r="K55" s="94"/>
      <c r="L55" s="94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1.75" customHeight="1">
      <c r="A57" s="8" t="s">
        <v>828</v>
      </c>
      <c r="B57" s="3"/>
      <c r="C57" s="3"/>
      <c r="D57" s="3"/>
      <c r="E57" s="3"/>
      <c r="F57" s="3"/>
      <c r="G57" s="3"/>
      <c r="H57" s="3"/>
      <c r="I57" s="3"/>
      <c r="J57" s="4"/>
      <c r="K57" s="94"/>
      <c r="L57" s="94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100"/>
      <c r="B58" s="101" t="s">
        <v>821</v>
      </c>
      <c r="C58" s="101" t="s">
        <v>822</v>
      </c>
      <c r="D58" s="101" t="s">
        <v>823</v>
      </c>
      <c r="E58" s="101" t="s">
        <v>824</v>
      </c>
      <c r="F58" s="101" t="s">
        <v>825</v>
      </c>
      <c r="G58" s="101" t="s">
        <v>826</v>
      </c>
      <c r="H58" s="101"/>
      <c r="I58" s="101"/>
      <c r="J58" s="101"/>
      <c r="K58" s="94"/>
      <c r="L58" s="94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96" t="s">
        <v>829</v>
      </c>
      <c r="B59" s="115">
        <f>COUNTIF('T1'!$C$7:$C$18,"?*")+COUNTIF('T1'!$C$23:$C$34,"?*")+COUNTIF('T1'!$C$39:$C$50,"?*")+COUNTIF('T1'!$C$55:$C$66,"?*")+COUNTIF('T1'!$C$71:$C$82,"?*")</f>
        <v>1</v>
      </c>
      <c r="C59" s="115">
        <f>COUNTIF('T1'!$C$7:$C$18,"?*")+COUNTIF('T1'!$C$23:$C$34,"?*")+COUNTIF('T1'!$C$39:$C$50,"?*")+COUNTIF('T1'!$C$55:$C$66,"?*")+COUNTIF('T1'!$C$71:$C$82,"?*")</f>
        <v>1</v>
      </c>
      <c r="D59" s="115">
        <f>COUNTIF('T1'!$C$7:$C$18,"?*")+COUNTIF('T1'!$C$23:$C$34,"?*")+COUNTIF('T1'!$C$39:$C$50,"?*")+COUNTIF('T1'!$C$55:$C$66,"?*")+COUNTIF('T1'!$C$71:$C$82,"?*")</f>
        <v>1</v>
      </c>
      <c r="E59" s="115">
        <f>COUNTIF('T1'!$C$7:$C$18,"?*")+COUNTIF('T1'!$C$23:$C$34,"?*")+COUNTIF('T1'!$C$39:$C$50,"?*")+COUNTIF('T1'!$C$55:$C$66,"?*")+COUNTIF('T1'!$C$71:$C$82,"?*")</f>
        <v>1</v>
      </c>
      <c r="F59" s="115">
        <f>COUNTIF('T1'!$C$7:$C$18,"?*")+COUNTIF('T1'!$C$23:$C$34,"?*")+COUNTIF('T1'!$C$39:$C$50,"?*")+COUNTIF('T1'!$C$55:$C$66,"?*")+COUNTIF('T1'!$C$71:$C$82,"?*")</f>
        <v>1</v>
      </c>
      <c r="G59" s="115">
        <f>COUNTIF('T1'!$C$7:$C$18,"?*")+COUNTIF('T1'!$C$23:$C$34,"?*")+COUNTIF('T1'!$C$39:$C$50,"?*")+COUNTIF('T1'!$C$55:$C$66,"?*")+COUNTIF('T1'!$C$71:$C$82,"?*")</f>
        <v>1</v>
      </c>
      <c r="H59" s="94"/>
      <c r="I59" s="94"/>
      <c r="J59" s="94"/>
      <c r="K59" s="94"/>
      <c r="L59" s="94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114" t="s">
        <v>830</v>
      </c>
      <c r="B60" s="108">
        <f>COUNTIF('T1'!$AB$7:$AB$18,"?*")+COUNTIF('T1'!$AB$23:$AB$34,"?*")+COUNTIF('T1'!$AB$39:$AB$50,"?*")+COUNTIF('T1'!$AB$55:$AB$66,"?*")+COUNTIF('T1'!$AB$71:$AB$82,"?*")</f>
        <v>0</v>
      </c>
      <c r="C60" s="108">
        <f>COUNTIF('T2'!$AB$7:$AB$18,"?*")+COUNTIF('T2'!$AB$23:$AB$34,"?*")+COUNTIF('T2'!$AB$39:$AB$50,"?*")+COUNTIF('T2'!$AB$55:$AB$66,"?*")+COUNTIF('T2'!$AB$71:$AB$82,"?*")</f>
        <v>0</v>
      </c>
      <c r="D60" s="108">
        <f>COUNTIF('T3'!$AB$7:$AB$18,"?*")+COUNTIF('T3'!$AB$23:$AB$34,"?*")+COUNTIF('T3'!$AB$39:$AB$50,"?*")+COUNTIF('T3'!$AB$55:$AB$66,"?*")+COUNTIF('T3'!$AB$71:$AB$82,"?*")</f>
        <v>0</v>
      </c>
      <c r="E60" s="108">
        <f>COUNTIF('T4'!$AB$7:$AB$18,"?*")+COUNTIF('T4'!$AB$23:$AB$34,"?*")+COUNTIF('T4'!$AB$39:$AB$50,"?*")+COUNTIF('T4'!$AB$55:$AB$66,"?*")+COUNTIF('T4'!$AB$71:$AB$82,"?*")</f>
        <v>0</v>
      </c>
      <c r="F60" s="108">
        <f>COUNTIF('T5'!$AB$7:$AB$18,"?*")+COUNTIF('T5'!$AB$23:$AB$34,"?*")+COUNTIF('T5'!$AB$39:$AB$50,"?*")+COUNTIF('T5'!$AB$55:$AB$66,"?*")+COUNTIF('T5'!$AB$71:$AB$82,"?*")</f>
        <v>0</v>
      </c>
      <c r="G60" s="108">
        <f>COUNTIF('T6'!$AB$7:$AB$18,"?*")+COUNTIF('T6'!$AB$23:$AB$34,"?*")+COUNTIF('T6'!$AB$39:$AB$50,"?*")+COUNTIF('T6'!$AB$55:$AB$66,"?*")+COUNTIF('T6'!$AB$71:$AB$82,"?*")</f>
        <v>0</v>
      </c>
      <c r="H60" s="94"/>
      <c r="I60" s="94"/>
      <c r="J60" s="94"/>
      <c r="K60" s="94"/>
      <c r="L60" s="94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114" t="s">
        <v>831</v>
      </c>
      <c r="B61" s="108">
        <f>COUNTIF('T1'!$AB$7:$AB$18,"za łatwe")+COUNTIF('T1'!$AB$23:$AB$34,"za łatwe")+COUNTIF('T1'!$AB$39:$AB$50,"za łatwe")+COUNTIF('T1'!$AB$55:$AB$66,"za łatwe")+COUNTIF('T1'!$AB$71:$AB$82,"za łatwe")</f>
        <v>0</v>
      </c>
      <c r="C61" s="108">
        <f>COUNTIF('T2'!$AB$7:$AB$18,"za łatwe")+COUNTIF('T2'!$AB$23:$AB$34,"za łatwe")+COUNTIF('T2'!$AB$39:$AB$50,"za łatwe")+COUNTIF('T2'!$AB$55:$AB$66,"za łatwe")+COUNTIF('T2'!$AB$71:$AB$82,"za łatwe")</f>
        <v>0</v>
      </c>
      <c r="D61" s="108">
        <f>COUNTIF('T3'!$AB$7:$AB$18,"za łatwe")+COUNTIF('T3'!$AB$23:$AB$34,"za łatwe")+COUNTIF('T3'!$AB$39:$AB$50,"za łatwe")+COUNTIF('T3'!$AB$55:$AB$66,"za łatwe")+COUNTIF('T3'!$AB$71:$AB$82,"za łatwe")</f>
        <v>0</v>
      </c>
      <c r="E61" s="108">
        <f>COUNTIF('T4'!$AB$7:$AB$18,"za łatwe")+COUNTIF('T4'!$AB$23:$AB$34,"za łatwe")+COUNTIF('T4'!$AB$39:$AB$50,"za łatwe")+COUNTIF('T4'!$AB$55:$AB$66,"za łatwe")+COUNTIF('T4'!$AB$71:$AB$82,"za łatwe")</f>
        <v>0</v>
      </c>
      <c r="F61" s="108">
        <f>COUNTIF('T5'!$AB$7:$AB$18,"za łatwe")+COUNTIF('T5'!$AB$23:$AB$34,"za łatwe")+COUNTIF('T5'!$AB$39:$AB$50,"za łatwe")+COUNTIF('T5'!$AB$55:$AB$66,"za łatwe")+COUNTIF('T5'!$AB$71:$AB$82,"za łatwe")</f>
        <v>0</v>
      </c>
      <c r="G61" s="108">
        <f>COUNTIF('T6'!$AB$7:$AB$18,"za łatwe")+COUNTIF('T6'!$AB$23:$AB$34,"za łatwe")+COUNTIF('T6'!$AB$39:$AB$50,"za łatwe")+COUNTIF('T6'!$AB$55:$AB$66,"za łatwe")+COUNTIF('T6'!$AB$71:$AB$82,"za łatwe")</f>
        <v>0</v>
      </c>
      <c r="H61" s="94"/>
      <c r="I61" s="94"/>
      <c r="J61" s="94"/>
      <c r="K61" s="94"/>
      <c r="L61" s="94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114" t="s">
        <v>832</v>
      </c>
      <c r="B62" s="108">
        <f>COUNTIF('T1'!$AB$7:$AB$18,"za trudne")+COUNTIF('T1'!$AB$23:$AB$34,"za trudne")+COUNTIF('T1'!$AB$39:$AB$50,"za trudne")+COUNTIF('T1'!$AB$55:$AB$66,"za trudne")+COUNTIF('T1'!$AB$71:$AB$82,"za trudne")</f>
        <v>0</v>
      </c>
      <c r="C62" s="108">
        <f>COUNTIF('T2'!$AB$7:$AB$18,"za trudne")+COUNTIF('T2'!$AB$23:$AB$34,"za trudne")+COUNTIF('T2'!$AB$39:$AB$50,"za trudne")+COUNTIF('T2'!$AB$55:$AB$66,"za trudne")+COUNTIF('T2'!$AB$71:$AB$82,"za trudne")</f>
        <v>0</v>
      </c>
      <c r="D62" s="108">
        <f>COUNTIF('T3'!$AB$7:$AB$18,"za trudne")+COUNTIF('T3'!$AB$23:$AB$34,"za trudne")+COUNTIF('T3'!$AB$39:$AB$50,"za trudne")+COUNTIF('T3'!$AB$55:$AB$66,"za trudne")+COUNTIF('T3'!$AB$71:$AB$82,"za trudne")</f>
        <v>0</v>
      </c>
      <c r="E62" s="108">
        <f>COUNTIF('T4'!$AB$7:$AB$18,"za trudne")+COUNTIF('T4'!$AB$23:$AB$34,"za trudne")+COUNTIF('T4'!$AB$39:$AB$50,"za trudne")+COUNTIF('T4'!$AB$55:$AB$66,"za trudne")+COUNTIF('T4'!$AB$71:$AB$82,"za trudne")</f>
        <v>0</v>
      </c>
      <c r="F62" s="108">
        <f>COUNTIF('T5'!$AB$7:$AB$18,"za trudne")+COUNTIF('T5'!$AB$23:$AB$34,"za trudne")+COUNTIF('T5'!$AB$39:$AB$50,"za trudne")+COUNTIF('T5'!$AB$55:$AB$66,"za trudne")+COUNTIF('T5'!$AB$71:$AB$82,"za trudne")</f>
        <v>0</v>
      </c>
      <c r="G62" s="108">
        <f>COUNTIF('T6'!$AB$7:$AB$18,"za trudne")+COUNTIF('T6'!$AB$23:$AB$34,"za trudne")+COUNTIF('T6'!$AB$39:$AB$50,"za trudne")+COUNTIF('T6'!$AB$55:$AB$66,"za trudne")+COUNTIF('T6'!$AB$71:$AB$82,"za trudne")</f>
        <v>0</v>
      </c>
      <c r="H62" s="94"/>
      <c r="I62" s="94"/>
      <c r="J62" s="94"/>
      <c r="K62" s="94"/>
      <c r="L62" s="94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96" t="s">
        <v>833</v>
      </c>
      <c r="B63" s="115" t="str">
        <f>IF((COUNTIF('T1'!$C$7:$C$18,"?*")+COUNTIF('T1'!$C$23:$C$34,"?*")+COUNTIF('T1'!$C$39:$C$50,"?*")+COUNTIF('T1'!$C$55:$C$66,"?*")+COUNTIF('T1'!$C$71:$C$82,"?*"))=0,"",TEXT((SUMPRODUCT(('T1'!$C$7:$C$18&lt;&gt;"")*('T1'!$AC$7:$AC$18))+SUMPRODUCT(('T1'!$C$23:$C$34&lt;&gt;"")*('T1'!$AC$23:$AC$34))+SUMPRODUCT(('T1'!$C$39:$C$50&lt;&gt;"")*('T1'!$AC$39:$AC$50))+SUMPRODUCT(('T1'!$C$55:$C$66&lt;&gt;"")*('T1'!$AC$55:$AC$66))+SUMPRODUCT(('T1'!$C$71:$C$82&lt;&gt;"")*('T1'!$AC$71:$AC$82)))/(COUNTIF('T1'!$C$7:$C$18,"?*")+COUNTIF('T1'!$C$23:$C$34,"?*")+COUNTIF('T1'!$C$39:$C$50,"?*")+COUNTIF('T1'!$C$55:$C$66,"?*")+COUNTIF('T1'!$C$71:$C$82,"?*"))-1,"+0%;-0%;0%"))</f>
        <v>0%</v>
      </c>
      <c r="C63" s="115" t="str">
        <f>IF((COUNTIF('T2'!$C$7:$C$18,"?*")+COUNTIF('T2'!$C$23:$C$34,"?*")+COUNTIF('T2'!$C$39:$C$50,"?*")+COUNTIF('T2'!$C$55:$C$66,"?*")+COUNTIF('T2'!$C$71:$C$82,"?*"))=0,"",TEXT((SUMPRODUCT(('T2'!$C$7:$C$18&lt;&gt;"")*('T2'!$AC$7:$AC$18))+SUMPRODUCT(('T2'!$C$23:$C$34&lt;&gt;"")*('T2'!$AC$23:$AC$34))+SUMPRODUCT(('T2'!$C$39:$C$50&lt;&gt;"")*('T2'!$AC$39:$AC$50))+SUMPRODUCT(('T2'!$C$55:$C$66&lt;&gt;"")*('T2'!$AC$55:$AC$66))+SUMPRODUCT(('T2'!$C$71:$C$82&lt;&gt;"")*('T2'!$AC$71:$AC$82)))/(COUNTIF('T2'!$C$7:$C$18,"?*")+COUNTIF('T2'!$C$23:$C$34,"?*")+COUNTIF('T2'!$C$39:$C$50,"?*")+COUNTIF('T2'!$C$55:$C$66,"?*")+COUNTIF('T2'!$C$71:$C$82,"?*"))-1,"+0%;-0%;0%"))</f>
        <v>0%</v>
      </c>
      <c r="D63" s="115" t="str">
        <f>IF((COUNTIF('T3'!$C$7:$C$18,"?*")+COUNTIF('T3'!$C$23:$C$34,"?*")+COUNTIF('T3'!$C$39:$C$50,"?*")+COUNTIF('T3'!$C$55:$C$66,"?*")+COUNTIF('T3'!$C$71:$C$82,"?*"))=0,"",TEXT((SUMPRODUCT(('T3'!$C$7:$C$18&lt;&gt;"")*('T3'!$AC$7:$AC$18))+SUMPRODUCT(('T3'!$C$23:$C$34&lt;&gt;"")*('T3'!$AC$23:$AC$34))+SUMPRODUCT(('T3'!$C$39:$C$50&lt;&gt;"")*('T3'!$AC$39:$AC$50))+SUMPRODUCT(('T3'!$C$55:$C$66&lt;&gt;"")*('T3'!$AC$55:$AC$66))+SUMPRODUCT(('T3'!$C$71:$C$82&lt;&gt;"")*('T3'!$AC$71:$AC$82)))/(COUNTIF('T3'!$C$7:$C$18,"?*")+COUNTIF('T3'!$C$23:$C$34,"?*")+COUNTIF('T3'!$C$39:$C$50,"?*")+COUNTIF('T3'!$C$55:$C$66,"?*")+COUNTIF('T3'!$C$71:$C$82,"?*"))-1,"+0%;-0%;0%"))</f>
        <v>0%</v>
      </c>
      <c r="E63" s="115" t="str">
        <f>IF((COUNTIF('T4'!$C$7:$C$18,"?*")+COUNTIF('T4'!$C$23:$C$34,"?*")+COUNTIF('T4'!$C$39:$C$50,"?*")+COUNTIF('T4'!$C$55:$C$66,"?*")+COUNTIF('T4'!$C$71:$C$82,"?*"))=0,"",TEXT((SUMPRODUCT(('T4'!$C$7:$C$18&lt;&gt;"")*('T4'!$AC$7:$AC$18))+SUMPRODUCT(('T4'!$C$23:$C$34&lt;&gt;"")*('T4'!$AC$23:$AC$34))+SUMPRODUCT(('T4'!$C$39:$C$50&lt;&gt;"")*('T4'!$AC$39:$AC$50))+SUMPRODUCT(('T4'!$C$55:$C$66&lt;&gt;"")*('T4'!$AC$55:$AC$66))+SUMPRODUCT(('T4'!$C$71:$C$82&lt;&gt;"")*('T4'!$AC$71:$AC$82)))/(COUNTIF('T4'!$C$7:$C$18,"?*")+COUNTIF('T4'!$C$23:$C$34,"?*")+COUNTIF('T4'!$C$39:$C$50,"?*")+COUNTIF('T4'!$C$55:$C$66,"?*")+COUNTIF('T4'!$C$71:$C$82,"?*"))-1,"+0%;-0%;0%"))</f>
        <v>0%</v>
      </c>
      <c r="F63" s="115" t="str">
        <f>IF((COUNTIF('T5'!$C$7:$C$18,"?*")+COUNTIF('T5'!$C$23:$C$34,"?*")+COUNTIF('T5'!$C$39:$C$50,"?*")+COUNTIF('T5'!$C$55:$C$66,"?*")+COUNTIF('T5'!$C$71:$C$82,"?*"))=0,"",TEXT((SUMPRODUCT(('T5'!$C$7:$C$18&lt;&gt;"")*('T5'!$AC$7:$AC$18))+SUMPRODUCT(('T5'!$C$23:$C$34&lt;&gt;"")*('T5'!$AC$23:$AC$34))+SUMPRODUCT(('T5'!$C$39:$C$50&lt;&gt;"")*('T5'!$AC$39:$AC$50))+SUMPRODUCT(('T5'!$C$55:$C$66&lt;&gt;"")*('T5'!$AC$55:$AC$66))+SUMPRODUCT(('T5'!$C$71:$C$82&lt;&gt;"")*('T5'!$AC$71:$AC$82)))/(COUNTIF('T5'!$C$7:$C$18,"?*")+COUNTIF('T5'!$C$23:$C$34,"?*")+COUNTIF('T5'!$C$39:$C$50,"?*")+COUNTIF('T5'!$C$55:$C$66,"?*")+COUNTIF('T5'!$C$71:$C$82,"?*"))-1,"+0%;-0%;0%"))</f>
        <v>0%</v>
      </c>
      <c r="G63" s="115" t="str">
        <f>IF((COUNTIF('T6'!$C$7:$C$18,"?*")+COUNTIF('T6'!$C$23:$C$34,"?*")+COUNTIF('T6'!$C$39:$C$50,"?*")+COUNTIF('T6'!$C$55:$C$66,"?*")+COUNTIF('T6'!$C$71:$C$82,"?*"))=0,"",TEXT((SUMPRODUCT(('T6'!$C$7:$C$18&lt;&gt;"")*('T6'!$AC$7:$AC$18))+SUMPRODUCT(('T6'!$C$23:$C$34&lt;&gt;"")*('T6'!$AC$23:$AC$34))+SUMPRODUCT(('T6'!$C$39:$C$50&lt;&gt;"")*('T6'!$AC$39:$AC$50))+SUMPRODUCT(('T6'!$C$55:$C$66&lt;&gt;"")*('T6'!$AC$55:$AC$66))+SUMPRODUCT(('T6'!$C$71:$C$82&lt;&gt;"")*('T6'!$AC$71:$AC$82)))/(COUNTIF('T6'!$C$7:$C$18,"?*")+COUNTIF('T6'!$C$23:$C$34,"?*")+COUNTIF('T6'!$C$39:$C$50,"?*")+COUNTIF('T6'!$C$55:$C$66,"?*")+COUNTIF('T6'!$C$71:$C$82,"?*"))-1,"+0%;-0%;0%"))</f>
        <v>0%</v>
      </c>
      <c r="H63" s="94"/>
      <c r="I63" s="94"/>
      <c r="J63" s="94"/>
      <c r="K63" s="94"/>
      <c r="L63" s="94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1.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1.75" customHeight="1">
      <c r="A65" s="8" t="s">
        <v>837</v>
      </c>
      <c r="B65" s="3"/>
      <c r="C65" s="3"/>
      <c r="D65" s="3"/>
      <c r="E65" s="3"/>
      <c r="F65" s="3"/>
      <c r="G65" s="3"/>
      <c r="H65" s="3"/>
      <c r="I65" s="3"/>
      <c r="J65" s="4"/>
      <c r="K65" s="94"/>
      <c r="L65" s="94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114" t="s">
        <v>838</v>
      </c>
      <c r="B66" s="115">
        <f>COUNTIF('T1'!$C$7:$C$18,"?*")+COUNTIF('T1'!$C$23:$C$34,"?*")+COUNTIF('T1'!$C$39:$C$50,"?*")+COUNTIF('T1'!$C$55:$C$66,"?*")+COUNTIF('T1'!$C$71:$C$82,"?*")</f>
        <v>1</v>
      </c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114" t="s">
        <v>839</v>
      </c>
      <c r="B67" s="115">
        <f>COUNT(START!$E$5:$E$69)</f>
        <v>1</v>
      </c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114" t="s">
        <v>840</v>
      </c>
      <c r="B68" s="115">
        <f>SUMPRODUCT(('T1'!$J$7:$J$18&lt;&gt;"")*('T1'!$C$7:$C$18=""))+SUMPRODUCT(('T1'!$J$23:$J$34&lt;&gt;"")*('T1'!$C$23:$C$34=""))+SUMPRODUCT(('T1'!$J$39:$J$50&lt;&gt;"")*('T1'!$C$39:$C$50=""))+SUMPRODUCT(('T1'!$J$55:$J$66&lt;&gt;"")*('T1'!$C$55:$C$66=""))+SUMPRODUCT(('T1'!$J$71:$J$82&lt;&gt;"")*('T1'!$C$71:$C$82=""))</f>
        <v>0</v>
      </c>
      <c r="C68" s="114" t="str">
        <f t="shared" ref="C68:C75" si="10">IF($B68=0,"✓  w porządku","⚠  sprawdź")</f>
        <v>✓  w porządku</v>
      </c>
      <c r="D68" s="104"/>
      <c r="E68" s="104"/>
      <c r="F68" s="104"/>
      <c r="G68" s="94"/>
      <c r="H68" s="94"/>
      <c r="I68" s="94"/>
      <c r="J68" s="94"/>
      <c r="K68" s="94"/>
      <c r="L68" s="94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114" t="s">
        <v>841</v>
      </c>
      <c r="B69" s="115">
        <f>SUMPRODUCT(('T1'!$C$7:$C$18&lt;&gt;"")*('T1'!$J$7:$J$18&lt;&gt;"")*('T1'!$N$7:$N$18&lt;&gt;'T1'!$J$7:$J$18))+SUMPRODUCT(('T1'!$C$23:$C$34&lt;&gt;"")*('T1'!$J$23:$J$34&lt;&gt;"")*('T1'!$N$23:$N$34&lt;&gt;'T1'!$J$23:$J$34))+SUMPRODUCT(('T1'!$C$39:$C$50&lt;&gt;"")*('T1'!$J$39:$J$50&lt;&gt;"")*('T1'!$N$39:$N$50&lt;&gt;'T1'!$J$39:$J$50))+SUMPRODUCT(('T1'!$C$55:$C$66&lt;&gt;"")*('T1'!$J$55:$J$66&lt;&gt;"")*('T1'!$N$55:$N$66&lt;&gt;'T1'!$J$55:$J$66))+SUMPRODUCT(('T1'!$C$71:$C$82&lt;&gt;"")*('T1'!$J$71:$J$82&lt;&gt;"")*('T1'!$N$71:$N$82&lt;&gt;'T1'!$J$71:$J$82))</f>
        <v>0</v>
      </c>
      <c r="C69" s="114" t="str">
        <f t="shared" si="10"/>
        <v>✓  w porządku</v>
      </c>
      <c r="D69" s="104"/>
      <c r="E69" s="104"/>
      <c r="F69" s="104"/>
      <c r="G69" s="94"/>
      <c r="H69" s="94"/>
      <c r="I69" s="94"/>
      <c r="J69" s="94"/>
      <c r="K69" s="94"/>
      <c r="L69" s="94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114" t="s">
        <v>842</v>
      </c>
      <c r="B70" s="115">
        <f>SUMPRODUCT(('T1'!$C$7:$C$18&lt;&gt;"")*('T1'!$I$7:$I$18=""))+SUMPRODUCT(('T1'!$C$23:$C$34&lt;&gt;"")*('T1'!$I$23:$I$34=""))+SUMPRODUCT(('T1'!$C$39:$C$50&lt;&gt;"")*('T1'!$I$39:$I$50=""))+SUMPRODUCT(('T1'!$C$55:$C$66&lt;&gt;"")*('T1'!$I$55:$I$66=""))+SUMPRODUCT(('T1'!$C$71:$C$82&lt;&gt;"")*('T1'!$I$71:$I$82=""))</f>
        <v>0</v>
      </c>
      <c r="C70" s="114" t="str">
        <f t="shared" si="10"/>
        <v>✓  w porządku</v>
      </c>
      <c r="D70" s="104"/>
      <c r="E70" s="104"/>
      <c r="F70" s="104"/>
      <c r="G70" s="94"/>
      <c r="H70" s="94"/>
      <c r="I70" s="94"/>
      <c r="J70" s="94"/>
      <c r="K70" s="94"/>
      <c r="L70" s="94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114" t="s">
        <v>843</v>
      </c>
      <c r="B71" s="115">
        <f>SUMPRODUCT(--(LEFT('T1'!$W$7:$W$18,14)="DO WERYFIKACJI"))+SUMPRODUCT(--(LEFT('T1'!$W$23:$W$34,14)="DO WERYFIKACJI"))+SUMPRODUCT(--(LEFT('T1'!$W$39:$W$50,14)="DO WERYFIKACJI"))+SUMPRODUCT(--(LEFT('T1'!$W$55:$W$66,14)="DO WERYFIKACJI"))+SUMPRODUCT(--(LEFT('T1'!$W$71:$W$82,14)="DO WERYFIKACJI"))</f>
        <v>0</v>
      </c>
      <c r="C71" s="114" t="str">
        <f t="shared" si="10"/>
        <v>✓  w porządku</v>
      </c>
      <c r="D71" s="104"/>
      <c r="E71" s="104"/>
      <c r="F71" s="104"/>
      <c r="G71" s="94"/>
      <c r="H71" s="94"/>
      <c r="I71" s="94"/>
      <c r="J71" s="94"/>
      <c r="K71" s="94"/>
      <c r="L71" s="94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114" t="s">
        <v>846</v>
      </c>
      <c r="B72" s="115">
        <f>COUNTIF('T2'!$G$7:$G$82,"— ustaw ręcznie")+COUNTIF('T3'!$G$7:$G$82,"— ustaw ręcznie")+COUNTIF('T4'!$G$7:$G$82,"— ustaw ręcznie")+COUNTIF('T5'!$G$7:$G$82,"— ustaw ręcznie")+COUNTIF('T6'!$G$7:$G$82,"— ustaw ręcznie")</f>
        <v>0</v>
      </c>
      <c r="C72" s="114" t="str">
        <f t="shared" si="10"/>
        <v>✓  w porządku</v>
      </c>
      <c r="D72" s="104"/>
      <c r="E72" s="104"/>
      <c r="F72" s="104"/>
      <c r="G72" s="94"/>
      <c r="H72" s="94"/>
      <c r="I72" s="94"/>
      <c r="J72" s="94"/>
      <c r="K72" s="94"/>
      <c r="L72" s="94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114" t="s">
        <v>847</v>
      </c>
      <c r="B73" s="115">
        <f>COUNTIF('T1'!$G$7:$G$18,"— brak 1RM")+COUNTIF('T1'!$G$23:$G$34,"— brak 1RM")+COUNTIF('T1'!$G$39:$G$50,"— brak 1RM")+COUNTIF('T1'!$G$55:$G$66,"— brak 1RM")+COUNTIF('T1'!$G$71:$G$82,"— brak 1RM")</f>
        <v>0</v>
      </c>
      <c r="C73" s="114" t="str">
        <f t="shared" si="10"/>
        <v>✓  w porządku</v>
      </c>
      <c r="D73" s="104"/>
      <c r="E73" s="104"/>
      <c r="F73" s="104"/>
      <c r="G73" s="94"/>
      <c r="H73" s="94"/>
      <c r="I73" s="94"/>
      <c r="J73" s="94"/>
      <c r="K73" s="94"/>
      <c r="L73" s="94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114" t="s">
        <v>848</v>
      </c>
      <c r="B74" s="115">
        <f>SUMPRODUCT(('T1'!$C$7:$C$18&lt;&gt;"")*(N('T1'!$E$7:$E$18)&gt;15))+SUMPRODUCT(('T1'!$C$23:$C$34&lt;&gt;"")*(N('T1'!$E$23:$E$34)&gt;15))+SUMPRODUCT(('T1'!$C$39:$C$50&lt;&gt;"")*(N('T1'!$E$39:$E$50)&gt;15))+SUMPRODUCT(('T1'!$C$55:$C$66&lt;&gt;"")*(N('T1'!$E$55:$E$66)&gt;15))+SUMPRODUCT(('T1'!$C$71:$C$82&lt;&gt;"")*(N('T1'!$E$71:$E$82)&gt;15))+SUMPRODUCT(('T2'!$C$7:$C$18&lt;&gt;"")*(N('T2'!$E$7:$E$18)&gt;15))+SUMPRODUCT(('T2'!$C$23:$C$34&lt;&gt;"")*(N('T2'!$E$23:$E$34)&gt;15))+SUMPRODUCT(('T2'!$C$39:$C$50&lt;&gt;"")*(N('T2'!$E$39:$E$50)&gt;15))+SUMPRODUCT(('T2'!$C$55:$C$66&lt;&gt;"")*(N('T2'!$E$55:$E$66)&gt;15))+SUMPRODUCT(('T2'!$C$71:$C$82&lt;&gt;"")*(N('T2'!$E$71:$E$82)&gt;15))+SUMPRODUCT(('T3'!$C$7:$C$18&lt;&gt;"")*(N('T3'!$E$7:$E$18)&gt;15))+SUMPRODUCT(('T3'!$C$23:$C$34&lt;&gt;"")*(N('T3'!$E$23:$E$34)&gt;15))+SUMPRODUCT(('T3'!$C$39:$C$50&lt;&gt;"")*(N('T3'!$E$39:$E$50)&gt;15))+SUMPRODUCT(('T3'!$C$55:$C$66&lt;&gt;"")*(N('T3'!$E$55:$E$66)&gt;15))+SUMPRODUCT(('T3'!$C$71:$C$82&lt;&gt;"")*(N('T3'!$E$71:$E$82)&gt;15))+SUMPRODUCT(('T4'!$C$7:$C$18&lt;&gt;"")*(N('T4'!$E$7:$E$18)&gt;15))+SUMPRODUCT(('T4'!$C$23:$C$34&lt;&gt;"")*(N('T4'!$E$23:$E$34)&gt;15))+SUMPRODUCT(('T4'!$C$39:$C$50&lt;&gt;"")*(N('T4'!$E$39:$E$50)&gt;15))+SUMPRODUCT(('T4'!$C$55:$C$66&lt;&gt;"")*(N('T4'!$E$55:$E$66)&gt;15))+SUMPRODUCT(('T4'!$C$71:$C$82&lt;&gt;"")*(N('T4'!$E$71:$E$82)&gt;15))+SUMPRODUCT(('T5'!$C$7:$C$18&lt;&gt;"")*(N('T5'!$E$7:$E$18)&gt;15))+SUMPRODUCT(('T5'!$C$23:$C$34&lt;&gt;"")*(N('T5'!$E$23:$E$34)&gt;15))+SUMPRODUCT(('T5'!$C$39:$C$50&lt;&gt;"")*(N('T5'!$E$39:$E$50)&gt;15))+SUMPRODUCT(('T5'!$C$55:$C$66&lt;&gt;"")*(N('T5'!$E$55:$E$66)&gt;15))+SUMPRODUCT(('T5'!$C$71:$C$82&lt;&gt;"")*(N('T5'!$E$71:$E$82)&gt;15))+SUMPRODUCT(('T6'!$C$7:$C$18&lt;&gt;"")*(N('T6'!$E$7:$E$18)&gt;15))+SUMPRODUCT(('T6'!$C$23:$C$34&lt;&gt;"")*(N('T6'!$E$23:$E$34)&gt;15))+SUMPRODUCT(('T6'!$C$39:$C$50&lt;&gt;"")*(N('T6'!$E$39:$E$50)&gt;15))+SUMPRODUCT(('T6'!$C$55:$C$66&lt;&gt;"")*(N('T6'!$E$55:$E$66)&gt;15))+SUMPRODUCT(('T6'!$C$71:$C$82&lt;&gt;"")*(N('T6'!$E$71:$E$82)&gt;15))</f>
        <v>0</v>
      </c>
      <c r="C74" s="114" t="str">
        <f t="shared" si="10"/>
        <v>✓  w porządku</v>
      </c>
      <c r="D74" s="104"/>
      <c r="E74" s="104"/>
      <c r="F74" s="104"/>
      <c r="G74" s="94"/>
      <c r="H74" s="94"/>
      <c r="I74" s="94"/>
      <c r="J74" s="94"/>
      <c r="K74" s="94"/>
      <c r="L74" s="94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114" t="s">
        <v>850</v>
      </c>
      <c r="B75" s="115">
        <f>SUMPRODUCT((START!$M$6:$M$69&gt;0)*(START!$M$6:$M$69&lt;&gt;START!$N$6:$N$69))</f>
        <v>1</v>
      </c>
      <c r="C75" s="114" t="str">
        <f t="shared" si="10"/>
        <v>⚠  sprawdź</v>
      </c>
      <c r="D75" s="104"/>
      <c r="E75" s="104"/>
      <c r="F75" s="104"/>
      <c r="G75" s="94"/>
      <c r="H75" s="94"/>
      <c r="I75" s="94"/>
      <c r="J75" s="94"/>
      <c r="K75" s="94"/>
      <c r="L75" s="94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114" t="s">
        <v>851</v>
      </c>
      <c r="B76" s="115">
        <f>IF(COUNTIF('T1'!$C$7:$C$18,"?*")&gt;0,1,0)+IF(COUNTIF('T1'!$C$23:$C$34,"?*")&gt;0,1,0)+IF(COUNTIF('T1'!$C$39:$C$50,"?*")&gt;0,1,0)+IF(COUNTIF('T1'!$C$55:$C$66,"?*")&gt;0,1,0)+IF(COUNTIF('T1'!$C$71:$C$82,"?*")&gt;0,1,0)</f>
        <v>1</v>
      </c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31.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31.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A1:J1"/>
    <mergeCell ref="A2:J2"/>
    <mergeCell ref="A3:J3"/>
    <mergeCell ref="B4:D4"/>
    <mergeCell ref="B5:D5"/>
    <mergeCell ref="A7:J7"/>
    <mergeCell ref="K7:L7"/>
    <mergeCell ref="C9:G9"/>
    <mergeCell ref="C10:G10"/>
    <mergeCell ref="C11:G11"/>
    <mergeCell ref="C12:G12"/>
    <mergeCell ref="C13:G13"/>
    <mergeCell ref="C14:G14"/>
    <mergeCell ref="C15:G15"/>
    <mergeCell ref="A17:J17"/>
    <mergeCell ref="D19:G19"/>
    <mergeCell ref="D20:G20"/>
    <mergeCell ref="D21:G21"/>
    <mergeCell ref="D22:G22"/>
    <mergeCell ref="D23:G23"/>
    <mergeCell ref="B24:D24"/>
    <mergeCell ref="B25:D25"/>
    <mergeCell ref="A27:J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B37:D37"/>
    <mergeCell ref="B38:D38"/>
    <mergeCell ref="A40:J40"/>
    <mergeCell ref="C73:F73"/>
    <mergeCell ref="C74:F74"/>
    <mergeCell ref="C75:F75"/>
    <mergeCell ref="A57:J57"/>
    <mergeCell ref="A65:J65"/>
    <mergeCell ref="C68:F68"/>
    <mergeCell ref="C69:F69"/>
    <mergeCell ref="C70:F70"/>
    <mergeCell ref="C71:F71"/>
    <mergeCell ref="C72:F72"/>
  </mergeCells>
  <conditionalFormatting sqref="J21">
    <cfRule type="expression" dxfId="7" priority="1">
      <formula>J21="✓ w normie"</formula>
    </cfRule>
  </conditionalFormatting>
  <conditionalFormatting sqref="J21">
    <cfRule type="expression" dxfId="8" priority="2">
      <formula>J21="▼ poniżej"</formula>
    </cfRule>
  </conditionalFormatting>
  <conditionalFormatting sqref="J21">
    <cfRule type="expression" dxfId="9" priority="3">
      <formula>J21="▲ powyżej"</formula>
    </cfRule>
  </conditionalFormatting>
  <conditionalFormatting sqref="J40:J44">
    <cfRule type="expression" dxfId="7" priority="4">
      <formula>J40="✓ w normie"</formula>
    </cfRule>
  </conditionalFormatting>
  <conditionalFormatting sqref="J40:J44">
    <cfRule type="expression" dxfId="8" priority="5">
      <formula>J40="▼ poniżej"</formula>
    </cfRule>
  </conditionalFormatting>
  <conditionalFormatting sqref="J40:J44">
    <cfRule type="expression" dxfId="9" priority="6">
      <formula>J40="▲ powyżej"</formula>
    </cfRule>
  </conditionalFormatting>
  <conditionalFormatting sqref="J48:J52">
    <cfRule type="expression" dxfId="7" priority="7">
      <formula>J48="✓ w normie"</formula>
    </cfRule>
  </conditionalFormatting>
  <conditionalFormatting sqref="J48:J52">
    <cfRule type="expression" dxfId="8" priority="8">
      <formula>J48="▼ poniżej"</formula>
    </cfRule>
  </conditionalFormatting>
  <conditionalFormatting sqref="J48:J52">
    <cfRule type="expression" dxfId="9" priority="9">
      <formula>J48="▲ powyżej"</formula>
    </cfRule>
  </conditionalFormatting>
  <dataValidations>
    <dataValidation type="list" allowBlank="1" sqref="B4">
      <formula1>"trzymaj z bloku,licz z RPE"</formula1>
    </dataValidation>
    <dataValidation type="list" allowBlank="1" sqref="B5">
      <formula1>"część 1 (objętość),część 2 (intensyfikacja)"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13.0"/>
    <col customWidth="1" min="2" max="16" width="8.71"/>
  </cols>
  <sheetData>
    <row r="1" ht="21.75" customHeight="1">
      <c r="A1" s="49" t="s">
        <v>834</v>
      </c>
      <c r="B1" s="3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120" t="s">
        <v>835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87" t="s">
        <v>836</v>
      </c>
      <c r="B3" s="87">
        <v>6.0</v>
      </c>
      <c r="C3" s="87">
        <v>6.5</v>
      </c>
      <c r="D3" s="87">
        <v>7.0</v>
      </c>
      <c r="E3" s="87">
        <v>7.5</v>
      </c>
      <c r="F3" s="87">
        <v>8.0</v>
      </c>
      <c r="G3" s="87">
        <v>8.5</v>
      </c>
      <c r="H3" s="87">
        <v>9.0</v>
      </c>
      <c r="I3" s="87">
        <v>9.5</v>
      </c>
      <c r="J3" s="87">
        <v>10.0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121">
        <v>1.0</v>
      </c>
      <c r="B4" s="122">
        <v>82.5</v>
      </c>
      <c r="C4" s="122">
        <v>84.5</v>
      </c>
      <c r="D4" s="122">
        <v>86.5</v>
      </c>
      <c r="E4" s="122">
        <v>89.5</v>
      </c>
      <c r="F4" s="122">
        <v>92.5</v>
      </c>
      <c r="G4" s="122">
        <v>94.5</v>
      </c>
      <c r="H4" s="122">
        <v>96.5</v>
      </c>
      <c r="I4" s="122">
        <v>98.5</v>
      </c>
      <c r="J4" s="122">
        <v>100.0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121">
        <v>2.0</v>
      </c>
      <c r="B5" s="122">
        <v>79.5</v>
      </c>
      <c r="C5" s="122">
        <v>81.5</v>
      </c>
      <c r="D5" s="122">
        <v>83.5</v>
      </c>
      <c r="E5" s="122">
        <v>86.5</v>
      </c>
      <c r="F5" s="122">
        <v>89.5</v>
      </c>
      <c r="G5" s="122">
        <v>91.5</v>
      </c>
      <c r="H5" s="122">
        <v>93.5</v>
      </c>
      <c r="I5" s="122">
        <v>95.5</v>
      </c>
      <c r="J5" s="122">
        <v>97.5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121">
        <v>3.0</v>
      </c>
      <c r="B6" s="122">
        <v>76.5</v>
      </c>
      <c r="C6" s="122">
        <v>78.5</v>
      </c>
      <c r="D6" s="122">
        <v>80.5</v>
      </c>
      <c r="E6" s="122">
        <v>83.5</v>
      </c>
      <c r="F6" s="122">
        <v>86.5</v>
      </c>
      <c r="G6" s="122">
        <v>88.5</v>
      </c>
      <c r="H6" s="122">
        <v>90.5</v>
      </c>
      <c r="I6" s="122">
        <v>92.5</v>
      </c>
      <c r="J6" s="122">
        <v>94.5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121">
        <v>4.0</v>
      </c>
      <c r="B7" s="122">
        <v>73.5</v>
      </c>
      <c r="C7" s="122">
        <v>75.5</v>
      </c>
      <c r="D7" s="122">
        <v>77.5</v>
      </c>
      <c r="E7" s="122">
        <v>80.5</v>
      </c>
      <c r="F7" s="122">
        <v>83.5</v>
      </c>
      <c r="G7" s="122">
        <v>85.5</v>
      </c>
      <c r="H7" s="122">
        <v>87.5</v>
      </c>
      <c r="I7" s="122">
        <v>89.5</v>
      </c>
      <c r="J7" s="122">
        <v>91.5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121">
        <v>5.0</v>
      </c>
      <c r="B8" s="122">
        <v>70.5</v>
      </c>
      <c r="C8" s="122">
        <v>72.5</v>
      </c>
      <c r="D8" s="122">
        <v>74.5</v>
      </c>
      <c r="E8" s="122">
        <v>77.5</v>
      </c>
      <c r="F8" s="122">
        <v>80.5</v>
      </c>
      <c r="G8" s="122">
        <v>82.5</v>
      </c>
      <c r="H8" s="122">
        <v>84.5</v>
      </c>
      <c r="I8" s="122">
        <v>86.5</v>
      </c>
      <c r="J8" s="122">
        <v>88.5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121">
        <v>6.0</v>
      </c>
      <c r="B9" s="122">
        <v>67.5</v>
      </c>
      <c r="C9" s="122">
        <v>69.5</v>
      </c>
      <c r="D9" s="122">
        <v>71.5</v>
      </c>
      <c r="E9" s="122">
        <v>74.5</v>
      </c>
      <c r="F9" s="122">
        <v>77.5</v>
      </c>
      <c r="G9" s="122">
        <v>79.5</v>
      </c>
      <c r="H9" s="122">
        <v>81.5</v>
      </c>
      <c r="I9" s="122">
        <v>83.5</v>
      </c>
      <c r="J9" s="122">
        <v>85.5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121">
        <v>7.0</v>
      </c>
      <c r="B10" s="122">
        <v>65.5</v>
      </c>
      <c r="C10" s="122">
        <v>67.5</v>
      </c>
      <c r="D10" s="122">
        <v>69.5</v>
      </c>
      <c r="E10" s="122">
        <v>72.5</v>
      </c>
      <c r="F10" s="122">
        <v>75.5</v>
      </c>
      <c r="G10" s="122">
        <v>77.5</v>
      </c>
      <c r="H10" s="122">
        <v>79.5</v>
      </c>
      <c r="I10" s="122">
        <v>81.5</v>
      </c>
      <c r="J10" s="122">
        <v>83.5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121">
        <v>8.0</v>
      </c>
      <c r="B11" s="122">
        <v>62.5</v>
      </c>
      <c r="C11" s="122">
        <v>64.5</v>
      </c>
      <c r="D11" s="122">
        <v>66.5</v>
      </c>
      <c r="E11" s="122">
        <v>69.5</v>
      </c>
      <c r="F11" s="122">
        <v>72.5</v>
      </c>
      <c r="G11" s="122">
        <v>74.5</v>
      </c>
      <c r="H11" s="122">
        <v>76.5</v>
      </c>
      <c r="I11" s="122">
        <v>78.5</v>
      </c>
      <c r="J11" s="122">
        <v>80.5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121">
        <v>9.0</v>
      </c>
      <c r="B12" s="122">
        <v>59.5</v>
      </c>
      <c r="C12" s="122">
        <v>61.5</v>
      </c>
      <c r="D12" s="122">
        <v>63.5</v>
      </c>
      <c r="E12" s="122">
        <v>66.5</v>
      </c>
      <c r="F12" s="122">
        <v>69.5</v>
      </c>
      <c r="G12" s="122">
        <v>71.5</v>
      </c>
      <c r="H12" s="122">
        <v>73.5</v>
      </c>
      <c r="I12" s="122">
        <v>75.5</v>
      </c>
      <c r="J12" s="122">
        <v>77.5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121">
        <v>10.0</v>
      </c>
      <c r="B13" s="122">
        <v>57.5</v>
      </c>
      <c r="C13" s="122">
        <v>59.5</v>
      </c>
      <c r="D13" s="122">
        <v>61.5</v>
      </c>
      <c r="E13" s="122">
        <v>64.5</v>
      </c>
      <c r="F13" s="122">
        <v>67.5</v>
      </c>
      <c r="G13" s="122">
        <v>69.5</v>
      </c>
      <c r="H13" s="122">
        <v>71.5</v>
      </c>
      <c r="I13" s="122">
        <v>73.5</v>
      </c>
      <c r="J13" s="122">
        <v>75.5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121">
        <v>11.0</v>
      </c>
      <c r="B14" s="122">
        <v>54.5</v>
      </c>
      <c r="C14" s="122">
        <v>56.5</v>
      </c>
      <c r="D14" s="122">
        <v>58.5</v>
      </c>
      <c r="E14" s="122">
        <v>61.5</v>
      </c>
      <c r="F14" s="122">
        <v>64.5</v>
      </c>
      <c r="G14" s="122">
        <v>66.5</v>
      </c>
      <c r="H14" s="122">
        <v>68.5</v>
      </c>
      <c r="I14" s="122">
        <v>70.5</v>
      </c>
      <c r="J14" s="122">
        <v>72.5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121">
        <v>12.0</v>
      </c>
      <c r="B15" s="122">
        <v>52.5</v>
      </c>
      <c r="C15" s="122">
        <v>54.5</v>
      </c>
      <c r="D15" s="122">
        <v>56.5</v>
      </c>
      <c r="E15" s="122">
        <v>59.5</v>
      </c>
      <c r="F15" s="122">
        <v>62.5</v>
      </c>
      <c r="G15" s="122">
        <v>64.5</v>
      </c>
      <c r="H15" s="122">
        <v>66.5</v>
      </c>
      <c r="I15" s="122">
        <v>68.5</v>
      </c>
      <c r="J15" s="122">
        <v>70.5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121">
        <v>13.0</v>
      </c>
      <c r="B16" s="122">
        <v>49.5</v>
      </c>
      <c r="C16" s="122">
        <v>51.5</v>
      </c>
      <c r="D16" s="122">
        <v>53.5</v>
      </c>
      <c r="E16" s="122">
        <v>56.5</v>
      </c>
      <c r="F16" s="122">
        <v>59.5</v>
      </c>
      <c r="G16" s="122">
        <v>61.5</v>
      </c>
      <c r="H16" s="122">
        <v>63.5</v>
      </c>
      <c r="I16" s="122">
        <v>65.5</v>
      </c>
      <c r="J16" s="122">
        <v>67.5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121">
        <v>14.0</v>
      </c>
      <c r="B17" s="122">
        <v>47.5</v>
      </c>
      <c r="C17" s="122">
        <v>49.5</v>
      </c>
      <c r="D17" s="122">
        <v>51.5</v>
      </c>
      <c r="E17" s="122">
        <v>54.5</v>
      </c>
      <c r="F17" s="122">
        <v>57.5</v>
      </c>
      <c r="G17" s="122">
        <v>59.5</v>
      </c>
      <c r="H17" s="122">
        <v>61.5</v>
      </c>
      <c r="I17" s="122">
        <v>63.5</v>
      </c>
      <c r="J17" s="122">
        <v>65.5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121">
        <v>15.0</v>
      </c>
      <c r="B18" s="122">
        <v>45.5</v>
      </c>
      <c r="C18" s="122">
        <v>47.5</v>
      </c>
      <c r="D18" s="122">
        <v>49.5</v>
      </c>
      <c r="E18" s="122">
        <v>52.5</v>
      </c>
      <c r="F18" s="122">
        <v>55.5</v>
      </c>
      <c r="G18" s="122">
        <v>57.5</v>
      </c>
      <c r="H18" s="122">
        <v>59.5</v>
      </c>
      <c r="I18" s="122">
        <v>61.5</v>
      </c>
      <c r="J18" s="122">
        <v>63.5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20" t="s">
        <v>844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87" t="s">
        <v>845</v>
      </c>
      <c r="B22" s="87">
        <v>1.0</v>
      </c>
      <c r="C22" s="87">
        <v>2.0</v>
      </c>
      <c r="D22" s="87">
        <v>3.0</v>
      </c>
      <c r="E22" s="87">
        <v>4.0</v>
      </c>
      <c r="F22" s="87">
        <v>5.0</v>
      </c>
      <c r="G22" s="87">
        <v>6.0</v>
      </c>
      <c r="H22" s="87">
        <v>7.0</v>
      </c>
      <c r="I22" s="87">
        <v>8.0</v>
      </c>
      <c r="J22" s="87">
        <v>9.0</v>
      </c>
      <c r="K22" s="87">
        <v>10.0</v>
      </c>
      <c r="L22" s="87">
        <v>11.0</v>
      </c>
      <c r="M22" s="87">
        <v>12.0</v>
      </c>
      <c r="N22" s="87">
        <v>13.0</v>
      </c>
      <c r="O22" s="87">
        <v>14.0</v>
      </c>
      <c r="P22" s="87">
        <v>15.0</v>
      </c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23">
        <v>5.0</v>
      </c>
      <c r="B23" s="122">
        <v>0.3</v>
      </c>
      <c r="C23" s="122">
        <v>0.4</v>
      </c>
      <c r="D23" s="122">
        <v>0.4</v>
      </c>
      <c r="E23" s="122">
        <v>0.4</v>
      </c>
      <c r="F23" s="122">
        <v>0.4</v>
      </c>
      <c r="G23" s="122">
        <v>0.4</v>
      </c>
      <c r="H23" s="122">
        <v>0.4</v>
      </c>
      <c r="I23" s="122">
        <v>0.4</v>
      </c>
      <c r="J23" s="122">
        <v>0.3</v>
      </c>
      <c r="K23" s="122">
        <v>0.3</v>
      </c>
      <c r="L23" s="122">
        <v>0.3</v>
      </c>
      <c r="M23" s="122">
        <v>0.3</v>
      </c>
      <c r="N23" s="122">
        <v>0.3</v>
      </c>
      <c r="O23" s="122">
        <v>0.2</v>
      </c>
      <c r="P23" s="122">
        <v>0.2</v>
      </c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23">
        <v>5.5</v>
      </c>
      <c r="B24" s="122">
        <v>0.4</v>
      </c>
      <c r="C24" s="122">
        <v>0.4</v>
      </c>
      <c r="D24" s="122">
        <v>0.4</v>
      </c>
      <c r="E24" s="122">
        <v>0.4</v>
      </c>
      <c r="F24" s="122">
        <v>0.4</v>
      </c>
      <c r="G24" s="122">
        <v>0.4</v>
      </c>
      <c r="H24" s="122">
        <v>0.4</v>
      </c>
      <c r="I24" s="122">
        <v>0.4</v>
      </c>
      <c r="J24" s="122">
        <v>0.4</v>
      </c>
      <c r="K24" s="122">
        <v>0.4</v>
      </c>
      <c r="L24" s="122">
        <v>0.4</v>
      </c>
      <c r="M24" s="122">
        <v>0.3</v>
      </c>
      <c r="N24" s="122">
        <v>0.3</v>
      </c>
      <c r="O24" s="122">
        <v>0.3</v>
      </c>
      <c r="P24" s="122">
        <v>0.3</v>
      </c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23">
        <v>6.0</v>
      </c>
      <c r="B25" s="122">
        <v>0.4</v>
      </c>
      <c r="C25" s="122">
        <v>0.5</v>
      </c>
      <c r="D25" s="122">
        <v>0.5</v>
      </c>
      <c r="E25" s="122">
        <v>0.5</v>
      </c>
      <c r="F25" s="122">
        <v>0.5</v>
      </c>
      <c r="G25" s="122">
        <v>0.5</v>
      </c>
      <c r="H25" s="122">
        <v>0.5</v>
      </c>
      <c r="I25" s="122">
        <v>0.5</v>
      </c>
      <c r="J25" s="122">
        <v>0.5</v>
      </c>
      <c r="K25" s="122">
        <v>0.4</v>
      </c>
      <c r="L25" s="122">
        <v>0.4</v>
      </c>
      <c r="M25" s="122">
        <v>0.4</v>
      </c>
      <c r="N25" s="122">
        <v>0.4</v>
      </c>
      <c r="O25" s="122">
        <v>0.3</v>
      </c>
      <c r="P25" s="122">
        <v>0.3</v>
      </c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23">
        <v>6.5</v>
      </c>
      <c r="B26" s="122">
        <v>0.5</v>
      </c>
      <c r="C26" s="122">
        <v>0.5</v>
      </c>
      <c r="D26" s="122">
        <v>0.5</v>
      </c>
      <c r="E26" s="122">
        <v>0.6</v>
      </c>
      <c r="F26" s="122">
        <v>0.6</v>
      </c>
      <c r="G26" s="122">
        <v>0.6</v>
      </c>
      <c r="H26" s="122">
        <v>0.5</v>
      </c>
      <c r="I26" s="122">
        <v>0.5</v>
      </c>
      <c r="J26" s="122">
        <v>0.5</v>
      </c>
      <c r="K26" s="122">
        <v>0.5</v>
      </c>
      <c r="L26" s="122">
        <v>0.5</v>
      </c>
      <c r="M26" s="122">
        <v>0.4</v>
      </c>
      <c r="N26" s="122">
        <v>0.4</v>
      </c>
      <c r="O26" s="122">
        <v>0.4</v>
      </c>
      <c r="P26" s="122">
        <v>0.4</v>
      </c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23">
        <v>7.0</v>
      </c>
      <c r="B27" s="122">
        <v>0.6</v>
      </c>
      <c r="C27" s="122">
        <v>0.6</v>
      </c>
      <c r="D27" s="122">
        <v>0.6</v>
      </c>
      <c r="E27" s="122">
        <v>0.6</v>
      </c>
      <c r="F27" s="122">
        <v>0.6</v>
      </c>
      <c r="G27" s="122">
        <v>0.6</v>
      </c>
      <c r="H27" s="122">
        <v>0.6</v>
      </c>
      <c r="I27" s="122">
        <v>0.6</v>
      </c>
      <c r="J27" s="122">
        <v>0.6</v>
      </c>
      <c r="K27" s="122">
        <v>0.6</v>
      </c>
      <c r="L27" s="122">
        <v>0.5</v>
      </c>
      <c r="M27" s="122">
        <v>0.5</v>
      </c>
      <c r="N27" s="122">
        <v>0.5</v>
      </c>
      <c r="O27" s="122">
        <v>0.5</v>
      </c>
      <c r="P27" s="122">
        <v>0.4</v>
      </c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23">
        <v>7.5</v>
      </c>
      <c r="B28" s="122">
        <v>0.6</v>
      </c>
      <c r="C28" s="122">
        <v>0.7</v>
      </c>
      <c r="D28" s="122">
        <v>0.7</v>
      </c>
      <c r="E28" s="122">
        <v>0.7</v>
      </c>
      <c r="F28" s="122">
        <v>0.7</v>
      </c>
      <c r="G28" s="122">
        <v>0.7</v>
      </c>
      <c r="H28" s="122">
        <v>0.7</v>
      </c>
      <c r="I28" s="122">
        <v>0.7</v>
      </c>
      <c r="J28" s="122">
        <v>0.7</v>
      </c>
      <c r="K28" s="122">
        <v>0.6</v>
      </c>
      <c r="L28" s="122">
        <v>0.6</v>
      </c>
      <c r="M28" s="122">
        <v>0.6</v>
      </c>
      <c r="N28" s="122">
        <v>0.6</v>
      </c>
      <c r="O28" s="122">
        <v>0.5</v>
      </c>
      <c r="P28" s="122">
        <v>0.5</v>
      </c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23">
        <v>8.0</v>
      </c>
      <c r="B29" s="122">
        <v>0.7</v>
      </c>
      <c r="C29" s="122">
        <v>0.8</v>
      </c>
      <c r="D29" s="122">
        <v>0.8</v>
      </c>
      <c r="E29" s="122">
        <v>0.8</v>
      </c>
      <c r="F29" s="122">
        <v>0.8</v>
      </c>
      <c r="G29" s="122">
        <v>0.8</v>
      </c>
      <c r="H29" s="122">
        <v>0.8</v>
      </c>
      <c r="I29" s="122">
        <v>0.8</v>
      </c>
      <c r="J29" s="122">
        <v>0.8</v>
      </c>
      <c r="K29" s="122">
        <v>0.7</v>
      </c>
      <c r="L29" s="122">
        <v>0.7</v>
      </c>
      <c r="M29" s="122">
        <v>0.7</v>
      </c>
      <c r="N29" s="122">
        <v>0.6</v>
      </c>
      <c r="O29" s="122">
        <v>0.6</v>
      </c>
      <c r="P29" s="122">
        <v>0.6</v>
      </c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23">
        <v>8.5</v>
      </c>
      <c r="B30" s="122">
        <v>0.8</v>
      </c>
      <c r="C30" s="122">
        <v>0.9</v>
      </c>
      <c r="D30" s="122">
        <v>0.9</v>
      </c>
      <c r="E30" s="122">
        <v>0.9</v>
      </c>
      <c r="F30" s="122">
        <v>0.9</v>
      </c>
      <c r="G30" s="122">
        <v>0.9</v>
      </c>
      <c r="H30" s="122">
        <v>0.9</v>
      </c>
      <c r="I30" s="122">
        <v>0.9</v>
      </c>
      <c r="J30" s="122">
        <v>0.9</v>
      </c>
      <c r="K30" s="122">
        <v>0.8</v>
      </c>
      <c r="L30" s="122">
        <v>0.8</v>
      </c>
      <c r="M30" s="122">
        <v>0.8</v>
      </c>
      <c r="N30" s="122">
        <v>0.7</v>
      </c>
      <c r="O30" s="122">
        <v>0.7</v>
      </c>
      <c r="P30" s="122">
        <v>0.6</v>
      </c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23">
        <v>9.0</v>
      </c>
      <c r="B31" s="122">
        <v>0.9</v>
      </c>
      <c r="C31" s="122">
        <v>1.0</v>
      </c>
      <c r="D31" s="122">
        <v>1.0</v>
      </c>
      <c r="E31" s="122">
        <v>1.0</v>
      </c>
      <c r="F31" s="122">
        <v>1.0</v>
      </c>
      <c r="G31" s="122">
        <v>1.0</v>
      </c>
      <c r="H31" s="122">
        <v>1.0</v>
      </c>
      <c r="I31" s="122">
        <v>1.0</v>
      </c>
      <c r="J31" s="122">
        <v>1.0</v>
      </c>
      <c r="K31" s="122">
        <v>0.9</v>
      </c>
      <c r="L31" s="122">
        <v>0.9</v>
      </c>
      <c r="M31" s="122">
        <v>0.9</v>
      </c>
      <c r="N31" s="122">
        <v>0.8</v>
      </c>
      <c r="O31" s="122">
        <v>0.8</v>
      </c>
      <c r="P31" s="122">
        <v>0.7</v>
      </c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23">
        <v>9.5</v>
      </c>
      <c r="B32" s="122">
        <v>1.0</v>
      </c>
      <c r="C32" s="122">
        <v>1.1</v>
      </c>
      <c r="D32" s="122">
        <v>1.1</v>
      </c>
      <c r="E32" s="122">
        <v>1.2</v>
      </c>
      <c r="F32" s="122">
        <v>1.2</v>
      </c>
      <c r="G32" s="122">
        <v>1.2</v>
      </c>
      <c r="H32" s="122">
        <v>1.2</v>
      </c>
      <c r="I32" s="122">
        <v>1.1</v>
      </c>
      <c r="J32" s="122">
        <v>1.1</v>
      </c>
      <c r="K32" s="122">
        <v>1.1</v>
      </c>
      <c r="L32" s="122">
        <v>1.0</v>
      </c>
      <c r="M32" s="122">
        <v>1.0</v>
      </c>
      <c r="N32" s="122">
        <v>0.9</v>
      </c>
      <c r="O32" s="122">
        <v>0.9</v>
      </c>
      <c r="P32" s="122">
        <v>0.9</v>
      </c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23">
        <v>10.0</v>
      </c>
      <c r="B33" s="122">
        <v>1.2</v>
      </c>
      <c r="C33" s="122">
        <v>1.2</v>
      </c>
      <c r="D33" s="122">
        <v>1.3</v>
      </c>
      <c r="E33" s="122">
        <v>1.3</v>
      </c>
      <c r="F33" s="122">
        <v>1.3</v>
      </c>
      <c r="G33" s="122">
        <v>1.3</v>
      </c>
      <c r="H33" s="122">
        <v>1.3</v>
      </c>
      <c r="I33" s="122">
        <v>1.3</v>
      </c>
      <c r="J33" s="122">
        <v>1.2</v>
      </c>
      <c r="K33" s="122">
        <v>1.2</v>
      </c>
      <c r="L33" s="122">
        <v>1.2</v>
      </c>
      <c r="M33" s="122">
        <v>1.1</v>
      </c>
      <c r="N33" s="122">
        <v>1.1</v>
      </c>
      <c r="O33" s="122">
        <v>1.0</v>
      </c>
      <c r="P33" s="122">
        <v>1.0</v>
      </c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20" t="s">
        <v>849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87" t="s">
        <v>845</v>
      </c>
      <c r="B36" s="87">
        <v>1.0</v>
      </c>
      <c r="C36" s="87">
        <v>2.0</v>
      </c>
      <c r="D36" s="87">
        <v>3.0</v>
      </c>
      <c r="E36" s="87">
        <v>4.0</v>
      </c>
      <c r="F36" s="87">
        <v>5.0</v>
      </c>
      <c r="G36" s="87">
        <v>6.0</v>
      </c>
      <c r="H36" s="87">
        <v>7.0</v>
      </c>
      <c r="I36" s="87">
        <v>8.0</v>
      </c>
      <c r="J36" s="87">
        <v>9.0</v>
      </c>
      <c r="K36" s="87">
        <v>10.0</v>
      </c>
      <c r="L36" s="87">
        <v>11.0</v>
      </c>
      <c r="M36" s="87">
        <v>12.0</v>
      </c>
      <c r="N36" s="87">
        <v>13.0</v>
      </c>
      <c r="O36" s="87">
        <v>14.0</v>
      </c>
      <c r="P36" s="87">
        <v>15.0</v>
      </c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23">
        <v>5.0</v>
      </c>
      <c r="B37" s="122">
        <v>0.5</v>
      </c>
      <c r="C37" s="122">
        <v>0.5</v>
      </c>
      <c r="D37" s="122">
        <v>0.4</v>
      </c>
      <c r="E37" s="122">
        <v>0.4</v>
      </c>
      <c r="F37" s="122">
        <v>0.3</v>
      </c>
      <c r="G37" s="122">
        <v>0.3</v>
      </c>
      <c r="H37" s="122">
        <v>0.2</v>
      </c>
      <c r="I37" s="122">
        <v>0.2</v>
      </c>
      <c r="J37" s="122">
        <v>0.2</v>
      </c>
      <c r="K37" s="122">
        <v>0.2</v>
      </c>
      <c r="L37" s="122">
        <v>0.1</v>
      </c>
      <c r="M37" s="122">
        <v>0.1</v>
      </c>
      <c r="N37" s="122">
        <v>0.1</v>
      </c>
      <c r="O37" s="122">
        <v>0.1</v>
      </c>
      <c r="P37" s="122">
        <v>0.1</v>
      </c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23">
        <v>5.5</v>
      </c>
      <c r="B38" s="122">
        <v>0.6</v>
      </c>
      <c r="C38" s="122">
        <v>0.5</v>
      </c>
      <c r="D38" s="122">
        <v>0.5</v>
      </c>
      <c r="E38" s="122">
        <v>0.4</v>
      </c>
      <c r="F38" s="122">
        <v>0.4</v>
      </c>
      <c r="G38" s="122">
        <v>0.3</v>
      </c>
      <c r="H38" s="122">
        <v>0.3</v>
      </c>
      <c r="I38" s="122">
        <v>0.2</v>
      </c>
      <c r="J38" s="122">
        <v>0.2</v>
      </c>
      <c r="K38" s="122">
        <v>0.2</v>
      </c>
      <c r="L38" s="122">
        <v>0.2</v>
      </c>
      <c r="M38" s="122">
        <v>0.1</v>
      </c>
      <c r="N38" s="122">
        <v>0.1</v>
      </c>
      <c r="O38" s="122">
        <v>0.1</v>
      </c>
      <c r="P38" s="122">
        <v>0.1</v>
      </c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23">
        <v>6.0</v>
      </c>
      <c r="B39" s="122">
        <v>0.7</v>
      </c>
      <c r="C39" s="122">
        <v>0.6</v>
      </c>
      <c r="D39" s="122">
        <v>0.5</v>
      </c>
      <c r="E39" s="122">
        <v>0.5</v>
      </c>
      <c r="F39" s="122">
        <v>0.4</v>
      </c>
      <c r="G39" s="122">
        <v>0.4</v>
      </c>
      <c r="H39" s="122">
        <v>0.3</v>
      </c>
      <c r="I39" s="122">
        <v>0.3</v>
      </c>
      <c r="J39" s="122">
        <v>0.2</v>
      </c>
      <c r="K39" s="122">
        <v>0.2</v>
      </c>
      <c r="L39" s="122">
        <v>0.2</v>
      </c>
      <c r="M39" s="122">
        <v>0.2</v>
      </c>
      <c r="N39" s="122">
        <v>0.2</v>
      </c>
      <c r="O39" s="122">
        <v>0.1</v>
      </c>
      <c r="P39" s="122">
        <v>0.1</v>
      </c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23">
        <v>6.5</v>
      </c>
      <c r="B40" s="122">
        <v>0.8</v>
      </c>
      <c r="C40" s="122">
        <v>0.7</v>
      </c>
      <c r="D40" s="122">
        <v>0.6</v>
      </c>
      <c r="E40" s="122">
        <v>0.5</v>
      </c>
      <c r="F40" s="122">
        <v>0.5</v>
      </c>
      <c r="G40" s="122">
        <v>0.4</v>
      </c>
      <c r="H40" s="122">
        <v>0.4</v>
      </c>
      <c r="I40" s="122">
        <v>0.3</v>
      </c>
      <c r="J40" s="122">
        <v>0.3</v>
      </c>
      <c r="K40" s="122">
        <v>0.3</v>
      </c>
      <c r="L40" s="122">
        <v>0.2</v>
      </c>
      <c r="M40" s="122">
        <v>0.2</v>
      </c>
      <c r="N40" s="122">
        <v>0.2</v>
      </c>
      <c r="O40" s="122">
        <v>0.2</v>
      </c>
      <c r="P40" s="122">
        <v>0.1</v>
      </c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23">
        <v>7.0</v>
      </c>
      <c r="B41" s="122">
        <v>0.9</v>
      </c>
      <c r="C41" s="122">
        <v>0.7</v>
      </c>
      <c r="D41" s="122">
        <v>0.7</v>
      </c>
      <c r="E41" s="122">
        <v>0.6</v>
      </c>
      <c r="F41" s="122">
        <v>0.5</v>
      </c>
      <c r="G41" s="122">
        <v>0.5</v>
      </c>
      <c r="H41" s="122">
        <v>0.4</v>
      </c>
      <c r="I41" s="122">
        <v>0.4</v>
      </c>
      <c r="J41" s="122">
        <v>0.3</v>
      </c>
      <c r="K41" s="122">
        <v>0.3</v>
      </c>
      <c r="L41" s="122">
        <v>0.3</v>
      </c>
      <c r="M41" s="122">
        <v>0.2</v>
      </c>
      <c r="N41" s="122">
        <v>0.2</v>
      </c>
      <c r="O41" s="122">
        <v>0.2</v>
      </c>
      <c r="P41" s="122">
        <v>0.2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23">
        <v>7.5</v>
      </c>
      <c r="B42" s="122">
        <v>1.0</v>
      </c>
      <c r="C42" s="122">
        <v>0.8</v>
      </c>
      <c r="D42" s="122">
        <v>0.7</v>
      </c>
      <c r="E42" s="122">
        <v>0.7</v>
      </c>
      <c r="F42" s="122">
        <v>0.6</v>
      </c>
      <c r="G42" s="122">
        <v>0.5</v>
      </c>
      <c r="H42" s="122">
        <v>0.5</v>
      </c>
      <c r="I42" s="122">
        <v>0.4</v>
      </c>
      <c r="J42" s="122">
        <v>0.4</v>
      </c>
      <c r="K42" s="122">
        <v>0.3</v>
      </c>
      <c r="L42" s="122">
        <v>0.3</v>
      </c>
      <c r="M42" s="122">
        <v>0.3</v>
      </c>
      <c r="N42" s="122">
        <v>0.2</v>
      </c>
      <c r="O42" s="122">
        <v>0.2</v>
      </c>
      <c r="P42" s="122">
        <v>0.2</v>
      </c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23">
        <v>8.0</v>
      </c>
      <c r="B43" s="122">
        <v>1.1</v>
      </c>
      <c r="C43" s="122">
        <v>1.0</v>
      </c>
      <c r="D43" s="122">
        <v>0.8</v>
      </c>
      <c r="E43" s="122">
        <v>0.7</v>
      </c>
      <c r="F43" s="122">
        <v>0.7</v>
      </c>
      <c r="G43" s="122">
        <v>0.6</v>
      </c>
      <c r="H43" s="122">
        <v>0.5</v>
      </c>
      <c r="I43" s="122">
        <v>0.5</v>
      </c>
      <c r="J43" s="122">
        <v>0.4</v>
      </c>
      <c r="K43" s="122">
        <v>0.4</v>
      </c>
      <c r="L43" s="122">
        <v>0.3</v>
      </c>
      <c r="M43" s="122">
        <v>0.3</v>
      </c>
      <c r="N43" s="122">
        <v>0.3</v>
      </c>
      <c r="O43" s="122">
        <v>0.2</v>
      </c>
      <c r="P43" s="122">
        <v>0.2</v>
      </c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23">
        <v>8.5</v>
      </c>
      <c r="B44" s="122">
        <v>1.2</v>
      </c>
      <c r="C44" s="122">
        <v>1.1</v>
      </c>
      <c r="D44" s="122">
        <v>0.9</v>
      </c>
      <c r="E44" s="122">
        <v>0.8</v>
      </c>
      <c r="F44" s="122">
        <v>0.7</v>
      </c>
      <c r="G44" s="122">
        <v>0.7</v>
      </c>
      <c r="H44" s="122">
        <v>0.6</v>
      </c>
      <c r="I44" s="122">
        <v>0.5</v>
      </c>
      <c r="J44" s="122">
        <v>0.5</v>
      </c>
      <c r="K44" s="122">
        <v>0.4</v>
      </c>
      <c r="L44" s="122">
        <v>0.4</v>
      </c>
      <c r="M44" s="122">
        <v>0.3</v>
      </c>
      <c r="N44" s="122">
        <v>0.3</v>
      </c>
      <c r="O44" s="122">
        <v>0.3</v>
      </c>
      <c r="P44" s="122">
        <v>0.2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23">
        <v>9.0</v>
      </c>
      <c r="B45" s="122">
        <v>1.4</v>
      </c>
      <c r="C45" s="122">
        <v>1.2</v>
      </c>
      <c r="D45" s="122">
        <v>1.1</v>
      </c>
      <c r="E45" s="122">
        <v>0.9</v>
      </c>
      <c r="F45" s="122">
        <v>0.8</v>
      </c>
      <c r="G45" s="122">
        <v>0.7</v>
      </c>
      <c r="H45" s="122">
        <v>0.7</v>
      </c>
      <c r="I45" s="122">
        <v>0.6</v>
      </c>
      <c r="J45" s="122">
        <v>0.5</v>
      </c>
      <c r="K45" s="122">
        <v>0.5</v>
      </c>
      <c r="L45" s="122">
        <v>0.4</v>
      </c>
      <c r="M45" s="122">
        <v>0.4</v>
      </c>
      <c r="N45" s="122">
        <v>0.3</v>
      </c>
      <c r="O45" s="122">
        <v>0.3</v>
      </c>
      <c r="P45" s="122">
        <v>0.3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23">
        <v>9.5</v>
      </c>
      <c r="B46" s="122">
        <v>1.6</v>
      </c>
      <c r="C46" s="122">
        <v>1.4</v>
      </c>
      <c r="D46" s="122">
        <v>1.2</v>
      </c>
      <c r="E46" s="122">
        <v>1.1</v>
      </c>
      <c r="F46" s="122">
        <v>0.9</v>
      </c>
      <c r="G46" s="122">
        <v>0.8</v>
      </c>
      <c r="H46" s="122">
        <v>0.7</v>
      </c>
      <c r="I46" s="122">
        <v>0.7</v>
      </c>
      <c r="J46" s="122">
        <v>0.6</v>
      </c>
      <c r="K46" s="122">
        <v>0.5</v>
      </c>
      <c r="L46" s="122">
        <v>0.5</v>
      </c>
      <c r="M46" s="122">
        <v>0.4</v>
      </c>
      <c r="N46" s="122">
        <v>0.4</v>
      </c>
      <c r="O46" s="122">
        <v>0.4</v>
      </c>
      <c r="P46" s="122">
        <v>0.3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23">
        <v>10.0</v>
      </c>
      <c r="B47" s="122">
        <v>1.8</v>
      </c>
      <c r="C47" s="122">
        <v>1.6</v>
      </c>
      <c r="D47" s="122">
        <v>1.4</v>
      </c>
      <c r="E47" s="122">
        <v>1.2</v>
      </c>
      <c r="F47" s="122">
        <v>1.1</v>
      </c>
      <c r="G47" s="122">
        <v>1.0</v>
      </c>
      <c r="H47" s="122">
        <v>0.8</v>
      </c>
      <c r="I47" s="122">
        <v>0.8</v>
      </c>
      <c r="J47" s="122">
        <v>0.7</v>
      </c>
      <c r="K47" s="122">
        <v>0.6</v>
      </c>
      <c r="L47" s="122">
        <v>0.5</v>
      </c>
      <c r="M47" s="122">
        <v>0.5</v>
      </c>
      <c r="N47" s="122">
        <v>0.4</v>
      </c>
      <c r="O47" s="122">
        <v>0.4</v>
      </c>
      <c r="P47" s="122">
        <v>0.4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20" t="s">
        <v>852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87" t="s">
        <v>845</v>
      </c>
      <c r="B50" s="87">
        <v>1.0</v>
      </c>
      <c r="C50" s="87">
        <v>2.0</v>
      </c>
      <c r="D50" s="87">
        <v>3.0</v>
      </c>
      <c r="E50" s="87">
        <v>4.0</v>
      </c>
      <c r="F50" s="87">
        <v>5.0</v>
      </c>
      <c r="G50" s="87">
        <v>6.0</v>
      </c>
      <c r="H50" s="87">
        <v>7.0</v>
      </c>
      <c r="I50" s="87">
        <v>8.0</v>
      </c>
      <c r="J50" s="87">
        <v>9.0</v>
      </c>
      <c r="K50" s="87">
        <v>10.0</v>
      </c>
      <c r="L50" s="87">
        <v>11.0</v>
      </c>
      <c r="M50" s="87">
        <v>12.0</v>
      </c>
      <c r="N50" s="87">
        <v>13.0</v>
      </c>
      <c r="O50" s="87">
        <v>14.0</v>
      </c>
      <c r="P50" s="87">
        <v>15.0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23">
        <v>5.0</v>
      </c>
      <c r="B51" s="122">
        <v>0.2</v>
      </c>
      <c r="C51" s="122">
        <v>0.3</v>
      </c>
      <c r="D51" s="122">
        <v>0.4</v>
      </c>
      <c r="E51" s="122">
        <v>0.4</v>
      </c>
      <c r="F51" s="122">
        <v>0.5</v>
      </c>
      <c r="G51" s="122">
        <v>0.5</v>
      </c>
      <c r="H51" s="122">
        <v>0.5</v>
      </c>
      <c r="I51" s="122">
        <v>0.5</v>
      </c>
      <c r="J51" s="122">
        <v>0.5</v>
      </c>
      <c r="K51" s="122">
        <v>0.5</v>
      </c>
      <c r="L51" s="122">
        <v>0.5</v>
      </c>
      <c r="M51" s="122">
        <v>0.5</v>
      </c>
      <c r="N51" s="122">
        <v>0.4</v>
      </c>
      <c r="O51" s="122">
        <v>0.4</v>
      </c>
      <c r="P51" s="122">
        <v>0.4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23">
        <v>5.5</v>
      </c>
      <c r="B52" s="122">
        <v>0.2</v>
      </c>
      <c r="C52" s="122">
        <v>0.3</v>
      </c>
      <c r="D52" s="122">
        <v>0.4</v>
      </c>
      <c r="E52" s="122">
        <v>0.5</v>
      </c>
      <c r="F52" s="122">
        <v>0.5</v>
      </c>
      <c r="G52" s="122">
        <v>0.6</v>
      </c>
      <c r="H52" s="122">
        <v>0.6</v>
      </c>
      <c r="I52" s="122">
        <v>0.6</v>
      </c>
      <c r="J52" s="122">
        <v>0.6</v>
      </c>
      <c r="K52" s="122">
        <v>0.6</v>
      </c>
      <c r="L52" s="122">
        <v>0.6</v>
      </c>
      <c r="M52" s="122">
        <v>0.5</v>
      </c>
      <c r="N52" s="122">
        <v>0.5</v>
      </c>
      <c r="O52" s="122">
        <v>0.5</v>
      </c>
      <c r="P52" s="122">
        <v>0.4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23">
        <v>6.0</v>
      </c>
      <c r="B53" s="122">
        <v>0.2</v>
      </c>
      <c r="C53" s="122">
        <v>0.3</v>
      </c>
      <c r="D53" s="122">
        <v>0.5</v>
      </c>
      <c r="E53" s="122">
        <v>0.5</v>
      </c>
      <c r="F53" s="122">
        <v>0.6</v>
      </c>
      <c r="G53" s="122">
        <v>0.6</v>
      </c>
      <c r="H53" s="122">
        <v>0.6</v>
      </c>
      <c r="I53" s="122">
        <v>0.7</v>
      </c>
      <c r="J53" s="122">
        <v>0.7</v>
      </c>
      <c r="K53" s="122">
        <v>0.7</v>
      </c>
      <c r="L53" s="122">
        <v>0.6</v>
      </c>
      <c r="M53" s="122">
        <v>0.6</v>
      </c>
      <c r="N53" s="122">
        <v>0.6</v>
      </c>
      <c r="O53" s="122">
        <v>0.5</v>
      </c>
      <c r="P53" s="122">
        <v>0.5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23">
        <v>6.5</v>
      </c>
      <c r="B54" s="122">
        <v>0.2</v>
      </c>
      <c r="C54" s="122">
        <v>0.4</v>
      </c>
      <c r="D54" s="122">
        <v>0.5</v>
      </c>
      <c r="E54" s="122">
        <v>0.6</v>
      </c>
      <c r="F54" s="122">
        <v>0.7</v>
      </c>
      <c r="G54" s="122">
        <v>0.7</v>
      </c>
      <c r="H54" s="122">
        <v>0.7</v>
      </c>
      <c r="I54" s="122">
        <v>0.7</v>
      </c>
      <c r="J54" s="122">
        <v>0.7</v>
      </c>
      <c r="K54" s="122">
        <v>0.7</v>
      </c>
      <c r="L54" s="122">
        <v>0.7</v>
      </c>
      <c r="M54" s="122">
        <v>0.7</v>
      </c>
      <c r="N54" s="122">
        <v>0.7</v>
      </c>
      <c r="O54" s="122">
        <v>0.6</v>
      </c>
      <c r="P54" s="122">
        <v>0.6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23">
        <v>7.0</v>
      </c>
      <c r="B55" s="122">
        <v>0.3</v>
      </c>
      <c r="C55" s="122">
        <v>0.4</v>
      </c>
      <c r="D55" s="122">
        <v>0.6</v>
      </c>
      <c r="E55" s="122">
        <v>0.7</v>
      </c>
      <c r="F55" s="122">
        <v>0.8</v>
      </c>
      <c r="G55" s="122">
        <v>0.8</v>
      </c>
      <c r="H55" s="122">
        <v>0.8</v>
      </c>
      <c r="I55" s="122">
        <v>0.8</v>
      </c>
      <c r="J55" s="122">
        <v>0.8</v>
      </c>
      <c r="K55" s="122">
        <v>0.8</v>
      </c>
      <c r="L55" s="122">
        <v>0.8</v>
      </c>
      <c r="M55" s="122">
        <v>0.8</v>
      </c>
      <c r="N55" s="122">
        <v>0.8</v>
      </c>
      <c r="O55" s="122">
        <v>0.7</v>
      </c>
      <c r="P55" s="122">
        <v>0.7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23">
        <v>7.5</v>
      </c>
      <c r="B56" s="122">
        <v>0.3</v>
      </c>
      <c r="C56" s="122">
        <v>0.5</v>
      </c>
      <c r="D56" s="122">
        <v>0.7</v>
      </c>
      <c r="E56" s="122">
        <v>0.8</v>
      </c>
      <c r="F56" s="122">
        <v>0.9</v>
      </c>
      <c r="G56" s="122">
        <v>0.9</v>
      </c>
      <c r="H56" s="122">
        <v>1.0</v>
      </c>
      <c r="I56" s="122">
        <v>1.0</v>
      </c>
      <c r="J56" s="122">
        <v>1.0</v>
      </c>
      <c r="K56" s="122">
        <v>1.0</v>
      </c>
      <c r="L56" s="122">
        <v>0.9</v>
      </c>
      <c r="M56" s="122">
        <v>0.9</v>
      </c>
      <c r="N56" s="122">
        <v>0.9</v>
      </c>
      <c r="O56" s="122">
        <v>0.8</v>
      </c>
      <c r="P56" s="122">
        <v>0.8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23">
        <v>8.0</v>
      </c>
      <c r="B57" s="122">
        <v>0.3</v>
      </c>
      <c r="C57" s="122">
        <v>0.6</v>
      </c>
      <c r="D57" s="122">
        <v>0.7</v>
      </c>
      <c r="E57" s="122">
        <v>0.9</v>
      </c>
      <c r="F57" s="122">
        <v>1.0</v>
      </c>
      <c r="G57" s="122">
        <v>1.0</v>
      </c>
      <c r="H57" s="122">
        <v>1.1</v>
      </c>
      <c r="I57" s="122">
        <v>1.1</v>
      </c>
      <c r="J57" s="122">
        <v>1.1</v>
      </c>
      <c r="K57" s="122">
        <v>1.1</v>
      </c>
      <c r="L57" s="122">
        <v>1.1</v>
      </c>
      <c r="M57" s="122">
        <v>1.0</v>
      </c>
      <c r="N57" s="122">
        <v>1.0</v>
      </c>
      <c r="O57" s="122">
        <v>1.0</v>
      </c>
      <c r="P57" s="122">
        <v>0.9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23">
        <v>8.5</v>
      </c>
      <c r="B58" s="122">
        <v>0.4</v>
      </c>
      <c r="C58" s="122">
        <v>0.6</v>
      </c>
      <c r="D58" s="122">
        <v>0.8</v>
      </c>
      <c r="E58" s="122">
        <v>1.0</v>
      </c>
      <c r="F58" s="122">
        <v>1.1</v>
      </c>
      <c r="G58" s="122">
        <v>1.2</v>
      </c>
      <c r="H58" s="122">
        <v>1.2</v>
      </c>
      <c r="I58" s="122">
        <v>1.2</v>
      </c>
      <c r="J58" s="122">
        <v>1.2</v>
      </c>
      <c r="K58" s="122">
        <v>1.2</v>
      </c>
      <c r="L58" s="122">
        <v>1.2</v>
      </c>
      <c r="M58" s="122">
        <v>1.2</v>
      </c>
      <c r="N58" s="122">
        <v>1.2</v>
      </c>
      <c r="O58" s="122">
        <v>1.1</v>
      </c>
      <c r="P58" s="122">
        <v>1.1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23">
        <v>9.0</v>
      </c>
      <c r="B59" s="122">
        <v>0.4</v>
      </c>
      <c r="C59" s="122">
        <v>0.7</v>
      </c>
      <c r="D59" s="122">
        <v>1.0</v>
      </c>
      <c r="E59" s="122">
        <v>1.1</v>
      </c>
      <c r="F59" s="122">
        <v>1.2</v>
      </c>
      <c r="G59" s="122">
        <v>1.3</v>
      </c>
      <c r="H59" s="122">
        <v>1.4</v>
      </c>
      <c r="I59" s="122">
        <v>1.4</v>
      </c>
      <c r="J59" s="122">
        <v>1.4</v>
      </c>
      <c r="K59" s="122">
        <v>1.4</v>
      </c>
      <c r="L59" s="122">
        <v>1.4</v>
      </c>
      <c r="M59" s="122">
        <v>1.4</v>
      </c>
      <c r="N59" s="122">
        <v>1.3</v>
      </c>
      <c r="O59" s="122">
        <v>1.3</v>
      </c>
      <c r="P59" s="122">
        <v>1.2</v>
      </c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23">
        <v>9.5</v>
      </c>
      <c r="B60" s="122">
        <v>0.5</v>
      </c>
      <c r="C60" s="122">
        <v>0.8</v>
      </c>
      <c r="D60" s="122">
        <v>1.1</v>
      </c>
      <c r="E60" s="122">
        <v>1.3</v>
      </c>
      <c r="F60" s="122">
        <v>1.4</v>
      </c>
      <c r="G60" s="122">
        <v>1.5</v>
      </c>
      <c r="H60" s="122">
        <v>1.6</v>
      </c>
      <c r="I60" s="122">
        <v>1.6</v>
      </c>
      <c r="J60" s="122">
        <v>1.6</v>
      </c>
      <c r="K60" s="122">
        <v>1.6</v>
      </c>
      <c r="L60" s="122">
        <v>1.6</v>
      </c>
      <c r="M60" s="122">
        <v>1.5</v>
      </c>
      <c r="N60" s="122">
        <v>1.5</v>
      </c>
      <c r="O60" s="122">
        <v>1.5</v>
      </c>
      <c r="P60" s="122">
        <v>1.4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23">
        <v>10.0</v>
      </c>
      <c r="B61" s="122">
        <v>0.5</v>
      </c>
      <c r="C61" s="122">
        <v>0.9</v>
      </c>
      <c r="D61" s="122">
        <v>1.2</v>
      </c>
      <c r="E61" s="122">
        <v>1.4</v>
      </c>
      <c r="F61" s="122">
        <v>1.6</v>
      </c>
      <c r="G61" s="122">
        <v>1.7</v>
      </c>
      <c r="H61" s="122">
        <v>1.8</v>
      </c>
      <c r="I61" s="122">
        <v>1.8</v>
      </c>
      <c r="J61" s="122">
        <v>1.8</v>
      </c>
      <c r="K61" s="122">
        <v>1.8</v>
      </c>
      <c r="L61" s="122">
        <v>1.8</v>
      </c>
      <c r="M61" s="122">
        <v>1.7</v>
      </c>
      <c r="N61" s="122">
        <v>1.7</v>
      </c>
      <c r="O61" s="122">
        <v>1.7</v>
      </c>
      <c r="P61" s="122">
        <v>1.6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20" t="s">
        <v>853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87" t="s">
        <v>854</v>
      </c>
      <c r="B65" s="87" t="s">
        <v>855</v>
      </c>
      <c r="C65" s="87" t="s">
        <v>162</v>
      </c>
      <c r="D65" s="87" t="s">
        <v>856</v>
      </c>
      <c r="E65" s="87" t="s">
        <v>857</v>
      </c>
      <c r="F65" s="87" t="s">
        <v>858</v>
      </c>
      <c r="G65" s="87" t="s">
        <v>859</v>
      </c>
      <c r="H65" s="87" t="s">
        <v>860</v>
      </c>
      <c r="I65" s="87" t="s">
        <v>861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24">
        <v>0.0</v>
      </c>
      <c r="B66" s="124">
        <v>9.999</v>
      </c>
      <c r="C66" s="124" t="s">
        <v>862</v>
      </c>
      <c r="D66" s="124" t="s">
        <v>863</v>
      </c>
      <c r="E66" s="124" t="s">
        <v>864</v>
      </c>
      <c r="F66" s="124" t="s">
        <v>865</v>
      </c>
      <c r="G66" s="124" t="s">
        <v>866</v>
      </c>
      <c r="H66" s="124" t="s">
        <v>867</v>
      </c>
      <c r="I66" s="125">
        <v>0.0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24">
        <v>10.0</v>
      </c>
      <c r="B67" s="124">
        <v>19.999</v>
      </c>
      <c r="C67" s="124" t="s">
        <v>868</v>
      </c>
      <c r="D67" s="124" t="s">
        <v>869</v>
      </c>
      <c r="E67" s="124" t="s">
        <v>870</v>
      </c>
      <c r="F67" s="124" t="s">
        <v>871</v>
      </c>
      <c r="G67" s="124" t="s">
        <v>872</v>
      </c>
      <c r="H67" s="124" t="s">
        <v>873</v>
      </c>
      <c r="I67" s="125">
        <v>0.4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24">
        <v>20.0</v>
      </c>
      <c r="B68" s="124">
        <v>24.999</v>
      </c>
      <c r="C68" s="124" t="s">
        <v>874</v>
      </c>
      <c r="D68" s="124" t="s">
        <v>875</v>
      </c>
      <c r="E68" s="124" t="s">
        <v>876</v>
      </c>
      <c r="F68" s="124" t="s">
        <v>877</v>
      </c>
      <c r="G68" s="124" t="s">
        <v>878</v>
      </c>
      <c r="H68" s="124" t="s">
        <v>879</v>
      </c>
      <c r="I68" s="125">
        <v>0.5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24">
        <v>25.0</v>
      </c>
      <c r="B69" s="124">
        <v>29.999</v>
      </c>
      <c r="C69" s="124" t="s">
        <v>880</v>
      </c>
      <c r="D69" s="124" t="s">
        <v>881</v>
      </c>
      <c r="E69" s="124" t="s">
        <v>882</v>
      </c>
      <c r="F69" s="124" t="s">
        <v>883</v>
      </c>
      <c r="G69" s="124" t="s">
        <v>878</v>
      </c>
      <c r="H69" s="124" t="s">
        <v>884</v>
      </c>
      <c r="I69" s="125">
        <v>0.6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24">
        <v>30.0</v>
      </c>
      <c r="B70" s="124">
        <v>999.0</v>
      </c>
      <c r="C70" s="124" t="s">
        <v>885</v>
      </c>
      <c r="D70" s="124" t="s">
        <v>886</v>
      </c>
      <c r="E70" s="124" t="s">
        <v>887</v>
      </c>
      <c r="F70" s="124" t="s">
        <v>888</v>
      </c>
      <c r="G70" s="124" t="s">
        <v>878</v>
      </c>
      <c r="H70" s="124" t="s">
        <v>889</v>
      </c>
      <c r="I70" s="125">
        <v>0.65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2" width="26.0"/>
    <col customWidth="1" min="3" max="166" width="22.0"/>
    <col customWidth="1" min="167" max="167" width="8.71"/>
    <col customWidth="1" hidden="1" min="168" max="169" width="26.0"/>
    <col customWidth="1" min="170" max="203" width="8.71"/>
    <col customWidth="1" hidden="1" min="204" max="205" width="13.0"/>
  </cols>
  <sheetData>
    <row r="1" ht="15.0" customHeight="1">
      <c r="A1" s="126" t="s">
        <v>890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L1" s="5"/>
      <c r="FM1" s="5"/>
      <c r="GV1" s="5"/>
      <c r="GW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L2" s="5"/>
      <c r="FM2" s="5"/>
      <c r="GV2" s="5"/>
      <c r="GW2" s="5"/>
    </row>
    <row r="3" ht="15.0" customHeight="1">
      <c r="A3" s="127" t="s">
        <v>891</v>
      </c>
      <c r="B3" s="127" t="s">
        <v>892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L3" s="5"/>
      <c r="FM3" s="5"/>
      <c r="GV3" s="5" t="str">
        <f>IF(BAZA!$A3="","",BAZA!$A3)</f>
        <v>Abduction machine</v>
      </c>
      <c r="GW3" s="5" t="str">
        <f>IF(BAZA!$B3="","",BAZA!$B3&amp;"|"&amp;COUNTIF(BAZA!$B$3:$B3,BAZA!$B3))</f>
        <v>Lower pull|1</v>
      </c>
    </row>
    <row r="4" ht="15.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L4" s="5"/>
      <c r="FM4" s="5"/>
      <c r="GV4" s="5" t="str">
        <f>IF(BAZA!$A4="","",BAZA!$A4)</f>
        <v>Adduction machine</v>
      </c>
      <c r="GW4" s="5" t="str">
        <f>IF(BAZA!$B4="","",BAZA!$B4&amp;"|"&amp;COUNTIF(BAZA!$B$3:$B4,BAZA!$B4))</f>
        <v>Lower push|1</v>
      </c>
    </row>
    <row r="5" ht="15.0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L5" s="5"/>
      <c r="FM5" s="5"/>
      <c r="GV5" s="5" t="str">
        <f>IF(BAZA!$A5="","",BAZA!$A5)</f>
        <v>Allah</v>
      </c>
      <c r="GW5" s="5" t="str">
        <f>IF(BAZA!$B5="","",BAZA!$B5&amp;"|"&amp;COUNTIF(BAZA!$B$3:$B5,BAZA!$B5))</f>
        <v>Core|1</v>
      </c>
    </row>
    <row r="6" ht="15.0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L6" s="5"/>
      <c r="FM6" s="5"/>
      <c r="GV6" s="5" t="str">
        <f>IF(BAZA!$A6="","",BAZA!$A6)</f>
        <v>Arnold press</v>
      </c>
      <c r="GW6" s="5" t="str">
        <f>IF(BAZA!$B6="","",BAZA!$B6&amp;"|"&amp;COUNTIF(BAZA!$B$3:$B6,BAZA!$B6))</f>
        <v>Upper push vertical|1</v>
      </c>
    </row>
    <row r="7" ht="15.0" customHeight="1">
      <c r="A7" s="5" t="str">
        <f>IF('T1'!$K7="","",'T1'!$K7)</f>
        <v>D1-S01</v>
      </c>
      <c r="B7" s="5" t="str">
        <f>IF('T1'!$J7="","(wszystkie)",'T1'!$J7)</f>
        <v>(wszystkie)</v>
      </c>
      <c r="C7" s="5" t="str">
        <f t="array" ref="C7">IFERROR(IF('T1'!$J7="",INDEX(LISTA_EX,1),INDEX(LISTA_EX,MATCH('T1'!$J7&amp;"|"&amp;1,LISTA_KLUCZ,0))),"")</f>
        <v>Abduction machine</v>
      </c>
      <c r="D7" s="5" t="str">
        <f t="array" ref="D7">IFERROR(IF('T1'!$J7="",INDEX(LISTA_EX,2),INDEX(LISTA_EX,MATCH('T1'!$J7&amp;"|"&amp;2,LISTA_KLUCZ,0))),"")</f>
        <v>Adduction machine</v>
      </c>
      <c r="E7" s="5" t="str">
        <f t="array" ref="E7">IFERROR(IF('T1'!$J7="",INDEX(LISTA_EX,3),INDEX(LISTA_EX,MATCH('T1'!$J7&amp;"|"&amp;3,LISTA_KLUCZ,0))),"")</f>
        <v>Allah</v>
      </c>
      <c r="F7" s="5" t="str">
        <f t="array" ref="F7">IFERROR(IF('T1'!$J7="",INDEX(LISTA_EX,4),INDEX(LISTA_EX,MATCH('T1'!$J7&amp;"|"&amp;4,LISTA_KLUCZ,0))),"")</f>
        <v>Arnold press</v>
      </c>
      <c r="G7" s="5" t="str">
        <f t="array" ref="G7">IFERROR(IF('T1'!$J7="",INDEX(LISTA_EX,5),INDEX(LISTA_EX,MATCH('T1'!$J7&amp;"|"&amp;5,LISTA_KLUCZ,0))),"")</f>
        <v>Arnold press alternating</v>
      </c>
      <c r="H7" s="5" t="str">
        <f t="array" ref="H7">IFERROR(IF('T1'!$J7="",INDEX(LISTA_EX,6),INDEX(LISTA_EX,MATCH('T1'!$J7&amp;"|"&amp;6,LISTA_KLUCZ,0))),"")</f>
        <v>B/l dragonflag eccentric</v>
      </c>
      <c r="I7" s="5" t="str">
        <f t="array" ref="I7">IFERROR(IF('T1'!$J7="",INDEX(LISTA_EX,7),INDEX(LISTA_EX,MATCH('T1'!$J7&amp;"|"&amp;7,LISTA_KLUCZ,0))),"")</f>
        <v>Back extension</v>
      </c>
      <c r="J7" s="5" t="str">
        <f t="array" ref="J7">IFERROR(IF('T1'!$J7="",INDEX(LISTA_EX,8),INDEX(LISTA_EX,MATCH('T1'!$J7&amp;"|"&amp;8,LISTA_KLUCZ,0))),"")</f>
        <v>Banded pistol squat</v>
      </c>
      <c r="K7" s="5" t="str">
        <f t="array" ref="K7">IFERROR(IF('T1'!$J7="",INDEX(LISTA_EX,9),INDEX(LISTA_EX,MATCH('T1'!$J7&amp;"|"&amp;9,LISTA_KLUCZ,0))),"")</f>
        <v>Banded pull ups</v>
      </c>
      <c r="L7" s="5" t="str">
        <f t="array" ref="L7">IFERROR(IF('T1'!$J7="",INDEX(LISTA_EX,10),INDEX(LISTA_EX,MATCH('T1'!$J7&amp;"|"&amp;10,LISTA_KLUCZ,0))),"")</f>
        <v>Barbell back squat</v>
      </c>
      <c r="M7" s="5" t="str">
        <f t="array" ref="M7">IFERROR(IF('T1'!$J7="",INDEX(LISTA_EX,11),INDEX(LISTA_EX,MATCH('T1'!$J7&amp;"|"&amp;11,LISTA_KLUCZ,0))),"")</f>
        <v>Barbell bench press</v>
      </c>
      <c r="N7" s="5" t="str">
        <f t="array" ref="N7">IFERROR(IF('T1'!$J7="",INDEX(LISTA_EX,12),INDEX(LISTA_EX,MATCH('T1'!$J7&amp;"|"&amp;12,LISTA_KLUCZ,0))),"")</f>
        <v>Barbell curl</v>
      </c>
      <c r="O7" s="5" t="str">
        <f t="array" ref="O7">IFERROR(IF('T1'!$J7="",INDEX(LISTA_EX,13),INDEX(LISTA_EX,MATCH('T1'!$J7&amp;"|"&amp;13,LISTA_KLUCZ,0))),"")</f>
        <v>Barbell low bar squat</v>
      </c>
      <c r="P7" s="5" t="str">
        <f t="array" ref="P7">IFERROR(IF('T1'!$J7="",INDEX(LISTA_EX,14),INDEX(LISTA_EX,MATCH('T1'!$J7&amp;"|"&amp;14,LISTA_KLUCZ,0))),"")</f>
        <v>Barbell OHP</v>
      </c>
      <c r="Q7" s="5" t="str">
        <f t="array" ref="Q7">IFERROR(IF('T1'!$J7="",INDEX(LISTA_EX,15),INDEX(LISTA_EX,MATCH('T1'!$J7&amp;"|"&amp;15,LISTA_KLUCZ,0))),"")</f>
        <v>Barbell oscilation</v>
      </c>
      <c r="R7" s="5" t="str">
        <f t="array" ref="R7">IFERROR(IF('T1'!$J7="",INDEX(LISTA_EX,16),INDEX(LISTA_EX,MATCH('T1'!$J7&amp;"|"&amp;16,LISTA_KLUCZ,0))),"")</f>
        <v>Barbell row</v>
      </c>
      <c r="S7" s="5" t="str">
        <f t="array" ref="S7">IFERROR(IF('T1'!$J7="",INDEX(LISTA_EX,17),INDEX(LISTA_EX,MATCH('T1'!$J7&amp;"|"&amp;17,LISTA_KLUCZ,0))),"")</f>
        <v>Barbell row dead stop pins</v>
      </c>
      <c r="T7" s="5" t="str">
        <f t="array" ref="T7">IFERROR(IF('T1'!$J7="",INDEX(LISTA_EX,18),INDEX(LISTA_EX,MATCH('T1'!$J7&amp;"|"&amp;18,LISTA_KLUCZ,0))),"")</f>
        <v>Barbell SLDL</v>
      </c>
      <c r="U7" s="5" t="str">
        <f t="array" ref="U7">IFERROR(IF('T1'!$J7="",INDEX(LISTA_EX,19),INDEX(LISTA_EX,MATCH('T1'!$J7&amp;"|"&amp;19,LISTA_KLUCZ,0))),"")</f>
        <v>Bayesian curl</v>
      </c>
      <c r="V7" s="5" t="str">
        <f t="array" ref="V7">IFERROR(IF('T1'!$J7="",INDEX(LISTA_EX,20),INDEX(LISTA_EX,MATCH('T1'!$J7&amp;"|"&amp;20,LISTA_KLUCZ,0))),"")</f>
        <v>Bear renegade row</v>
      </c>
      <c r="W7" s="5" t="str">
        <f t="array" ref="W7">IFERROR(IF('T1'!$J7="",INDEX(LISTA_EX,21),INDEX(LISTA_EX,MATCH('T1'!$J7&amp;"|"&amp;21,LISTA_KLUCZ,0))),"")</f>
        <v>Bench press paused 3sec</v>
      </c>
      <c r="X7" s="5" t="str">
        <f t="array" ref="X7">IFERROR(IF('T1'!$J7="",INDEX(LISTA_EX,22),INDEX(LISTA_EX,MATCH('T1'!$J7&amp;"|"&amp;22,LISTA_KLUCZ,0))),"")</f>
        <v>Bicep hammer curl</v>
      </c>
      <c r="Y7" s="5" t="str">
        <f t="array" ref="Y7">IFERROR(IF('T1'!$J7="",INDEX(LISTA_EX,23),INDEX(LISTA_EX,MATCH('T1'!$J7&amp;"|"&amp;23,LISTA_KLUCZ,0))),"")</f>
        <v>Bicep squat cable curl</v>
      </c>
      <c r="Z7" s="5" t="str">
        <f t="array" ref="Z7">IFERROR(IF('T1'!$J7="",INDEX(LISTA_EX,24),INDEX(LISTA_EX,MATCH('T1'!$J7&amp;"|"&amp;24,LISTA_KLUCZ,0))),"")</f>
        <v>Bird dog row</v>
      </c>
      <c r="AA7" s="5" t="str">
        <f t="array" ref="AA7">IFERROR(IF('T1'!$J7="",INDEX(LISTA_EX,25),INDEX(LISTA_EX,MATCH('T1'!$J7&amp;"|"&amp;25,LISTA_KLUCZ,0))),"")</f>
        <v>Box jump</v>
      </c>
      <c r="AB7" s="5" t="str">
        <f t="array" ref="AB7">IFERROR(IF('T1'!$J7="",INDEX(LISTA_EX,26),INDEX(LISTA_EX,MATCH('T1'!$J7&amp;"|"&amp;26,LISTA_KLUCZ,0))),"")</f>
        <v>Bulgarian clean plyo</v>
      </c>
      <c r="AC7" s="5" t="str">
        <f t="array" ref="AC7">IFERROR(IF('T1'!$J7="",INDEX(LISTA_EX,27),INDEX(LISTA_EX,MATCH('T1'!$J7&amp;"|"&amp;27,LISTA_KLUCZ,0))),"")</f>
        <v>Bulgarian squat assisted</v>
      </c>
      <c r="AD7" s="5" t="str">
        <f t="array" ref="AD7">IFERROR(IF('T1'!$J7="",INDEX(LISTA_EX,28),INDEX(LISTA_EX,MATCH('T1'!$J7&amp;"|"&amp;28,LISTA_KLUCZ,0))),"")</f>
        <v>Cable biceps curl</v>
      </c>
      <c r="AE7" s="5" t="str">
        <f t="array" ref="AE7">IFERROR(IF('T1'!$J7="",INDEX(LISTA_EX,29),INDEX(LISTA_EX,MATCH('T1'!$J7&amp;"|"&amp;29,LISTA_KLUCZ,0))),"")</f>
        <v>Cable fly</v>
      </c>
      <c r="AF7" s="5" t="str">
        <f t="array" ref="AF7">IFERROR(IF('T1'!$J7="",INDEX(LISTA_EX,30),INDEX(LISTA_EX,MATCH('T1'!$J7&amp;"|"&amp;30,LISTA_KLUCZ,0))),"")</f>
        <v>Cable lateral raise s/a</v>
      </c>
      <c r="AG7" s="5" t="str">
        <f t="array" ref="AG7">IFERROR(IF('T1'!$J7="",INDEX(LISTA_EX,31),INDEX(LISTA_EX,MATCH('T1'!$J7&amp;"|"&amp;31,LISTA_KLUCZ,0))),"")</f>
        <v>Cable row</v>
      </c>
      <c r="AH7" s="5" t="str">
        <f t="array" ref="AH7">IFERROR(IF('T1'!$J7="",INDEX(LISTA_EX,32),INDEX(LISTA_EX,MATCH('T1'!$J7&amp;"|"&amp;32,LISTA_KLUCZ,0))),"")</f>
        <v>Cable row s/a</v>
      </c>
      <c r="AI7" s="5" t="str">
        <f t="array" ref="AI7">IFERROR(IF('T1'!$J7="",INDEX(LISTA_EX,33),INDEX(LISTA_EX,MATCH('T1'!$J7&amp;"|"&amp;33,LISTA_KLUCZ,0))),"")</f>
        <v>Calf raises</v>
      </c>
      <c r="AJ7" s="5" t="str">
        <f t="array" ref="AJ7">IFERROR(IF('T1'!$J7="",INDEX(LISTA_EX,34),INDEX(LISTA_EX,MATCH('T1'!$J7&amp;"|"&amp;34,LISTA_KLUCZ,0))),"")</f>
        <v>Chest fly machine</v>
      </c>
      <c r="AK7" s="5" t="str">
        <f t="array" ref="AK7">IFERROR(IF('T1'!$J7="",INDEX(LISTA_EX,35),INDEX(LISTA_EX,MATCH('T1'!$J7&amp;"|"&amp;35,LISTA_KLUCZ,0))),"")</f>
        <v>Clean</v>
      </c>
      <c r="AL7" s="5" t="str">
        <f t="array" ref="AL7">IFERROR(IF('T1'!$J7="",INDEX(LISTA_EX,36),INDEX(LISTA_EX,MATCH('T1'!$J7&amp;"|"&amp;36,LISTA_KLUCZ,0))),"")</f>
        <v>Clean pins</v>
      </c>
      <c r="AM7" s="5" t="str">
        <f t="array" ref="AM7">IFERROR(IF('T1'!$J7="",INDEX(LISTA_EX,37),INDEX(LISTA_EX,MATCH('T1'!$J7&amp;"|"&amp;37,LISTA_KLUCZ,0))),"")</f>
        <v>Copenhagen plank</v>
      </c>
      <c r="AN7" s="5" t="str">
        <f t="array" ref="AN7">IFERROR(IF('T1'!$J7="",INDEX(LISTA_EX,38),INDEX(LISTA_EX,MATCH('T1'!$J7&amp;"|"&amp;38,LISTA_KLUCZ,0))),"")</f>
        <v>Dead bug izo + OH</v>
      </c>
      <c r="AO7" s="5" t="str">
        <f t="array" ref="AO7">IFERROR(IF('T1'!$J7="",INDEX(LISTA_EX,39),INDEX(LISTA_EX,MATCH('T1'!$J7&amp;"|"&amp;39,LISTA_KLUCZ,0))),"")</f>
        <v>Dead bug straight legs</v>
      </c>
      <c r="AP7" s="5" t="str">
        <f t="array" ref="AP7">IFERROR(IF('T1'!$J7="",INDEX(LISTA_EX,40),INDEX(LISTA_EX,MATCH('T1'!$J7&amp;"|"&amp;40,LISTA_KLUCZ,0))),"")</f>
        <v>Dead stop barbell row</v>
      </c>
      <c r="AQ7" s="5" t="str">
        <f t="array" ref="AQ7">IFERROR(IF('T1'!$J7="",INDEX(LISTA_EX,41),INDEX(LISTA_EX,MATCH('T1'!$J7&amp;"|"&amp;41,LISTA_KLUCZ,0))),"")</f>
        <v>Deadbug OH</v>
      </c>
      <c r="AR7" s="5" t="str">
        <f t="array" ref="AR7">IFERROR(IF('T1'!$J7="",INDEX(LISTA_EX,42),INDEX(LISTA_EX,MATCH('T1'!$J7&amp;"|"&amp;42,LISTA_KLUCZ,0))),"")</f>
        <v>Deadlift</v>
      </c>
      <c r="AS7" s="5" t="str">
        <f t="array" ref="AS7">IFERROR(IF('T1'!$J7="",INDEX(LISTA_EX,43),INDEX(LISTA_EX,MATCH('T1'!$J7&amp;"|"&amp;43,LISTA_KLUCZ,0))),"")</f>
        <v>Deficit push up</v>
      </c>
      <c r="AT7" s="5" t="str">
        <f t="array" ref="AT7">IFERROR(IF('T1'!$J7="",INDEX(LISTA_EX,44),INDEX(LISTA_EX,MATCH('T1'!$J7&amp;"|"&amp;44,LISTA_KLUCZ,0))),"")</f>
        <v>Deficit reverse lunge</v>
      </c>
      <c r="AU7" s="5" t="str">
        <f t="array" ref="AU7">IFERROR(IF('T1'!$J7="",INDEX(LISTA_EX,45),INDEX(LISTA_EX,MATCH('T1'!$J7&amp;"|"&amp;45,LISTA_KLUCZ,0))),"")</f>
        <v>Dips</v>
      </c>
      <c r="AV7" s="5" t="str">
        <f t="array" ref="AV7">IFERROR(IF('T1'!$J7="",INDEX(LISTA_EX,46),INDEX(LISTA_EX,MATCH('T1'!$J7&amp;"|"&amp;46,LISTA_KLUCZ,0))),"")</f>
        <v>Dips weighted</v>
      </c>
      <c r="AW7" s="5" t="str">
        <f t="array" ref="AW7">IFERROR(IF('T1'!$J7="",INDEX(LISTA_EX,47),INDEX(LISTA_EX,MATCH('T1'!$J7&amp;"|"&amp;47,LISTA_KLUCZ,0))),"")</f>
        <v>Dumbbell bench press</v>
      </c>
      <c r="AX7" s="5" t="str">
        <f t="array" ref="AX7">IFERROR(IF('T1'!$J7="",INDEX(LISTA_EX,48),INDEX(LISTA_EX,MATCH('T1'!$J7&amp;"|"&amp;48,LISTA_KLUCZ,0))),"")</f>
        <v>Dumbbell bench press alternating</v>
      </c>
      <c r="AY7" s="5" t="str">
        <f t="array" ref="AY7">IFERROR(IF('T1'!$J7="",INDEX(LISTA_EX,49),INDEX(LISTA_EX,MATCH('T1'!$J7&amp;"|"&amp;49,LISTA_KLUCZ,0))),"")</f>
        <v>Dumbbell curl</v>
      </c>
      <c r="AZ7" s="5" t="str">
        <f t="array" ref="AZ7">IFERROR(IF('T1'!$J7="",INDEX(LISTA_EX,50),INDEX(LISTA_EX,MATCH('T1'!$J7&amp;"|"&amp;50,LISTA_KLUCZ,0))),"")</f>
        <v>Dumbbell external rotation</v>
      </c>
      <c r="BA7" s="5" t="str">
        <f t="array" ref="BA7">IFERROR(IF('T1'!$J7="",INDEX(LISTA_EX,51),INDEX(LISTA_EX,MATCH('T1'!$J7&amp;"|"&amp;51,LISTA_KLUCZ,0))),"")</f>
        <v>Dumbbell face down curl</v>
      </c>
      <c r="BB7" s="5" t="str">
        <f t="array" ref="BB7">IFERROR(IF('T1'!$J7="",INDEX(LISTA_EX,52),INDEX(LISTA_EX,MATCH('T1'!$J7&amp;"|"&amp;52,LISTA_KLUCZ,0))),"")</f>
        <v>Dumbbell fly</v>
      </c>
      <c r="BC7" s="5" t="str">
        <f t="array" ref="BC7">IFERROR(IF('T1'!$J7="",INDEX(LISTA_EX,53),INDEX(LISTA_EX,MATCH('T1'!$J7&amp;"|"&amp;53,LISTA_KLUCZ,0))),"")</f>
        <v>Dumbbell french press</v>
      </c>
      <c r="BD7" s="5" t="str">
        <f t="array" ref="BD7">IFERROR(IF('T1'!$J7="",INDEX(LISTA_EX,54),INDEX(LISTA_EX,MATCH('T1'!$J7&amp;"|"&amp;54,LISTA_KLUCZ,0))),"")</f>
        <v>Dumbbell lateral raise</v>
      </c>
      <c r="BE7" s="5" t="str">
        <f t="array" ref="BE7">IFERROR(IF('T1'!$J7="",INDEX(LISTA_EX,55),INDEX(LISTA_EX,MATCH('T1'!$J7&amp;"|"&amp;55,LISTA_KLUCZ,0))),"")</f>
        <v>Dumbbell lunges</v>
      </c>
      <c r="BF7" s="5" t="str">
        <f t="array" ref="BF7">IFERROR(IF('T1'!$J7="",INDEX(LISTA_EX,56),INDEX(LISTA_EX,MATCH('T1'!$J7&amp;"|"&amp;56,LISTA_KLUCZ,0))),"")</f>
        <v>Dumbbell OH press</v>
      </c>
      <c r="BG7" s="5" t="str">
        <f t="array" ref="BG7">IFERROR(IF('T1'!$J7="",INDEX(LISTA_EX,57),INDEX(LISTA_EX,MATCH('T1'!$J7&amp;"|"&amp;57,LISTA_KLUCZ,0))),"")</f>
        <v>Dumbbell over head press</v>
      </c>
      <c r="BH7" s="5" t="str">
        <f t="array" ref="BH7">IFERROR(IF('T1'!$J7="",INDEX(LISTA_EX,58),INDEX(LISTA_EX,MATCH('T1'!$J7&amp;"|"&amp;58,LISTA_KLUCZ,0))),"")</f>
        <v>Dumbbell over head press alternating</v>
      </c>
      <c r="BI7" s="5" t="str">
        <f t="array" ref="BI7">IFERROR(IF('T1'!$J7="",INDEX(LISTA_EX,59),INDEX(LISTA_EX,MATCH('T1'!$J7&amp;"|"&amp;59,LISTA_KLUCZ,0))),"")</f>
        <v>Dumbbell row</v>
      </c>
      <c r="BJ7" s="5" t="str">
        <f t="array" ref="BJ7">IFERROR(IF('T1'!$J7="",INDEX(LISTA_EX,60),INDEX(LISTA_EX,MATCH('T1'!$J7&amp;"|"&amp;60,LISTA_KLUCZ,0))),"")</f>
        <v>Dumbbell s/a Arnold press</v>
      </c>
      <c r="BK7" s="5" t="str">
        <f t="array" ref="BK7">IFERROR(IF('T1'!$J7="",INDEX(LISTA_EX,61),INDEX(LISTA_EX,MATCH('T1'!$J7&amp;"|"&amp;61,LISTA_KLUCZ,0))),"")</f>
        <v>Dumbbell s/a row</v>
      </c>
      <c r="BL7" s="5" t="str">
        <f t="array" ref="BL7">IFERROR(IF('T1'!$J7="",INDEX(LISTA_EX,62),INDEX(LISTA_EX,MATCH('T1'!$J7&amp;"|"&amp;62,LISTA_KLUCZ,0))),"")</f>
        <v>Dumbbell seal row</v>
      </c>
      <c r="BM7" s="5" t="str">
        <f t="array" ref="BM7">IFERROR(IF('T1'!$J7="",INDEX(LISTA_EX,63),INDEX(LISTA_EX,MATCH('T1'!$J7&amp;"|"&amp;63,LISTA_KLUCZ,0))),"")</f>
        <v>Dumbbells jumps</v>
      </c>
      <c r="BN7" s="5" t="str">
        <f t="array" ref="BN7">IFERROR(IF('T1'!$J7="",INDEX(LISTA_EX,64),INDEX(LISTA_EX,MATCH('T1'!$J7&amp;"|"&amp;64,LISTA_KLUCZ,0))),"")</f>
        <v>Eccentric pull up</v>
      </c>
      <c r="BO7" s="5" t="str">
        <f t="array" ref="BO7">IFERROR(IF('T1'!$J7="",INDEX(LISTA_EX,65),INDEX(LISTA_EX,MATCH('T1'!$J7&amp;"|"&amp;65,LISTA_KLUCZ,0))),"")</f>
        <v>Eccentric push up (5 sek w dół)</v>
      </c>
      <c r="BP7" s="5" t="str">
        <f t="array" ref="BP7">IFERROR(IF('T1'!$J7="",INDEX(LISTA_EX,66),INDEX(LISTA_EX,MATCH('T1'!$J7&amp;"|"&amp;66,LISTA_KLUCZ,0))),"")</f>
        <v>Extensive plyo jumps s/l</v>
      </c>
      <c r="BQ7" s="5" t="str">
        <f t="array" ref="BQ7">IFERROR(IF('T1'!$J7="",INDEX(LISTA_EX,67),INDEX(LISTA_EX,MATCH('T1'!$J7&amp;"|"&amp;67,LISTA_KLUCZ,0))),"")</f>
        <v>Ez bar curl</v>
      </c>
      <c r="BR7" s="5" t="str">
        <f t="array" ref="BR7">IFERROR(IF('T1'!$J7="",INDEX(LISTA_EX,68),INDEX(LISTA_EX,MATCH('T1'!$J7&amp;"|"&amp;68,LISTA_KLUCZ,0))),"")</f>
        <v>Facepull chest supported</v>
      </c>
      <c r="BS7" s="5" t="str">
        <f t="array" ref="BS7">IFERROR(IF('T1'!$J7="",INDEX(LISTA_EX,69),INDEX(LISTA_EX,MATCH('T1'!$J7&amp;"|"&amp;69,LISTA_KLUCZ,0))),"")</f>
        <v>Front foot elevated split squat</v>
      </c>
      <c r="BT7" s="5" t="str">
        <f t="array" ref="BT7">IFERROR(IF('T1'!$J7="",INDEX(LISTA_EX,70),INDEX(LISTA_EX,MATCH('T1'!$J7&amp;"|"&amp;70,LISTA_KLUCZ,0))),"")</f>
        <v>Front squat</v>
      </c>
      <c r="BU7" s="5" t="str">
        <f t="array" ref="BU7">IFERROR(IF('T1'!$J7="",INDEX(LISTA_EX,71),INDEX(LISTA_EX,MATCH('T1'!$J7&amp;"|"&amp;71,LISTA_KLUCZ,0))),"")</f>
        <v>GHD flexion</v>
      </c>
      <c r="BV7" s="5" t="str">
        <f t="array" ref="BV7">IFERROR(IF('T1'!$J7="",INDEX(LISTA_EX,72),INDEX(LISTA_EX,MATCH('T1'!$J7&amp;"|"&amp;72,LISTA_KLUCZ,0))),"")</f>
        <v>Glute bridge hamstrings izo + OH</v>
      </c>
      <c r="BW7" s="5" t="str">
        <f t="array" ref="BW7">IFERROR(IF('T1'!$J7="",INDEX(LISTA_EX,73),INDEX(LISTA_EX,MATCH('T1'!$J7&amp;"|"&amp;73,LISTA_KLUCZ,0))),"")</f>
        <v>Glute crusher</v>
      </c>
      <c r="BX7" s="5" t="str">
        <f t="array" ref="BX7">IFERROR(IF('T1'!$J7="",INDEX(LISTA_EX,74),INDEX(LISTA_EX,MATCH('T1'!$J7&amp;"|"&amp;74,LISTA_KLUCZ,0))),"")</f>
        <v>Gorilla row</v>
      </c>
      <c r="BY7" s="5" t="str">
        <f t="array" ref="BY7">IFERROR(IF('T1'!$J7="",INDEX(LISTA_EX,75),INDEX(LISTA_EX,MATCH('T1'!$J7&amp;"|"&amp;75,LISTA_KLUCZ,0))),"")</f>
        <v>Halfkneeling s/a cable pull</v>
      </c>
      <c r="BZ7" s="5" t="str">
        <f t="array" ref="BZ7">IFERROR(IF('T1'!$J7="",INDEX(LISTA_EX,76),INDEX(LISTA_EX,MATCH('T1'!$J7&amp;"|"&amp;76,LISTA_KLUCZ,0))),"")</f>
        <v>Halfkneeling wood chopper</v>
      </c>
      <c r="CA7" s="5" t="str">
        <f t="array" ref="CA7">IFERROR(IF('T1'!$J7="",INDEX(LISTA_EX,77),INDEX(LISTA_EX,MATCH('T1'!$J7&amp;"|"&amp;77,LISTA_KLUCZ,0))),"")</f>
        <v>Hinged dumbbell row</v>
      </c>
      <c r="CB7" s="5" t="str">
        <f t="array" ref="CB7">IFERROR(IF('T1'!$J7="",INDEX(LISTA_EX,78),INDEX(LISTA_EX,MATCH('T1'!$J7&amp;"|"&amp;78,LISTA_KLUCZ,0))),"")</f>
        <v>Hip aeroplane</v>
      </c>
      <c r="CC7" s="5" t="str">
        <f t="array" ref="CC7">IFERROR(IF('T1'!$J7="",INDEX(LISTA_EX,79),INDEX(LISTA_EX,MATCH('T1'!$J7&amp;"|"&amp;79,LISTA_KLUCZ,0))),"")</f>
        <v>Hip flexors cable</v>
      </c>
      <c r="CD7" s="5" t="str">
        <f t="array" ref="CD7">IFERROR(IF('T1'!$J7="",INDEX(LISTA_EX,80),INDEX(LISTA_EX,MATCH('T1'!$J7&amp;"|"&amp;80,LISTA_KLUCZ,0))),"")</f>
        <v>Hip thrust barbell</v>
      </c>
      <c r="CE7" s="5" t="str">
        <f t="array" ref="CE7">IFERROR(IF('T1'!$J7="",INDEX(LISTA_EX,81),INDEX(LISTA_EX,MATCH('T1'!$J7&amp;"|"&amp;81,LISTA_KLUCZ,0))),"")</f>
        <v>Hollow body + OH</v>
      </c>
      <c r="CF7" s="5" t="str">
        <f t="array" ref="CF7">IFERROR(IF('T1'!$J7="",INDEX(LISTA_EX,82),INDEX(LISTA_EX,MATCH('T1'!$J7&amp;"|"&amp;82,LISTA_KLUCZ,0))),"")</f>
        <v>Horizontal jump</v>
      </c>
      <c r="CG7" s="5" t="str">
        <f t="array" ref="CG7">IFERROR(IF('T1'!$J7="",INDEX(LISTA_EX,83),INDEX(LISTA_EX,MATCH('T1'!$J7&amp;"|"&amp;83,LISTA_KLUCZ,0))),"")</f>
        <v>Incline bench lateral raise s/a</v>
      </c>
      <c r="CH7" s="5" t="str">
        <f t="array" ref="CH7">IFERROR(IF('T1'!$J7="",INDEX(LISTA_EX,84),INDEX(LISTA_EX,MATCH('T1'!$J7&amp;"|"&amp;84,LISTA_KLUCZ,0))),"")</f>
        <v>Incline curl + OHP</v>
      </c>
      <c r="CI7" s="5" t="str">
        <f t="array" ref="CI7">IFERROR(IF('T1'!$J7="",INDEX(LISTA_EX,85),INDEX(LISTA_EX,MATCH('T1'!$J7&amp;"|"&amp;85,LISTA_KLUCZ,0))),"")</f>
        <v>Incline dumbbell curl</v>
      </c>
      <c r="CJ7" s="5" t="str">
        <f t="array" ref="CJ7">IFERROR(IF('T1'!$J7="",INDEX(LISTA_EX,86),INDEX(LISTA_EX,MATCH('T1'!$J7&amp;"|"&amp;86,LISTA_KLUCZ,0))),"")</f>
        <v>Incline dumbbell curl (back)</v>
      </c>
      <c r="CK7" s="5" t="str">
        <f t="array" ref="CK7">IFERROR(IF('T1'!$J7="",INDEX(LISTA_EX,87),INDEX(LISTA_EX,MATCH('T1'!$J7&amp;"|"&amp;87,LISTA_KLUCZ,0))),"")</f>
        <v>Incline dumbbell curl (front)</v>
      </c>
      <c r="CL7" s="5" t="str">
        <f t="array" ref="CL7">IFERROR(IF('T1'!$J7="",INDEX(LISTA_EX,88),INDEX(LISTA_EX,MATCH('T1'!$J7&amp;"|"&amp;88,LISTA_KLUCZ,0))),"")</f>
        <v>Incline dumbbell fly</v>
      </c>
      <c r="CM7" s="5" t="str">
        <f t="array" ref="CM7">IFERROR(IF('T1'!$J7="",INDEX(LISTA_EX,89),INDEX(LISTA_EX,MATCH('T1'!$J7&amp;"|"&amp;89,LISTA_KLUCZ,0))),"")</f>
        <v>Incline dumbbell press</v>
      </c>
      <c r="CN7" s="5" t="str">
        <f t="array" ref="CN7">IFERROR(IF('T1'!$J7="",INDEX(LISTA_EX,90),INDEX(LISTA_EX,MATCH('T1'!$J7&amp;"|"&amp;90,LISTA_KLUCZ,0))),"")</f>
        <v>Incline dumbbell press alternating</v>
      </c>
      <c r="CO7" s="5" t="str">
        <f t="array" ref="CO7">IFERROR(IF('T1'!$J7="",INDEX(LISTA_EX,91),INDEX(LISTA_EX,MATCH('T1'!$J7&amp;"|"&amp;91,LISTA_KLUCZ,0))),"")</f>
        <v>Incline sit-ups</v>
      </c>
      <c r="CP7" s="5" t="str">
        <f t="array" ref="CP7">IFERROR(IF('T1'!$J7="",INDEX(LISTA_EX,92),INDEX(LISTA_EX,MATCH('T1'!$J7&amp;"|"&amp;92,LISTA_KLUCZ,0))),"")</f>
        <v>Jefferson cable</v>
      </c>
      <c r="CQ7" s="5" t="str">
        <f t="array" ref="CQ7">IFERROR(IF('T1'!$J7="",INDEX(LISTA_EX,93),INDEX(LISTA_EX,MATCH('T1'!$J7&amp;"|"&amp;93,LISTA_KLUCZ,0))),"")</f>
        <v>Kettlebell march</v>
      </c>
      <c r="CR7" s="5" t="str">
        <f t="array" ref="CR7">IFERROR(IF('T1'!$J7="",INDEX(LISTA_EX,94),INDEX(LISTA_EX,MATCH('T1'!$J7&amp;"|"&amp;94,LISTA_KLUCZ,0))),"")</f>
        <v>Kickbacks</v>
      </c>
      <c r="CS7" s="5" t="str">
        <f t="array" ref="CS7">IFERROR(IF('T1'!$J7="",INDEX(LISTA_EX,95),INDEX(LISTA_EX,MATCH('T1'!$J7&amp;"|"&amp;95,LISTA_KLUCZ,0))),"")</f>
        <v>Knee extension machine</v>
      </c>
      <c r="CT7" s="5" t="str">
        <f t="array" ref="CT7">IFERROR(IF('T1'!$J7="",INDEX(LISTA_EX,96),INDEX(LISTA_EX,MATCH('T1'!$J7&amp;"|"&amp;96,LISTA_KLUCZ,0))),"")</f>
        <v>Knee flexion machine</v>
      </c>
      <c r="CU7" s="5" t="str">
        <f t="array" ref="CU7">IFERROR(IF('T1'!$J7="",INDEX(LISTA_EX,97),INDEX(LISTA_EX,MATCH('T1'!$J7&amp;"|"&amp;97,LISTA_KLUCZ,0))),"")</f>
        <v>Knee raises</v>
      </c>
      <c r="CV7" s="5" t="str">
        <f t="array" ref="CV7">IFERROR(IF('T1'!$J7="",INDEX(LISTA_EX,98),INDEX(LISTA_EX,MATCH('T1'!$J7&amp;"|"&amp;98,LISTA_KLUCZ,0))),"")</f>
        <v>Landmine core</v>
      </c>
      <c r="CW7" s="5" t="str">
        <f t="array" ref="CW7">IFERROR(IF('T1'!$J7="",INDEX(LISTA_EX,99),INDEX(LISTA_EX,MATCH('T1'!$J7&amp;"|"&amp;99,LISTA_KLUCZ,0))),"")</f>
        <v>Landmine press</v>
      </c>
      <c r="CX7" s="5" t="str">
        <f t="array" ref="CX7">IFERROR(IF('T1'!$J7="",INDEX(LISTA_EX,100),INDEX(LISTA_EX,MATCH('T1'!$J7&amp;"|"&amp;100,LISTA_KLUCZ,0))),"")</f>
        <v>Landmine rotations (powtórzenia x2)</v>
      </c>
      <c r="CY7" s="5" t="str">
        <f t="array" ref="CY7">IFERROR(IF('T1'!$J7="",INDEX(LISTA_EX,101),INDEX(LISTA_EX,MATCH('T1'!$J7&amp;"|"&amp;101,LISTA_KLUCZ,0))),"")</f>
        <v>Landmine SLDL</v>
      </c>
      <c r="CZ7" s="5" t="str">
        <f t="array" ref="CZ7">IFERROR(IF('T1'!$J7="",INDEX(LISTA_EX,102),INDEX(LISTA_EX,MATCH('T1'!$J7&amp;"|"&amp;102,LISTA_KLUCZ,0))),"")</f>
        <v>Lat pulldown</v>
      </c>
      <c r="DA7" s="5" t="str">
        <f t="array" ref="DA7">IFERROR(IF('T1'!$J7="",INDEX(LISTA_EX,103),INDEX(LISTA_EX,MATCH('T1'!$J7&amp;"|"&amp;103,LISTA_KLUCZ,0))),"")</f>
        <v>Lat pulldown behind the head</v>
      </c>
      <c r="DB7" s="5" t="str">
        <f t="array" ref="DB7">IFERROR(IF('T1'!$J7="",INDEX(LISTA_EX,104),INDEX(LISTA_EX,MATCH('T1'!$J7&amp;"|"&amp;104,LISTA_KLUCZ,0))),"")</f>
        <v>Lat pulldown s/a</v>
      </c>
      <c r="DC7" s="5" t="str">
        <f t="array" ref="DC7">IFERROR(IF('T1'!$J7="",INDEX(LISTA_EX,105),INDEX(LISTA_EX,MATCH('T1'!$J7&amp;"|"&amp;105,LISTA_KLUCZ,0))),"")</f>
        <v>Lateral raise s/a</v>
      </c>
      <c r="DD7" s="5" t="str">
        <f t="array" ref="DD7">IFERROR(IF('T1'!$J7="",INDEX(LISTA_EX,106),INDEX(LISTA_EX,MATCH('T1'!$J7&amp;"|"&amp;106,LISTA_KLUCZ,0))),"")</f>
        <v>Lateral raises</v>
      </c>
      <c r="DE7" s="5" t="str">
        <f t="array" ref="DE7">IFERROR(IF('T1'!$J7="",INDEX(LISTA_EX,107),INDEX(LISTA_EX,MATCH('T1'!$J7&amp;"|"&amp;107,LISTA_KLUCZ,0))),"")</f>
        <v>Lateral raises 2</v>
      </c>
      <c r="DF7" s="5" t="str">
        <f t="array" ref="DF7">IFERROR(IF('T1'!$J7="",INDEX(LISTA_EX,108),INDEX(LISTA_EX,MATCH('T1'!$J7&amp;"|"&amp;108,LISTA_KLUCZ,0))),"")</f>
        <v>Lateral raises full ROM</v>
      </c>
      <c r="DG7" s="5" t="str">
        <f t="array" ref="DG7">IFERROR(IF('T1'!$J7="",INDEX(LISTA_EX,109),INDEX(LISTA_EX,MATCH('T1'!$J7&amp;"|"&amp;109,LISTA_KLUCZ,0))),"")</f>
        <v>Lateral raises hinged</v>
      </c>
      <c r="DH7" s="5" t="str">
        <f t="array" ref="DH7">IFERROR(IF('T1'!$J7="",INDEX(LISTA_EX,110),INDEX(LISTA_EX,MATCH('T1'!$J7&amp;"|"&amp;110,LISTA_KLUCZ,0))),"")</f>
        <v>Lateral raises incline s/a</v>
      </c>
      <c r="DI7" s="5" t="str">
        <f t="array" ref="DI7">IFERROR(IF('T1'!$J7="",INDEX(LISTA_EX,111),INDEX(LISTA_EX,MATCH('T1'!$J7&amp;"|"&amp;111,LISTA_KLUCZ,0))),"")</f>
        <v>Leg curl</v>
      </c>
      <c r="DJ7" s="5" t="str">
        <f t="array" ref="DJ7">IFERROR(IF('T1'!$J7="",INDEX(LISTA_EX,112),INDEX(LISTA_EX,MATCH('T1'!$J7&amp;"|"&amp;112,LISTA_KLUCZ,0))),"")</f>
        <v>Machine row</v>
      </c>
      <c r="DK7" s="5" t="str">
        <f t="array" ref="DK7">IFERROR(IF('T1'!$J7="",INDEX(LISTA_EX,113),INDEX(LISTA_EX,MATCH('T1'!$J7&amp;"|"&amp;113,LISTA_KLUCZ,0))),"")</f>
        <v>Machine row s/a</v>
      </c>
      <c r="DL7" s="5" t="str">
        <f t="array" ref="DL7">IFERROR(IF('T1'!$J7="",INDEX(LISTA_EX,114),INDEX(LISTA_EX,MATCH('T1'!$J7&amp;"|"&amp;114,LISTA_KLUCZ,0))),"")</f>
        <v>Meadows row</v>
      </c>
      <c r="DM7" s="5" t="str">
        <f t="array" ref="DM7">IFERROR(IF('T1'!$J7="",INDEX(LISTA_EX,115),INDEX(LISTA_EX,MATCH('T1'!$J7&amp;"|"&amp;115,LISTA_KLUCZ,0))),"")</f>
        <v>Med ball slam</v>
      </c>
      <c r="DN7" s="5" t="str">
        <f t="array" ref="DN7">IFERROR(IF('T1'!$J7="",INDEX(LISTA_EX,116),INDEX(LISTA_EX,MATCH('T1'!$J7&amp;"|"&amp;116,LISTA_KLUCZ,0))),"")</f>
        <v>OH skullcrushers</v>
      </c>
      <c r="DO7" s="5" t="str">
        <f t="array" ref="DO7">IFERROR(IF('T1'!$J7="",INDEX(LISTA_EX,117),INDEX(LISTA_EX,MATCH('T1'!$J7&amp;"|"&amp;117,LISTA_KLUCZ,0))),"")</f>
        <v>OHP barbell squat 15kg</v>
      </c>
      <c r="DP7" s="5" t="str">
        <f t="array" ref="DP7">IFERROR(IF('T1'!$J7="",INDEX(LISTA_EX,118),INDEX(LISTA_EX,MATCH('T1'!$J7&amp;"|"&amp;118,LISTA_KLUCZ,0))),"")</f>
        <v>Pistol squat eccentric</v>
      </c>
      <c r="DQ7" s="5" t="str">
        <f t="array" ref="DQ7">IFERROR(IF('T1'!$J7="",INDEX(LISTA_EX,119),INDEX(LISTA_EX,MATCH('T1'!$J7&amp;"|"&amp;119,LISTA_KLUCZ,0))),"")</f>
        <v>Plank contralateral</v>
      </c>
      <c r="DR7" s="5" t="str">
        <f t="array" ref="DR7">IFERROR(IF('T1'!$J7="",INDEX(LISTA_EX,120),INDEX(LISTA_EX,MATCH('T1'!$J7&amp;"|"&amp;120,LISTA_KLUCZ,0))),"")</f>
        <v>Plank dumbbell rotation</v>
      </c>
      <c r="DS7" s="5" t="str">
        <f t="array" ref="DS7">IFERROR(IF('T1'!$J7="",INDEX(LISTA_EX,121),INDEX(LISTA_EX,MATCH('T1'!$J7&amp;"|"&amp;121,LISTA_KLUCZ,0))),"")</f>
        <v>Plank leg raises</v>
      </c>
      <c r="DT7" s="5" t="str">
        <f t="array" ref="DT7">IFERROR(IF('T1'!$J7="",INDEX(LISTA_EX,122),INDEX(LISTA_EX,MATCH('T1'!$J7&amp;"|"&amp;122,LISTA_KLUCZ,0))),"")</f>
        <v>Poliquin step up</v>
      </c>
      <c r="DU7" s="5" t="str">
        <f t="array" ref="DU7">IFERROR(IF('T1'!$J7="",INDEX(LISTA_EX,123),INDEX(LISTA_EX,MATCH('T1'!$J7&amp;"|"&amp;123,LISTA_KLUCZ,0))),"")</f>
        <v>Poliquin step up paused 3sec</v>
      </c>
      <c r="DV7" s="5" t="str">
        <f t="array" ref="DV7">IFERROR(IF('T1'!$J7="",INDEX(LISTA_EX,124),INDEX(LISTA_EX,MATCH('T1'!$J7&amp;"|"&amp;124,LISTA_KLUCZ,0))),"")</f>
        <v>Pronation/Supination</v>
      </c>
      <c r="DW7" s="5" t="str">
        <f t="array" ref="DW7">IFERROR(IF('T1'!$J7="",INDEX(LISTA_EX,125),INDEX(LISTA_EX,MATCH('T1'!$J7&amp;"|"&amp;125,LISTA_KLUCZ,0))),"")</f>
        <v>Pull up</v>
      </c>
      <c r="DX7" s="5" t="str">
        <f t="array" ref="DX7">IFERROR(IF('T1'!$J7="",INDEX(LISTA_EX,126),INDEX(LISTA_EX,MATCH('T1'!$J7&amp;"|"&amp;126,LISTA_KLUCZ,0))),"")</f>
        <v>Pull up eccentric weighted</v>
      </c>
      <c r="DY7" s="5" t="str">
        <f t="array" ref="DY7">IFERROR(IF('T1'!$J7="",INDEX(LISTA_EX,127),INDEX(LISTA_EX,MATCH('T1'!$J7&amp;"|"&amp;127,LISTA_KLUCZ,0))),"")</f>
        <v>Pull up eccentric weighted (5 sek w dół)</v>
      </c>
      <c r="DZ7" s="5" t="str">
        <f t="array" ref="DZ7">IFERROR(IF('T1'!$J7="",INDEX(LISTA_EX,128),INDEX(LISTA_EX,MATCH('T1'!$J7&amp;"|"&amp;128,LISTA_KLUCZ,0))),"")</f>
        <v>Pull up weighted</v>
      </c>
      <c r="EA7" s="5" t="str">
        <f t="array" ref="EA7">IFERROR(IF('T1'!$J7="",INDEX(LISTA_EX,129),INDEX(LISTA_EX,MATCH('T1'!$J7&amp;"|"&amp;129,LISTA_KLUCZ,0))),"")</f>
        <v>Pull ups (paused)</v>
      </c>
      <c r="EB7" s="5" t="str">
        <f t="array" ref="EB7">IFERROR(IF('T1'!$J7="",INDEX(LISTA_EX,130),INDEX(LISTA_EX,MATCH('T1'!$J7&amp;"|"&amp;130,LISTA_KLUCZ,0))),"")</f>
        <v>Push press barbell</v>
      </c>
      <c r="EC7" s="5" t="str">
        <f t="array" ref="EC7">IFERROR(IF('T1'!$J7="",INDEX(LISTA_EX,131),INDEX(LISTA_EX,MATCH('T1'!$J7&amp;"|"&amp;131,LISTA_KLUCZ,0))),"")</f>
        <v>Push up</v>
      </c>
      <c r="ED7" s="5" t="str">
        <f t="array" ref="ED7">IFERROR(IF('T1'!$J7="",INDEX(LISTA_EX,132),INDEX(LISTA_EX,MATCH('T1'!$J7&amp;"|"&amp;132,LISTA_KLUCZ,0))),"")</f>
        <v>Raised bird dog</v>
      </c>
      <c r="EE7" s="5" t="str">
        <f t="array" ref="EE7">IFERROR(IF('T1'!$J7="",INDEX(LISTA_EX,133),INDEX(LISTA_EX,MATCH('T1'!$J7&amp;"|"&amp;133,LISTA_KLUCZ,0))),"")</f>
        <v>RDL</v>
      </c>
      <c r="EF7" s="5" t="str">
        <f t="array" ref="EF7">IFERROR(IF('T1'!$J7="",INDEX(LISTA_EX,134),INDEX(LISTA_EX,MATCH('T1'!$J7&amp;"|"&amp;134,LISTA_KLUCZ,0))),"")</f>
        <v>Reverse Nordic</v>
      </c>
      <c r="EG7" s="5" t="str">
        <f t="array" ref="EG7">IFERROR(IF('T1'!$J7="",INDEX(LISTA_EX,135),INDEX(LISTA_EX,MATCH('T1'!$J7&amp;"|"&amp;135,LISTA_KLUCZ,0))),"")</f>
        <v>Rope pushdown</v>
      </c>
      <c r="EH7" s="5" t="str">
        <f t="array" ref="EH7">IFERROR(IF('T1'!$J7="",INDEX(LISTA_EX,136),INDEX(LISTA_EX,MATCH('T1'!$J7&amp;"|"&amp;136,LISTA_KLUCZ,0))),"")</f>
        <v>Rope pushdown OH</v>
      </c>
      <c r="EI7" s="5" t="str">
        <f t="array" ref="EI7">IFERROR(IF('T1'!$J7="",INDEX(LISTA_EX,137),INDEX(LISTA_EX,MATCH('T1'!$J7&amp;"|"&amp;137,LISTA_KLUCZ,0))),"")</f>
        <v>S/a cable pulldown incline bench</v>
      </c>
      <c r="EJ7" s="5" t="str">
        <f t="array" ref="EJ7">IFERROR(IF('T1'!$J7="",INDEX(LISTA_EX,138),INDEX(LISTA_EX,MATCH('T1'!$J7&amp;"|"&amp;138,LISTA_KLUCZ,0))),"")</f>
        <v>S/a lat pulldown incline bench</v>
      </c>
      <c r="EK7" s="5" t="str">
        <f t="array" ref="EK7">IFERROR(IF('T1'!$J7="",INDEX(LISTA_EX,139),INDEX(LISTA_EX,MATCH('T1'!$J7&amp;"|"&amp;139,LISTA_KLUCZ,0))),"")</f>
        <v>S/l dragonflag eccentric</v>
      </c>
      <c r="EL7" s="5" t="str">
        <f t="array" ref="EL7">IFERROR(IF('T1'!$J7="",INDEX(LISTA_EX,140),INDEX(LISTA_EX,MATCH('T1'!$J7&amp;"|"&amp;140,LISTA_KLUCZ,0))),"")</f>
        <v>S/l hip thrust</v>
      </c>
      <c r="EM7" s="5" t="str">
        <f t="array" ref="EM7">IFERROR(IF('T1'!$J7="",INDEX(LISTA_EX,141),INDEX(LISTA_EX,MATCH('T1'!$J7&amp;"|"&amp;141,LISTA_KLUCZ,0))),"")</f>
        <v>Seated broad jump</v>
      </c>
      <c r="EN7" s="5" t="str">
        <f t="array" ref="EN7">IFERROR(IF('T1'!$J7="",INDEX(LISTA_EX,142),INDEX(LISTA_EX,MATCH('T1'!$J7&amp;"|"&amp;142,LISTA_KLUCZ,0))),"")</f>
        <v>Seated cable facepull</v>
      </c>
      <c r="EO7" s="5" t="str">
        <f t="array" ref="EO7">IFERROR(IF('T1'!$J7="",INDEX(LISTA_EX,143),INDEX(LISTA_EX,MATCH('T1'!$J7&amp;"|"&amp;143,LISTA_KLUCZ,0))),"")</f>
        <v>Seated seesaw press (nogi proste)</v>
      </c>
      <c r="EP7" s="5" t="str">
        <f t="array" ref="EP7">IFERROR(IF('T1'!$J7="",INDEX(LISTA_EX,144),INDEX(LISTA_EX,MATCH('T1'!$J7&amp;"|"&amp;144,LISTA_KLUCZ,0))),"")</f>
        <v>Seesaw press</v>
      </c>
      <c r="EQ7" s="5" t="str">
        <f t="array" ref="EQ7">IFERROR(IF('T1'!$J7="",INDEX(LISTA_EX,145),INDEX(LISTA_EX,MATCH('T1'!$J7&amp;"|"&amp;145,LISTA_KLUCZ,0))),"")</f>
        <v>Side crunches</v>
      </c>
      <c r="ER7" s="5" t="str">
        <f t="array" ref="ER7">IFERROR(IF('T1'!$J7="",INDEX(LISTA_EX,146),INDEX(LISTA_EX,MATCH('T1'!$J7&amp;"|"&amp;146,LISTA_KLUCZ,0))),"")</f>
        <v>Side plank hip drop</v>
      </c>
      <c r="ES7" s="5" t="str">
        <f t="array" ref="ES7">IFERROR(IF('T1'!$J7="",INDEX(LISTA_EX,147),INDEX(LISTA_EX,MATCH('T1'!$J7&amp;"|"&amp;147,LISTA_KLUCZ,0))),"")</f>
        <v>Side plank rotations</v>
      </c>
      <c r="ET7" s="5" t="str">
        <f t="array" ref="ET7">IFERROR(IF('T1'!$J7="",INDEX(LISTA_EX,148),INDEX(LISTA_EX,MATCH('T1'!$J7&amp;"|"&amp;148,LISTA_KLUCZ,0))),"")</f>
        <v>SLDL balance</v>
      </c>
      <c r="EU7" s="5" t="str">
        <f t="array" ref="EU7">IFERROR(IF('T1'!$J7="",INDEX(LISTA_EX,149),INDEX(LISTA_EX,MATCH('T1'!$J7&amp;"|"&amp;149,LISTA_KLUCZ,0))),"")</f>
        <v>Split squat</v>
      </c>
      <c r="EV7" s="5" t="str">
        <f t="array" ref="EV7">IFERROR(IF('T1'!$J7="",INDEX(LISTA_EX,150),INDEX(LISTA_EX,MATCH('T1'!$J7&amp;"|"&amp;150,LISTA_KLUCZ,0))),"")</f>
        <v>Split stance SLDL</v>
      </c>
      <c r="EW7" s="5" t="str">
        <f t="array" ref="EW7">IFERROR(IF('T1'!$J7="",INDEX(LISTA_EX,151),INDEX(LISTA_EX,MATCH('T1'!$J7&amp;"|"&amp;151,LISTA_KLUCZ,0))),"")</f>
        <v>Squat izo (15 sek)</v>
      </c>
      <c r="EX7" s="5" t="str">
        <f t="array" ref="EX7">IFERROR(IF('T1'!$J7="",INDEX(LISTA_EX,152),INDEX(LISTA_EX,MATCH('T1'!$J7&amp;"|"&amp;152,LISTA_KLUCZ,0))),"")</f>
        <v>Standing landmine press</v>
      </c>
      <c r="EY7" s="5" t="str">
        <f t="array" ref="EY7">IFERROR(IF('T1'!$J7="",INDEX(LISTA_EX,153),INDEX(LISTA_EX,MATCH('T1'!$J7&amp;"|"&amp;153,LISTA_KLUCZ,0))),"")</f>
        <v>Suitcase carry</v>
      </c>
      <c r="EZ7" s="5" t="str">
        <f t="array" ref="EZ7">IFERROR(IF('T1'!$J7="",INDEX(LISTA_EX,154),INDEX(LISTA_EX,MATCH('T1'!$J7&amp;"|"&amp;154,LISTA_KLUCZ,0))),"")</f>
        <v>Supine pigeon abs</v>
      </c>
      <c r="FA7" s="5" t="str">
        <f t="array" ref="FA7">IFERROR(IF('T1'!$J7="",INDEX(LISTA_EX,155),INDEX(LISTA_EX,MATCH('T1'!$J7&amp;"|"&amp;155,LISTA_KLUCZ,0))),"")</f>
        <v>Swiss ball leg curl</v>
      </c>
      <c r="FB7" s="5" t="str">
        <f t="array" ref="FB7">IFERROR(IF('T1'!$J7="",INDEX(LISTA_EX,156),INDEX(LISTA_EX,MATCH('T1'!$J7&amp;"|"&amp;156,LISTA_KLUCZ,0))),"")</f>
        <v>Toes to bar</v>
      </c>
      <c r="FC7" s="5" t="str">
        <f t="array" ref="FC7">IFERROR(IF('T1'!$J7="",INDEX(LISTA_EX,157),INDEX(LISTA_EX,MATCH('T1'!$J7&amp;"|"&amp;157,LISTA_KLUCZ,0))),"")</f>
        <v>Trap bar deadlift</v>
      </c>
      <c r="FD7" s="5" t="str">
        <f t="array" ref="FD7">IFERROR(IF('T1'!$J7="",INDEX(LISTA_EX,158),INDEX(LISTA_EX,MATCH('T1'!$J7&amp;"|"&amp;158,LISTA_KLUCZ,0))),"")</f>
        <v>Tricep cable pushdown</v>
      </c>
      <c r="FE7" s="5" t="str">
        <f t="array" ref="FE7">IFERROR(IF('T1'!$J7="",INDEX(LISTA_EX,159),INDEX(LISTA_EX,MATCH('T1'!$J7&amp;"|"&amp;159,LISTA_KLUCZ,0))),"")</f>
        <v>Tricep JM press</v>
      </c>
      <c r="FF7" s="5" t="str">
        <f t="array" ref="FF7">IFERROR(IF('T1'!$J7="",INDEX(LISTA_EX,160),INDEX(LISTA_EX,MATCH('T1'!$J7&amp;"|"&amp;160,LISTA_KLUCZ,0))),"")</f>
        <v>Tricep OH cable</v>
      </c>
      <c r="FG7" s="5" t="str">
        <f t="array" ref="FG7">IFERROR(IF('T1'!$J7="",INDEX(LISTA_EX,161),INDEX(LISTA_EX,MATCH('T1'!$J7&amp;"|"&amp;161,LISTA_KLUCZ,0))),"")</f>
        <v>Tricep OH ez bar</v>
      </c>
      <c r="FH7" s="5" t="str">
        <f t="array" ref="FH7">IFERROR(IF('T1'!$J7="",INDEX(LISTA_EX,162),INDEX(LISTA_EX,MATCH('T1'!$J7&amp;"|"&amp;162,LISTA_KLUCZ,0))),"")</f>
        <v>Walking lunges</v>
      </c>
      <c r="FI7" s="5" t="str">
        <f t="array" ref="FI7">IFERROR(IF('T1'!$J7="",INDEX(LISTA_EX,163),INDEX(LISTA_EX,MATCH('T1'!$J7&amp;"|"&amp;163,LISTA_KLUCZ,0))),"")</f>
        <v>Wipers kettle</v>
      </c>
      <c r="FJ7" s="5" t="str">
        <f t="array" ref="FJ7">IFERROR(IF('T1'!$J7="",INDEX(LISTA_EX,164),INDEX(LISTA_EX,MATCH('T1'!$J7&amp;"|"&amp;164,LISTA_KLUCZ,0))),"")</f>
        <v>Zercher jumps</v>
      </c>
      <c r="FK7" s="5" t="str">
        <f t="array" ref="FK7">IFERROR(IF('T1'!$J7="",INDEX(LISTA_EX,165),INDEX(LISTA_EX,MATCH('T1'!$J7&amp;"|"&amp;165,LISTA_KLUCZ,0))),"")</f>
        <v/>
      </c>
      <c r="FL7" s="5" t="str">
        <f t="array" ref="FL7">IFERROR(IF('T1'!$J7="",INDEX(LISTA_EX,166),INDEX(LISTA_EX,MATCH('T1'!$J7&amp;"|"&amp;166,LISTA_KLUCZ,0))),"")</f>
        <v/>
      </c>
      <c r="FM7" s="5" t="str">
        <f t="array" ref="FM7">IFERROR(IF('T1'!$J7="",INDEX(LISTA_EX,167),INDEX(LISTA_EX,MATCH('T1'!$J7&amp;"|"&amp;167,LISTA_KLUCZ,0))),"")</f>
        <v/>
      </c>
      <c r="FN7" s="5" t="str">
        <f t="array" ref="FN7">IFERROR(IF('T1'!$J7="",INDEX(LISTA_EX,168),INDEX(LISTA_EX,MATCH('T1'!$J7&amp;"|"&amp;168,LISTA_KLUCZ,0))),"")</f>
        <v/>
      </c>
      <c r="FO7" s="5" t="str">
        <f t="array" ref="FO7">IFERROR(IF('T1'!$J7="",INDEX(LISTA_EX,169),INDEX(LISTA_EX,MATCH('T1'!$J7&amp;"|"&amp;169,LISTA_KLUCZ,0))),"")</f>
        <v/>
      </c>
      <c r="FP7" s="5" t="str">
        <f t="array" ref="FP7">IFERROR(IF('T1'!$J7="",INDEX(LISTA_EX,170),INDEX(LISTA_EX,MATCH('T1'!$J7&amp;"|"&amp;170,LISTA_KLUCZ,0))),"")</f>
        <v/>
      </c>
      <c r="FQ7" s="5" t="str">
        <f t="array" ref="FQ7">IFERROR(IF('T1'!$J7="",INDEX(LISTA_EX,171),INDEX(LISTA_EX,MATCH('T1'!$J7&amp;"|"&amp;171,LISTA_KLUCZ,0))),"")</f>
        <v/>
      </c>
      <c r="FR7" s="5" t="str">
        <f t="array" ref="FR7">IFERROR(IF('T1'!$J7="",INDEX(LISTA_EX,172),INDEX(LISTA_EX,MATCH('T1'!$J7&amp;"|"&amp;172,LISTA_KLUCZ,0))),"")</f>
        <v/>
      </c>
      <c r="FS7" s="5" t="str">
        <f t="array" ref="FS7">IFERROR(IF('T1'!$J7="",INDEX(LISTA_EX,173),INDEX(LISTA_EX,MATCH('T1'!$J7&amp;"|"&amp;173,LISTA_KLUCZ,0))),"")</f>
        <v/>
      </c>
      <c r="FT7" s="5" t="str">
        <f t="array" ref="FT7">IFERROR(IF('T1'!$J7="",INDEX(LISTA_EX,174),INDEX(LISTA_EX,MATCH('T1'!$J7&amp;"|"&amp;174,LISTA_KLUCZ,0))),"")</f>
        <v/>
      </c>
      <c r="FU7" s="5" t="str">
        <f t="array" ref="FU7">IFERROR(IF('T1'!$J7="",INDEX(LISTA_EX,175),INDEX(LISTA_EX,MATCH('T1'!$J7&amp;"|"&amp;175,LISTA_KLUCZ,0))),"")</f>
        <v/>
      </c>
      <c r="FV7" s="5" t="str">
        <f t="array" ref="FV7">IFERROR(IF('T1'!$J7="",INDEX(LISTA_EX,176),INDEX(LISTA_EX,MATCH('T1'!$J7&amp;"|"&amp;176,LISTA_KLUCZ,0))),"")</f>
        <v/>
      </c>
      <c r="FW7" s="5" t="str">
        <f t="array" ref="FW7">IFERROR(IF('T1'!$J7="",INDEX(LISTA_EX,177),INDEX(LISTA_EX,MATCH('T1'!$J7&amp;"|"&amp;177,LISTA_KLUCZ,0))),"")</f>
        <v/>
      </c>
      <c r="FX7" s="5" t="str">
        <f t="array" ref="FX7">IFERROR(IF('T1'!$J7="",INDEX(LISTA_EX,178),INDEX(LISTA_EX,MATCH('T1'!$J7&amp;"|"&amp;178,LISTA_KLUCZ,0))),"")</f>
        <v/>
      </c>
      <c r="FY7" s="5" t="str">
        <f t="array" ref="FY7">IFERROR(IF('T1'!$J7="",INDEX(LISTA_EX,179),INDEX(LISTA_EX,MATCH('T1'!$J7&amp;"|"&amp;179,LISTA_KLUCZ,0))),"")</f>
        <v/>
      </c>
      <c r="FZ7" s="5" t="str">
        <f t="array" ref="FZ7">IFERROR(IF('T1'!$J7="",INDEX(LISTA_EX,180),INDEX(LISTA_EX,MATCH('T1'!$J7&amp;"|"&amp;180,LISTA_KLUCZ,0))),"")</f>
        <v/>
      </c>
      <c r="GA7" s="5" t="str">
        <f t="array" ref="GA7">IFERROR(IF('T1'!$J7="",INDEX(LISTA_EX,181),INDEX(LISTA_EX,MATCH('T1'!$J7&amp;"|"&amp;181,LISTA_KLUCZ,0))),"")</f>
        <v/>
      </c>
      <c r="GB7" s="5" t="str">
        <f t="array" ref="GB7">IFERROR(IF('T1'!$J7="",INDEX(LISTA_EX,182),INDEX(LISTA_EX,MATCH('T1'!$J7&amp;"|"&amp;182,LISTA_KLUCZ,0))),"")</f>
        <v/>
      </c>
      <c r="GC7" s="5" t="str">
        <f t="array" ref="GC7">IFERROR(IF('T1'!$J7="",INDEX(LISTA_EX,183),INDEX(LISTA_EX,MATCH('T1'!$J7&amp;"|"&amp;183,LISTA_KLUCZ,0))),"")</f>
        <v/>
      </c>
      <c r="GD7" s="5" t="str">
        <f t="array" ref="GD7">IFERROR(IF('T1'!$J7="",INDEX(LISTA_EX,184),INDEX(LISTA_EX,MATCH('T1'!$J7&amp;"|"&amp;184,LISTA_KLUCZ,0))),"")</f>
        <v/>
      </c>
      <c r="GE7" s="5" t="str">
        <f t="array" ref="GE7">IFERROR(IF('T1'!$J7="",INDEX(LISTA_EX,185),INDEX(LISTA_EX,MATCH('T1'!$J7&amp;"|"&amp;185,LISTA_KLUCZ,0))),"")</f>
        <v/>
      </c>
      <c r="GF7" s="5" t="str">
        <f t="array" ref="GF7">IFERROR(IF('T1'!$J7="",INDEX(LISTA_EX,186),INDEX(LISTA_EX,MATCH('T1'!$J7&amp;"|"&amp;186,LISTA_KLUCZ,0))),"")</f>
        <v/>
      </c>
      <c r="GG7" s="5" t="str">
        <f t="array" ref="GG7">IFERROR(IF('T1'!$J7="",INDEX(LISTA_EX,187),INDEX(LISTA_EX,MATCH('T1'!$J7&amp;"|"&amp;187,LISTA_KLUCZ,0))),"")</f>
        <v/>
      </c>
      <c r="GH7" s="5" t="str">
        <f t="array" ref="GH7">IFERROR(IF('T1'!$J7="",INDEX(LISTA_EX,188),INDEX(LISTA_EX,MATCH('T1'!$J7&amp;"|"&amp;188,LISTA_KLUCZ,0))),"")</f>
        <v/>
      </c>
      <c r="GI7" s="5" t="str">
        <f t="array" ref="GI7">IFERROR(IF('T1'!$J7="",INDEX(LISTA_EX,189),INDEX(LISTA_EX,MATCH('T1'!$J7&amp;"|"&amp;189,LISTA_KLUCZ,0))),"")</f>
        <v/>
      </c>
      <c r="GJ7" s="5" t="str">
        <f t="array" ref="GJ7">IFERROR(IF('T1'!$J7="",INDEX(LISTA_EX,190),INDEX(LISTA_EX,MATCH('T1'!$J7&amp;"|"&amp;190,LISTA_KLUCZ,0))),"")</f>
        <v/>
      </c>
      <c r="GK7" s="5" t="str">
        <f t="array" ref="GK7">IFERROR(IF('T1'!$J7="",INDEX(LISTA_EX,191),INDEX(LISTA_EX,MATCH('T1'!$J7&amp;"|"&amp;191,LISTA_KLUCZ,0))),"")</f>
        <v/>
      </c>
      <c r="GL7" s="5" t="str">
        <f t="array" ref="GL7">IFERROR(IF('T1'!$J7="",INDEX(LISTA_EX,192),INDEX(LISTA_EX,MATCH('T1'!$J7&amp;"|"&amp;192,LISTA_KLUCZ,0))),"")</f>
        <v/>
      </c>
      <c r="GM7" s="5" t="str">
        <f t="array" ref="GM7">IFERROR(IF('T1'!$J7="",INDEX(LISTA_EX,193),INDEX(LISTA_EX,MATCH('T1'!$J7&amp;"|"&amp;193,LISTA_KLUCZ,0))),"")</f>
        <v/>
      </c>
      <c r="GN7" s="5" t="str">
        <f t="array" ref="GN7">IFERROR(IF('T1'!$J7="",INDEX(LISTA_EX,194),INDEX(LISTA_EX,MATCH('T1'!$J7&amp;"|"&amp;194,LISTA_KLUCZ,0))),"")</f>
        <v/>
      </c>
      <c r="GO7" s="5" t="str">
        <f t="array" ref="GO7">IFERROR(IF('T1'!$J7="",INDEX(LISTA_EX,195),INDEX(LISTA_EX,MATCH('T1'!$J7&amp;"|"&amp;195,LISTA_KLUCZ,0))),"")</f>
        <v/>
      </c>
      <c r="GP7" s="5" t="str">
        <f t="array" ref="GP7">IFERROR(IF('T1'!$J7="",INDEX(LISTA_EX,196),INDEX(LISTA_EX,MATCH('T1'!$J7&amp;"|"&amp;196,LISTA_KLUCZ,0))),"")</f>
        <v/>
      </c>
      <c r="GQ7" s="5" t="str">
        <f t="array" ref="GQ7">IFERROR(IF('T1'!$J7="",INDEX(LISTA_EX,197),INDEX(LISTA_EX,MATCH('T1'!$J7&amp;"|"&amp;197,LISTA_KLUCZ,0))),"")</f>
        <v/>
      </c>
      <c r="GR7" s="5" t="str">
        <f t="array" ref="GR7">IFERROR(IF('T1'!$J7="",INDEX(LISTA_EX,198),INDEX(LISTA_EX,MATCH('T1'!$J7&amp;"|"&amp;198,LISTA_KLUCZ,0))),"")</f>
        <v/>
      </c>
      <c r="GS7" s="5" t="str">
        <f t="array" ref="GS7">IFERROR(IF('T1'!$J7="",INDEX(LISTA_EX,199),INDEX(LISTA_EX,MATCH('T1'!$J7&amp;"|"&amp;199,LISTA_KLUCZ,0))),"")</f>
        <v/>
      </c>
      <c r="GT7" s="5" t="str">
        <f t="array" ref="GT7">IFERROR(IF('T1'!$J7="",INDEX(LISTA_EX,200),INDEX(LISTA_EX,MATCH('T1'!$J7&amp;"|"&amp;200,LISTA_KLUCZ,0))),"")</f>
        <v/>
      </c>
      <c r="GV7" s="5" t="str">
        <f>IF(BAZA!$A7="","",BAZA!$A7)</f>
        <v>Arnold press alternating</v>
      </c>
      <c r="GW7" s="5" t="str">
        <f>IF(BAZA!$B7="","",BAZA!$B7&amp;"|"&amp;COUNTIF(BAZA!$B$3:$B7,BAZA!$B7))</f>
        <v>Upper push vertical|2</v>
      </c>
    </row>
    <row r="8" ht="15.0" customHeight="1">
      <c r="A8" s="5" t="str">
        <f>IF('T1'!$K8="","",'T1'!$K8)</f>
        <v>D1-S02</v>
      </c>
      <c r="B8" s="5" t="str">
        <f>IF('T1'!$J8="","(wszystkie)",'T1'!$J8)</f>
        <v>(wszystkie)</v>
      </c>
      <c r="C8" s="5" t="str">
        <f t="array" ref="C8">IFERROR(IF('T1'!$J8="",INDEX(LISTA_EX,1),INDEX(LISTA_EX,MATCH('T1'!$J8&amp;"|"&amp;1,LISTA_KLUCZ,0))),"")</f>
        <v>Abduction machine</v>
      </c>
      <c r="D8" s="5" t="str">
        <f t="array" ref="D8">IFERROR(IF('T1'!$J8="",INDEX(LISTA_EX,2),INDEX(LISTA_EX,MATCH('T1'!$J8&amp;"|"&amp;2,LISTA_KLUCZ,0))),"")</f>
        <v>Adduction machine</v>
      </c>
      <c r="E8" s="5" t="str">
        <f t="array" ref="E8">IFERROR(IF('T1'!$J8="",INDEX(LISTA_EX,3),INDEX(LISTA_EX,MATCH('T1'!$J8&amp;"|"&amp;3,LISTA_KLUCZ,0))),"")</f>
        <v>Allah</v>
      </c>
      <c r="F8" s="5" t="str">
        <f t="array" ref="F8">IFERROR(IF('T1'!$J8="",INDEX(LISTA_EX,4),INDEX(LISTA_EX,MATCH('T1'!$J8&amp;"|"&amp;4,LISTA_KLUCZ,0))),"")</f>
        <v>Arnold press</v>
      </c>
      <c r="G8" s="5" t="str">
        <f t="array" ref="G8">IFERROR(IF('T1'!$J8="",INDEX(LISTA_EX,5),INDEX(LISTA_EX,MATCH('T1'!$J8&amp;"|"&amp;5,LISTA_KLUCZ,0))),"")</f>
        <v>Arnold press alternating</v>
      </c>
      <c r="H8" s="5" t="str">
        <f t="array" ref="H8">IFERROR(IF('T1'!$J8="",INDEX(LISTA_EX,6),INDEX(LISTA_EX,MATCH('T1'!$J8&amp;"|"&amp;6,LISTA_KLUCZ,0))),"")</f>
        <v>B/l dragonflag eccentric</v>
      </c>
      <c r="I8" s="5" t="str">
        <f t="array" ref="I8">IFERROR(IF('T1'!$J8="",INDEX(LISTA_EX,7),INDEX(LISTA_EX,MATCH('T1'!$J8&amp;"|"&amp;7,LISTA_KLUCZ,0))),"")</f>
        <v>Back extension</v>
      </c>
      <c r="J8" s="5" t="str">
        <f t="array" ref="J8">IFERROR(IF('T1'!$J8="",INDEX(LISTA_EX,8),INDEX(LISTA_EX,MATCH('T1'!$J8&amp;"|"&amp;8,LISTA_KLUCZ,0))),"")</f>
        <v>Banded pistol squat</v>
      </c>
      <c r="K8" s="5" t="str">
        <f t="array" ref="K8">IFERROR(IF('T1'!$J8="",INDEX(LISTA_EX,9),INDEX(LISTA_EX,MATCH('T1'!$J8&amp;"|"&amp;9,LISTA_KLUCZ,0))),"")</f>
        <v>Banded pull ups</v>
      </c>
      <c r="L8" s="5" t="str">
        <f t="array" ref="L8">IFERROR(IF('T1'!$J8="",INDEX(LISTA_EX,10),INDEX(LISTA_EX,MATCH('T1'!$J8&amp;"|"&amp;10,LISTA_KLUCZ,0))),"")</f>
        <v>Barbell back squat</v>
      </c>
      <c r="M8" s="5" t="str">
        <f t="array" ref="M8">IFERROR(IF('T1'!$J8="",INDEX(LISTA_EX,11),INDEX(LISTA_EX,MATCH('T1'!$J8&amp;"|"&amp;11,LISTA_KLUCZ,0))),"")</f>
        <v>Barbell bench press</v>
      </c>
      <c r="N8" s="5" t="str">
        <f t="array" ref="N8">IFERROR(IF('T1'!$J8="",INDEX(LISTA_EX,12),INDEX(LISTA_EX,MATCH('T1'!$J8&amp;"|"&amp;12,LISTA_KLUCZ,0))),"")</f>
        <v>Barbell curl</v>
      </c>
      <c r="O8" s="5" t="str">
        <f t="array" ref="O8">IFERROR(IF('T1'!$J8="",INDEX(LISTA_EX,13),INDEX(LISTA_EX,MATCH('T1'!$J8&amp;"|"&amp;13,LISTA_KLUCZ,0))),"")</f>
        <v>Barbell low bar squat</v>
      </c>
      <c r="P8" s="5" t="str">
        <f t="array" ref="P8">IFERROR(IF('T1'!$J8="",INDEX(LISTA_EX,14),INDEX(LISTA_EX,MATCH('T1'!$J8&amp;"|"&amp;14,LISTA_KLUCZ,0))),"")</f>
        <v>Barbell OHP</v>
      </c>
      <c r="Q8" s="5" t="str">
        <f t="array" ref="Q8">IFERROR(IF('T1'!$J8="",INDEX(LISTA_EX,15),INDEX(LISTA_EX,MATCH('T1'!$J8&amp;"|"&amp;15,LISTA_KLUCZ,0))),"")</f>
        <v>Barbell oscilation</v>
      </c>
      <c r="R8" s="5" t="str">
        <f t="array" ref="R8">IFERROR(IF('T1'!$J8="",INDEX(LISTA_EX,16),INDEX(LISTA_EX,MATCH('T1'!$J8&amp;"|"&amp;16,LISTA_KLUCZ,0))),"")</f>
        <v>Barbell row</v>
      </c>
      <c r="S8" s="5" t="str">
        <f t="array" ref="S8">IFERROR(IF('T1'!$J8="",INDEX(LISTA_EX,17),INDEX(LISTA_EX,MATCH('T1'!$J8&amp;"|"&amp;17,LISTA_KLUCZ,0))),"")</f>
        <v>Barbell row dead stop pins</v>
      </c>
      <c r="T8" s="5" t="str">
        <f t="array" ref="T8">IFERROR(IF('T1'!$J8="",INDEX(LISTA_EX,18),INDEX(LISTA_EX,MATCH('T1'!$J8&amp;"|"&amp;18,LISTA_KLUCZ,0))),"")</f>
        <v>Barbell SLDL</v>
      </c>
      <c r="U8" s="5" t="str">
        <f t="array" ref="U8">IFERROR(IF('T1'!$J8="",INDEX(LISTA_EX,19),INDEX(LISTA_EX,MATCH('T1'!$J8&amp;"|"&amp;19,LISTA_KLUCZ,0))),"")</f>
        <v>Bayesian curl</v>
      </c>
      <c r="V8" s="5" t="str">
        <f t="array" ref="V8">IFERROR(IF('T1'!$J8="",INDEX(LISTA_EX,20),INDEX(LISTA_EX,MATCH('T1'!$J8&amp;"|"&amp;20,LISTA_KLUCZ,0))),"")</f>
        <v>Bear renegade row</v>
      </c>
      <c r="W8" s="5" t="str">
        <f t="array" ref="W8">IFERROR(IF('T1'!$J8="",INDEX(LISTA_EX,21),INDEX(LISTA_EX,MATCH('T1'!$J8&amp;"|"&amp;21,LISTA_KLUCZ,0))),"")</f>
        <v>Bench press paused 3sec</v>
      </c>
      <c r="X8" s="5" t="str">
        <f t="array" ref="X8">IFERROR(IF('T1'!$J8="",INDEX(LISTA_EX,22),INDEX(LISTA_EX,MATCH('T1'!$J8&amp;"|"&amp;22,LISTA_KLUCZ,0))),"")</f>
        <v>Bicep hammer curl</v>
      </c>
      <c r="Y8" s="5" t="str">
        <f t="array" ref="Y8">IFERROR(IF('T1'!$J8="",INDEX(LISTA_EX,23),INDEX(LISTA_EX,MATCH('T1'!$J8&amp;"|"&amp;23,LISTA_KLUCZ,0))),"")</f>
        <v>Bicep squat cable curl</v>
      </c>
      <c r="Z8" s="5" t="str">
        <f t="array" ref="Z8">IFERROR(IF('T1'!$J8="",INDEX(LISTA_EX,24),INDEX(LISTA_EX,MATCH('T1'!$J8&amp;"|"&amp;24,LISTA_KLUCZ,0))),"")</f>
        <v>Bird dog row</v>
      </c>
      <c r="AA8" s="5" t="str">
        <f t="array" ref="AA8">IFERROR(IF('T1'!$J8="",INDEX(LISTA_EX,25),INDEX(LISTA_EX,MATCH('T1'!$J8&amp;"|"&amp;25,LISTA_KLUCZ,0))),"")</f>
        <v>Box jump</v>
      </c>
      <c r="AB8" s="5" t="str">
        <f t="array" ref="AB8">IFERROR(IF('T1'!$J8="",INDEX(LISTA_EX,26),INDEX(LISTA_EX,MATCH('T1'!$J8&amp;"|"&amp;26,LISTA_KLUCZ,0))),"")</f>
        <v>Bulgarian clean plyo</v>
      </c>
      <c r="AC8" s="5" t="str">
        <f t="array" ref="AC8">IFERROR(IF('T1'!$J8="",INDEX(LISTA_EX,27),INDEX(LISTA_EX,MATCH('T1'!$J8&amp;"|"&amp;27,LISTA_KLUCZ,0))),"")</f>
        <v>Bulgarian squat assisted</v>
      </c>
      <c r="AD8" s="5" t="str">
        <f t="array" ref="AD8">IFERROR(IF('T1'!$J8="",INDEX(LISTA_EX,28),INDEX(LISTA_EX,MATCH('T1'!$J8&amp;"|"&amp;28,LISTA_KLUCZ,0))),"")</f>
        <v>Cable biceps curl</v>
      </c>
      <c r="AE8" s="5" t="str">
        <f t="array" ref="AE8">IFERROR(IF('T1'!$J8="",INDEX(LISTA_EX,29),INDEX(LISTA_EX,MATCH('T1'!$J8&amp;"|"&amp;29,LISTA_KLUCZ,0))),"")</f>
        <v>Cable fly</v>
      </c>
      <c r="AF8" s="5" t="str">
        <f t="array" ref="AF8">IFERROR(IF('T1'!$J8="",INDEX(LISTA_EX,30),INDEX(LISTA_EX,MATCH('T1'!$J8&amp;"|"&amp;30,LISTA_KLUCZ,0))),"")</f>
        <v>Cable lateral raise s/a</v>
      </c>
      <c r="AG8" s="5" t="str">
        <f t="array" ref="AG8">IFERROR(IF('T1'!$J8="",INDEX(LISTA_EX,31),INDEX(LISTA_EX,MATCH('T1'!$J8&amp;"|"&amp;31,LISTA_KLUCZ,0))),"")</f>
        <v>Cable row</v>
      </c>
      <c r="AH8" s="5" t="str">
        <f t="array" ref="AH8">IFERROR(IF('T1'!$J8="",INDEX(LISTA_EX,32),INDEX(LISTA_EX,MATCH('T1'!$J8&amp;"|"&amp;32,LISTA_KLUCZ,0))),"")</f>
        <v>Cable row s/a</v>
      </c>
      <c r="AI8" s="5" t="str">
        <f t="array" ref="AI8">IFERROR(IF('T1'!$J8="",INDEX(LISTA_EX,33),INDEX(LISTA_EX,MATCH('T1'!$J8&amp;"|"&amp;33,LISTA_KLUCZ,0))),"")</f>
        <v>Calf raises</v>
      </c>
      <c r="AJ8" s="5" t="str">
        <f t="array" ref="AJ8">IFERROR(IF('T1'!$J8="",INDEX(LISTA_EX,34),INDEX(LISTA_EX,MATCH('T1'!$J8&amp;"|"&amp;34,LISTA_KLUCZ,0))),"")</f>
        <v>Chest fly machine</v>
      </c>
      <c r="AK8" s="5" t="str">
        <f t="array" ref="AK8">IFERROR(IF('T1'!$J8="",INDEX(LISTA_EX,35),INDEX(LISTA_EX,MATCH('T1'!$J8&amp;"|"&amp;35,LISTA_KLUCZ,0))),"")</f>
        <v>Clean</v>
      </c>
      <c r="AL8" s="5" t="str">
        <f t="array" ref="AL8">IFERROR(IF('T1'!$J8="",INDEX(LISTA_EX,36),INDEX(LISTA_EX,MATCH('T1'!$J8&amp;"|"&amp;36,LISTA_KLUCZ,0))),"")</f>
        <v>Clean pins</v>
      </c>
      <c r="AM8" s="5" t="str">
        <f t="array" ref="AM8">IFERROR(IF('T1'!$J8="",INDEX(LISTA_EX,37),INDEX(LISTA_EX,MATCH('T1'!$J8&amp;"|"&amp;37,LISTA_KLUCZ,0))),"")</f>
        <v>Copenhagen plank</v>
      </c>
      <c r="AN8" s="5" t="str">
        <f t="array" ref="AN8">IFERROR(IF('T1'!$J8="",INDEX(LISTA_EX,38),INDEX(LISTA_EX,MATCH('T1'!$J8&amp;"|"&amp;38,LISTA_KLUCZ,0))),"")</f>
        <v>Dead bug izo + OH</v>
      </c>
      <c r="AO8" s="5" t="str">
        <f t="array" ref="AO8">IFERROR(IF('T1'!$J8="",INDEX(LISTA_EX,39),INDEX(LISTA_EX,MATCH('T1'!$J8&amp;"|"&amp;39,LISTA_KLUCZ,0))),"")</f>
        <v>Dead bug straight legs</v>
      </c>
      <c r="AP8" s="5" t="str">
        <f t="array" ref="AP8">IFERROR(IF('T1'!$J8="",INDEX(LISTA_EX,40),INDEX(LISTA_EX,MATCH('T1'!$J8&amp;"|"&amp;40,LISTA_KLUCZ,0))),"")</f>
        <v>Dead stop barbell row</v>
      </c>
      <c r="AQ8" s="5" t="str">
        <f t="array" ref="AQ8">IFERROR(IF('T1'!$J8="",INDEX(LISTA_EX,41),INDEX(LISTA_EX,MATCH('T1'!$J8&amp;"|"&amp;41,LISTA_KLUCZ,0))),"")</f>
        <v>Deadbug OH</v>
      </c>
      <c r="AR8" s="5" t="str">
        <f t="array" ref="AR8">IFERROR(IF('T1'!$J8="",INDEX(LISTA_EX,42),INDEX(LISTA_EX,MATCH('T1'!$J8&amp;"|"&amp;42,LISTA_KLUCZ,0))),"")</f>
        <v>Deadlift</v>
      </c>
      <c r="AS8" s="5" t="str">
        <f t="array" ref="AS8">IFERROR(IF('T1'!$J8="",INDEX(LISTA_EX,43),INDEX(LISTA_EX,MATCH('T1'!$J8&amp;"|"&amp;43,LISTA_KLUCZ,0))),"")</f>
        <v>Deficit push up</v>
      </c>
      <c r="AT8" s="5" t="str">
        <f t="array" ref="AT8">IFERROR(IF('T1'!$J8="",INDEX(LISTA_EX,44),INDEX(LISTA_EX,MATCH('T1'!$J8&amp;"|"&amp;44,LISTA_KLUCZ,0))),"")</f>
        <v>Deficit reverse lunge</v>
      </c>
      <c r="AU8" s="5" t="str">
        <f t="array" ref="AU8">IFERROR(IF('T1'!$J8="",INDEX(LISTA_EX,45),INDEX(LISTA_EX,MATCH('T1'!$J8&amp;"|"&amp;45,LISTA_KLUCZ,0))),"")</f>
        <v>Dips</v>
      </c>
      <c r="AV8" s="5" t="str">
        <f t="array" ref="AV8">IFERROR(IF('T1'!$J8="",INDEX(LISTA_EX,46),INDEX(LISTA_EX,MATCH('T1'!$J8&amp;"|"&amp;46,LISTA_KLUCZ,0))),"")</f>
        <v>Dips weighted</v>
      </c>
      <c r="AW8" s="5" t="str">
        <f t="array" ref="AW8">IFERROR(IF('T1'!$J8="",INDEX(LISTA_EX,47),INDEX(LISTA_EX,MATCH('T1'!$J8&amp;"|"&amp;47,LISTA_KLUCZ,0))),"")</f>
        <v>Dumbbell bench press</v>
      </c>
      <c r="AX8" s="5" t="str">
        <f t="array" ref="AX8">IFERROR(IF('T1'!$J8="",INDEX(LISTA_EX,48),INDEX(LISTA_EX,MATCH('T1'!$J8&amp;"|"&amp;48,LISTA_KLUCZ,0))),"")</f>
        <v>Dumbbell bench press alternating</v>
      </c>
      <c r="AY8" s="5" t="str">
        <f t="array" ref="AY8">IFERROR(IF('T1'!$J8="",INDEX(LISTA_EX,49),INDEX(LISTA_EX,MATCH('T1'!$J8&amp;"|"&amp;49,LISTA_KLUCZ,0))),"")</f>
        <v>Dumbbell curl</v>
      </c>
      <c r="AZ8" s="5" t="str">
        <f t="array" ref="AZ8">IFERROR(IF('T1'!$J8="",INDEX(LISTA_EX,50),INDEX(LISTA_EX,MATCH('T1'!$J8&amp;"|"&amp;50,LISTA_KLUCZ,0))),"")</f>
        <v>Dumbbell external rotation</v>
      </c>
      <c r="BA8" s="5" t="str">
        <f t="array" ref="BA8">IFERROR(IF('T1'!$J8="",INDEX(LISTA_EX,51),INDEX(LISTA_EX,MATCH('T1'!$J8&amp;"|"&amp;51,LISTA_KLUCZ,0))),"")</f>
        <v>Dumbbell face down curl</v>
      </c>
      <c r="BB8" s="5" t="str">
        <f t="array" ref="BB8">IFERROR(IF('T1'!$J8="",INDEX(LISTA_EX,52),INDEX(LISTA_EX,MATCH('T1'!$J8&amp;"|"&amp;52,LISTA_KLUCZ,0))),"")</f>
        <v>Dumbbell fly</v>
      </c>
      <c r="BC8" s="5" t="str">
        <f t="array" ref="BC8">IFERROR(IF('T1'!$J8="",INDEX(LISTA_EX,53),INDEX(LISTA_EX,MATCH('T1'!$J8&amp;"|"&amp;53,LISTA_KLUCZ,0))),"")</f>
        <v>Dumbbell french press</v>
      </c>
      <c r="BD8" s="5" t="str">
        <f t="array" ref="BD8">IFERROR(IF('T1'!$J8="",INDEX(LISTA_EX,54),INDEX(LISTA_EX,MATCH('T1'!$J8&amp;"|"&amp;54,LISTA_KLUCZ,0))),"")</f>
        <v>Dumbbell lateral raise</v>
      </c>
      <c r="BE8" s="5" t="str">
        <f t="array" ref="BE8">IFERROR(IF('T1'!$J8="",INDEX(LISTA_EX,55),INDEX(LISTA_EX,MATCH('T1'!$J8&amp;"|"&amp;55,LISTA_KLUCZ,0))),"")</f>
        <v>Dumbbell lunges</v>
      </c>
      <c r="BF8" s="5" t="str">
        <f t="array" ref="BF8">IFERROR(IF('T1'!$J8="",INDEX(LISTA_EX,56),INDEX(LISTA_EX,MATCH('T1'!$J8&amp;"|"&amp;56,LISTA_KLUCZ,0))),"")</f>
        <v>Dumbbell OH press</v>
      </c>
      <c r="BG8" s="5" t="str">
        <f t="array" ref="BG8">IFERROR(IF('T1'!$J8="",INDEX(LISTA_EX,57),INDEX(LISTA_EX,MATCH('T1'!$J8&amp;"|"&amp;57,LISTA_KLUCZ,0))),"")</f>
        <v>Dumbbell over head press</v>
      </c>
      <c r="BH8" s="5" t="str">
        <f t="array" ref="BH8">IFERROR(IF('T1'!$J8="",INDEX(LISTA_EX,58),INDEX(LISTA_EX,MATCH('T1'!$J8&amp;"|"&amp;58,LISTA_KLUCZ,0))),"")</f>
        <v>Dumbbell over head press alternating</v>
      </c>
      <c r="BI8" s="5" t="str">
        <f t="array" ref="BI8">IFERROR(IF('T1'!$J8="",INDEX(LISTA_EX,59),INDEX(LISTA_EX,MATCH('T1'!$J8&amp;"|"&amp;59,LISTA_KLUCZ,0))),"")</f>
        <v>Dumbbell row</v>
      </c>
      <c r="BJ8" s="5" t="str">
        <f t="array" ref="BJ8">IFERROR(IF('T1'!$J8="",INDEX(LISTA_EX,60),INDEX(LISTA_EX,MATCH('T1'!$J8&amp;"|"&amp;60,LISTA_KLUCZ,0))),"")</f>
        <v>Dumbbell s/a Arnold press</v>
      </c>
      <c r="BK8" s="5" t="str">
        <f t="array" ref="BK8">IFERROR(IF('T1'!$J8="",INDEX(LISTA_EX,61),INDEX(LISTA_EX,MATCH('T1'!$J8&amp;"|"&amp;61,LISTA_KLUCZ,0))),"")</f>
        <v>Dumbbell s/a row</v>
      </c>
      <c r="BL8" s="5" t="str">
        <f t="array" ref="BL8">IFERROR(IF('T1'!$J8="",INDEX(LISTA_EX,62),INDEX(LISTA_EX,MATCH('T1'!$J8&amp;"|"&amp;62,LISTA_KLUCZ,0))),"")</f>
        <v>Dumbbell seal row</v>
      </c>
      <c r="BM8" s="5" t="str">
        <f t="array" ref="BM8">IFERROR(IF('T1'!$J8="",INDEX(LISTA_EX,63),INDEX(LISTA_EX,MATCH('T1'!$J8&amp;"|"&amp;63,LISTA_KLUCZ,0))),"")</f>
        <v>Dumbbells jumps</v>
      </c>
      <c r="BN8" s="5" t="str">
        <f t="array" ref="BN8">IFERROR(IF('T1'!$J8="",INDEX(LISTA_EX,64),INDEX(LISTA_EX,MATCH('T1'!$J8&amp;"|"&amp;64,LISTA_KLUCZ,0))),"")</f>
        <v>Eccentric pull up</v>
      </c>
      <c r="BO8" s="5" t="str">
        <f t="array" ref="BO8">IFERROR(IF('T1'!$J8="",INDEX(LISTA_EX,65),INDEX(LISTA_EX,MATCH('T1'!$J8&amp;"|"&amp;65,LISTA_KLUCZ,0))),"")</f>
        <v>Eccentric push up (5 sek w dół)</v>
      </c>
      <c r="BP8" s="5" t="str">
        <f t="array" ref="BP8">IFERROR(IF('T1'!$J8="",INDEX(LISTA_EX,66),INDEX(LISTA_EX,MATCH('T1'!$J8&amp;"|"&amp;66,LISTA_KLUCZ,0))),"")</f>
        <v>Extensive plyo jumps s/l</v>
      </c>
      <c r="BQ8" s="5" t="str">
        <f t="array" ref="BQ8">IFERROR(IF('T1'!$J8="",INDEX(LISTA_EX,67),INDEX(LISTA_EX,MATCH('T1'!$J8&amp;"|"&amp;67,LISTA_KLUCZ,0))),"")</f>
        <v>Ez bar curl</v>
      </c>
      <c r="BR8" s="5" t="str">
        <f t="array" ref="BR8">IFERROR(IF('T1'!$J8="",INDEX(LISTA_EX,68),INDEX(LISTA_EX,MATCH('T1'!$J8&amp;"|"&amp;68,LISTA_KLUCZ,0))),"")</f>
        <v>Facepull chest supported</v>
      </c>
      <c r="BS8" s="5" t="str">
        <f t="array" ref="BS8">IFERROR(IF('T1'!$J8="",INDEX(LISTA_EX,69),INDEX(LISTA_EX,MATCH('T1'!$J8&amp;"|"&amp;69,LISTA_KLUCZ,0))),"")</f>
        <v>Front foot elevated split squat</v>
      </c>
      <c r="BT8" s="5" t="str">
        <f t="array" ref="BT8">IFERROR(IF('T1'!$J8="",INDEX(LISTA_EX,70),INDEX(LISTA_EX,MATCH('T1'!$J8&amp;"|"&amp;70,LISTA_KLUCZ,0))),"")</f>
        <v>Front squat</v>
      </c>
      <c r="BU8" s="5" t="str">
        <f t="array" ref="BU8">IFERROR(IF('T1'!$J8="",INDEX(LISTA_EX,71),INDEX(LISTA_EX,MATCH('T1'!$J8&amp;"|"&amp;71,LISTA_KLUCZ,0))),"")</f>
        <v>GHD flexion</v>
      </c>
      <c r="BV8" s="5" t="str">
        <f t="array" ref="BV8">IFERROR(IF('T1'!$J8="",INDEX(LISTA_EX,72),INDEX(LISTA_EX,MATCH('T1'!$J8&amp;"|"&amp;72,LISTA_KLUCZ,0))),"")</f>
        <v>Glute bridge hamstrings izo + OH</v>
      </c>
      <c r="BW8" s="5" t="str">
        <f t="array" ref="BW8">IFERROR(IF('T1'!$J8="",INDEX(LISTA_EX,73),INDEX(LISTA_EX,MATCH('T1'!$J8&amp;"|"&amp;73,LISTA_KLUCZ,0))),"")</f>
        <v>Glute crusher</v>
      </c>
      <c r="BX8" s="5" t="str">
        <f t="array" ref="BX8">IFERROR(IF('T1'!$J8="",INDEX(LISTA_EX,74),INDEX(LISTA_EX,MATCH('T1'!$J8&amp;"|"&amp;74,LISTA_KLUCZ,0))),"")</f>
        <v>Gorilla row</v>
      </c>
      <c r="BY8" s="5" t="str">
        <f t="array" ref="BY8">IFERROR(IF('T1'!$J8="",INDEX(LISTA_EX,75),INDEX(LISTA_EX,MATCH('T1'!$J8&amp;"|"&amp;75,LISTA_KLUCZ,0))),"")</f>
        <v>Halfkneeling s/a cable pull</v>
      </c>
      <c r="BZ8" s="5" t="str">
        <f t="array" ref="BZ8">IFERROR(IF('T1'!$J8="",INDEX(LISTA_EX,76),INDEX(LISTA_EX,MATCH('T1'!$J8&amp;"|"&amp;76,LISTA_KLUCZ,0))),"")</f>
        <v>Halfkneeling wood chopper</v>
      </c>
      <c r="CA8" s="5" t="str">
        <f t="array" ref="CA8">IFERROR(IF('T1'!$J8="",INDEX(LISTA_EX,77),INDEX(LISTA_EX,MATCH('T1'!$J8&amp;"|"&amp;77,LISTA_KLUCZ,0))),"")</f>
        <v>Hinged dumbbell row</v>
      </c>
      <c r="CB8" s="5" t="str">
        <f t="array" ref="CB8">IFERROR(IF('T1'!$J8="",INDEX(LISTA_EX,78),INDEX(LISTA_EX,MATCH('T1'!$J8&amp;"|"&amp;78,LISTA_KLUCZ,0))),"")</f>
        <v>Hip aeroplane</v>
      </c>
      <c r="CC8" s="5" t="str">
        <f t="array" ref="CC8">IFERROR(IF('T1'!$J8="",INDEX(LISTA_EX,79),INDEX(LISTA_EX,MATCH('T1'!$J8&amp;"|"&amp;79,LISTA_KLUCZ,0))),"")</f>
        <v>Hip flexors cable</v>
      </c>
      <c r="CD8" s="5" t="str">
        <f t="array" ref="CD8">IFERROR(IF('T1'!$J8="",INDEX(LISTA_EX,80),INDEX(LISTA_EX,MATCH('T1'!$J8&amp;"|"&amp;80,LISTA_KLUCZ,0))),"")</f>
        <v>Hip thrust barbell</v>
      </c>
      <c r="CE8" s="5" t="str">
        <f t="array" ref="CE8">IFERROR(IF('T1'!$J8="",INDEX(LISTA_EX,81),INDEX(LISTA_EX,MATCH('T1'!$J8&amp;"|"&amp;81,LISTA_KLUCZ,0))),"")</f>
        <v>Hollow body + OH</v>
      </c>
      <c r="CF8" s="5" t="str">
        <f t="array" ref="CF8">IFERROR(IF('T1'!$J8="",INDEX(LISTA_EX,82),INDEX(LISTA_EX,MATCH('T1'!$J8&amp;"|"&amp;82,LISTA_KLUCZ,0))),"")</f>
        <v>Horizontal jump</v>
      </c>
      <c r="CG8" s="5" t="str">
        <f t="array" ref="CG8">IFERROR(IF('T1'!$J8="",INDEX(LISTA_EX,83),INDEX(LISTA_EX,MATCH('T1'!$J8&amp;"|"&amp;83,LISTA_KLUCZ,0))),"")</f>
        <v>Incline bench lateral raise s/a</v>
      </c>
      <c r="CH8" s="5" t="str">
        <f t="array" ref="CH8">IFERROR(IF('T1'!$J8="",INDEX(LISTA_EX,84),INDEX(LISTA_EX,MATCH('T1'!$J8&amp;"|"&amp;84,LISTA_KLUCZ,0))),"")</f>
        <v>Incline curl + OHP</v>
      </c>
      <c r="CI8" s="5" t="str">
        <f t="array" ref="CI8">IFERROR(IF('T1'!$J8="",INDEX(LISTA_EX,85),INDEX(LISTA_EX,MATCH('T1'!$J8&amp;"|"&amp;85,LISTA_KLUCZ,0))),"")</f>
        <v>Incline dumbbell curl</v>
      </c>
      <c r="CJ8" s="5" t="str">
        <f t="array" ref="CJ8">IFERROR(IF('T1'!$J8="",INDEX(LISTA_EX,86),INDEX(LISTA_EX,MATCH('T1'!$J8&amp;"|"&amp;86,LISTA_KLUCZ,0))),"")</f>
        <v>Incline dumbbell curl (back)</v>
      </c>
      <c r="CK8" s="5" t="str">
        <f t="array" ref="CK8">IFERROR(IF('T1'!$J8="",INDEX(LISTA_EX,87),INDEX(LISTA_EX,MATCH('T1'!$J8&amp;"|"&amp;87,LISTA_KLUCZ,0))),"")</f>
        <v>Incline dumbbell curl (front)</v>
      </c>
      <c r="CL8" s="5" t="str">
        <f t="array" ref="CL8">IFERROR(IF('T1'!$J8="",INDEX(LISTA_EX,88),INDEX(LISTA_EX,MATCH('T1'!$J8&amp;"|"&amp;88,LISTA_KLUCZ,0))),"")</f>
        <v>Incline dumbbell fly</v>
      </c>
      <c r="CM8" s="5" t="str">
        <f t="array" ref="CM8">IFERROR(IF('T1'!$J8="",INDEX(LISTA_EX,89),INDEX(LISTA_EX,MATCH('T1'!$J8&amp;"|"&amp;89,LISTA_KLUCZ,0))),"")</f>
        <v>Incline dumbbell press</v>
      </c>
      <c r="CN8" s="5" t="str">
        <f t="array" ref="CN8">IFERROR(IF('T1'!$J8="",INDEX(LISTA_EX,90),INDEX(LISTA_EX,MATCH('T1'!$J8&amp;"|"&amp;90,LISTA_KLUCZ,0))),"")</f>
        <v>Incline dumbbell press alternating</v>
      </c>
      <c r="CO8" s="5" t="str">
        <f t="array" ref="CO8">IFERROR(IF('T1'!$J8="",INDEX(LISTA_EX,91),INDEX(LISTA_EX,MATCH('T1'!$J8&amp;"|"&amp;91,LISTA_KLUCZ,0))),"")</f>
        <v>Incline sit-ups</v>
      </c>
      <c r="CP8" s="5" t="str">
        <f t="array" ref="CP8">IFERROR(IF('T1'!$J8="",INDEX(LISTA_EX,92),INDEX(LISTA_EX,MATCH('T1'!$J8&amp;"|"&amp;92,LISTA_KLUCZ,0))),"")</f>
        <v>Jefferson cable</v>
      </c>
      <c r="CQ8" s="5" t="str">
        <f t="array" ref="CQ8">IFERROR(IF('T1'!$J8="",INDEX(LISTA_EX,93),INDEX(LISTA_EX,MATCH('T1'!$J8&amp;"|"&amp;93,LISTA_KLUCZ,0))),"")</f>
        <v>Kettlebell march</v>
      </c>
      <c r="CR8" s="5" t="str">
        <f t="array" ref="CR8">IFERROR(IF('T1'!$J8="",INDEX(LISTA_EX,94),INDEX(LISTA_EX,MATCH('T1'!$J8&amp;"|"&amp;94,LISTA_KLUCZ,0))),"")</f>
        <v>Kickbacks</v>
      </c>
      <c r="CS8" s="5" t="str">
        <f t="array" ref="CS8">IFERROR(IF('T1'!$J8="",INDEX(LISTA_EX,95),INDEX(LISTA_EX,MATCH('T1'!$J8&amp;"|"&amp;95,LISTA_KLUCZ,0))),"")</f>
        <v>Knee extension machine</v>
      </c>
      <c r="CT8" s="5" t="str">
        <f t="array" ref="CT8">IFERROR(IF('T1'!$J8="",INDEX(LISTA_EX,96),INDEX(LISTA_EX,MATCH('T1'!$J8&amp;"|"&amp;96,LISTA_KLUCZ,0))),"")</f>
        <v>Knee flexion machine</v>
      </c>
      <c r="CU8" s="5" t="str">
        <f t="array" ref="CU8">IFERROR(IF('T1'!$J8="",INDEX(LISTA_EX,97),INDEX(LISTA_EX,MATCH('T1'!$J8&amp;"|"&amp;97,LISTA_KLUCZ,0))),"")</f>
        <v>Knee raises</v>
      </c>
      <c r="CV8" s="5" t="str">
        <f t="array" ref="CV8">IFERROR(IF('T1'!$J8="",INDEX(LISTA_EX,98),INDEX(LISTA_EX,MATCH('T1'!$J8&amp;"|"&amp;98,LISTA_KLUCZ,0))),"")</f>
        <v>Landmine core</v>
      </c>
      <c r="CW8" s="5" t="str">
        <f t="array" ref="CW8">IFERROR(IF('T1'!$J8="",INDEX(LISTA_EX,99),INDEX(LISTA_EX,MATCH('T1'!$J8&amp;"|"&amp;99,LISTA_KLUCZ,0))),"")</f>
        <v>Landmine press</v>
      </c>
      <c r="CX8" s="5" t="str">
        <f t="array" ref="CX8">IFERROR(IF('T1'!$J8="",INDEX(LISTA_EX,100),INDEX(LISTA_EX,MATCH('T1'!$J8&amp;"|"&amp;100,LISTA_KLUCZ,0))),"")</f>
        <v>Landmine rotations (powtórzenia x2)</v>
      </c>
      <c r="CY8" s="5" t="str">
        <f t="array" ref="CY8">IFERROR(IF('T1'!$J8="",INDEX(LISTA_EX,101),INDEX(LISTA_EX,MATCH('T1'!$J8&amp;"|"&amp;101,LISTA_KLUCZ,0))),"")</f>
        <v>Landmine SLDL</v>
      </c>
      <c r="CZ8" s="5" t="str">
        <f t="array" ref="CZ8">IFERROR(IF('T1'!$J8="",INDEX(LISTA_EX,102),INDEX(LISTA_EX,MATCH('T1'!$J8&amp;"|"&amp;102,LISTA_KLUCZ,0))),"")</f>
        <v>Lat pulldown</v>
      </c>
      <c r="DA8" s="5" t="str">
        <f t="array" ref="DA8">IFERROR(IF('T1'!$J8="",INDEX(LISTA_EX,103),INDEX(LISTA_EX,MATCH('T1'!$J8&amp;"|"&amp;103,LISTA_KLUCZ,0))),"")</f>
        <v>Lat pulldown behind the head</v>
      </c>
      <c r="DB8" s="5" t="str">
        <f t="array" ref="DB8">IFERROR(IF('T1'!$J8="",INDEX(LISTA_EX,104),INDEX(LISTA_EX,MATCH('T1'!$J8&amp;"|"&amp;104,LISTA_KLUCZ,0))),"")</f>
        <v>Lat pulldown s/a</v>
      </c>
      <c r="DC8" s="5" t="str">
        <f t="array" ref="DC8">IFERROR(IF('T1'!$J8="",INDEX(LISTA_EX,105),INDEX(LISTA_EX,MATCH('T1'!$J8&amp;"|"&amp;105,LISTA_KLUCZ,0))),"")</f>
        <v>Lateral raise s/a</v>
      </c>
      <c r="DD8" s="5" t="str">
        <f t="array" ref="DD8">IFERROR(IF('T1'!$J8="",INDEX(LISTA_EX,106),INDEX(LISTA_EX,MATCH('T1'!$J8&amp;"|"&amp;106,LISTA_KLUCZ,0))),"")</f>
        <v>Lateral raises</v>
      </c>
      <c r="DE8" s="5" t="str">
        <f t="array" ref="DE8">IFERROR(IF('T1'!$J8="",INDEX(LISTA_EX,107),INDEX(LISTA_EX,MATCH('T1'!$J8&amp;"|"&amp;107,LISTA_KLUCZ,0))),"")</f>
        <v>Lateral raises 2</v>
      </c>
      <c r="DF8" s="5" t="str">
        <f t="array" ref="DF8">IFERROR(IF('T1'!$J8="",INDEX(LISTA_EX,108),INDEX(LISTA_EX,MATCH('T1'!$J8&amp;"|"&amp;108,LISTA_KLUCZ,0))),"")</f>
        <v>Lateral raises full ROM</v>
      </c>
      <c r="DG8" s="5" t="str">
        <f t="array" ref="DG8">IFERROR(IF('T1'!$J8="",INDEX(LISTA_EX,109),INDEX(LISTA_EX,MATCH('T1'!$J8&amp;"|"&amp;109,LISTA_KLUCZ,0))),"")</f>
        <v>Lateral raises hinged</v>
      </c>
      <c r="DH8" s="5" t="str">
        <f t="array" ref="DH8">IFERROR(IF('T1'!$J8="",INDEX(LISTA_EX,110),INDEX(LISTA_EX,MATCH('T1'!$J8&amp;"|"&amp;110,LISTA_KLUCZ,0))),"")</f>
        <v>Lateral raises incline s/a</v>
      </c>
      <c r="DI8" s="5" t="str">
        <f t="array" ref="DI8">IFERROR(IF('T1'!$J8="",INDEX(LISTA_EX,111),INDEX(LISTA_EX,MATCH('T1'!$J8&amp;"|"&amp;111,LISTA_KLUCZ,0))),"")</f>
        <v>Leg curl</v>
      </c>
      <c r="DJ8" s="5" t="str">
        <f t="array" ref="DJ8">IFERROR(IF('T1'!$J8="",INDEX(LISTA_EX,112),INDEX(LISTA_EX,MATCH('T1'!$J8&amp;"|"&amp;112,LISTA_KLUCZ,0))),"")</f>
        <v>Machine row</v>
      </c>
      <c r="DK8" s="5" t="str">
        <f t="array" ref="DK8">IFERROR(IF('T1'!$J8="",INDEX(LISTA_EX,113),INDEX(LISTA_EX,MATCH('T1'!$J8&amp;"|"&amp;113,LISTA_KLUCZ,0))),"")</f>
        <v>Machine row s/a</v>
      </c>
      <c r="DL8" s="5" t="str">
        <f t="array" ref="DL8">IFERROR(IF('T1'!$J8="",INDEX(LISTA_EX,114),INDEX(LISTA_EX,MATCH('T1'!$J8&amp;"|"&amp;114,LISTA_KLUCZ,0))),"")</f>
        <v>Meadows row</v>
      </c>
      <c r="DM8" s="5" t="str">
        <f t="array" ref="DM8">IFERROR(IF('T1'!$J8="",INDEX(LISTA_EX,115),INDEX(LISTA_EX,MATCH('T1'!$J8&amp;"|"&amp;115,LISTA_KLUCZ,0))),"")</f>
        <v>Med ball slam</v>
      </c>
      <c r="DN8" s="5" t="str">
        <f t="array" ref="DN8">IFERROR(IF('T1'!$J8="",INDEX(LISTA_EX,116),INDEX(LISTA_EX,MATCH('T1'!$J8&amp;"|"&amp;116,LISTA_KLUCZ,0))),"")</f>
        <v>OH skullcrushers</v>
      </c>
      <c r="DO8" s="5" t="str">
        <f t="array" ref="DO8">IFERROR(IF('T1'!$J8="",INDEX(LISTA_EX,117),INDEX(LISTA_EX,MATCH('T1'!$J8&amp;"|"&amp;117,LISTA_KLUCZ,0))),"")</f>
        <v>OHP barbell squat 15kg</v>
      </c>
      <c r="DP8" s="5" t="str">
        <f t="array" ref="DP8">IFERROR(IF('T1'!$J8="",INDEX(LISTA_EX,118),INDEX(LISTA_EX,MATCH('T1'!$J8&amp;"|"&amp;118,LISTA_KLUCZ,0))),"")</f>
        <v>Pistol squat eccentric</v>
      </c>
      <c r="DQ8" s="5" t="str">
        <f t="array" ref="DQ8">IFERROR(IF('T1'!$J8="",INDEX(LISTA_EX,119),INDEX(LISTA_EX,MATCH('T1'!$J8&amp;"|"&amp;119,LISTA_KLUCZ,0))),"")</f>
        <v>Plank contralateral</v>
      </c>
      <c r="DR8" s="5" t="str">
        <f t="array" ref="DR8">IFERROR(IF('T1'!$J8="",INDEX(LISTA_EX,120),INDEX(LISTA_EX,MATCH('T1'!$J8&amp;"|"&amp;120,LISTA_KLUCZ,0))),"")</f>
        <v>Plank dumbbell rotation</v>
      </c>
      <c r="DS8" s="5" t="str">
        <f t="array" ref="DS8">IFERROR(IF('T1'!$J8="",INDEX(LISTA_EX,121),INDEX(LISTA_EX,MATCH('T1'!$J8&amp;"|"&amp;121,LISTA_KLUCZ,0))),"")</f>
        <v>Plank leg raises</v>
      </c>
      <c r="DT8" s="5" t="str">
        <f t="array" ref="DT8">IFERROR(IF('T1'!$J8="",INDEX(LISTA_EX,122),INDEX(LISTA_EX,MATCH('T1'!$J8&amp;"|"&amp;122,LISTA_KLUCZ,0))),"")</f>
        <v>Poliquin step up</v>
      </c>
      <c r="DU8" s="5" t="str">
        <f t="array" ref="DU8">IFERROR(IF('T1'!$J8="",INDEX(LISTA_EX,123),INDEX(LISTA_EX,MATCH('T1'!$J8&amp;"|"&amp;123,LISTA_KLUCZ,0))),"")</f>
        <v>Poliquin step up paused 3sec</v>
      </c>
      <c r="DV8" s="5" t="str">
        <f t="array" ref="DV8">IFERROR(IF('T1'!$J8="",INDEX(LISTA_EX,124),INDEX(LISTA_EX,MATCH('T1'!$J8&amp;"|"&amp;124,LISTA_KLUCZ,0))),"")</f>
        <v>Pronation/Supination</v>
      </c>
      <c r="DW8" s="5" t="str">
        <f t="array" ref="DW8">IFERROR(IF('T1'!$J8="",INDEX(LISTA_EX,125),INDEX(LISTA_EX,MATCH('T1'!$J8&amp;"|"&amp;125,LISTA_KLUCZ,0))),"")</f>
        <v>Pull up</v>
      </c>
      <c r="DX8" s="5" t="str">
        <f t="array" ref="DX8">IFERROR(IF('T1'!$J8="",INDEX(LISTA_EX,126),INDEX(LISTA_EX,MATCH('T1'!$J8&amp;"|"&amp;126,LISTA_KLUCZ,0))),"")</f>
        <v>Pull up eccentric weighted</v>
      </c>
      <c r="DY8" s="5" t="str">
        <f t="array" ref="DY8">IFERROR(IF('T1'!$J8="",INDEX(LISTA_EX,127),INDEX(LISTA_EX,MATCH('T1'!$J8&amp;"|"&amp;127,LISTA_KLUCZ,0))),"")</f>
        <v>Pull up eccentric weighted (5 sek w dół)</v>
      </c>
      <c r="DZ8" s="5" t="str">
        <f t="array" ref="DZ8">IFERROR(IF('T1'!$J8="",INDEX(LISTA_EX,128),INDEX(LISTA_EX,MATCH('T1'!$J8&amp;"|"&amp;128,LISTA_KLUCZ,0))),"")</f>
        <v>Pull up weighted</v>
      </c>
      <c r="EA8" s="5" t="str">
        <f t="array" ref="EA8">IFERROR(IF('T1'!$J8="",INDEX(LISTA_EX,129),INDEX(LISTA_EX,MATCH('T1'!$J8&amp;"|"&amp;129,LISTA_KLUCZ,0))),"")</f>
        <v>Pull ups (paused)</v>
      </c>
      <c r="EB8" s="5" t="str">
        <f t="array" ref="EB8">IFERROR(IF('T1'!$J8="",INDEX(LISTA_EX,130),INDEX(LISTA_EX,MATCH('T1'!$J8&amp;"|"&amp;130,LISTA_KLUCZ,0))),"")</f>
        <v>Push press barbell</v>
      </c>
      <c r="EC8" s="5" t="str">
        <f t="array" ref="EC8">IFERROR(IF('T1'!$J8="",INDEX(LISTA_EX,131),INDEX(LISTA_EX,MATCH('T1'!$J8&amp;"|"&amp;131,LISTA_KLUCZ,0))),"")</f>
        <v>Push up</v>
      </c>
      <c r="ED8" s="5" t="str">
        <f t="array" ref="ED8">IFERROR(IF('T1'!$J8="",INDEX(LISTA_EX,132),INDEX(LISTA_EX,MATCH('T1'!$J8&amp;"|"&amp;132,LISTA_KLUCZ,0))),"")</f>
        <v>Raised bird dog</v>
      </c>
      <c r="EE8" s="5" t="str">
        <f t="array" ref="EE8">IFERROR(IF('T1'!$J8="",INDEX(LISTA_EX,133),INDEX(LISTA_EX,MATCH('T1'!$J8&amp;"|"&amp;133,LISTA_KLUCZ,0))),"")</f>
        <v>RDL</v>
      </c>
      <c r="EF8" s="5" t="str">
        <f t="array" ref="EF8">IFERROR(IF('T1'!$J8="",INDEX(LISTA_EX,134),INDEX(LISTA_EX,MATCH('T1'!$J8&amp;"|"&amp;134,LISTA_KLUCZ,0))),"")</f>
        <v>Reverse Nordic</v>
      </c>
      <c r="EG8" s="5" t="str">
        <f t="array" ref="EG8">IFERROR(IF('T1'!$J8="",INDEX(LISTA_EX,135),INDEX(LISTA_EX,MATCH('T1'!$J8&amp;"|"&amp;135,LISTA_KLUCZ,0))),"")</f>
        <v>Rope pushdown</v>
      </c>
      <c r="EH8" s="5" t="str">
        <f t="array" ref="EH8">IFERROR(IF('T1'!$J8="",INDEX(LISTA_EX,136),INDEX(LISTA_EX,MATCH('T1'!$J8&amp;"|"&amp;136,LISTA_KLUCZ,0))),"")</f>
        <v>Rope pushdown OH</v>
      </c>
      <c r="EI8" s="5" t="str">
        <f t="array" ref="EI8">IFERROR(IF('T1'!$J8="",INDEX(LISTA_EX,137),INDEX(LISTA_EX,MATCH('T1'!$J8&amp;"|"&amp;137,LISTA_KLUCZ,0))),"")</f>
        <v>S/a cable pulldown incline bench</v>
      </c>
      <c r="EJ8" s="5" t="str">
        <f t="array" ref="EJ8">IFERROR(IF('T1'!$J8="",INDEX(LISTA_EX,138),INDEX(LISTA_EX,MATCH('T1'!$J8&amp;"|"&amp;138,LISTA_KLUCZ,0))),"")</f>
        <v>S/a lat pulldown incline bench</v>
      </c>
      <c r="EK8" s="5" t="str">
        <f t="array" ref="EK8">IFERROR(IF('T1'!$J8="",INDEX(LISTA_EX,139),INDEX(LISTA_EX,MATCH('T1'!$J8&amp;"|"&amp;139,LISTA_KLUCZ,0))),"")</f>
        <v>S/l dragonflag eccentric</v>
      </c>
      <c r="EL8" s="5" t="str">
        <f t="array" ref="EL8">IFERROR(IF('T1'!$J8="",INDEX(LISTA_EX,140),INDEX(LISTA_EX,MATCH('T1'!$J8&amp;"|"&amp;140,LISTA_KLUCZ,0))),"")</f>
        <v>S/l hip thrust</v>
      </c>
      <c r="EM8" s="5" t="str">
        <f t="array" ref="EM8">IFERROR(IF('T1'!$J8="",INDEX(LISTA_EX,141),INDEX(LISTA_EX,MATCH('T1'!$J8&amp;"|"&amp;141,LISTA_KLUCZ,0))),"")</f>
        <v>Seated broad jump</v>
      </c>
      <c r="EN8" s="5" t="str">
        <f t="array" ref="EN8">IFERROR(IF('T1'!$J8="",INDEX(LISTA_EX,142),INDEX(LISTA_EX,MATCH('T1'!$J8&amp;"|"&amp;142,LISTA_KLUCZ,0))),"")</f>
        <v>Seated cable facepull</v>
      </c>
      <c r="EO8" s="5" t="str">
        <f t="array" ref="EO8">IFERROR(IF('T1'!$J8="",INDEX(LISTA_EX,143),INDEX(LISTA_EX,MATCH('T1'!$J8&amp;"|"&amp;143,LISTA_KLUCZ,0))),"")</f>
        <v>Seated seesaw press (nogi proste)</v>
      </c>
      <c r="EP8" s="5" t="str">
        <f t="array" ref="EP8">IFERROR(IF('T1'!$J8="",INDEX(LISTA_EX,144),INDEX(LISTA_EX,MATCH('T1'!$J8&amp;"|"&amp;144,LISTA_KLUCZ,0))),"")</f>
        <v>Seesaw press</v>
      </c>
      <c r="EQ8" s="5" t="str">
        <f t="array" ref="EQ8">IFERROR(IF('T1'!$J8="",INDEX(LISTA_EX,145),INDEX(LISTA_EX,MATCH('T1'!$J8&amp;"|"&amp;145,LISTA_KLUCZ,0))),"")</f>
        <v>Side crunches</v>
      </c>
      <c r="ER8" s="5" t="str">
        <f t="array" ref="ER8">IFERROR(IF('T1'!$J8="",INDEX(LISTA_EX,146),INDEX(LISTA_EX,MATCH('T1'!$J8&amp;"|"&amp;146,LISTA_KLUCZ,0))),"")</f>
        <v>Side plank hip drop</v>
      </c>
      <c r="ES8" s="5" t="str">
        <f t="array" ref="ES8">IFERROR(IF('T1'!$J8="",INDEX(LISTA_EX,147),INDEX(LISTA_EX,MATCH('T1'!$J8&amp;"|"&amp;147,LISTA_KLUCZ,0))),"")</f>
        <v>Side plank rotations</v>
      </c>
      <c r="ET8" s="5" t="str">
        <f t="array" ref="ET8">IFERROR(IF('T1'!$J8="",INDEX(LISTA_EX,148),INDEX(LISTA_EX,MATCH('T1'!$J8&amp;"|"&amp;148,LISTA_KLUCZ,0))),"")</f>
        <v>SLDL balance</v>
      </c>
      <c r="EU8" s="5" t="str">
        <f t="array" ref="EU8">IFERROR(IF('T1'!$J8="",INDEX(LISTA_EX,149),INDEX(LISTA_EX,MATCH('T1'!$J8&amp;"|"&amp;149,LISTA_KLUCZ,0))),"")</f>
        <v>Split squat</v>
      </c>
      <c r="EV8" s="5" t="str">
        <f t="array" ref="EV8">IFERROR(IF('T1'!$J8="",INDEX(LISTA_EX,150),INDEX(LISTA_EX,MATCH('T1'!$J8&amp;"|"&amp;150,LISTA_KLUCZ,0))),"")</f>
        <v>Split stance SLDL</v>
      </c>
      <c r="EW8" s="5" t="str">
        <f t="array" ref="EW8">IFERROR(IF('T1'!$J8="",INDEX(LISTA_EX,151),INDEX(LISTA_EX,MATCH('T1'!$J8&amp;"|"&amp;151,LISTA_KLUCZ,0))),"")</f>
        <v>Squat izo (15 sek)</v>
      </c>
      <c r="EX8" s="5" t="str">
        <f t="array" ref="EX8">IFERROR(IF('T1'!$J8="",INDEX(LISTA_EX,152),INDEX(LISTA_EX,MATCH('T1'!$J8&amp;"|"&amp;152,LISTA_KLUCZ,0))),"")</f>
        <v>Standing landmine press</v>
      </c>
      <c r="EY8" s="5" t="str">
        <f t="array" ref="EY8">IFERROR(IF('T1'!$J8="",INDEX(LISTA_EX,153),INDEX(LISTA_EX,MATCH('T1'!$J8&amp;"|"&amp;153,LISTA_KLUCZ,0))),"")</f>
        <v>Suitcase carry</v>
      </c>
      <c r="EZ8" s="5" t="str">
        <f t="array" ref="EZ8">IFERROR(IF('T1'!$J8="",INDEX(LISTA_EX,154),INDEX(LISTA_EX,MATCH('T1'!$J8&amp;"|"&amp;154,LISTA_KLUCZ,0))),"")</f>
        <v>Supine pigeon abs</v>
      </c>
      <c r="FA8" s="5" t="str">
        <f t="array" ref="FA8">IFERROR(IF('T1'!$J8="",INDEX(LISTA_EX,155),INDEX(LISTA_EX,MATCH('T1'!$J8&amp;"|"&amp;155,LISTA_KLUCZ,0))),"")</f>
        <v>Swiss ball leg curl</v>
      </c>
      <c r="FB8" s="5" t="str">
        <f t="array" ref="FB8">IFERROR(IF('T1'!$J8="",INDEX(LISTA_EX,156),INDEX(LISTA_EX,MATCH('T1'!$J8&amp;"|"&amp;156,LISTA_KLUCZ,0))),"")</f>
        <v>Toes to bar</v>
      </c>
      <c r="FC8" s="5" t="str">
        <f t="array" ref="FC8">IFERROR(IF('T1'!$J8="",INDEX(LISTA_EX,157),INDEX(LISTA_EX,MATCH('T1'!$J8&amp;"|"&amp;157,LISTA_KLUCZ,0))),"")</f>
        <v>Trap bar deadlift</v>
      </c>
      <c r="FD8" s="5" t="str">
        <f t="array" ref="FD8">IFERROR(IF('T1'!$J8="",INDEX(LISTA_EX,158),INDEX(LISTA_EX,MATCH('T1'!$J8&amp;"|"&amp;158,LISTA_KLUCZ,0))),"")</f>
        <v>Tricep cable pushdown</v>
      </c>
      <c r="FE8" s="5" t="str">
        <f t="array" ref="FE8">IFERROR(IF('T1'!$J8="",INDEX(LISTA_EX,159),INDEX(LISTA_EX,MATCH('T1'!$J8&amp;"|"&amp;159,LISTA_KLUCZ,0))),"")</f>
        <v>Tricep JM press</v>
      </c>
      <c r="FF8" s="5" t="str">
        <f t="array" ref="FF8">IFERROR(IF('T1'!$J8="",INDEX(LISTA_EX,160),INDEX(LISTA_EX,MATCH('T1'!$J8&amp;"|"&amp;160,LISTA_KLUCZ,0))),"")</f>
        <v>Tricep OH cable</v>
      </c>
      <c r="FG8" s="5" t="str">
        <f t="array" ref="FG8">IFERROR(IF('T1'!$J8="",INDEX(LISTA_EX,161),INDEX(LISTA_EX,MATCH('T1'!$J8&amp;"|"&amp;161,LISTA_KLUCZ,0))),"")</f>
        <v>Tricep OH ez bar</v>
      </c>
      <c r="FH8" s="5" t="str">
        <f t="array" ref="FH8">IFERROR(IF('T1'!$J8="",INDEX(LISTA_EX,162),INDEX(LISTA_EX,MATCH('T1'!$J8&amp;"|"&amp;162,LISTA_KLUCZ,0))),"")</f>
        <v>Walking lunges</v>
      </c>
      <c r="FI8" s="5" t="str">
        <f t="array" ref="FI8">IFERROR(IF('T1'!$J8="",INDEX(LISTA_EX,163),INDEX(LISTA_EX,MATCH('T1'!$J8&amp;"|"&amp;163,LISTA_KLUCZ,0))),"")</f>
        <v>Wipers kettle</v>
      </c>
      <c r="FJ8" s="5" t="str">
        <f t="array" ref="FJ8">IFERROR(IF('T1'!$J8="",INDEX(LISTA_EX,164),INDEX(LISTA_EX,MATCH('T1'!$J8&amp;"|"&amp;164,LISTA_KLUCZ,0))),"")</f>
        <v>Zercher jumps</v>
      </c>
      <c r="FK8" s="5" t="str">
        <f t="array" ref="FK8">IFERROR(IF('T1'!$J8="",INDEX(LISTA_EX,165),INDEX(LISTA_EX,MATCH('T1'!$J8&amp;"|"&amp;165,LISTA_KLUCZ,0))),"")</f>
        <v/>
      </c>
      <c r="FL8" s="5" t="str">
        <f t="array" ref="FL8">IFERROR(IF('T1'!$J8="",INDEX(LISTA_EX,166),INDEX(LISTA_EX,MATCH('T1'!$J8&amp;"|"&amp;166,LISTA_KLUCZ,0))),"")</f>
        <v/>
      </c>
      <c r="FM8" s="5" t="str">
        <f t="array" ref="FM8">IFERROR(IF('T1'!$J8="",INDEX(LISTA_EX,167),INDEX(LISTA_EX,MATCH('T1'!$J8&amp;"|"&amp;167,LISTA_KLUCZ,0))),"")</f>
        <v/>
      </c>
      <c r="FN8" s="5" t="str">
        <f t="array" ref="FN8">IFERROR(IF('T1'!$J8="",INDEX(LISTA_EX,168),INDEX(LISTA_EX,MATCH('T1'!$J8&amp;"|"&amp;168,LISTA_KLUCZ,0))),"")</f>
        <v/>
      </c>
      <c r="FO8" s="5" t="str">
        <f t="array" ref="FO8">IFERROR(IF('T1'!$J8="",INDEX(LISTA_EX,169),INDEX(LISTA_EX,MATCH('T1'!$J8&amp;"|"&amp;169,LISTA_KLUCZ,0))),"")</f>
        <v/>
      </c>
      <c r="FP8" s="5" t="str">
        <f t="array" ref="FP8">IFERROR(IF('T1'!$J8="",INDEX(LISTA_EX,170),INDEX(LISTA_EX,MATCH('T1'!$J8&amp;"|"&amp;170,LISTA_KLUCZ,0))),"")</f>
        <v/>
      </c>
      <c r="FQ8" s="5" t="str">
        <f t="array" ref="FQ8">IFERROR(IF('T1'!$J8="",INDEX(LISTA_EX,171),INDEX(LISTA_EX,MATCH('T1'!$J8&amp;"|"&amp;171,LISTA_KLUCZ,0))),"")</f>
        <v/>
      </c>
      <c r="FR8" s="5" t="str">
        <f t="array" ref="FR8">IFERROR(IF('T1'!$J8="",INDEX(LISTA_EX,172),INDEX(LISTA_EX,MATCH('T1'!$J8&amp;"|"&amp;172,LISTA_KLUCZ,0))),"")</f>
        <v/>
      </c>
      <c r="FS8" s="5" t="str">
        <f t="array" ref="FS8">IFERROR(IF('T1'!$J8="",INDEX(LISTA_EX,173),INDEX(LISTA_EX,MATCH('T1'!$J8&amp;"|"&amp;173,LISTA_KLUCZ,0))),"")</f>
        <v/>
      </c>
      <c r="FT8" s="5" t="str">
        <f t="array" ref="FT8">IFERROR(IF('T1'!$J8="",INDEX(LISTA_EX,174),INDEX(LISTA_EX,MATCH('T1'!$J8&amp;"|"&amp;174,LISTA_KLUCZ,0))),"")</f>
        <v/>
      </c>
      <c r="FU8" s="5" t="str">
        <f t="array" ref="FU8">IFERROR(IF('T1'!$J8="",INDEX(LISTA_EX,175),INDEX(LISTA_EX,MATCH('T1'!$J8&amp;"|"&amp;175,LISTA_KLUCZ,0))),"")</f>
        <v/>
      </c>
      <c r="FV8" s="5" t="str">
        <f t="array" ref="FV8">IFERROR(IF('T1'!$J8="",INDEX(LISTA_EX,176),INDEX(LISTA_EX,MATCH('T1'!$J8&amp;"|"&amp;176,LISTA_KLUCZ,0))),"")</f>
        <v/>
      </c>
      <c r="FW8" s="5" t="str">
        <f t="array" ref="FW8">IFERROR(IF('T1'!$J8="",INDEX(LISTA_EX,177),INDEX(LISTA_EX,MATCH('T1'!$J8&amp;"|"&amp;177,LISTA_KLUCZ,0))),"")</f>
        <v/>
      </c>
      <c r="FX8" s="5" t="str">
        <f t="array" ref="FX8">IFERROR(IF('T1'!$J8="",INDEX(LISTA_EX,178),INDEX(LISTA_EX,MATCH('T1'!$J8&amp;"|"&amp;178,LISTA_KLUCZ,0))),"")</f>
        <v/>
      </c>
      <c r="FY8" s="5" t="str">
        <f t="array" ref="FY8">IFERROR(IF('T1'!$J8="",INDEX(LISTA_EX,179),INDEX(LISTA_EX,MATCH('T1'!$J8&amp;"|"&amp;179,LISTA_KLUCZ,0))),"")</f>
        <v/>
      </c>
      <c r="FZ8" s="5" t="str">
        <f t="array" ref="FZ8">IFERROR(IF('T1'!$J8="",INDEX(LISTA_EX,180),INDEX(LISTA_EX,MATCH('T1'!$J8&amp;"|"&amp;180,LISTA_KLUCZ,0))),"")</f>
        <v/>
      </c>
      <c r="GA8" s="5" t="str">
        <f t="array" ref="GA8">IFERROR(IF('T1'!$J8="",INDEX(LISTA_EX,181),INDEX(LISTA_EX,MATCH('T1'!$J8&amp;"|"&amp;181,LISTA_KLUCZ,0))),"")</f>
        <v/>
      </c>
      <c r="GB8" s="5" t="str">
        <f t="array" ref="GB8">IFERROR(IF('T1'!$J8="",INDEX(LISTA_EX,182),INDEX(LISTA_EX,MATCH('T1'!$J8&amp;"|"&amp;182,LISTA_KLUCZ,0))),"")</f>
        <v/>
      </c>
      <c r="GC8" s="5" t="str">
        <f t="array" ref="GC8">IFERROR(IF('T1'!$J8="",INDEX(LISTA_EX,183),INDEX(LISTA_EX,MATCH('T1'!$J8&amp;"|"&amp;183,LISTA_KLUCZ,0))),"")</f>
        <v/>
      </c>
      <c r="GD8" s="5" t="str">
        <f t="array" ref="GD8">IFERROR(IF('T1'!$J8="",INDEX(LISTA_EX,184),INDEX(LISTA_EX,MATCH('T1'!$J8&amp;"|"&amp;184,LISTA_KLUCZ,0))),"")</f>
        <v/>
      </c>
      <c r="GE8" s="5" t="str">
        <f t="array" ref="GE8">IFERROR(IF('T1'!$J8="",INDEX(LISTA_EX,185),INDEX(LISTA_EX,MATCH('T1'!$J8&amp;"|"&amp;185,LISTA_KLUCZ,0))),"")</f>
        <v/>
      </c>
      <c r="GF8" s="5" t="str">
        <f t="array" ref="GF8">IFERROR(IF('T1'!$J8="",INDEX(LISTA_EX,186),INDEX(LISTA_EX,MATCH('T1'!$J8&amp;"|"&amp;186,LISTA_KLUCZ,0))),"")</f>
        <v/>
      </c>
      <c r="GG8" s="5" t="str">
        <f t="array" ref="GG8">IFERROR(IF('T1'!$J8="",INDEX(LISTA_EX,187),INDEX(LISTA_EX,MATCH('T1'!$J8&amp;"|"&amp;187,LISTA_KLUCZ,0))),"")</f>
        <v/>
      </c>
      <c r="GH8" s="5" t="str">
        <f t="array" ref="GH8">IFERROR(IF('T1'!$J8="",INDEX(LISTA_EX,188),INDEX(LISTA_EX,MATCH('T1'!$J8&amp;"|"&amp;188,LISTA_KLUCZ,0))),"")</f>
        <v/>
      </c>
      <c r="GI8" s="5" t="str">
        <f t="array" ref="GI8">IFERROR(IF('T1'!$J8="",INDEX(LISTA_EX,189),INDEX(LISTA_EX,MATCH('T1'!$J8&amp;"|"&amp;189,LISTA_KLUCZ,0))),"")</f>
        <v/>
      </c>
      <c r="GJ8" s="5" t="str">
        <f t="array" ref="GJ8">IFERROR(IF('T1'!$J8="",INDEX(LISTA_EX,190),INDEX(LISTA_EX,MATCH('T1'!$J8&amp;"|"&amp;190,LISTA_KLUCZ,0))),"")</f>
        <v/>
      </c>
      <c r="GK8" s="5" t="str">
        <f t="array" ref="GK8">IFERROR(IF('T1'!$J8="",INDEX(LISTA_EX,191),INDEX(LISTA_EX,MATCH('T1'!$J8&amp;"|"&amp;191,LISTA_KLUCZ,0))),"")</f>
        <v/>
      </c>
      <c r="GL8" s="5" t="str">
        <f t="array" ref="GL8">IFERROR(IF('T1'!$J8="",INDEX(LISTA_EX,192),INDEX(LISTA_EX,MATCH('T1'!$J8&amp;"|"&amp;192,LISTA_KLUCZ,0))),"")</f>
        <v/>
      </c>
      <c r="GM8" s="5" t="str">
        <f t="array" ref="GM8">IFERROR(IF('T1'!$J8="",INDEX(LISTA_EX,193),INDEX(LISTA_EX,MATCH('T1'!$J8&amp;"|"&amp;193,LISTA_KLUCZ,0))),"")</f>
        <v/>
      </c>
      <c r="GN8" s="5" t="str">
        <f t="array" ref="GN8">IFERROR(IF('T1'!$J8="",INDEX(LISTA_EX,194),INDEX(LISTA_EX,MATCH('T1'!$J8&amp;"|"&amp;194,LISTA_KLUCZ,0))),"")</f>
        <v/>
      </c>
      <c r="GO8" s="5" t="str">
        <f t="array" ref="GO8">IFERROR(IF('T1'!$J8="",INDEX(LISTA_EX,195),INDEX(LISTA_EX,MATCH('T1'!$J8&amp;"|"&amp;195,LISTA_KLUCZ,0))),"")</f>
        <v/>
      </c>
      <c r="GP8" s="5" t="str">
        <f t="array" ref="GP8">IFERROR(IF('T1'!$J8="",INDEX(LISTA_EX,196),INDEX(LISTA_EX,MATCH('T1'!$J8&amp;"|"&amp;196,LISTA_KLUCZ,0))),"")</f>
        <v/>
      </c>
      <c r="GQ8" s="5" t="str">
        <f t="array" ref="GQ8">IFERROR(IF('T1'!$J8="",INDEX(LISTA_EX,197),INDEX(LISTA_EX,MATCH('T1'!$J8&amp;"|"&amp;197,LISTA_KLUCZ,0))),"")</f>
        <v/>
      </c>
      <c r="GR8" s="5" t="str">
        <f t="array" ref="GR8">IFERROR(IF('T1'!$J8="",INDEX(LISTA_EX,198),INDEX(LISTA_EX,MATCH('T1'!$J8&amp;"|"&amp;198,LISTA_KLUCZ,0))),"")</f>
        <v/>
      </c>
      <c r="GS8" s="5" t="str">
        <f t="array" ref="GS8">IFERROR(IF('T1'!$J8="",INDEX(LISTA_EX,199),INDEX(LISTA_EX,MATCH('T1'!$J8&amp;"|"&amp;199,LISTA_KLUCZ,0))),"")</f>
        <v/>
      </c>
      <c r="GT8" s="5" t="str">
        <f t="array" ref="GT8">IFERROR(IF('T1'!$J8="",INDEX(LISTA_EX,200),INDEX(LISTA_EX,MATCH('T1'!$J8&amp;"|"&amp;200,LISTA_KLUCZ,0))),"")</f>
        <v/>
      </c>
      <c r="GV8" s="5" t="str">
        <f>IF(BAZA!$A8="","",BAZA!$A8)</f>
        <v>B/l dragonflag eccentric</v>
      </c>
      <c r="GW8" s="5" t="str">
        <f>IF(BAZA!$B8="","",BAZA!$B8&amp;"|"&amp;COUNTIF(BAZA!$B$3:$B8,BAZA!$B8))</f>
        <v>Core|2</v>
      </c>
    </row>
    <row r="9" ht="15.0" customHeight="1">
      <c r="A9" s="5" t="str">
        <f>IF('T1'!$K9="","",'T1'!$K9)</f>
        <v>D1-S03</v>
      </c>
      <c r="B9" s="5" t="str">
        <f>IF('T1'!$J9="","(wszystkie)",'T1'!$J9)</f>
        <v>(wszystkie)</v>
      </c>
      <c r="C9" s="5" t="str">
        <f t="array" ref="C9">IFERROR(IF('T1'!$J9="",INDEX(LISTA_EX,1),INDEX(LISTA_EX,MATCH('T1'!$J9&amp;"|"&amp;1,LISTA_KLUCZ,0))),"")</f>
        <v>Abduction machine</v>
      </c>
      <c r="D9" s="5" t="str">
        <f t="array" ref="D9">IFERROR(IF('T1'!$J9="",INDEX(LISTA_EX,2),INDEX(LISTA_EX,MATCH('T1'!$J9&amp;"|"&amp;2,LISTA_KLUCZ,0))),"")</f>
        <v>Adduction machine</v>
      </c>
      <c r="E9" s="5" t="str">
        <f t="array" ref="E9">IFERROR(IF('T1'!$J9="",INDEX(LISTA_EX,3),INDEX(LISTA_EX,MATCH('T1'!$J9&amp;"|"&amp;3,LISTA_KLUCZ,0))),"")</f>
        <v>Allah</v>
      </c>
      <c r="F9" s="5" t="str">
        <f t="array" ref="F9">IFERROR(IF('T1'!$J9="",INDEX(LISTA_EX,4),INDEX(LISTA_EX,MATCH('T1'!$J9&amp;"|"&amp;4,LISTA_KLUCZ,0))),"")</f>
        <v>Arnold press</v>
      </c>
      <c r="G9" s="5" t="str">
        <f t="array" ref="G9">IFERROR(IF('T1'!$J9="",INDEX(LISTA_EX,5),INDEX(LISTA_EX,MATCH('T1'!$J9&amp;"|"&amp;5,LISTA_KLUCZ,0))),"")</f>
        <v>Arnold press alternating</v>
      </c>
      <c r="H9" s="5" t="str">
        <f t="array" ref="H9">IFERROR(IF('T1'!$J9="",INDEX(LISTA_EX,6),INDEX(LISTA_EX,MATCH('T1'!$J9&amp;"|"&amp;6,LISTA_KLUCZ,0))),"")</f>
        <v>B/l dragonflag eccentric</v>
      </c>
      <c r="I9" s="5" t="str">
        <f t="array" ref="I9">IFERROR(IF('T1'!$J9="",INDEX(LISTA_EX,7),INDEX(LISTA_EX,MATCH('T1'!$J9&amp;"|"&amp;7,LISTA_KLUCZ,0))),"")</f>
        <v>Back extension</v>
      </c>
      <c r="J9" s="5" t="str">
        <f t="array" ref="J9">IFERROR(IF('T1'!$J9="",INDEX(LISTA_EX,8),INDEX(LISTA_EX,MATCH('T1'!$J9&amp;"|"&amp;8,LISTA_KLUCZ,0))),"")</f>
        <v>Banded pistol squat</v>
      </c>
      <c r="K9" s="5" t="str">
        <f t="array" ref="K9">IFERROR(IF('T1'!$J9="",INDEX(LISTA_EX,9),INDEX(LISTA_EX,MATCH('T1'!$J9&amp;"|"&amp;9,LISTA_KLUCZ,0))),"")</f>
        <v>Banded pull ups</v>
      </c>
      <c r="L9" s="5" t="str">
        <f t="array" ref="L9">IFERROR(IF('T1'!$J9="",INDEX(LISTA_EX,10),INDEX(LISTA_EX,MATCH('T1'!$J9&amp;"|"&amp;10,LISTA_KLUCZ,0))),"")</f>
        <v>Barbell back squat</v>
      </c>
      <c r="M9" s="5" t="str">
        <f t="array" ref="M9">IFERROR(IF('T1'!$J9="",INDEX(LISTA_EX,11),INDEX(LISTA_EX,MATCH('T1'!$J9&amp;"|"&amp;11,LISTA_KLUCZ,0))),"")</f>
        <v>Barbell bench press</v>
      </c>
      <c r="N9" s="5" t="str">
        <f t="array" ref="N9">IFERROR(IF('T1'!$J9="",INDEX(LISTA_EX,12),INDEX(LISTA_EX,MATCH('T1'!$J9&amp;"|"&amp;12,LISTA_KLUCZ,0))),"")</f>
        <v>Barbell curl</v>
      </c>
      <c r="O9" s="5" t="str">
        <f t="array" ref="O9">IFERROR(IF('T1'!$J9="",INDEX(LISTA_EX,13),INDEX(LISTA_EX,MATCH('T1'!$J9&amp;"|"&amp;13,LISTA_KLUCZ,0))),"")</f>
        <v>Barbell low bar squat</v>
      </c>
      <c r="P9" s="5" t="str">
        <f t="array" ref="P9">IFERROR(IF('T1'!$J9="",INDEX(LISTA_EX,14),INDEX(LISTA_EX,MATCH('T1'!$J9&amp;"|"&amp;14,LISTA_KLUCZ,0))),"")</f>
        <v>Barbell OHP</v>
      </c>
      <c r="Q9" s="5" t="str">
        <f t="array" ref="Q9">IFERROR(IF('T1'!$J9="",INDEX(LISTA_EX,15),INDEX(LISTA_EX,MATCH('T1'!$J9&amp;"|"&amp;15,LISTA_KLUCZ,0))),"")</f>
        <v>Barbell oscilation</v>
      </c>
      <c r="R9" s="5" t="str">
        <f t="array" ref="R9">IFERROR(IF('T1'!$J9="",INDEX(LISTA_EX,16),INDEX(LISTA_EX,MATCH('T1'!$J9&amp;"|"&amp;16,LISTA_KLUCZ,0))),"")</f>
        <v>Barbell row</v>
      </c>
      <c r="S9" s="5" t="str">
        <f t="array" ref="S9">IFERROR(IF('T1'!$J9="",INDEX(LISTA_EX,17),INDEX(LISTA_EX,MATCH('T1'!$J9&amp;"|"&amp;17,LISTA_KLUCZ,0))),"")</f>
        <v>Barbell row dead stop pins</v>
      </c>
      <c r="T9" s="5" t="str">
        <f t="array" ref="T9">IFERROR(IF('T1'!$J9="",INDEX(LISTA_EX,18),INDEX(LISTA_EX,MATCH('T1'!$J9&amp;"|"&amp;18,LISTA_KLUCZ,0))),"")</f>
        <v>Barbell SLDL</v>
      </c>
      <c r="U9" s="5" t="str">
        <f t="array" ref="U9">IFERROR(IF('T1'!$J9="",INDEX(LISTA_EX,19),INDEX(LISTA_EX,MATCH('T1'!$J9&amp;"|"&amp;19,LISTA_KLUCZ,0))),"")</f>
        <v>Bayesian curl</v>
      </c>
      <c r="V9" s="5" t="str">
        <f t="array" ref="V9">IFERROR(IF('T1'!$J9="",INDEX(LISTA_EX,20),INDEX(LISTA_EX,MATCH('T1'!$J9&amp;"|"&amp;20,LISTA_KLUCZ,0))),"")</f>
        <v>Bear renegade row</v>
      </c>
      <c r="W9" s="5" t="str">
        <f t="array" ref="W9">IFERROR(IF('T1'!$J9="",INDEX(LISTA_EX,21),INDEX(LISTA_EX,MATCH('T1'!$J9&amp;"|"&amp;21,LISTA_KLUCZ,0))),"")</f>
        <v>Bench press paused 3sec</v>
      </c>
      <c r="X9" s="5" t="str">
        <f t="array" ref="X9">IFERROR(IF('T1'!$J9="",INDEX(LISTA_EX,22),INDEX(LISTA_EX,MATCH('T1'!$J9&amp;"|"&amp;22,LISTA_KLUCZ,0))),"")</f>
        <v>Bicep hammer curl</v>
      </c>
      <c r="Y9" s="5" t="str">
        <f t="array" ref="Y9">IFERROR(IF('T1'!$J9="",INDEX(LISTA_EX,23),INDEX(LISTA_EX,MATCH('T1'!$J9&amp;"|"&amp;23,LISTA_KLUCZ,0))),"")</f>
        <v>Bicep squat cable curl</v>
      </c>
      <c r="Z9" s="5" t="str">
        <f t="array" ref="Z9">IFERROR(IF('T1'!$J9="",INDEX(LISTA_EX,24),INDEX(LISTA_EX,MATCH('T1'!$J9&amp;"|"&amp;24,LISTA_KLUCZ,0))),"")</f>
        <v>Bird dog row</v>
      </c>
      <c r="AA9" s="5" t="str">
        <f t="array" ref="AA9">IFERROR(IF('T1'!$J9="",INDEX(LISTA_EX,25),INDEX(LISTA_EX,MATCH('T1'!$J9&amp;"|"&amp;25,LISTA_KLUCZ,0))),"")</f>
        <v>Box jump</v>
      </c>
      <c r="AB9" s="5" t="str">
        <f t="array" ref="AB9">IFERROR(IF('T1'!$J9="",INDEX(LISTA_EX,26),INDEX(LISTA_EX,MATCH('T1'!$J9&amp;"|"&amp;26,LISTA_KLUCZ,0))),"")</f>
        <v>Bulgarian clean plyo</v>
      </c>
      <c r="AC9" s="5" t="str">
        <f t="array" ref="AC9">IFERROR(IF('T1'!$J9="",INDEX(LISTA_EX,27),INDEX(LISTA_EX,MATCH('T1'!$J9&amp;"|"&amp;27,LISTA_KLUCZ,0))),"")</f>
        <v>Bulgarian squat assisted</v>
      </c>
      <c r="AD9" s="5" t="str">
        <f t="array" ref="AD9">IFERROR(IF('T1'!$J9="",INDEX(LISTA_EX,28),INDEX(LISTA_EX,MATCH('T1'!$J9&amp;"|"&amp;28,LISTA_KLUCZ,0))),"")</f>
        <v>Cable biceps curl</v>
      </c>
      <c r="AE9" s="5" t="str">
        <f t="array" ref="AE9">IFERROR(IF('T1'!$J9="",INDEX(LISTA_EX,29),INDEX(LISTA_EX,MATCH('T1'!$J9&amp;"|"&amp;29,LISTA_KLUCZ,0))),"")</f>
        <v>Cable fly</v>
      </c>
      <c r="AF9" s="5" t="str">
        <f t="array" ref="AF9">IFERROR(IF('T1'!$J9="",INDEX(LISTA_EX,30),INDEX(LISTA_EX,MATCH('T1'!$J9&amp;"|"&amp;30,LISTA_KLUCZ,0))),"")</f>
        <v>Cable lateral raise s/a</v>
      </c>
      <c r="AG9" s="5" t="str">
        <f t="array" ref="AG9">IFERROR(IF('T1'!$J9="",INDEX(LISTA_EX,31),INDEX(LISTA_EX,MATCH('T1'!$J9&amp;"|"&amp;31,LISTA_KLUCZ,0))),"")</f>
        <v>Cable row</v>
      </c>
      <c r="AH9" s="5" t="str">
        <f t="array" ref="AH9">IFERROR(IF('T1'!$J9="",INDEX(LISTA_EX,32),INDEX(LISTA_EX,MATCH('T1'!$J9&amp;"|"&amp;32,LISTA_KLUCZ,0))),"")</f>
        <v>Cable row s/a</v>
      </c>
      <c r="AI9" s="5" t="str">
        <f t="array" ref="AI9">IFERROR(IF('T1'!$J9="",INDEX(LISTA_EX,33),INDEX(LISTA_EX,MATCH('T1'!$J9&amp;"|"&amp;33,LISTA_KLUCZ,0))),"")</f>
        <v>Calf raises</v>
      </c>
      <c r="AJ9" s="5" t="str">
        <f t="array" ref="AJ9">IFERROR(IF('T1'!$J9="",INDEX(LISTA_EX,34),INDEX(LISTA_EX,MATCH('T1'!$J9&amp;"|"&amp;34,LISTA_KLUCZ,0))),"")</f>
        <v>Chest fly machine</v>
      </c>
      <c r="AK9" s="5" t="str">
        <f t="array" ref="AK9">IFERROR(IF('T1'!$J9="",INDEX(LISTA_EX,35),INDEX(LISTA_EX,MATCH('T1'!$J9&amp;"|"&amp;35,LISTA_KLUCZ,0))),"")</f>
        <v>Clean</v>
      </c>
      <c r="AL9" s="5" t="str">
        <f t="array" ref="AL9">IFERROR(IF('T1'!$J9="",INDEX(LISTA_EX,36),INDEX(LISTA_EX,MATCH('T1'!$J9&amp;"|"&amp;36,LISTA_KLUCZ,0))),"")</f>
        <v>Clean pins</v>
      </c>
      <c r="AM9" s="5" t="str">
        <f t="array" ref="AM9">IFERROR(IF('T1'!$J9="",INDEX(LISTA_EX,37),INDEX(LISTA_EX,MATCH('T1'!$J9&amp;"|"&amp;37,LISTA_KLUCZ,0))),"")</f>
        <v>Copenhagen plank</v>
      </c>
      <c r="AN9" s="5" t="str">
        <f t="array" ref="AN9">IFERROR(IF('T1'!$J9="",INDEX(LISTA_EX,38),INDEX(LISTA_EX,MATCH('T1'!$J9&amp;"|"&amp;38,LISTA_KLUCZ,0))),"")</f>
        <v>Dead bug izo + OH</v>
      </c>
      <c r="AO9" s="5" t="str">
        <f t="array" ref="AO9">IFERROR(IF('T1'!$J9="",INDEX(LISTA_EX,39),INDEX(LISTA_EX,MATCH('T1'!$J9&amp;"|"&amp;39,LISTA_KLUCZ,0))),"")</f>
        <v>Dead bug straight legs</v>
      </c>
      <c r="AP9" s="5" t="str">
        <f t="array" ref="AP9">IFERROR(IF('T1'!$J9="",INDEX(LISTA_EX,40),INDEX(LISTA_EX,MATCH('T1'!$J9&amp;"|"&amp;40,LISTA_KLUCZ,0))),"")</f>
        <v>Dead stop barbell row</v>
      </c>
      <c r="AQ9" s="5" t="str">
        <f t="array" ref="AQ9">IFERROR(IF('T1'!$J9="",INDEX(LISTA_EX,41),INDEX(LISTA_EX,MATCH('T1'!$J9&amp;"|"&amp;41,LISTA_KLUCZ,0))),"")</f>
        <v>Deadbug OH</v>
      </c>
      <c r="AR9" s="5" t="str">
        <f t="array" ref="AR9">IFERROR(IF('T1'!$J9="",INDEX(LISTA_EX,42),INDEX(LISTA_EX,MATCH('T1'!$J9&amp;"|"&amp;42,LISTA_KLUCZ,0))),"")</f>
        <v>Deadlift</v>
      </c>
      <c r="AS9" s="5" t="str">
        <f t="array" ref="AS9">IFERROR(IF('T1'!$J9="",INDEX(LISTA_EX,43),INDEX(LISTA_EX,MATCH('T1'!$J9&amp;"|"&amp;43,LISTA_KLUCZ,0))),"")</f>
        <v>Deficit push up</v>
      </c>
      <c r="AT9" s="5" t="str">
        <f t="array" ref="AT9">IFERROR(IF('T1'!$J9="",INDEX(LISTA_EX,44),INDEX(LISTA_EX,MATCH('T1'!$J9&amp;"|"&amp;44,LISTA_KLUCZ,0))),"")</f>
        <v>Deficit reverse lunge</v>
      </c>
      <c r="AU9" s="5" t="str">
        <f t="array" ref="AU9">IFERROR(IF('T1'!$J9="",INDEX(LISTA_EX,45),INDEX(LISTA_EX,MATCH('T1'!$J9&amp;"|"&amp;45,LISTA_KLUCZ,0))),"")</f>
        <v>Dips</v>
      </c>
      <c r="AV9" s="5" t="str">
        <f t="array" ref="AV9">IFERROR(IF('T1'!$J9="",INDEX(LISTA_EX,46),INDEX(LISTA_EX,MATCH('T1'!$J9&amp;"|"&amp;46,LISTA_KLUCZ,0))),"")</f>
        <v>Dips weighted</v>
      </c>
      <c r="AW9" s="5" t="str">
        <f t="array" ref="AW9">IFERROR(IF('T1'!$J9="",INDEX(LISTA_EX,47),INDEX(LISTA_EX,MATCH('T1'!$J9&amp;"|"&amp;47,LISTA_KLUCZ,0))),"")</f>
        <v>Dumbbell bench press</v>
      </c>
      <c r="AX9" s="5" t="str">
        <f t="array" ref="AX9">IFERROR(IF('T1'!$J9="",INDEX(LISTA_EX,48),INDEX(LISTA_EX,MATCH('T1'!$J9&amp;"|"&amp;48,LISTA_KLUCZ,0))),"")</f>
        <v>Dumbbell bench press alternating</v>
      </c>
      <c r="AY9" s="5" t="str">
        <f t="array" ref="AY9">IFERROR(IF('T1'!$J9="",INDEX(LISTA_EX,49),INDEX(LISTA_EX,MATCH('T1'!$J9&amp;"|"&amp;49,LISTA_KLUCZ,0))),"")</f>
        <v>Dumbbell curl</v>
      </c>
      <c r="AZ9" s="5" t="str">
        <f t="array" ref="AZ9">IFERROR(IF('T1'!$J9="",INDEX(LISTA_EX,50),INDEX(LISTA_EX,MATCH('T1'!$J9&amp;"|"&amp;50,LISTA_KLUCZ,0))),"")</f>
        <v>Dumbbell external rotation</v>
      </c>
      <c r="BA9" s="5" t="str">
        <f t="array" ref="BA9">IFERROR(IF('T1'!$J9="",INDEX(LISTA_EX,51),INDEX(LISTA_EX,MATCH('T1'!$J9&amp;"|"&amp;51,LISTA_KLUCZ,0))),"")</f>
        <v>Dumbbell face down curl</v>
      </c>
      <c r="BB9" s="5" t="str">
        <f t="array" ref="BB9">IFERROR(IF('T1'!$J9="",INDEX(LISTA_EX,52),INDEX(LISTA_EX,MATCH('T1'!$J9&amp;"|"&amp;52,LISTA_KLUCZ,0))),"")</f>
        <v>Dumbbell fly</v>
      </c>
      <c r="BC9" s="5" t="str">
        <f t="array" ref="BC9">IFERROR(IF('T1'!$J9="",INDEX(LISTA_EX,53),INDEX(LISTA_EX,MATCH('T1'!$J9&amp;"|"&amp;53,LISTA_KLUCZ,0))),"")</f>
        <v>Dumbbell french press</v>
      </c>
      <c r="BD9" s="5" t="str">
        <f t="array" ref="BD9">IFERROR(IF('T1'!$J9="",INDEX(LISTA_EX,54),INDEX(LISTA_EX,MATCH('T1'!$J9&amp;"|"&amp;54,LISTA_KLUCZ,0))),"")</f>
        <v>Dumbbell lateral raise</v>
      </c>
      <c r="BE9" s="5" t="str">
        <f t="array" ref="BE9">IFERROR(IF('T1'!$J9="",INDEX(LISTA_EX,55),INDEX(LISTA_EX,MATCH('T1'!$J9&amp;"|"&amp;55,LISTA_KLUCZ,0))),"")</f>
        <v>Dumbbell lunges</v>
      </c>
      <c r="BF9" s="5" t="str">
        <f t="array" ref="BF9">IFERROR(IF('T1'!$J9="",INDEX(LISTA_EX,56),INDEX(LISTA_EX,MATCH('T1'!$J9&amp;"|"&amp;56,LISTA_KLUCZ,0))),"")</f>
        <v>Dumbbell OH press</v>
      </c>
      <c r="BG9" s="5" t="str">
        <f t="array" ref="BG9">IFERROR(IF('T1'!$J9="",INDEX(LISTA_EX,57),INDEX(LISTA_EX,MATCH('T1'!$J9&amp;"|"&amp;57,LISTA_KLUCZ,0))),"")</f>
        <v>Dumbbell over head press</v>
      </c>
      <c r="BH9" s="5" t="str">
        <f t="array" ref="BH9">IFERROR(IF('T1'!$J9="",INDEX(LISTA_EX,58),INDEX(LISTA_EX,MATCH('T1'!$J9&amp;"|"&amp;58,LISTA_KLUCZ,0))),"")</f>
        <v>Dumbbell over head press alternating</v>
      </c>
      <c r="BI9" s="5" t="str">
        <f t="array" ref="BI9">IFERROR(IF('T1'!$J9="",INDEX(LISTA_EX,59),INDEX(LISTA_EX,MATCH('T1'!$J9&amp;"|"&amp;59,LISTA_KLUCZ,0))),"")</f>
        <v>Dumbbell row</v>
      </c>
      <c r="BJ9" s="5" t="str">
        <f t="array" ref="BJ9">IFERROR(IF('T1'!$J9="",INDEX(LISTA_EX,60),INDEX(LISTA_EX,MATCH('T1'!$J9&amp;"|"&amp;60,LISTA_KLUCZ,0))),"")</f>
        <v>Dumbbell s/a Arnold press</v>
      </c>
      <c r="BK9" s="5" t="str">
        <f t="array" ref="BK9">IFERROR(IF('T1'!$J9="",INDEX(LISTA_EX,61),INDEX(LISTA_EX,MATCH('T1'!$J9&amp;"|"&amp;61,LISTA_KLUCZ,0))),"")</f>
        <v>Dumbbell s/a row</v>
      </c>
      <c r="BL9" s="5" t="str">
        <f t="array" ref="BL9">IFERROR(IF('T1'!$J9="",INDEX(LISTA_EX,62),INDEX(LISTA_EX,MATCH('T1'!$J9&amp;"|"&amp;62,LISTA_KLUCZ,0))),"")</f>
        <v>Dumbbell seal row</v>
      </c>
      <c r="BM9" s="5" t="str">
        <f t="array" ref="BM9">IFERROR(IF('T1'!$J9="",INDEX(LISTA_EX,63),INDEX(LISTA_EX,MATCH('T1'!$J9&amp;"|"&amp;63,LISTA_KLUCZ,0))),"")</f>
        <v>Dumbbells jumps</v>
      </c>
      <c r="BN9" s="5" t="str">
        <f t="array" ref="BN9">IFERROR(IF('T1'!$J9="",INDEX(LISTA_EX,64),INDEX(LISTA_EX,MATCH('T1'!$J9&amp;"|"&amp;64,LISTA_KLUCZ,0))),"")</f>
        <v>Eccentric pull up</v>
      </c>
      <c r="BO9" s="5" t="str">
        <f t="array" ref="BO9">IFERROR(IF('T1'!$J9="",INDEX(LISTA_EX,65),INDEX(LISTA_EX,MATCH('T1'!$J9&amp;"|"&amp;65,LISTA_KLUCZ,0))),"")</f>
        <v>Eccentric push up (5 sek w dół)</v>
      </c>
      <c r="BP9" s="5" t="str">
        <f t="array" ref="BP9">IFERROR(IF('T1'!$J9="",INDEX(LISTA_EX,66),INDEX(LISTA_EX,MATCH('T1'!$J9&amp;"|"&amp;66,LISTA_KLUCZ,0))),"")</f>
        <v>Extensive plyo jumps s/l</v>
      </c>
      <c r="BQ9" s="5" t="str">
        <f t="array" ref="BQ9">IFERROR(IF('T1'!$J9="",INDEX(LISTA_EX,67),INDEX(LISTA_EX,MATCH('T1'!$J9&amp;"|"&amp;67,LISTA_KLUCZ,0))),"")</f>
        <v>Ez bar curl</v>
      </c>
      <c r="BR9" s="5" t="str">
        <f t="array" ref="BR9">IFERROR(IF('T1'!$J9="",INDEX(LISTA_EX,68),INDEX(LISTA_EX,MATCH('T1'!$J9&amp;"|"&amp;68,LISTA_KLUCZ,0))),"")</f>
        <v>Facepull chest supported</v>
      </c>
      <c r="BS9" s="5" t="str">
        <f t="array" ref="BS9">IFERROR(IF('T1'!$J9="",INDEX(LISTA_EX,69),INDEX(LISTA_EX,MATCH('T1'!$J9&amp;"|"&amp;69,LISTA_KLUCZ,0))),"")</f>
        <v>Front foot elevated split squat</v>
      </c>
      <c r="BT9" s="5" t="str">
        <f t="array" ref="BT9">IFERROR(IF('T1'!$J9="",INDEX(LISTA_EX,70),INDEX(LISTA_EX,MATCH('T1'!$J9&amp;"|"&amp;70,LISTA_KLUCZ,0))),"")</f>
        <v>Front squat</v>
      </c>
      <c r="BU9" s="5" t="str">
        <f t="array" ref="BU9">IFERROR(IF('T1'!$J9="",INDEX(LISTA_EX,71),INDEX(LISTA_EX,MATCH('T1'!$J9&amp;"|"&amp;71,LISTA_KLUCZ,0))),"")</f>
        <v>GHD flexion</v>
      </c>
      <c r="BV9" s="5" t="str">
        <f t="array" ref="BV9">IFERROR(IF('T1'!$J9="",INDEX(LISTA_EX,72),INDEX(LISTA_EX,MATCH('T1'!$J9&amp;"|"&amp;72,LISTA_KLUCZ,0))),"")</f>
        <v>Glute bridge hamstrings izo + OH</v>
      </c>
      <c r="BW9" s="5" t="str">
        <f t="array" ref="BW9">IFERROR(IF('T1'!$J9="",INDEX(LISTA_EX,73),INDEX(LISTA_EX,MATCH('T1'!$J9&amp;"|"&amp;73,LISTA_KLUCZ,0))),"")</f>
        <v>Glute crusher</v>
      </c>
      <c r="BX9" s="5" t="str">
        <f t="array" ref="BX9">IFERROR(IF('T1'!$J9="",INDEX(LISTA_EX,74),INDEX(LISTA_EX,MATCH('T1'!$J9&amp;"|"&amp;74,LISTA_KLUCZ,0))),"")</f>
        <v>Gorilla row</v>
      </c>
      <c r="BY9" s="5" t="str">
        <f t="array" ref="BY9">IFERROR(IF('T1'!$J9="",INDEX(LISTA_EX,75),INDEX(LISTA_EX,MATCH('T1'!$J9&amp;"|"&amp;75,LISTA_KLUCZ,0))),"")</f>
        <v>Halfkneeling s/a cable pull</v>
      </c>
      <c r="BZ9" s="5" t="str">
        <f t="array" ref="BZ9">IFERROR(IF('T1'!$J9="",INDEX(LISTA_EX,76),INDEX(LISTA_EX,MATCH('T1'!$J9&amp;"|"&amp;76,LISTA_KLUCZ,0))),"")</f>
        <v>Halfkneeling wood chopper</v>
      </c>
      <c r="CA9" s="5" t="str">
        <f t="array" ref="CA9">IFERROR(IF('T1'!$J9="",INDEX(LISTA_EX,77),INDEX(LISTA_EX,MATCH('T1'!$J9&amp;"|"&amp;77,LISTA_KLUCZ,0))),"")</f>
        <v>Hinged dumbbell row</v>
      </c>
      <c r="CB9" s="5" t="str">
        <f t="array" ref="CB9">IFERROR(IF('T1'!$J9="",INDEX(LISTA_EX,78),INDEX(LISTA_EX,MATCH('T1'!$J9&amp;"|"&amp;78,LISTA_KLUCZ,0))),"")</f>
        <v>Hip aeroplane</v>
      </c>
      <c r="CC9" s="5" t="str">
        <f t="array" ref="CC9">IFERROR(IF('T1'!$J9="",INDEX(LISTA_EX,79),INDEX(LISTA_EX,MATCH('T1'!$J9&amp;"|"&amp;79,LISTA_KLUCZ,0))),"")</f>
        <v>Hip flexors cable</v>
      </c>
      <c r="CD9" s="5" t="str">
        <f t="array" ref="CD9">IFERROR(IF('T1'!$J9="",INDEX(LISTA_EX,80),INDEX(LISTA_EX,MATCH('T1'!$J9&amp;"|"&amp;80,LISTA_KLUCZ,0))),"")</f>
        <v>Hip thrust barbell</v>
      </c>
      <c r="CE9" s="5" t="str">
        <f t="array" ref="CE9">IFERROR(IF('T1'!$J9="",INDEX(LISTA_EX,81),INDEX(LISTA_EX,MATCH('T1'!$J9&amp;"|"&amp;81,LISTA_KLUCZ,0))),"")</f>
        <v>Hollow body + OH</v>
      </c>
      <c r="CF9" s="5" t="str">
        <f t="array" ref="CF9">IFERROR(IF('T1'!$J9="",INDEX(LISTA_EX,82),INDEX(LISTA_EX,MATCH('T1'!$J9&amp;"|"&amp;82,LISTA_KLUCZ,0))),"")</f>
        <v>Horizontal jump</v>
      </c>
      <c r="CG9" s="5" t="str">
        <f t="array" ref="CG9">IFERROR(IF('T1'!$J9="",INDEX(LISTA_EX,83),INDEX(LISTA_EX,MATCH('T1'!$J9&amp;"|"&amp;83,LISTA_KLUCZ,0))),"")</f>
        <v>Incline bench lateral raise s/a</v>
      </c>
      <c r="CH9" s="5" t="str">
        <f t="array" ref="CH9">IFERROR(IF('T1'!$J9="",INDEX(LISTA_EX,84),INDEX(LISTA_EX,MATCH('T1'!$J9&amp;"|"&amp;84,LISTA_KLUCZ,0))),"")</f>
        <v>Incline curl + OHP</v>
      </c>
      <c r="CI9" s="5" t="str">
        <f t="array" ref="CI9">IFERROR(IF('T1'!$J9="",INDEX(LISTA_EX,85),INDEX(LISTA_EX,MATCH('T1'!$J9&amp;"|"&amp;85,LISTA_KLUCZ,0))),"")</f>
        <v>Incline dumbbell curl</v>
      </c>
      <c r="CJ9" s="5" t="str">
        <f t="array" ref="CJ9">IFERROR(IF('T1'!$J9="",INDEX(LISTA_EX,86),INDEX(LISTA_EX,MATCH('T1'!$J9&amp;"|"&amp;86,LISTA_KLUCZ,0))),"")</f>
        <v>Incline dumbbell curl (back)</v>
      </c>
      <c r="CK9" s="5" t="str">
        <f t="array" ref="CK9">IFERROR(IF('T1'!$J9="",INDEX(LISTA_EX,87),INDEX(LISTA_EX,MATCH('T1'!$J9&amp;"|"&amp;87,LISTA_KLUCZ,0))),"")</f>
        <v>Incline dumbbell curl (front)</v>
      </c>
      <c r="CL9" s="5" t="str">
        <f t="array" ref="CL9">IFERROR(IF('T1'!$J9="",INDEX(LISTA_EX,88),INDEX(LISTA_EX,MATCH('T1'!$J9&amp;"|"&amp;88,LISTA_KLUCZ,0))),"")</f>
        <v>Incline dumbbell fly</v>
      </c>
      <c r="CM9" s="5" t="str">
        <f t="array" ref="CM9">IFERROR(IF('T1'!$J9="",INDEX(LISTA_EX,89),INDEX(LISTA_EX,MATCH('T1'!$J9&amp;"|"&amp;89,LISTA_KLUCZ,0))),"")</f>
        <v>Incline dumbbell press</v>
      </c>
      <c r="CN9" s="5" t="str">
        <f t="array" ref="CN9">IFERROR(IF('T1'!$J9="",INDEX(LISTA_EX,90),INDEX(LISTA_EX,MATCH('T1'!$J9&amp;"|"&amp;90,LISTA_KLUCZ,0))),"")</f>
        <v>Incline dumbbell press alternating</v>
      </c>
      <c r="CO9" s="5" t="str">
        <f t="array" ref="CO9">IFERROR(IF('T1'!$J9="",INDEX(LISTA_EX,91),INDEX(LISTA_EX,MATCH('T1'!$J9&amp;"|"&amp;91,LISTA_KLUCZ,0))),"")</f>
        <v>Incline sit-ups</v>
      </c>
      <c r="CP9" s="5" t="str">
        <f t="array" ref="CP9">IFERROR(IF('T1'!$J9="",INDEX(LISTA_EX,92),INDEX(LISTA_EX,MATCH('T1'!$J9&amp;"|"&amp;92,LISTA_KLUCZ,0))),"")</f>
        <v>Jefferson cable</v>
      </c>
      <c r="CQ9" s="5" t="str">
        <f t="array" ref="CQ9">IFERROR(IF('T1'!$J9="",INDEX(LISTA_EX,93),INDEX(LISTA_EX,MATCH('T1'!$J9&amp;"|"&amp;93,LISTA_KLUCZ,0))),"")</f>
        <v>Kettlebell march</v>
      </c>
      <c r="CR9" s="5" t="str">
        <f t="array" ref="CR9">IFERROR(IF('T1'!$J9="",INDEX(LISTA_EX,94),INDEX(LISTA_EX,MATCH('T1'!$J9&amp;"|"&amp;94,LISTA_KLUCZ,0))),"")</f>
        <v>Kickbacks</v>
      </c>
      <c r="CS9" s="5" t="str">
        <f t="array" ref="CS9">IFERROR(IF('T1'!$J9="",INDEX(LISTA_EX,95),INDEX(LISTA_EX,MATCH('T1'!$J9&amp;"|"&amp;95,LISTA_KLUCZ,0))),"")</f>
        <v>Knee extension machine</v>
      </c>
      <c r="CT9" s="5" t="str">
        <f t="array" ref="CT9">IFERROR(IF('T1'!$J9="",INDEX(LISTA_EX,96),INDEX(LISTA_EX,MATCH('T1'!$J9&amp;"|"&amp;96,LISTA_KLUCZ,0))),"")</f>
        <v>Knee flexion machine</v>
      </c>
      <c r="CU9" s="5" t="str">
        <f t="array" ref="CU9">IFERROR(IF('T1'!$J9="",INDEX(LISTA_EX,97),INDEX(LISTA_EX,MATCH('T1'!$J9&amp;"|"&amp;97,LISTA_KLUCZ,0))),"")</f>
        <v>Knee raises</v>
      </c>
      <c r="CV9" s="5" t="str">
        <f t="array" ref="CV9">IFERROR(IF('T1'!$J9="",INDEX(LISTA_EX,98),INDEX(LISTA_EX,MATCH('T1'!$J9&amp;"|"&amp;98,LISTA_KLUCZ,0))),"")</f>
        <v>Landmine core</v>
      </c>
      <c r="CW9" s="5" t="str">
        <f t="array" ref="CW9">IFERROR(IF('T1'!$J9="",INDEX(LISTA_EX,99),INDEX(LISTA_EX,MATCH('T1'!$J9&amp;"|"&amp;99,LISTA_KLUCZ,0))),"")</f>
        <v>Landmine press</v>
      </c>
      <c r="CX9" s="5" t="str">
        <f t="array" ref="CX9">IFERROR(IF('T1'!$J9="",INDEX(LISTA_EX,100),INDEX(LISTA_EX,MATCH('T1'!$J9&amp;"|"&amp;100,LISTA_KLUCZ,0))),"")</f>
        <v>Landmine rotations (powtórzenia x2)</v>
      </c>
      <c r="CY9" s="5" t="str">
        <f t="array" ref="CY9">IFERROR(IF('T1'!$J9="",INDEX(LISTA_EX,101),INDEX(LISTA_EX,MATCH('T1'!$J9&amp;"|"&amp;101,LISTA_KLUCZ,0))),"")</f>
        <v>Landmine SLDL</v>
      </c>
      <c r="CZ9" s="5" t="str">
        <f t="array" ref="CZ9">IFERROR(IF('T1'!$J9="",INDEX(LISTA_EX,102),INDEX(LISTA_EX,MATCH('T1'!$J9&amp;"|"&amp;102,LISTA_KLUCZ,0))),"")</f>
        <v>Lat pulldown</v>
      </c>
      <c r="DA9" s="5" t="str">
        <f t="array" ref="DA9">IFERROR(IF('T1'!$J9="",INDEX(LISTA_EX,103),INDEX(LISTA_EX,MATCH('T1'!$J9&amp;"|"&amp;103,LISTA_KLUCZ,0))),"")</f>
        <v>Lat pulldown behind the head</v>
      </c>
      <c r="DB9" s="5" t="str">
        <f t="array" ref="DB9">IFERROR(IF('T1'!$J9="",INDEX(LISTA_EX,104),INDEX(LISTA_EX,MATCH('T1'!$J9&amp;"|"&amp;104,LISTA_KLUCZ,0))),"")</f>
        <v>Lat pulldown s/a</v>
      </c>
      <c r="DC9" s="5" t="str">
        <f t="array" ref="DC9">IFERROR(IF('T1'!$J9="",INDEX(LISTA_EX,105),INDEX(LISTA_EX,MATCH('T1'!$J9&amp;"|"&amp;105,LISTA_KLUCZ,0))),"")</f>
        <v>Lateral raise s/a</v>
      </c>
      <c r="DD9" s="5" t="str">
        <f t="array" ref="DD9">IFERROR(IF('T1'!$J9="",INDEX(LISTA_EX,106),INDEX(LISTA_EX,MATCH('T1'!$J9&amp;"|"&amp;106,LISTA_KLUCZ,0))),"")</f>
        <v>Lateral raises</v>
      </c>
      <c r="DE9" s="5" t="str">
        <f t="array" ref="DE9">IFERROR(IF('T1'!$J9="",INDEX(LISTA_EX,107),INDEX(LISTA_EX,MATCH('T1'!$J9&amp;"|"&amp;107,LISTA_KLUCZ,0))),"")</f>
        <v>Lateral raises 2</v>
      </c>
      <c r="DF9" s="5" t="str">
        <f t="array" ref="DF9">IFERROR(IF('T1'!$J9="",INDEX(LISTA_EX,108),INDEX(LISTA_EX,MATCH('T1'!$J9&amp;"|"&amp;108,LISTA_KLUCZ,0))),"")</f>
        <v>Lateral raises full ROM</v>
      </c>
      <c r="DG9" s="5" t="str">
        <f t="array" ref="DG9">IFERROR(IF('T1'!$J9="",INDEX(LISTA_EX,109),INDEX(LISTA_EX,MATCH('T1'!$J9&amp;"|"&amp;109,LISTA_KLUCZ,0))),"")</f>
        <v>Lateral raises hinged</v>
      </c>
      <c r="DH9" s="5" t="str">
        <f t="array" ref="DH9">IFERROR(IF('T1'!$J9="",INDEX(LISTA_EX,110),INDEX(LISTA_EX,MATCH('T1'!$J9&amp;"|"&amp;110,LISTA_KLUCZ,0))),"")</f>
        <v>Lateral raises incline s/a</v>
      </c>
      <c r="DI9" s="5" t="str">
        <f t="array" ref="DI9">IFERROR(IF('T1'!$J9="",INDEX(LISTA_EX,111),INDEX(LISTA_EX,MATCH('T1'!$J9&amp;"|"&amp;111,LISTA_KLUCZ,0))),"")</f>
        <v>Leg curl</v>
      </c>
      <c r="DJ9" s="5" t="str">
        <f t="array" ref="DJ9">IFERROR(IF('T1'!$J9="",INDEX(LISTA_EX,112),INDEX(LISTA_EX,MATCH('T1'!$J9&amp;"|"&amp;112,LISTA_KLUCZ,0))),"")</f>
        <v>Machine row</v>
      </c>
      <c r="DK9" s="5" t="str">
        <f t="array" ref="DK9">IFERROR(IF('T1'!$J9="",INDEX(LISTA_EX,113),INDEX(LISTA_EX,MATCH('T1'!$J9&amp;"|"&amp;113,LISTA_KLUCZ,0))),"")</f>
        <v>Machine row s/a</v>
      </c>
      <c r="DL9" s="5" t="str">
        <f t="array" ref="DL9">IFERROR(IF('T1'!$J9="",INDEX(LISTA_EX,114),INDEX(LISTA_EX,MATCH('T1'!$J9&amp;"|"&amp;114,LISTA_KLUCZ,0))),"")</f>
        <v>Meadows row</v>
      </c>
      <c r="DM9" s="5" t="str">
        <f t="array" ref="DM9">IFERROR(IF('T1'!$J9="",INDEX(LISTA_EX,115),INDEX(LISTA_EX,MATCH('T1'!$J9&amp;"|"&amp;115,LISTA_KLUCZ,0))),"")</f>
        <v>Med ball slam</v>
      </c>
      <c r="DN9" s="5" t="str">
        <f t="array" ref="DN9">IFERROR(IF('T1'!$J9="",INDEX(LISTA_EX,116),INDEX(LISTA_EX,MATCH('T1'!$J9&amp;"|"&amp;116,LISTA_KLUCZ,0))),"")</f>
        <v>OH skullcrushers</v>
      </c>
      <c r="DO9" s="5" t="str">
        <f t="array" ref="DO9">IFERROR(IF('T1'!$J9="",INDEX(LISTA_EX,117),INDEX(LISTA_EX,MATCH('T1'!$J9&amp;"|"&amp;117,LISTA_KLUCZ,0))),"")</f>
        <v>OHP barbell squat 15kg</v>
      </c>
      <c r="DP9" s="5" t="str">
        <f t="array" ref="DP9">IFERROR(IF('T1'!$J9="",INDEX(LISTA_EX,118),INDEX(LISTA_EX,MATCH('T1'!$J9&amp;"|"&amp;118,LISTA_KLUCZ,0))),"")</f>
        <v>Pistol squat eccentric</v>
      </c>
      <c r="DQ9" s="5" t="str">
        <f t="array" ref="DQ9">IFERROR(IF('T1'!$J9="",INDEX(LISTA_EX,119),INDEX(LISTA_EX,MATCH('T1'!$J9&amp;"|"&amp;119,LISTA_KLUCZ,0))),"")</f>
        <v>Plank contralateral</v>
      </c>
      <c r="DR9" s="5" t="str">
        <f t="array" ref="DR9">IFERROR(IF('T1'!$J9="",INDEX(LISTA_EX,120),INDEX(LISTA_EX,MATCH('T1'!$J9&amp;"|"&amp;120,LISTA_KLUCZ,0))),"")</f>
        <v>Plank dumbbell rotation</v>
      </c>
      <c r="DS9" s="5" t="str">
        <f t="array" ref="DS9">IFERROR(IF('T1'!$J9="",INDEX(LISTA_EX,121),INDEX(LISTA_EX,MATCH('T1'!$J9&amp;"|"&amp;121,LISTA_KLUCZ,0))),"")</f>
        <v>Plank leg raises</v>
      </c>
      <c r="DT9" s="5" t="str">
        <f t="array" ref="DT9">IFERROR(IF('T1'!$J9="",INDEX(LISTA_EX,122),INDEX(LISTA_EX,MATCH('T1'!$J9&amp;"|"&amp;122,LISTA_KLUCZ,0))),"")</f>
        <v>Poliquin step up</v>
      </c>
      <c r="DU9" s="5" t="str">
        <f t="array" ref="DU9">IFERROR(IF('T1'!$J9="",INDEX(LISTA_EX,123),INDEX(LISTA_EX,MATCH('T1'!$J9&amp;"|"&amp;123,LISTA_KLUCZ,0))),"")</f>
        <v>Poliquin step up paused 3sec</v>
      </c>
      <c r="DV9" s="5" t="str">
        <f t="array" ref="DV9">IFERROR(IF('T1'!$J9="",INDEX(LISTA_EX,124),INDEX(LISTA_EX,MATCH('T1'!$J9&amp;"|"&amp;124,LISTA_KLUCZ,0))),"")</f>
        <v>Pronation/Supination</v>
      </c>
      <c r="DW9" s="5" t="str">
        <f t="array" ref="DW9">IFERROR(IF('T1'!$J9="",INDEX(LISTA_EX,125),INDEX(LISTA_EX,MATCH('T1'!$J9&amp;"|"&amp;125,LISTA_KLUCZ,0))),"")</f>
        <v>Pull up</v>
      </c>
      <c r="DX9" s="5" t="str">
        <f t="array" ref="DX9">IFERROR(IF('T1'!$J9="",INDEX(LISTA_EX,126),INDEX(LISTA_EX,MATCH('T1'!$J9&amp;"|"&amp;126,LISTA_KLUCZ,0))),"")</f>
        <v>Pull up eccentric weighted</v>
      </c>
      <c r="DY9" s="5" t="str">
        <f t="array" ref="DY9">IFERROR(IF('T1'!$J9="",INDEX(LISTA_EX,127),INDEX(LISTA_EX,MATCH('T1'!$J9&amp;"|"&amp;127,LISTA_KLUCZ,0))),"")</f>
        <v>Pull up eccentric weighted (5 sek w dół)</v>
      </c>
      <c r="DZ9" s="5" t="str">
        <f t="array" ref="DZ9">IFERROR(IF('T1'!$J9="",INDEX(LISTA_EX,128),INDEX(LISTA_EX,MATCH('T1'!$J9&amp;"|"&amp;128,LISTA_KLUCZ,0))),"")</f>
        <v>Pull up weighted</v>
      </c>
      <c r="EA9" s="5" t="str">
        <f t="array" ref="EA9">IFERROR(IF('T1'!$J9="",INDEX(LISTA_EX,129),INDEX(LISTA_EX,MATCH('T1'!$J9&amp;"|"&amp;129,LISTA_KLUCZ,0))),"")</f>
        <v>Pull ups (paused)</v>
      </c>
      <c r="EB9" s="5" t="str">
        <f t="array" ref="EB9">IFERROR(IF('T1'!$J9="",INDEX(LISTA_EX,130),INDEX(LISTA_EX,MATCH('T1'!$J9&amp;"|"&amp;130,LISTA_KLUCZ,0))),"")</f>
        <v>Push press barbell</v>
      </c>
      <c r="EC9" s="5" t="str">
        <f t="array" ref="EC9">IFERROR(IF('T1'!$J9="",INDEX(LISTA_EX,131),INDEX(LISTA_EX,MATCH('T1'!$J9&amp;"|"&amp;131,LISTA_KLUCZ,0))),"")</f>
        <v>Push up</v>
      </c>
      <c r="ED9" s="5" t="str">
        <f t="array" ref="ED9">IFERROR(IF('T1'!$J9="",INDEX(LISTA_EX,132),INDEX(LISTA_EX,MATCH('T1'!$J9&amp;"|"&amp;132,LISTA_KLUCZ,0))),"")</f>
        <v>Raised bird dog</v>
      </c>
      <c r="EE9" s="5" t="str">
        <f t="array" ref="EE9">IFERROR(IF('T1'!$J9="",INDEX(LISTA_EX,133),INDEX(LISTA_EX,MATCH('T1'!$J9&amp;"|"&amp;133,LISTA_KLUCZ,0))),"")</f>
        <v>RDL</v>
      </c>
      <c r="EF9" s="5" t="str">
        <f t="array" ref="EF9">IFERROR(IF('T1'!$J9="",INDEX(LISTA_EX,134),INDEX(LISTA_EX,MATCH('T1'!$J9&amp;"|"&amp;134,LISTA_KLUCZ,0))),"")</f>
        <v>Reverse Nordic</v>
      </c>
      <c r="EG9" s="5" t="str">
        <f t="array" ref="EG9">IFERROR(IF('T1'!$J9="",INDEX(LISTA_EX,135),INDEX(LISTA_EX,MATCH('T1'!$J9&amp;"|"&amp;135,LISTA_KLUCZ,0))),"")</f>
        <v>Rope pushdown</v>
      </c>
      <c r="EH9" s="5" t="str">
        <f t="array" ref="EH9">IFERROR(IF('T1'!$J9="",INDEX(LISTA_EX,136),INDEX(LISTA_EX,MATCH('T1'!$J9&amp;"|"&amp;136,LISTA_KLUCZ,0))),"")</f>
        <v>Rope pushdown OH</v>
      </c>
      <c r="EI9" s="5" t="str">
        <f t="array" ref="EI9">IFERROR(IF('T1'!$J9="",INDEX(LISTA_EX,137),INDEX(LISTA_EX,MATCH('T1'!$J9&amp;"|"&amp;137,LISTA_KLUCZ,0))),"")</f>
        <v>S/a cable pulldown incline bench</v>
      </c>
      <c r="EJ9" s="5" t="str">
        <f t="array" ref="EJ9">IFERROR(IF('T1'!$J9="",INDEX(LISTA_EX,138),INDEX(LISTA_EX,MATCH('T1'!$J9&amp;"|"&amp;138,LISTA_KLUCZ,0))),"")</f>
        <v>S/a lat pulldown incline bench</v>
      </c>
      <c r="EK9" s="5" t="str">
        <f t="array" ref="EK9">IFERROR(IF('T1'!$J9="",INDEX(LISTA_EX,139),INDEX(LISTA_EX,MATCH('T1'!$J9&amp;"|"&amp;139,LISTA_KLUCZ,0))),"")</f>
        <v>S/l dragonflag eccentric</v>
      </c>
      <c r="EL9" s="5" t="str">
        <f t="array" ref="EL9">IFERROR(IF('T1'!$J9="",INDEX(LISTA_EX,140),INDEX(LISTA_EX,MATCH('T1'!$J9&amp;"|"&amp;140,LISTA_KLUCZ,0))),"")</f>
        <v>S/l hip thrust</v>
      </c>
      <c r="EM9" s="5" t="str">
        <f t="array" ref="EM9">IFERROR(IF('T1'!$J9="",INDEX(LISTA_EX,141),INDEX(LISTA_EX,MATCH('T1'!$J9&amp;"|"&amp;141,LISTA_KLUCZ,0))),"")</f>
        <v>Seated broad jump</v>
      </c>
      <c r="EN9" s="5" t="str">
        <f t="array" ref="EN9">IFERROR(IF('T1'!$J9="",INDEX(LISTA_EX,142),INDEX(LISTA_EX,MATCH('T1'!$J9&amp;"|"&amp;142,LISTA_KLUCZ,0))),"")</f>
        <v>Seated cable facepull</v>
      </c>
      <c r="EO9" s="5" t="str">
        <f t="array" ref="EO9">IFERROR(IF('T1'!$J9="",INDEX(LISTA_EX,143),INDEX(LISTA_EX,MATCH('T1'!$J9&amp;"|"&amp;143,LISTA_KLUCZ,0))),"")</f>
        <v>Seated seesaw press (nogi proste)</v>
      </c>
      <c r="EP9" s="5" t="str">
        <f t="array" ref="EP9">IFERROR(IF('T1'!$J9="",INDEX(LISTA_EX,144),INDEX(LISTA_EX,MATCH('T1'!$J9&amp;"|"&amp;144,LISTA_KLUCZ,0))),"")</f>
        <v>Seesaw press</v>
      </c>
      <c r="EQ9" s="5" t="str">
        <f t="array" ref="EQ9">IFERROR(IF('T1'!$J9="",INDEX(LISTA_EX,145),INDEX(LISTA_EX,MATCH('T1'!$J9&amp;"|"&amp;145,LISTA_KLUCZ,0))),"")</f>
        <v>Side crunches</v>
      </c>
      <c r="ER9" s="5" t="str">
        <f t="array" ref="ER9">IFERROR(IF('T1'!$J9="",INDEX(LISTA_EX,146),INDEX(LISTA_EX,MATCH('T1'!$J9&amp;"|"&amp;146,LISTA_KLUCZ,0))),"")</f>
        <v>Side plank hip drop</v>
      </c>
      <c r="ES9" s="5" t="str">
        <f t="array" ref="ES9">IFERROR(IF('T1'!$J9="",INDEX(LISTA_EX,147),INDEX(LISTA_EX,MATCH('T1'!$J9&amp;"|"&amp;147,LISTA_KLUCZ,0))),"")</f>
        <v>Side plank rotations</v>
      </c>
      <c r="ET9" s="5" t="str">
        <f t="array" ref="ET9">IFERROR(IF('T1'!$J9="",INDEX(LISTA_EX,148),INDEX(LISTA_EX,MATCH('T1'!$J9&amp;"|"&amp;148,LISTA_KLUCZ,0))),"")</f>
        <v>SLDL balance</v>
      </c>
      <c r="EU9" s="5" t="str">
        <f t="array" ref="EU9">IFERROR(IF('T1'!$J9="",INDEX(LISTA_EX,149),INDEX(LISTA_EX,MATCH('T1'!$J9&amp;"|"&amp;149,LISTA_KLUCZ,0))),"")</f>
        <v>Split squat</v>
      </c>
      <c r="EV9" s="5" t="str">
        <f t="array" ref="EV9">IFERROR(IF('T1'!$J9="",INDEX(LISTA_EX,150),INDEX(LISTA_EX,MATCH('T1'!$J9&amp;"|"&amp;150,LISTA_KLUCZ,0))),"")</f>
        <v>Split stance SLDL</v>
      </c>
      <c r="EW9" s="5" t="str">
        <f t="array" ref="EW9">IFERROR(IF('T1'!$J9="",INDEX(LISTA_EX,151),INDEX(LISTA_EX,MATCH('T1'!$J9&amp;"|"&amp;151,LISTA_KLUCZ,0))),"")</f>
        <v>Squat izo (15 sek)</v>
      </c>
      <c r="EX9" s="5" t="str">
        <f t="array" ref="EX9">IFERROR(IF('T1'!$J9="",INDEX(LISTA_EX,152),INDEX(LISTA_EX,MATCH('T1'!$J9&amp;"|"&amp;152,LISTA_KLUCZ,0))),"")</f>
        <v>Standing landmine press</v>
      </c>
      <c r="EY9" s="5" t="str">
        <f t="array" ref="EY9">IFERROR(IF('T1'!$J9="",INDEX(LISTA_EX,153),INDEX(LISTA_EX,MATCH('T1'!$J9&amp;"|"&amp;153,LISTA_KLUCZ,0))),"")</f>
        <v>Suitcase carry</v>
      </c>
      <c r="EZ9" s="5" t="str">
        <f t="array" ref="EZ9">IFERROR(IF('T1'!$J9="",INDEX(LISTA_EX,154),INDEX(LISTA_EX,MATCH('T1'!$J9&amp;"|"&amp;154,LISTA_KLUCZ,0))),"")</f>
        <v>Supine pigeon abs</v>
      </c>
      <c r="FA9" s="5" t="str">
        <f t="array" ref="FA9">IFERROR(IF('T1'!$J9="",INDEX(LISTA_EX,155),INDEX(LISTA_EX,MATCH('T1'!$J9&amp;"|"&amp;155,LISTA_KLUCZ,0))),"")</f>
        <v>Swiss ball leg curl</v>
      </c>
      <c r="FB9" s="5" t="str">
        <f t="array" ref="FB9">IFERROR(IF('T1'!$J9="",INDEX(LISTA_EX,156),INDEX(LISTA_EX,MATCH('T1'!$J9&amp;"|"&amp;156,LISTA_KLUCZ,0))),"")</f>
        <v>Toes to bar</v>
      </c>
      <c r="FC9" s="5" t="str">
        <f t="array" ref="FC9">IFERROR(IF('T1'!$J9="",INDEX(LISTA_EX,157),INDEX(LISTA_EX,MATCH('T1'!$J9&amp;"|"&amp;157,LISTA_KLUCZ,0))),"")</f>
        <v>Trap bar deadlift</v>
      </c>
      <c r="FD9" s="5" t="str">
        <f t="array" ref="FD9">IFERROR(IF('T1'!$J9="",INDEX(LISTA_EX,158),INDEX(LISTA_EX,MATCH('T1'!$J9&amp;"|"&amp;158,LISTA_KLUCZ,0))),"")</f>
        <v>Tricep cable pushdown</v>
      </c>
      <c r="FE9" s="5" t="str">
        <f t="array" ref="FE9">IFERROR(IF('T1'!$J9="",INDEX(LISTA_EX,159),INDEX(LISTA_EX,MATCH('T1'!$J9&amp;"|"&amp;159,LISTA_KLUCZ,0))),"")</f>
        <v>Tricep JM press</v>
      </c>
      <c r="FF9" s="5" t="str">
        <f t="array" ref="FF9">IFERROR(IF('T1'!$J9="",INDEX(LISTA_EX,160),INDEX(LISTA_EX,MATCH('T1'!$J9&amp;"|"&amp;160,LISTA_KLUCZ,0))),"")</f>
        <v>Tricep OH cable</v>
      </c>
      <c r="FG9" s="5" t="str">
        <f t="array" ref="FG9">IFERROR(IF('T1'!$J9="",INDEX(LISTA_EX,161),INDEX(LISTA_EX,MATCH('T1'!$J9&amp;"|"&amp;161,LISTA_KLUCZ,0))),"")</f>
        <v>Tricep OH ez bar</v>
      </c>
      <c r="FH9" s="5" t="str">
        <f t="array" ref="FH9">IFERROR(IF('T1'!$J9="",INDEX(LISTA_EX,162),INDEX(LISTA_EX,MATCH('T1'!$J9&amp;"|"&amp;162,LISTA_KLUCZ,0))),"")</f>
        <v>Walking lunges</v>
      </c>
      <c r="FI9" s="5" t="str">
        <f t="array" ref="FI9">IFERROR(IF('T1'!$J9="",INDEX(LISTA_EX,163),INDEX(LISTA_EX,MATCH('T1'!$J9&amp;"|"&amp;163,LISTA_KLUCZ,0))),"")</f>
        <v>Wipers kettle</v>
      </c>
      <c r="FJ9" s="5" t="str">
        <f t="array" ref="FJ9">IFERROR(IF('T1'!$J9="",INDEX(LISTA_EX,164),INDEX(LISTA_EX,MATCH('T1'!$J9&amp;"|"&amp;164,LISTA_KLUCZ,0))),"")</f>
        <v>Zercher jumps</v>
      </c>
      <c r="FK9" s="5" t="str">
        <f t="array" ref="FK9">IFERROR(IF('T1'!$J9="",INDEX(LISTA_EX,165),INDEX(LISTA_EX,MATCH('T1'!$J9&amp;"|"&amp;165,LISTA_KLUCZ,0))),"")</f>
        <v/>
      </c>
      <c r="FL9" s="5" t="str">
        <f t="array" ref="FL9">IFERROR(IF('T1'!$J9="",INDEX(LISTA_EX,166),INDEX(LISTA_EX,MATCH('T1'!$J9&amp;"|"&amp;166,LISTA_KLUCZ,0))),"")</f>
        <v/>
      </c>
      <c r="FM9" s="5" t="str">
        <f t="array" ref="FM9">IFERROR(IF('T1'!$J9="",INDEX(LISTA_EX,167),INDEX(LISTA_EX,MATCH('T1'!$J9&amp;"|"&amp;167,LISTA_KLUCZ,0))),"")</f>
        <v/>
      </c>
      <c r="FN9" s="5" t="str">
        <f t="array" ref="FN9">IFERROR(IF('T1'!$J9="",INDEX(LISTA_EX,168),INDEX(LISTA_EX,MATCH('T1'!$J9&amp;"|"&amp;168,LISTA_KLUCZ,0))),"")</f>
        <v/>
      </c>
      <c r="FO9" s="5" t="str">
        <f t="array" ref="FO9">IFERROR(IF('T1'!$J9="",INDEX(LISTA_EX,169),INDEX(LISTA_EX,MATCH('T1'!$J9&amp;"|"&amp;169,LISTA_KLUCZ,0))),"")</f>
        <v/>
      </c>
      <c r="FP9" s="5" t="str">
        <f t="array" ref="FP9">IFERROR(IF('T1'!$J9="",INDEX(LISTA_EX,170),INDEX(LISTA_EX,MATCH('T1'!$J9&amp;"|"&amp;170,LISTA_KLUCZ,0))),"")</f>
        <v/>
      </c>
      <c r="FQ9" s="5" t="str">
        <f t="array" ref="FQ9">IFERROR(IF('T1'!$J9="",INDEX(LISTA_EX,171),INDEX(LISTA_EX,MATCH('T1'!$J9&amp;"|"&amp;171,LISTA_KLUCZ,0))),"")</f>
        <v/>
      </c>
      <c r="FR9" s="5" t="str">
        <f t="array" ref="FR9">IFERROR(IF('T1'!$J9="",INDEX(LISTA_EX,172),INDEX(LISTA_EX,MATCH('T1'!$J9&amp;"|"&amp;172,LISTA_KLUCZ,0))),"")</f>
        <v/>
      </c>
      <c r="FS9" s="5" t="str">
        <f t="array" ref="FS9">IFERROR(IF('T1'!$J9="",INDEX(LISTA_EX,173),INDEX(LISTA_EX,MATCH('T1'!$J9&amp;"|"&amp;173,LISTA_KLUCZ,0))),"")</f>
        <v/>
      </c>
      <c r="FT9" s="5" t="str">
        <f t="array" ref="FT9">IFERROR(IF('T1'!$J9="",INDEX(LISTA_EX,174),INDEX(LISTA_EX,MATCH('T1'!$J9&amp;"|"&amp;174,LISTA_KLUCZ,0))),"")</f>
        <v/>
      </c>
      <c r="FU9" s="5" t="str">
        <f t="array" ref="FU9">IFERROR(IF('T1'!$J9="",INDEX(LISTA_EX,175),INDEX(LISTA_EX,MATCH('T1'!$J9&amp;"|"&amp;175,LISTA_KLUCZ,0))),"")</f>
        <v/>
      </c>
      <c r="FV9" s="5" t="str">
        <f t="array" ref="FV9">IFERROR(IF('T1'!$J9="",INDEX(LISTA_EX,176),INDEX(LISTA_EX,MATCH('T1'!$J9&amp;"|"&amp;176,LISTA_KLUCZ,0))),"")</f>
        <v/>
      </c>
      <c r="FW9" s="5" t="str">
        <f t="array" ref="FW9">IFERROR(IF('T1'!$J9="",INDEX(LISTA_EX,177),INDEX(LISTA_EX,MATCH('T1'!$J9&amp;"|"&amp;177,LISTA_KLUCZ,0))),"")</f>
        <v/>
      </c>
      <c r="FX9" s="5" t="str">
        <f t="array" ref="FX9">IFERROR(IF('T1'!$J9="",INDEX(LISTA_EX,178),INDEX(LISTA_EX,MATCH('T1'!$J9&amp;"|"&amp;178,LISTA_KLUCZ,0))),"")</f>
        <v/>
      </c>
      <c r="FY9" s="5" t="str">
        <f t="array" ref="FY9">IFERROR(IF('T1'!$J9="",INDEX(LISTA_EX,179),INDEX(LISTA_EX,MATCH('T1'!$J9&amp;"|"&amp;179,LISTA_KLUCZ,0))),"")</f>
        <v/>
      </c>
      <c r="FZ9" s="5" t="str">
        <f t="array" ref="FZ9">IFERROR(IF('T1'!$J9="",INDEX(LISTA_EX,180),INDEX(LISTA_EX,MATCH('T1'!$J9&amp;"|"&amp;180,LISTA_KLUCZ,0))),"")</f>
        <v/>
      </c>
      <c r="GA9" s="5" t="str">
        <f t="array" ref="GA9">IFERROR(IF('T1'!$J9="",INDEX(LISTA_EX,181),INDEX(LISTA_EX,MATCH('T1'!$J9&amp;"|"&amp;181,LISTA_KLUCZ,0))),"")</f>
        <v/>
      </c>
      <c r="GB9" s="5" t="str">
        <f t="array" ref="GB9">IFERROR(IF('T1'!$J9="",INDEX(LISTA_EX,182),INDEX(LISTA_EX,MATCH('T1'!$J9&amp;"|"&amp;182,LISTA_KLUCZ,0))),"")</f>
        <v/>
      </c>
      <c r="GC9" s="5" t="str">
        <f t="array" ref="GC9">IFERROR(IF('T1'!$J9="",INDEX(LISTA_EX,183),INDEX(LISTA_EX,MATCH('T1'!$J9&amp;"|"&amp;183,LISTA_KLUCZ,0))),"")</f>
        <v/>
      </c>
      <c r="GD9" s="5" t="str">
        <f t="array" ref="GD9">IFERROR(IF('T1'!$J9="",INDEX(LISTA_EX,184),INDEX(LISTA_EX,MATCH('T1'!$J9&amp;"|"&amp;184,LISTA_KLUCZ,0))),"")</f>
        <v/>
      </c>
      <c r="GE9" s="5" t="str">
        <f t="array" ref="GE9">IFERROR(IF('T1'!$J9="",INDEX(LISTA_EX,185),INDEX(LISTA_EX,MATCH('T1'!$J9&amp;"|"&amp;185,LISTA_KLUCZ,0))),"")</f>
        <v/>
      </c>
      <c r="GF9" s="5" t="str">
        <f t="array" ref="GF9">IFERROR(IF('T1'!$J9="",INDEX(LISTA_EX,186),INDEX(LISTA_EX,MATCH('T1'!$J9&amp;"|"&amp;186,LISTA_KLUCZ,0))),"")</f>
        <v/>
      </c>
      <c r="GG9" s="5" t="str">
        <f t="array" ref="GG9">IFERROR(IF('T1'!$J9="",INDEX(LISTA_EX,187),INDEX(LISTA_EX,MATCH('T1'!$J9&amp;"|"&amp;187,LISTA_KLUCZ,0))),"")</f>
        <v/>
      </c>
      <c r="GH9" s="5" t="str">
        <f t="array" ref="GH9">IFERROR(IF('T1'!$J9="",INDEX(LISTA_EX,188),INDEX(LISTA_EX,MATCH('T1'!$J9&amp;"|"&amp;188,LISTA_KLUCZ,0))),"")</f>
        <v/>
      </c>
      <c r="GI9" s="5" t="str">
        <f t="array" ref="GI9">IFERROR(IF('T1'!$J9="",INDEX(LISTA_EX,189),INDEX(LISTA_EX,MATCH('T1'!$J9&amp;"|"&amp;189,LISTA_KLUCZ,0))),"")</f>
        <v/>
      </c>
      <c r="GJ9" s="5" t="str">
        <f t="array" ref="GJ9">IFERROR(IF('T1'!$J9="",INDEX(LISTA_EX,190),INDEX(LISTA_EX,MATCH('T1'!$J9&amp;"|"&amp;190,LISTA_KLUCZ,0))),"")</f>
        <v/>
      </c>
      <c r="GK9" s="5" t="str">
        <f t="array" ref="GK9">IFERROR(IF('T1'!$J9="",INDEX(LISTA_EX,191),INDEX(LISTA_EX,MATCH('T1'!$J9&amp;"|"&amp;191,LISTA_KLUCZ,0))),"")</f>
        <v/>
      </c>
      <c r="GL9" s="5" t="str">
        <f t="array" ref="GL9">IFERROR(IF('T1'!$J9="",INDEX(LISTA_EX,192),INDEX(LISTA_EX,MATCH('T1'!$J9&amp;"|"&amp;192,LISTA_KLUCZ,0))),"")</f>
        <v/>
      </c>
      <c r="GM9" s="5" t="str">
        <f t="array" ref="GM9">IFERROR(IF('T1'!$J9="",INDEX(LISTA_EX,193),INDEX(LISTA_EX,MATCH('T1'!$J9&amp;"|"&amp;193,LISTA_KLUCZ,0))),"")</f>
        <v/>
      </c>
      <c r="GN9" s="5" t="str">
        <f t="array" ref="GN9">IFERROR(IF('T1'!$J9="",INDEX(LISTA_EX,194),INDEX(LISTA_EX,MATCH('T1'!$J9&amp;"|"&amp;194,LISTA_KLUCZ,0))),"")</f>
        <v/>
      </c>
      <c r="GO9" s="5" t="str">
        <f t="array" ref="GO9">IFERROR(IF('T1'!$J9="",INDEX(LISTA_EX,195),INDEX(LISTA_EX,MATCH('T1'!$J9&amp;"|"&amp;195,LISTA_KLUCZ,0))),"")</f>
        <v/>
      </c>
      <c r="GP9" s="5" t="str">
        <f t="array" ref="GP9">IFERROR(IF('T1'!$J9="",INDEX(LISTA_EX,196),INDEX(LISTA_EX,MATCH('T1'!$J9&amp;"|"&amp;196,LISTA_KLUCZ,0))),"")</f>
        <v/>
      </c>
      <c r="GQ9" s="5" t="str">
        <f t="array" ref="GQ9">IFERROR(IF('T1'!$J9="",INDEX(LISTA_EX,197),INDEX(LISTA_EX,MATCH('T1'!$J9&amp;"|"&amp;197,LISTA_KLUCZ,0))),"")</f>
        <v/>
      </c>
      <c r="GR9" s="5" t="str">
        <f t="array" ref="GR9">IFERROR(IF('T1'!$J9="",INDEX(LISTA_EX,198),INDEX(LISTA_EX,MATCH('T1'!$J9&amp;"|"&amp;198,LISTA_KLUCZ,0))),"")</f>
        <v/>
      </c>
      <c r="GS9" s="5" t="str">
        <f t="array" ref="GS9">IFERROR(IF('T1'!$J9="",INDEX(LISTA_EX,199),INDEX(LISTA_EX,MATCH('T1'!$J9&amp;"|"&amp;199,LISTA_KLUCZ,0))),"")</f>
        <v/>
      </c>
      <c r="GT9" s="5" t="str">
        <f t="array" ref="GT9">IFERROR(IF('T1'!$J9="",INDEX(LISTA_EX,200),INDEX(LISTA_EX,MATCH('T1'!$J9&amp;"|"&amp;200,LISTA_KLUCZ,0))),"")</f>
        <v/>
      </c>
      <c r="GV9" s="5" t="str">
        <f>IF(BAZA!$A9="","",BAZA!$A9)</f>
        <v>Back extension</v>
      </c>
      <c r="GW9" s="5" t="str">
        <f>IF(BAZA!$B9="","",BAZA!$B9&amp;"|"&amp;COUNTIF(BAZA!$B$3:$B9,BAZA!$B9))</f>
        <v>Lower pull|2</v>
      </c>
    </row>
    <row r="10" ht="15.0" customHeight="1">
      <c r="A10" s="5" t="str">
        <f>IF('T1'!$K10="","",'T1'!$K10)</f>
        <v>D1-S04</v>
      </c>
      <c r="B10" s="5" t="str">
        <f>IF('T1'!$J10="","(wszystkie)",'T1'!$J10)</f>
        <v>(wszystkie)</v>
      </c>
      <c r="C10" s="5" t="str">
        <f t="array" ref="C10">IFERROR(IF('T1'!$J10="",INDEX(LISTA_EX,1),INDEX(LISTA_EX,MATCH('T1'!$J10&amp;"|"&amp;1,LISTA_KLUCZ,0))),"")</f>
        <v>Abduction machine</v>
      </c>
      <c r="D10" s="5" t="str">
        <f t="array" ref="D10">IFERROR(IF('T1'!$J10="",INDEX(LISTA_EX,2),INDEX(LISTA_EX,MATCH('T1'!$J10&amp;"|"&amp;2,LISTA_KLUCZ,0))),"")</f>
        <v>Adduction machine</v>
      </c>
      <c r="E10" s="5" t="str">
        <f t="array" ref="E10">IFERROR(IF('T1'!$J10="",INDEX(LISTA_EX,3),INDEX(LISTA_EX,MATCH('T1'!$J10&amp;"|"&amp;3,LISTA_KLUCZ,0))),"")</f>
        <v>Allah</v>
      </c>
      <c r="F10" s="5" t="str">
        <f t="array" ref="F10">IFERROR(IF('T1'!$J10="",INDEX(LISTA_EX,4),INDEX(LISTA_EX,MATCH('T1'!$J10&amp;"|"&amp;4,LISTA_KLUCZ,0))),"")</f>
        <v>Arnold press</v>
      </c>
      <c r="G10" s="5" t="str">
        <f t="array" ref="G10">IFERROR(IF('T1'!$J10="",INDEX(LISTA_EX,5),INDEX(LISTA_EX,MATCH('T1'!$J10&amp;"|"&amp;5,LISTA_KLUCZ,0))),"")</f>
        <v>Arnold press alternating</v>
      </c>
      <c r="H10" s="5" t="str">
        <f t="array" ref="H10">IFERROR(IF('T1'!$J10="",INDEX(LISTA_EX,6),INDEX(LISTA_EX,MATCH('T1'!$J10&amp;"|"&amp;6,LISTA_KLUCZ,0))),"")</f>
        <v>B/l dragonflag eccentric</v>
      </c>
      <c r="I10" s="5" t="str">
        <f t="array" ref="I10">IFERROR(IF('T1'!$J10="",INDEX(LISTA_EX,7),INDEX(LISTA_EX,MATCH('T1'!$J10&amp;"|"&amp;7,LISTA_KLUCZ,0))),"")</f>
        <v>Back extension</v>
      </c>
      <c r="J10" s="5" t="str">
        <f t="array" ref="J10">IFERROR(IF('T1'!$J10="",INDEX(LISTA_EX,8),INDEX(LISTA_EX,MATCH('T1'!$J10&amp;"|"&amp;8,LISTA_KLUCZ,0))),"")</f>
        <v>Banded pistol squat</v>
      </c>
      <c r="K10" s="5" t="str">
        <f t="array" ref="K10">IFERROR(IF('T1'!$J10="",INDEX(LISTA_EX,9),INDEX(LISTA_EX,MATCH('T1'!$J10&amp;"|"&amp;9,LISTA_KLUCZ,0))),"")</f>
        <v>Banded pull ups</v>
      </c>
      <c r="L10" s="5" t="str">
        <f t="array" ref="L10">IFERROR(IF('T1'!$J10="",INDEX(LISTA_EX,10),INDEX(LISTA_EX,MATCH('T1'!$J10&amp;"|"&amp;10,LISTA_KLUCZ,0))),"")</f>
        <v>Barbell back squat</v>
      </c>
      <c r="M10" s="5" t="str">
        <f t="array" ref="M10">IFERROR(IF('T1'!$J10="",INDEX(LISTA_EX,11),INDEX(LISTA_EX,MATCH('T1'!$J10&amp;"|"&amp;11,LISTA_KLUCZ,0))),"")</f>
        <v>Barbell bench press</v>
      </c>
      <c r="N10" s="5" t="str">
        <f t="array" ref="N10">IFERROR(IF('T1'!$J10="",INDEX(LISTA_EX,12),INDEX(LISTA_EX,MATCH('T1'!$J10&amp;"|"&amp;12,LISTA_KLUCZ,0))),"")</f>
        <v>Barbell curl</v>
      </c>
      <c r="O10" s="5" t="str">
        <f t="array" ref="O10">IFERROR(IF('T1'!$J10="",INDEX(LISTA_EX,13),INDEX(LISTA_EX,MATCH('T1'!$J10&amp;"|"&amp;13,LISTA_KLUCZ,0))),"")</f>
        <v>Barbell low bar squat</v>
      </c>
      <c r="P10" s="5" t="str">
        <f t="array" ref="P10">IFERROR(IF('T1'!$J10="",INDEX(LISTA_EX,14),INDEX(LISTA_EX,MATCH('T1'!$J10&amp;"|"&amp;14,LISTA_KLUCZ,0))),"")</f>
        <v>Barbell OHP</v>
      </c>
      <c r="Q10" s="5" t="str">
        <f t="array" ref="Q10">IFERROR(IF('T1'!$J10="",INDEX(LISTA_EX,15),INDEX(LISTA_EX,MATCH('T1'!$J10&amp;"|"&amp;15,LISTA_KLUCZ,0))),"")</f>
        <v>Barbell oscilation</v>
      </c>
      <c r="R10" s="5" t="str">
        <f t="array" ref="R10">IFERROR(IF('T1'!$J10="",INDEX(LISTA_EX,16),INDEX(LISTA_EX,MATCH('T1'!$J10&amp;"|"&amp;16,LISTA_KLUCZ,0))),"")</f>
        <v>Barbell row</v>
      </c>
      <c r="S10" s="5" t="str">
        <f t="array" ref="S10">IFERROR(IF('T1'!$J10="",INDEX(LISTA_EX,17),INDEX(LISTA_EX,MATCH('T1'!$J10&amp;"|"&amp;17,LISTA_KLUCZ,0))),"")</f>
        <v>Barbell row dead stop pins</v>
      </c>
      <c r="T10" s="5" t="str">
        <f t="array" ref="T10">IFERROR(IF('T1'!$J10="",INDEX(LISTA_EX,18),INDEX(LISTA_EX,MATCH('T1'!$J10&amp;"|"&amp;18,LISTA_KLUCZ,0))),"")</f>
        <v>Barbell SLDL</v>
      </c>
      <c r="U10" s="5" t="str">
        <f t="array" ref="U10">IFERROR(IF('T1'!$J10="",INDEX(LISTA_EX,19),INDEX(LISTA_EX,MATCH('T1'!$J10&amp;"|"&amp;19,LISTA_KLUCZ,0))),"")</f>
        <v>Bayesian curl</v>
      </c>
      <c r="V10" s="5" t="str">
        <f t="array" ref="V10">IFERROR(IF('T1'!$J10="",INDEX(LISTA_EX,20),INDEX(LISTA_EX,MATCH('T1'!$J10&amp;"|"&amp;20,LISTA_KLUCZ,0))),"")</f>
        <v>Bear renegade row</v>
      </c>
      <c r="W10" s="5" t="str">
        <f t="array" ref="W10">IFERROR(IF('T1'!$J10="",INDEX(LISTA_EX,21),INDEX(LISTA_EX,MATCH('T1'!$J10&amp;"|"&amp;21,LISTA_KLUCZ,0))),"")</f>
        <v>Bench press paused 3sec</v>
      </c>
      <c r="X10" s="5" t="str">
        <f t="array" ref="X10">IFERROR(IF('T1'!$J10="",INDEX(LISTA_EX,22),INDEX(LISTA_EX,MATCH('T1'!$J10&amp;"|"&amp;22,LISTA_KLUCZ,0))),"")</f>
        <v>Bicep hammer curl</v>
      </c>
      <c r="Y10" s="5" t="str">
        <f t="array" ref="Y10">IFERROR(IF('T1'!$J10="",INDEX(LISTA_EX,23),INDEX(LISTA_EX,MATCH('T1'!$J10&amp;"|"&amp;23,LISTA_KLUCZ,0))),"")</f>
        <v>Bicep squat cable curl</v>
      </c>
      <c r="Z10" s="5" t="str">
        <f t="array" ref="Z10">IFERROR(IF('T1'!$J10="",INDEX(LISTA_EX,24),INDEX(LISTA_EX,MATCH('T1'!$J10&amp;"|"&amp;24,LISTA_KLUCZ,0))),"")</f>
        <v>Bird dog row</v>
      </c>
      <c r="AA10" s="5" t="str">
        <f t="array" ref="AA10">IFERROR(IF('T1'!$J10="",INDEX(LISTA_EX,25),INDEX(LISTA_EX,MATCH('T1'!$J10&amp;"|"&amp;25,LISTA_KLUCZ,0))),"")</f>
        <v>Box jump</v>
      </c>
      <c r="AB10" s="5" t="str">
        <f t="array" ref="AB10">IFERROR(IF('T1'!$J10="",INDEX(LISTA_EX,26),INDEX(LISTA_EX,MATCH('T1'!$J10&amp;"|"&amp;26,LISTA_KLUCZ,0))),"")</f>
        <v>Bulgarian clean plyo</v>
      </c>
      <c r="AC10" s="5" t="str">
        <f t="array" ref="AC10">IFERROR(IF('T1'!$J10="",INDEX(LISTA_EX,27),INDEX(LISTA_EX,MATCH('T1'!$J10&amp;"|"&amp;27,LISTA_KLUCZ,0))),"")</f>
        <v>Bulgarian squat assisted</v>
      </c>
      <c r="AD10" s="5" t="str">
        <f t="array" ref="AD10">IFERROR(IF('T1'!$J10="",INDEX(LISTA_EX,28),INDEX(LISTA_EX,MATCH('T1'!$J10&amp;"|"&amp;28,LISTA_KLUCZ,0))),"")</f>
        <v>Cable biceps curl</v>
      </c>
      <c r="AE10" s="5" t="str">
        <f t="array" ref="AE10">IFERROR(IF('T1'!$J10="",INDEX(LISTA_EX,29),INDEX(LISTA_EX,MATCH('T1'!$J10&amp;"|"&amp;29,LISTA_KLUCZ,0))),"")</f>
        <v>Cable fly</v>
      </c>
      <c r="AF10" s="5" t="str">
        <f t="array" ref="AF10">IFERROR(IF('T1'!$J10="",INDEX(LISTA_EX,30),INDEX(LISTA_EX,MATCH('T1'!$J10&amp;"|"&amp;30,LISTA_KLUCZ,0))),"")</f>
        <v>Cable lateral raise s/a</v>
      </c>
      <c r="AG10" s="5" t="str">
        <f t="array" ref="AG10">IFERROR(IF('T1'!$J10="",INDEX(LISTA_EX,31),INDEX(LISTA_EX,MATCH('T1'!$J10&amp;"|"&amp;31,LISTA_KLUCZ,0))),"")</f>
        <v>Cable row</v>
      </c>
      <c r="AH10" s="5" t="str">
        <f t="array" ref="AH10">IFERROR(IF('T1'!$J10="",INDEX(LISTA_EX,32),INDEX(LISTA_EX,MATCH('T1'!$J10&amp;"|"&amp;32,LISTA_KLUCZ,0))),"")</f>
        <v>Cable row s/a</v>
      </c>
      <c r="AI10" s="5" t="str">
        <f t="array" ref="AI10">IFERROR(IF('T1'!$J10="",INDEX(LISTA_EX,33),INDEX(LISTA_EX,MATCH('T1'!$J10&amp;"|"&amp;33,LISTA_KLUCZ,0))),"")</f>
        <v>Calf raises</v>
      </c>
      <c r="AJ10" s="5" t="str">
        <f t="array" ref="AJ10">IFERROR(IF('T1'!$J10="",INDEX(LISTA_EX,34),INDEX(LISTA_EX,MATCH('T1'!$J10&amp;"|"&amp;34,LISTA_KLUCZ,0))),"")</f>
        <v>Chest fly machine</v>
      </c>
      <c r="AK10" s="5" t="str">
        <f t="array" ref="AK10">IFERROR(IF('T1'!$J10="",INDEX(LISTA_EX,35),INDEX(LISTA_EX,MATCH('T1'!$J10&amp;"|"&amp;35,LISTA_KLUCZ,0))),"")</f>
        <v>Clean</v>
      </c>
      <c r="AL10" s="5" t="str">
        <f t="array" ref="AL10">IFERROR(IF('T1'!$J10="",INDEX(LISTA_EX,36),INDEX(LISTA_EX,MATCH('T1'!$J10&amp;"|"&amp;36,LISTA_KLUCZ,0))),"")</f>
        <v>Clean pins</v>
      </c>
      <c r="AM10" s="5" t="str">
        <f t="array" ref="AM10">IFERROR(IF('T1'!$J10="",INDEX(LISTA_EX,37),INDEX(LISTA_EX,MATCH('T1'!$J10&amp;"|"&amp;37,LISTA_KLUCZ,0))),"")</f>
        <v>Copenhagen plank</v>
      </c>
      <c r="AN10" s="5" t="str">
        <f t="array" ref="AN10">IFERROR(IF('T1'!$J10="",INDEX(LISTA_EX,38),INDEX(LISTA_EX,MATCH('T1'!$J10&amp;"|"&amp;38,LISTA_KLUCZ,0))),"")</f>
        <v>Dead bug izo + OH</v>
      </c>
      <c r="AO10" s="5" t="str">
        <f t="array" ref="AO10">IFERROR(IF('T1'!$J10="",INDEX(LISTA_EX,39),INDEX(LISTA_EX,MATCH('T1'!$J10&amp;"|"&amp;39,LISTA_KLUCZ,0))),"")</f>
        <v>Dead bug straight legs</v>
      </c>
      <c r="AP10" s="5" t="str">
        <f t="array" ref="AP10">IFERROR(IF('T1'!$J10="",INDEX(LISTA_EX,40),INDEX(LISTA_EX,MATCH('T1'!$J10&amp;"|"&amp;40,LISTA_KLUCZ,0))),"")</f>
        <v>Dead stop barbell row</v>
      </c>
      <c r="AQ10" s="5" t="str">
        <f t="array" ref="AQ10">IFERROR(IF('T1'!$J10="",INDEX(LISTA_EX,41),INDEX(LISTA_EX,MATCH('T1'!$J10&amp;"|"&amp;41,LISTA_KLUCZ,0))),"")</f>
        <v>Deadbug OH</v>
      </c>
      <c r="AR10" s="5" t="str">
        <f t="array" ref="AR10">IFERROR(IF('T1'!$J10="",INDEX(LISTA_EX,42),INDEX(LISTA_EX,MATCH('T1'!$J10&amp;"|"&amp;42,LISTA_KLUCZ,0))),"")</f>
        <v>Deadlift</v>
      </c>
      <c r="AS10" s="5" t="str">
        <f t="array" ref="AS10">IFERROR(IF('T1'!$J10="",INDEX(LISTA_EX,43),INDEX(LISTA_EX,MATCH('T1'!$J10&amp;"|"&amp;43,LISTA_KLUCZ,0))),"")</f>
        <v>Deficit push up</v>
      </c>
      <c r="AT10" s="5" t="str">
        <f t="array" ref="AT10">IFERROR(IF('T1'!$J10="",INDEX(LISTA_EX,44),INDEX(LISTA_EX,MATCH('T1'!$J10&amp;"|"&amp;44,LISTA_KLUCZ,0))),"")</f>
        <v>Deficit reverse lunge</v>
      </c>
      <c r="AU10" s="5" t="str">
        <f t="array" ref="AU10">IFERROR(IF('T1'!$J10="",INDEX(LISTA_EX,45),INDEX(LISTA_EX,MATCH('T1'!$J10&amp;"|"&amp;45,LISTA_KLUCZ,0))),"")</f>
        <v>Dips</v>
      </c>
      <c r="AV10" s="5" t="str">
        <f t="array" ref="AV10">IFERROR(IF('T1'!$J10="",INDEX(LISTA_EX,46),INDEX(LISTA_EX,MATCH('T1'!$J10&amp;"|"&amp;46,LISTA_KLUCZ,0))),"")</f>
        <v>Dips weighted</v>
      </c>
      <c r="AW10" s="5" t="str">
        <f t="array" ref="AW10">IFERROR(IF('T1'!$J10="",INDEX(LISTA_EX,47),INDEX(LISTA_EX,MATCH('T1'!$J10&amp;"|"&amp;47,LISTA_KLUCZ,0))),"")</f>
        <v>Dumbbell bench press</v>
      </c>
      <c r="AX10" s="5" t="str">
        <f t="array" ref="AX10">IFERROR(IF('T1'!$J10="",INDEX(LISTA_EX,48),INDEX(LISTA_EX,MATCH('T1'!$J10&amp;"|"&amp;48,LISTA_KLUCZ,0))),"")</f>
        <v>Dumbbell bench press alternating</v>
      </c>
      <c r="AY10" s="5" t="str">
        <f t="array" ref="AY10">IFERROR(IF('T1'!$J10="",INDEX(LISTA_EX,49),INDEX(LISTA_EX,MATCH('T1'!$J10&amp;"|"&amp;49,LISTA_KLUCZ,0))),"")</f>
        <v>Dumbbell curl</v>
      </c>
      <c r="AZ10" s="5" t="str">
        <f t="array" ref="AZ10">IFERROR(IF('T1'!$J10="",INDEX(LISTA_EX,50),INDEX(LISTA_EX,MATCH('T1'!$J10&amp;"|"&amp;50,LISTA_KLUCZ,0))),"")</f>
        <v>Dumbbell external rotation</v>
      </c>
      <c r="BA10" s="5" t="str">
        <f t="array" ref="BA10">IFERROR(IF('T1'!$J10="",INDEX(LISTA_EX,51),INDEX(LISTA_EX,MATCH('T1'!$J10&amp;"|"&amp;51,LISTA_KLUCZ,0))),"")</f>
        <v>Dumbbell face down curl</v>
      </c>
      <c r="BB10" s="5" t="str">
        <f t="array" ref="BB10">IFERROR(IF('T1'!$J10="",INDEX(LISTA_EX,52),INDEX(LISTA_EX,MATCH('T1'!$J10&amp;"|"&amp;52,LISTA_KLUCZ,0))),"")</f>
        <v>Dumbbell fly</v>
      </c>
      <c r="BC10" s="5" t="str">
        <f t="array" ref="BC10">IFERROR(IF('T1'!$J10="",INDEX(LISTA_EX,53),INDEX(LISTA_EX,MATCH('T1'!$J10&amp;"|"&amp;53,LISTA_KLUCZ,0))),"")</f>
        <v>Dumbbell french press</v>
      </c>
      <c r="BD10" s="5" t="str">
        <f t="array" ref="BD10">IFERROR(IF('T1'!$J10="",INDEX(LISTA_EX,54),INDEX(LISTA_EX,MATCH('T1'!$J10&amp;"|"&amp;54,LISTA_KLUCZ,0))),"")</f>
        <v>Dumbbell lateral raise</v>
      </c>
      <c r="BE10" s="5" t="str">
        <f t="array" ref="BE10">IFERROR(IF('T1'!$J10="",INDEX(LISTA_EX,55),INDEX(LISTA_EX,MATCH('T1'!$J10&amp;"|"&amp;55,LISTA_KLUCZ,0))),"")</f>
        <v>Dumbbell lunges</v>
      </c>
      <c r="BF10" s="5" t="str">
        <f t="array" ref="BF10">IFERROR(IF('T1'!$J10="",INDEX(LISTA_EX,56),INDEX(LISTA_EX,MATCH('T1'!$J10&amp;"|"&amp;56,LISTA_KLUCZ,0))),"")</f>
        <v>Dumbbell OH press</v>
      </c>
      <c r="BG10" s="5" t="str">
        <f t="array" ref="BG10">IFERROR(IF('T1'!$J10="",INDEX(LISTA_EX,57),INDEX(LISTA_EX,MATCH('T1'!$J10&amp;"|"&amp;57,LISTA_KLUCZ,0))),"")</f>
        <v>Dumbbell over head press</v>
      </c>
      <c r="BH10" s="5" t="str">
        <f t="array" ref="BH10">IFERROR(IF('T1'!$J10="",INDEX(LISTA_EX,58),INDEX(LISTA_EX,MATCH('T1'!$J10&amp;"|"&amp;58,LISTA_KLUCZ,0))),"")</f>
        <v>Dumbbell over head press alternating</v>
      </c>
      <c r="BI10" s="5" t="str">
        <f t="array" ref="BI10">IFERROR(IF('T1'!$J10="",INDEX(LISTA_EX,59),INDEX(LISTA_EX,MATCH('T1'!$J10&amp;"|"&amp;59,LISTA_KLUCZ,0))),"")</f>
        <v>Dumbbell row</v>
      </c>
      <c r="BJ10" s="5" t="str">
        <f t="array" ref="BJ10">IFERROR(IF('T1'!$J10="",INDEX(LISTA_EX,60),INDEX(LISTA_EX,MATCH('T1'!$J10&amp;"|"&amp;60,LISTA_KLUCZ,0))),"")</f>
        <v>Dumbbell s/a Arnold press</v>
      </c>
      <c r="BK10" s="5" t="str">
        <f t="array" ref="BK10">IFERROR(IF('T1'!$J10="",INDEX(LISTA_EX,61),INDEX(LISTA_EX,MATCH('T1'!$J10&amp;"|"&amp;61,LISTA_KLUCZ,0))),"")</f>
        <v>Dumbbell s/a row</v>
      </c>
      <c r="BL10" s="5" t="str">
        <f t="array" ref="BL10">IFERROR(IF('T1'!$J10="",INDEX(LISTA_EX,62),INDEX(LISTA_EX,MATCH('T1'!$J10&amp;"|"&amp;62,LISTA_KLUCZ,0))),"")</f>
        <v>Dumbbell seal row</v>
      </c>
      <c r="BM10" s="5" t="str">
        <f t="array" ref="BM10">IFERROR(IF('T1'!$J10="",INDEX(LISTA_EX,63),INDEX(LISTA_EX,MATCH('T1'!$J10&amp;"|"&amp;63,LISTA_KLUCZ,0))),"")</f>
        <v>Dumbbells jumps</v>
      </c>
      <c r="BN10" s="5" t="str">
        <f t="array" ref="BN10">IFERROR(IF('T1'!$J10="",INDEX(LISTA_EX,64),INDEX(LISTA_EX,MATCH('T1'!$J10&amp;"|"&amp;64,LISTA_KLUCZ,0))),"")</f>
        <v>Eccentric pull up</v>
      </c>
      <c r="BO10" s="5" t="str">
        <f t="array" ref="BO10">IFERROR(IF('T1'!$J10="",INDEX(LISTA_EX,65),INDEX(LISTA_EX,MATCH('T1'!$J10&amp;"|"&amp;65,LISTA_KLUCZ,0))),"")</f>
        <v>Eccentric push up (5 sek w dół)</v>
      </c>
      <c r="BP10" s="5" t="str">
        <f t="array" ref="BP10">IFERROR(IF('T1'!$J10="",INDEX(LISTA_EX,66),INDEX(LISTA_EX,MATCH('T1'!$J10&amp;"|"&amp;66,LISTA_KLUCZ,0))),"")</f>
        <v>Extensive plyo jumps s/l</v>
      </c>
      <c r="BQ10" s="5" t="str">
        <f t="array" ref="BQ10">IFERROR(IF('T1'!$J10="",INDEX(LISTA_EX,67),INDEX(LISTA_EX,MATCH('T1'!$J10&amp;"|"&amp;67,LISTA_KLUCZ,0))),"")</f>
        <v>Ez bar curl</v>
      </c>
      <c r="BR10" s="5" t="str">
        <f t="array" ref="BR10">IFERROR(IF('T1'!$J10="",INDEX(LISTA_EX,68),INDEX(LISTA_EX,MATCH('T1'!$J10&amp;"|"&amp;68,LISTA_KLUCZ,0))),"")</f>
        <v>Facepull chest supported</v>
      </c>
      <c r="BS10" s="5" t="str">
        <f t="array" ref="BS10">IFERROR(IF('T1'!$J10="",INDEX(LISTA_EX,69),INDEX(LISTA_EX,MATCH('T1'!$J10&amp;"|"&amp;69,LISTA_KLUCZ,0))),"")</f>
        <v>Front foot elevated split squat</v>
      </c>
      <c r="BT10" s="5" t="str">
        <f t="array" ref="BT10">IFERROR(IF('T1'!$J10="",INDEX(LISTA_EX,70),INDEX(LISTA_EX,MATCH('T1'!$J10&amp;"|"&amp;70,LISTA_KLUCZ,0))),"")</f>
        <v>Front squat</v>
      </c>
      <c r="BU10" s="5" t="str">
        <f t="array" ref="BU10">IFERROR(IF('T1'!$J10="",INDEX(LISTA_EX,71),INDEX(LISTA_EX,MATCH('T1'!$J10&amp;"|"&amp;71,LISTA_KLUCZ,0))),"")</f>
        <v>GHD flexion</v>
      </c>
      <c r="BV10" s="5" t="str">
        <f t="array" ref="BV10">IFERROR(IF('T1'!$J10="",INDEX(LISTA_EX,72),INDEX(LISTA_EX,MATCH('T1'!$J10&amp;"|"&amp;72,LISTA_KLUCZ,0))),"")</f>
        <v>Glute bridge hamstrings izo + OH</v>
      </c>
      <c r="BW10" s="5" t="str">
        <f t="array" ref="BW10">IFERROR(IF('T1'!$J10="",INDEX(LISTA_EX,73),INDEX(LISTA_EX,MATCH('T1'!$J10&amp;"|"&amp;73,LISTA_KLUCZ,0))),"")</f>
        <v>Glute crusher</v>
      </c>
      <c r="BX10" s="5" t="str">
        <f t="array" ref="BX10">IFERROR(IF('T1'!$J10="",INDEX(LISTA_EX,74),INDEX(LISTA_EX,MATCH('T1'!$J10&amp;"|"&amp;74,LISTA_KLUCZ,0))),"")</f>
        <v>Gorilla row</v>
      </c>
      <c r="BY10" s="5" t="str">
        <f t="array" ref="BY10">IFERROR(IF('T1'!$J10="",INDEX(LISTA_EX,75),INDEX(LISTA_EX,MATCH('T1'!$J10&amp;"|"&amp;75,LISTA_KLUCZ,0))),"")</f>
        <v>Halfkneeling s/a cable pull</v>
      </c>
      <c r="BZ10" s="5" t="str">
        <f t="array" ref="BZ10">IFERROR(IF('T1'!$J10="",INDEX(LISTA_EX,76),INDEX(LISTA_EX,MATCH('T1'!$J10&amp;"|"&amp;76,LISTA_KLUCZ,0))),"")</f>
        <v>Halfkneeling wood chopper</v>
      </c>
      <c r="CA10" s="5" t="str">
        <f t="array" ref="CA10">IFERROR(IF('T1'!$J10="",INDEX(LISTA_EX,77),INDEX(LISTA_EX,MATCH('T1'!$J10&amp;"|"&amp;77,LISTA_KLUCZ,0))),"")</f>
        <v>Hinged dumbbell row</v>
      </c>
      <c r="CB10" s="5" t="str">
        <f t="array" ref="CB10">IFERROR(IF('T1'!$J10="",INDEX(LISTA_EX,78),INDEX(LISTA_EX,MATCH('T1'!$J10&amp;"|"&amp;78,LISTA_KLUCZ,0))),"")</f>
        <v>Hip aeroplane</v>
      </c>
      <c r="CC10" s="5" t="str">
        <f t="array" ref="CC10">IFERROR(IF('T1'!$J10="",INDEX(LISTA_EX,79),INDEX(LISTA_EX,MATCH('T1'!$J10&amp;"|"&amp;79,LISTA_KLUCZ,0))),"")</f>
        <v>Hip flexors cable</v>
      </c>
      <c r="CD10" s="5" t="str">
        <f t="array" ref="CD10">IFERROR(IF('T1'!$J10="",INDEX(LISTA_EX,80),INDEX(LISTA_EX,MATCH('T1'!$J10&amp;"|"&amp;80,LISTA_KLUCZ,0))),"")</f>
        <v>Hip thrust barbell</v>
      </c>
      <c r="CE10" s="5" t="str">
        <f t="array" ref="CE10">IFERROR(IF('T1'!$J10="",INDEX(LISTA_EX,81),INDEX(LISTA_EX,MATCH('T1'!$J10&amp;"|"&amp;81,LISTA_KLUCZ,0))),"")</f>
        <v>Hollow body + OH</v>
      </c>
      <c r="CF10" s="5" t="str">
        <f t="array" ref="CF10">IFERROR(IF('T1'!$J10="",INDEX(LISTA_EX,82),INDEX(LISTA_EX,MATCH('T1'!$J10&amp;"|"&amp;82,LISTA_KLUCZ,0))),"")</f>
        <v>Horizontal jump</v>
      </c>
      <c r="CG10" s="5" t="str">
        <f t="array" ref="CG10">IFERROR(IF('T1'!$J10="",INDEX(LISTA_EX,83),INDEX(LISTA_EX,MATCH('T1'!$J10&amp;"|"&amp;83,LISTA_KLUCZ,0))),"")</f>
        <v>Incline bench lateral raise s/a</v>
      </c>
      <c r="CH10" s="5" t="str">
        <f t="array" ref="CH10">IFERROR(IF('T1'!$J10="",INDEX(LISTA_EX,84),INDEX(LISTA_EX,MATCH('T1'!$J10&amp;"|"&amp;84,LISTA_KLUCZ,0))),"")</f>
        <v>Incline curl + OHP</v>
      </c>
      <c r="CI10" s="5" t="str">
        <f t="array" ref="CI10">IFERROR(IF('T1'!$J10="",INDEX(LISTA_EX,85),INDEX(LISTA_EX,MATCH('T1'!$J10&amp;"|"&amp;85,LISTA_KLUCZ,0))),"")</f>
        <v>Incline dumbbell curl</v>
      </c>
      <c r="CJ10" s="5" t="str">
        <f t="array" ref="CJ10">IFERROR(IF('T1'!$J10="",INDEX(LISTA_EX,86),INDEX(LISTA_EX,MATCH('T1'!$J10&amp;"|"&amp;86,LISTA_KLUCZ,0))),"")</f>
        <v>Incline dumbbell curl (back)</v>
      </c>
      <c r="CK10" s="5" t="str">
        <f t="array" ref="CK10">IFERROR(IF('T1'!$J10="",INDEX(LISTA_EX,87),INDEX(LISTA_EX,MATCH('T1'!$J10&amp;"|"&amp;87,LISTA_KLUCZ,0))),"")</f>
        <v>Incline dumbbell curl (front)</v>
      </c>
      <c r="CL10" s="5" t="str">
        <f t="array" ref="CL10">IFERROR(IF('T1'!$J10="",INDEX(LISTA_EX,88),INDEX(LISTA_EX,MATCH('T1'!$J10&amp;"|"&amp;88,LISTA_KLUCZ,0))),"")</f>
        <v>Incline dumbbell fly</v>
      </c>
      <c r="CM10" s="5" t="str">
        <f t="array" ref="CM10">IFERROR(IF('T1'!$J10="",INDEX(LISTA_EX,89),INDEX(LISTA_EX,MATCH('T1'!$J10&amp;"|"&amp;89,LISTA_KLUCZ,0))),"")</f>
        <v>Incline dumbbell press</v>
      </c>
      <c r="CN10" s="5" t="str">
        <f t="array" ref="CN10">IFERROR(IF('T1'!$J10="",INDEX(LISTA_EX,90),INDEX(LISTA_EX,MATCH('T1'!$J10&amp;"|"&amp;90,LISTA_KLUCZ,0))),"")</f>
        <v>Incline dumbbell press alternating</v>
      </c>
      <c r="CO10" s="5" t="str">
        <f t="array" ref="CO10">IFERROR(IF('T1'!$J10="",INDEX(LISTA_EX,91),INDEX(LISTA_EX,MATCH('T1'!$J10&amp;"|"&amp;91,LISTA_KLUCZ,0))),"")</f>
        <v>Incline sit-ups</v>
      </c>
      <c r="CP10" s="5" t="str">
        <f t="array" ref="CP10">IFERROR(IF('T1'!$J10="",INDEX(LISTA_EX,92),INDEX(LISTA_EX,MATCH('T1'!$J10&amp;"|"&amp;92,LISTA_KLUCZ,0))),"")</f>
        <v>Jefferson cable</v>
      </c>
      <c r="CQ10" s="5" t="str">
        <f t="array" ref="CQ10">IFERROR(IF('T1'!$J10="",INDEX(LISTA_EX,93),INDEX(LISTA_EX,MATCH('T1'!$J10&amp;"|"&amp;93,LISTA_KLUCZ,0))),"")</f>
        <v>Kettlebell march</v>
      </c>
      <c r="CR10" s="5" t="str">
        <f t="array" ref="CR10">IFERROR(IF('T1'!$J10="",INDEX(LISTA_EX,94),INDEX(LISTA_EX,MATCH('T1'!$J10&amp;"|"&amp;94,LISTA_KLUCZ,0))),"")</f>
        <v>Kickbacks</v>
      </c>
      <c r="CS10" s="5" t="str">
        <f t="array" ref="CS10">IFERROR(IF('T1'!$J10="",INDEX(LISTA_EX,95),INDEX(LISTA_EX,MATCH('T1'!$J10&amp;"|"&amp;95,LISTA_KLUCZ,0))),"")</f>
        <v>Knee extension machine</v>
      </c>
      <c r="CT10" s="5" t="str">
        <f t="array" ref="CT10">IFERROR(IF('T1'!$J10="",INDEX(LISTA_EX,96),INDEX(LISTA_EX,MATCH('T1'!$J10&amp;"|"&amp;96,LISTA_KLUCZ,0))),"")</f>
        <v>Knee flexion machine</v>
      </c>
      <c r="CU10" s="5" t="str">
        <f t="array" ref="CU10">IFERROR(IF('T1'!$J10="",INDEX(LISTA_EX,97),INDEX(LISTA_EX,MATCH('T1'!$J10&amp;"|"&amp;97,LISTA_KLUCZ,0))),"")</f>
        <v>Knee raises</v>
      </c>
      <c r="CV10" s="5" t="str">
        <f t="array" ref="CV10">IFERROR(IF('T1'!$J10="",INDEX(LISTA_EX,98),INDEX(LISTA_EX,MATCH('T1'!$J10&amp;"|"&amp;98,LISTA_KLUCZ,0))),"")</f>
        <v>Landmine core</v>
      </c>
      <c r="CW10" s="5" t="str">
        <f t="array" ref="CW10">IFERROR(IF('T1'!$J10="",INDEX(LISTA_EX,99),INDEX(LISTA_EX,MATCH('T1'!$J10&amp;"|"&amp;99,LISTA_KLUCZ,0))),"")</f>
        <v>Landmine press</v>
      </c>
      <c r="CX10" s="5" t="str">
        <f t="array" ref="CX10">IFERROR(IF('T1'!$J10="",INDEX(LISTA_EX,100),INDEX(LISTA_EX,MATCH('T1'!$J10&amp;"|"&amp;100,LISTA_KLUCZ,0))),"")</f>
        <v>Landmine rotations (powtórzenia x2)</v>
      </c>
      <c r="CY10" s="5" t="str">
        <f t="array" ref="CY10">IFERROR(IF('T1'!$J10="",INDEX(LISTA_EX,101),INDEX(LISTA_EX,MATCH('T1'!$J10&amp;"|"&amp;101,LISTA_KLUCZ,0))),"")</f>
        <v>Landmine SLDL</v>
      </c>
      <c r="CZ10" s="5" t="str">
        <f t="array" ref="CZ10">IFERROR(IF('T1'!$J10="",INDEX(LISTA_EX,102),INDEX(LISTA_EX,MATCH('T1'!$J10&amp;"|"&amp;102,LISTA_KLUCZ,0))),"")</f>
        <v>Lat pulldown</v>
      </c>
      <c r="DA10" s="5" t="str">
        <f t="array" ref="DA10">IFERROR(IF('T1'!$J10="",INDEX(LISTA_EX,103),INDEX(LISTA_EX,MATCH('T1'!$J10&amp;"|"&amp;103,LISTA_KLUCZ,0))),"")</f>
        <v>Lat pulldown behind the head</v>
      </c>
      <c r="DB10" s="5" t="str">
        <f t="array" ref="DB10">IFERROR(IF('T1'!$J10="",INDEX(LISTA_EX,104),INDEX(LISTA_EX,MATCH('T1'!$J10&amp;"|"&amp;104,LISTA_KLUCZ,0))),"")</f>
        <v>Lat pulldown s/a</v>
      </c>
      <c r="DC10" s="5" t="str">
        <f t="array" ref="DC10">IFERROR(IF('T1'!$J10="",INDEX(LISTA_EX,105),INDEX(LISTA_EX,MATCH('T1'!$J10&amp;"|"&amp;105,LISTA_KLUCZ,0))),"")</f>
        <v>Lateral raise s/a</v>
      </c>
      <c r="DD10" s="5" t="str">
        <f t="array" ref="DD10">IFERROR(IF('T1'!$J10="",INDEX(LISTA_EX,106),INDEX(LISTA_EX,MATCH('T1'!$J10&amp;"|"&amp;106,LISTA_KLUCZ,0))),"")</f>
        <v>Lateral raises</v>
      </c>
      <c r="DE10" s="5" t="str">
        <f t="array" ref="DE10">IFERROR(IF('T1'!$J10="",INDEX(LISTA_EX,107),INDEX(LISTA_EX,MATCH('T1'!$J10&amp;"|"&amp;107,LISTA_KLUCZ,0))),"")</f>
        <v>Lateral raises 2</v>
      </c>
      <c r="DF10" s="5" t="str">
        <f t="array" ref="DF10">IFERROR(IF('T1'!$J10="",INDEX(LISTA_EX,108),INDEX(LISTA_EX,MATCH('T1'!$J10&amp;"|"&amp;108,LISTA_KLUCZ,0))),"")</f>
        <v>Lateral raises full ROM</v>
      </c>
      <c r="DG10" s="5" t="str">
        <f t="array" ref="DG10">IFERROR(IF('T1'!$J10="",INDEX(LISTA_EX,109),INDEX(LISTA_EX,MATCH('T1'!$J10&amp;"|"&amp;109,LISTA_KLUCZ,0))),"")</f>
        <v>Lateral raises hinged</v>
      </c>
      <c r="DH10" s="5" t="str">
        <f t="array" ref="DH10">IFERROR(IF('T1'!$J10="",INDEX(LISTA_EX,110),INDEX(LISTA_EX,MATCH('T1'!$J10&amp;"|"&amp;110,LISTA_KLUCZ,0))),"")</f>
        <v>Lateral raises incline s/a</v>
      </c>
      <c r="DI10" s="5" t="str">
        <f t="array" ref="DI10">IFERROR(IF('T1'!$J10="",INDEX(LISTA_EX,111),INDEX(LISTA_EX,MATCH('T1'!$J10&amp;"|"&amp;111,LISTA_KLUCZ,0))),"")</f>
        <v>Leg curl</v>
      </c>
      <c r="DJ10" s="5" t="str">
        <f t="array" ref="DJ10">IFERROR(IF('T1'!$J10="",INDEX(LISTA_EX,112),INDEX(LISTA_EX,MATCH('T1'!$J10&amp;"|"&amp;112,LISTA_KLUCZ,0))),"")</f>
        <v>Machine row</v>
      </c>
      <c r="DK10" s="5" t="str">
        <f t="array" ref="DK10">IFERROR(IF('T1'!$J10="",INDEX(LISTA_EX,113),INDEX(LISTA_EX,MATCH('T1'!$J10&amp;"|"&amp;113,LISTA_KLUCZ,0))),"")</f>
        <v>Machine row s/a</v>
      </c>
      <c r="DL10" s="5" t="str">
        <f t="array" ref="DL10">IFERROR(IF('T1'!$J10="",INDEX(LISTA_EX,114),INDEX(LISTA_EX,MATCH('T1'!$J10&amp;"|"&amp;114,LISTA_KLUCZ,0))),"")</f>
        <v>Meadows row</v>
      </c>
      <c r="DM10" s="5" t="str">
        <f t="array" ref="DM10">IFERROR(IF('T1'!$J10="",INDEX(LISTA_EX,115),INDEX(LISTA_EX,MATCH('T1'!$J10&amp;"|"&amp;115,LISTA_KLUCZ,0))),"")</f>
        <v>Med ball slam</v>
      </c>
      <c r="DN10" s="5" t="str">
        <f t="array" ref="DN10">IFERROR(IF('T1'!$J10="",INDEX(LISTA_EX,116),INDEX(LISTA_EX,MATCH('T1'!$J10&amp;"|"&amp;116,LISTA_KLUCZ,0))),"")</f>
        <v>OH skullcrushers</v>
      </c>
      <c r="DO10" s="5" t="str">
        <f t="array" ref="DO10">IFERROR(IF('T1'!$J10="",INDEX(LISTA_EX,117),INDEX(LISTA_EX,MATCH('T1'!$J10&amp;"|"&amp;117,LISTA_KLUCZ,0))),"")</f>
        <v>OHP barbell squat 15kg</v>
      </c>
      <c r="DP10" s="5" t="str">
        <f t="array" ref="DP10">IFERROR(IF('T1'!$J10="",INDEX(LISTA_EX,118),INDEX(LISTA_EX,MATCH('T1'!$J10&amp;"|"&amp;118,LISTA_KLUCZ,0))),"")</f>
        <v>Pistol squat eccentric</v>
      </c>
      <c r="DQ10" s="5" t="str">
        <f t="array" ref="DQ10">IFERROR(IF('T1'!$J10="",INDEX(LISTA_EX,119),INDEX(LISTA_EX,MATCH('T1'!$J10&amp;"|"&amp;119,LISTA_KLUCZ,0))),"")</f>
        <v>Plank contralateral</v>
      </c>
      <c r="DR10" s="5" t="str">
        <f t="array" ref="DR10">IFERROR(IF('T1'!$J10="",INDEX(LISTA_EX,120),INDEX(LISTA_EX,MATCH('T1'!$J10&amp;"|"&amp;120,LISTA_KLUCZ,0))),"")</f>
        <v>Plank dumbbell rotation</v>
      </c>
      <c r="DS10" s="5" t="str">
        <f t="array" ref="DS10">IFERROR(IF('T1'!$J10="",INDEX(LISTA_EX,121),INDEX(LISTA_EX,MATCH('T1'!$J10&amp;"|"&amp;121,LISTA_KLUCZ,0))),"")</f>
        <v>Plank leg raises</v>
      </c>
      <c r="DT10" s="5" t="str">
        <f t="array" ref="DT10">IFERROR(IF('T1'!$J10="",INDEX(LISTA_EX,122),INDEX(LISTA_EX,MATCH('T1'!$J10&amp;"|"&amp;122,LISTA_KLUCZ,0))),"")</f>
        <v>Poliquin step up</v>
      </c>
      <c r="DU10" s="5" t="str">
        <f t="array" ref="DU10">IFERROR(IF('T1'!$J10="",INDEX(LISTA_EX,123),INDEX(LISTA_EX,MATCH('T1'!$J10&amp;"|"&amp;123,LISTA_KLUCZ,0))),"")</f>
        <v>Poliquin step up paused 3sec</v>
      </c>
      <c r="DV10" s="5" t="str">
        <f t="array" ref="DV10">IFERROR(IF('T1'!$J10="",INDEX(LISTA_EX,124),INDEX(LISTA_EX,MATCH('T1'!$J10&amp;"|"&amp;124,LISTA_KLUCZ,0))),"")</f>
        <v>Pronation/Supination</v>
      </c>
      <c r="DW10" s="5" t="str">
        <f t="array" ref="DW10">IFERROR(IF('T1'!$J10="",INDEX(LISTA_EX,125),INDEX(LISTA_EX,MATCH('T1'!$J10&amp;"|"&amp;125,LISTA_KLUCZ,0))),"")</f>
        <v>Pull up</v>
      </c>
      <c r="DX10" s="5" t="str">
        <f t="array" ref="DX10">IFERROR(IF('T1'!$J10="",INDEX(LISTA_EX,126),INDEX(LISTA_EX,MATCH('T1'!$J10&amp;"|"&amp;126,LISTA_KLUCZ,0))),"")</f>
        <v>Pull up eccentric weighted</v>
      </c>
      <c r="DY10" s="5" t="str">
        <f t="array" ref="DY10">IFERROR(IF('T1'!$J10="",INDEX(LISTA_EX,127),INDEX(LISTA_EX,MATCH('T1'!$J10&amp;"|"&amp;127,LISTA_KLUCZ,0))),"")</f>
        <v>Pull up eccentric weighted (5 sek w dół)</v>
      </c>
      <c r="DZ10" s="5" t="str">
        <f t="array" ref="DZ10">IFERROR(IF('T1'!$J10="",INDEX(LISTA_EX,128),INDEX(LISTA_EX,MATCH('T1'!$J10&amp;"|"&amp;128,LISTA_KLUCZ,0))),"")</f>
        <v>Pull up weighted</v>
      </c>
      <c r="EA10" s="5" t="str">
        <f t="array" ref="EA10">IFERROR(IF('T1'!$J10="",INDEX(LISTA_EX,129),INDEX(LISTA_EX,MATCH('T1'!$J10&amp;"|"&amp;129,LISTA_KLUCZ,0))),"")</f>
        <v>Pull ups (paused)</v>
      </c>
      <c r="EB10" s="5" t="str">
        <f t="array" ref="EB10">IFERROR(IF('T1'!$J10="",INDEX(LISTA_EX,130),INDEX(LISTA_EX,MATCH('T1'!$J10&amp;"|"&amp;130,LISTA_KLUCZ,0))),"")</f>
        <v>Push press barbell</v>
      </c>
      <c r="EC10" s="5" t="str">
        <f t="array" ref="EC10">IFERROR(IF('T1'!$J10="",INDEX(LISTA_EX,131),INDEX(LISTA_EX,MATCH('T1'!$J10&amp;"|"&amp;131,LISTA_KLUCZ,0))),"")</f>
        <v>Push up</v>
      </c>
      <c r="ED10" s="5" t="str">
        <f t="array" ref="ED10">IFERROR(IF('T1'!$J10="",INDEX(LISTA_EX,132),INDEX(LISTA_EX,MATCH('T1'!$J10&amp;"|"&amp;132,LISTA_KLUCZ,0))),"")</f>
        <v>Raised bird dog</v>
      </c>
      <c r="EE10" s="5" t="str">
        <f t="array" ref="EE10">IFERROR(IF('T1'!$J10="",INDEX(LISTA_EX,133),INDEX(LISTA_EX,MATCH('T1'!$J10&amp;"|"&amp;133,LISTA_KLUCZ,0))),"")</f>
        <v>RDL</v>
      </c>
      <c r="EF10" s="5" t="str">
        <f t="array" ref="EF10">IFERROR(IF('T1'!$J10="",INDEX(LISTA_EX,134),INDEX(LISTA_EX,MATCH('T1'!$J10&amp;"|"&amp;134,LISTA_KLUCZ,0))),"")</f>
        <v>Reverse Nordic</v>
      </c>
      <c r="EG10" s="5" t="str">
        <f t="array" ref="EG10">IFERROR(IF('T1'!$J10="",INDEX(LISTA_EX,135),INDEX(LISTA_EX,MATCH('T1'!$J10&amp;"|"&amp;135,LISTA_KLUCZ,0))),"")</f>
        <v>Rope pushdown</v>
      </c>
      <c r="EH10" s="5" t="str">
        <f t="array" ref="EH10">IFERROR(IF('T1'!$J10="",INDEX(LISTA_EX,136),INDEX(LISTA_EX,MATCH('T1'!$J10&amp;"|"&amp;136,LISTA_KLUCZ,0))),"")</f>
        <v>Rope pushdown OH</v>
      </c>
      <c r="EI10" s="5" t="str">
        <f t="array" ref="EI10">IFERROR(IF('T1'!$J10="",INDEX(LISTA_EX,137),INDEX(LISTA_EX,MATCH('T1'!$J10&amp;"|"&amp;137,LISTA_KLUCZ,0))),"")</f>
        <v>S/a cable pulldown incline bench</v>
      </c>
      <c r="EJ10" s="5" t="str">
        <f t="array" ref="EJ10">IFERROR(IF('T1'!$J10="",INDEX(LISTA_EX,138),INDEX(LISTA_EX,MATCH('T1'!$J10&amp;"|"&amp;138,LISTA_KLUCZ,0))),"")</f>
        <v>S/a lat pulldown incline bench</v>
      </c>
      <c r="EK10" s="5" t="str">
        <f t="array" ref="EK10">IFERROR(IF('T1'!$J10="",INDEX(LISTA_EX,139),INDEX(LISTA_EX,MATCH('T1'!$J10&amp;"|"&amp;139,LISTA_KLUCZ,0))),"")</f>
        <v>S/l dragonflag eccentric</v>
      </c>
      <c r="EL10" s="5" t="str">
        <f t="array" ref="EL10">IFERROR(IF('T1'!$J10="",INDEX(LISTA_EX,140),INDEX(LISTA_EX,MATCH('T1'!$J10&amp;"|"&amp;140,LISTA_KLUCZ,0))),"")</f>
        <v>S/l hip thrust</v>
      </c>
      <c r="EM10" s="5" t="str">
        <f t="array" ref="EM10">IFERROR(IF('T1'!$J10="",INDEX(LISTA_EX,141),INDEX(LISTA_EX,MATCH('T1'!$J10&amp;"|"&amp;141,LISTA_KLUCZ,0))),"")</f>
        <v>Seated broad jump</v>
      </c>
      <c r="EN10" s="5" t="str">
        <f t="array" ref="EN10">IFERROR(IF('T1'!$J10="",INDEX(LISTA_EX,142),INDEX(LISTA_EX,MATCH('T1'!$J10&amp;"|"&amp;142,LISTA_KLUCZ,0))),"")</f>
        <v>Seated cable facepull</v>
      </c>
      <c r="EO10" s="5" t="str">
        <f t="array" ref="EO10">IFERROR(IF('T1'!$J10="",INDEX(LISTA_EX,143),INDEX(LISTA_EX,MATCH('T1'!$J10&amp;"|"&amp;143,LISTA_KLUCZ,0))),"")</f>
        <v>Seated seesaw press (nogi proste)</v>
      </c>
      <c r="EP10" s="5" t="str">
        <f t="array" ref="EP10">IFERROR(IF('T1'!$J10="",INDEX(LISTA_EX,144),INDEX(LISTA_EX,MATCH('T1'!$J10&amp;"|"&amp;144,LISTA_KLUCZ,0))),"")</f>
        <v>Seesaw press</v>
      </c>
      <c r="EQ10" s="5" t="str">
        <f t="array" ref="EQ10">IFERROR(IF('T1'!$J10="",INDEX(LISTA_EX,145),INDEX(LISTA_EX,MATCH('T1'!$J10&amp;"|"&amp;145,LISTA_KLUCZ,0))),"")</f>
        <v>Side crunches</v>
      </c>
      <c r="ER10" s="5" t="str">
        <f t="array" ref="ER10">IFERROR(IF('T1'!$J10="",INDEX(LISTA_EX,146),INDEX(LISTA_EX,MATCH('T1'!$J10&amp;"|"&amp;146,LISTA_KLUCZ,0))),"")</f>
        <v>Side plank hip drop</v>
      </c>
      <c r="ES10" s="5" t="str">
        <f t="array" ref="ES10">IFERROR(IF('T1'!$J10="",INDEX(LISTA_EX,147),INDEX(LISTA_EX,MATCH('T1'!$J10&amp;"|"&amp;147,LISTA_KLUCZ,0))),"")</f>
        <v>Side plank rotations</v>
      </c>
      <c r="ET10" s="5" t="str">
        <f t="array" ref="ET10">IFERROR(IF('T1'!$J10="",INDEX(LISTA_EX,148),INDEX(LISTA_EX,MATCH('T1'!$J10&amp;"|"&amp;148,LISTA_KLUCZ,0))),"")</f>
        <v>SLDL balance</v>
      </c>
      <c r="EU10" s="5" t="str">
        <f t="array" ref="EU10">IFERROR(IF('T1'!$J10="",INDEX(LISTA_EX,149),INDEX(LISTA_EX,MATCH('T1'!$J10&amp;"|"&amp;149,LISTA_KLUCZ,0))),"")</f>
        <v>Split squat</v>
      </c>
      <c r="EV10" s="5" t="str">
        <f t="array" ref="EV10">IFERROR(IF('T1'!$J10="",INDEX(LISTA_EX,150),INDEX(LISTA_EX,MATCH('T1'!$J10&amp;"|"&amp;150,LISTA_KLUCZ,0))),"")</f>
        <v>Split stance SLDL</v>
      </c>
      <c r="EW10" s="5" t="str">
        <f t="array" ref="EW10">IFERROR(IF('T1'!$J10="",INDEX(LISTA_EX,151),INDEX(LISTA_EX,MATCH('T1'!$J10&amp;"|"&amp;151,LISTA_KLUCZ,0))),"")</f>
        <v>Squat izo (15 sek)</v>
      </c>
      <c r="EX10" s="5" t="str">
        <f t="array" ref="EX10">IFERROR(IF('T1'!$J10="",INDEX(LISTA_EX,152),INDEX(LISTA_EX,MATCH('T1'!$J10&amp;"|"&amp;152,LISTA_KLUCZ,0))),"")</f>
        <v>Standing landmine press</v>
      </c>
      <c r="EY10" s="5" t="str">
        <f t="array" ref="EY10">IFERROR(IF('T1'!$J10="",INDEX(LISTA_EX,153),INDEX(LISTA_EX,MATCH('T1'!$J10&amp;"|"&amp;153,LISTA_KLUCZ,0))),"")</f>
        <v>Suitcase carry</v>
      </c>
      <c r="EZ10" s="5" t="str">
        <f t="array" ref="EZ10">IFERROR(IF('T1'!$J10="",INDEX(LISTA_EX,154),INDEX(LISTA_EX,MATCH('T1'!$J10&amp;"|"&amp;154,LISTA_KLUCZ,0))),"")</f>
        <v>Supine pigeon abs</v>
      </c>
      <c r="FA10" s="5" t="str">
        <f t="array" ref="FA10">IFERROR(IF('T1'!$J10="",INDEX(LISTA_EX,155),INDEX(LISTA_EX,MATCH('T1'!$J10&amp;"|"&amp;155,LISTA_KLUCZ,0))),"")</f>
        <v>Swiss ball leg curl</v>
      </c>
      <c r="FB10" s="5" t="str">
        <f t="array" ref="FB10">IFERROR(IF('T1'!$J10="",INDEX(LISTA_EX,156),INDEX(LISTA_EX,MATCH('T1'!$J10&amp;"|"&amp;156,LISTA_KLUCZ,0))),"")</f>
        <v>Toes to bar</v>
      </c>
      <c r="FC10" s="5" t="str">
        <f t="array" ref="FC10">IFERROR(IF('T1'!$J10="",INDEX(LISTA_EX,157),INDEX(LISTA_EX,MATCH('T1'!$J10&amp;"|"&amp;157,LISTA_KLUCZ,0))),"")</f>
        <v>Trap bar deadlift</v>
      </c>
      <c r="FD10" s="5" t="str">
        <f t="array" ref="FD10">IFERROR(IF('T1'!$J10="",INDEX(LISTA_EX,158),INDEX(LISTA_EX,MATCH('T1'!$J10&amp;"|"&amp;158,LISTA_KLUCZ,0))),"")</f>
        <v>Tricep cable pushdown</v>
      </c>
      <c r="FE10" s="5" t="str">
        <f t="array" ref="FE10">IFERROR(IF('T1'!$J10="",INDEX(LISTA_EX,159),INDEX(LISTA_EX,MATCH('T1'!$J10&amp;"|"&amp;159,LISTA_KLUCZ,0))),"")</f>
        <v>Tricep JM press</v>
      </c>
      <c r="FF10" s="5" t="str">
        <f t="array" ref="FF10">IFERROR(IF('T1'!$J10="",INDEX(LISTA_EX,160),INDEX(LISTA_EX,MATCH('T1'!$J10&amp;"|"&amp;160,LISTA_KLUCZ,0))),"")</f>
        <v>Tricep OH cable</v>
      </c>
      <c r="FG10" s="5" t="str">
        <f t="array" ref="FG10">IFERROR(IF('T1'!$J10="",INDEX(LISTA_EX,161),INDEX(LISTA_EX,MATCH('T1'!$J10&amp;"|"&amp;161,LISTA_KLUCZ,0))),"")</f>
        <v>Tricep OH ez bar</v>
      </c>
      <c r="FH10" s="5" t="str">
        <f t="array" ref="FH10">IFERROR(IF('T1'!$J10="",INDEX(LISTA_EX,162),INDEX(LISTA_EX,MATCH('T1'!$J10&amp;"|"&amp;162,LISTA_KLUCZ,0))),"")</f>
        <v>Walking lunges</v>
      </c>
      <c r="FI10" s="5" t="str">
        <f t="array" ref="FI10">IFERROR(IF('T1'!$J10="",INDEX(LISTA_EX,163),INDEX(LISTA_EX,MATCH('T1'!$J10&amp;"|"&amp;163,LISTA_KLUCZ,0))),"")</f>
        <v>Wipers kettle</v>
      </c>
      <c r="FJ10" s="5" t="str">
        <f t="array" ref="FJ10">IFERROR(IF('T1'!$J10="",INDEX(LISTA_EX,164),INDEX(LISTA_EX,MATCH('T1'!$J10&amp;"|"&amp;164,LISTA_KLUCZ,0))),"")</f>
        <v>Zercher jumps</v>
      </c>
      <c r="FK10" s="5" t="str">
        <f t="array" ref="FK10">IFERROR(IF('T1'!$J10="",INDEX(LISTA_EX,165),INDEX(LISTA_EX,MATCH('T1'!$J10&amp;"|"&amp;165,LISTA_KLUCZ,0))),"")</f>
        <v/>
      </c>
      <c r="FL10" s="5" t="str">
        <f t="array" ref="FL10">IFERROR(IF('T1'!$J10="",INDEX(LISTA_EX,166),INDEX(LISTA_EX,MATCH('T1'!$J10&amp;"|"&amp;166,LISTA_KLUCZ,0))),"")</f>
        <v/>
      </c>
      <c r="FM10" s="5" t="str">
        <f t="array" ref="FM10">IFERROR(IF('T1'!$J10="",INDEX(LISTA_EX,167),INDEX(LISTA_EX,MATCH('T1'!$J10&amp;"|"&amp;167,LISTA_KLUCZ,0))),"")</f>
        <v/>
      </c>
      <c r="FN10" s="5" t="str">
        <f t="array" ref="FN10">IFERROR(IF('T1'!$J10="",INDEX(LISTA_EX,168),INDEX(LISTA_EX,MATCH('T1'!$J10&amp;"|"&amp;168,LISTA_KLUCZ,0))),"")</f>
        <v/>
      </c>
      <c r="FO10" s="5" t="str">
        <f t="array" ref="FO10">IFERROR(IF('T1'!$J10="",INDEX(LISTA_EX,169),INDEX(LISTA_EX,MATCH('T1'!$J10&amp;"|"&amp;169,LISTA_KLUCZ,0))),"")</f>
        <v/>
      </c>
      <c r="FP10" s="5" t="str">
        <f t="array" ref="FP10">IFERROR(IF('T1'!$J10="",INDEX(LISTA_EX,170),INDEX(LISTA_EX,MATCH('T1'!$J10&amp;"|"&amp;170,LISTA_KLUCZ,0))),"")</f>
        <v/>
      </c>
      <c r="FQ10" s="5" t="str">
        <f t="array" ref="FQ10">IFERROR(IF('T1'!$J10="",INDEX(LISTA_EX,171),INDEX(LISTA_EX,MATCH('T1'!$J10&amp;"|"&amp;171,LISTA_KLUCZ,0))),"")</f>
        <v/>
      </c>
      <c r="FR10" s="5" t="str">
        <f t="array" ref="FR10">IFERROR(IF('T1'!$J10="",INDEX(LISTA_EX,172),INDEX(LISTA_EX,MATCH('T1'!$J10&amp;"|"&amp;172,LISTA_KLUCZ,0))),"")</f>
        <v/>
      </c>
      <c r="FS10" s="5" t="str">
        <f t="array" ref="FS10">IFERROR(IF('T1'!$J10="",INDEX(LISTA_EX,173),INDEX(LISTA_EX,MATCH('T1'!$J10&amp;"|"&amp;173,LISTA_KLUCZ,0))),"")</f>
        <v/>
      </c>
      <c r="FT10" s="5" t="str">
        <f t="array" ref="FT10">IFERROR(IF('T1'!$J10="",INDEX(LISTA_EX,174),INDEX(LISTA_EX,MATCH('T1'!$J10&amp;"|"&amp;174,LISTA_KLUCZ,0))),"")</f>
        <v/>
      </c>
      <c r="FU10" s="5" t="str">
        <f t="array" ref="FU10">IFERROR(IF('T1'!$J10="",INDEX(LISTA_EX,175),INDEX(LISTA_EX,MATCH('T1'!$J10&amp;"|"&amp;175,LISTA_KLUCZ,0))),"")</f>
        <v/>
      </c>
      <c r="FV10" s="5" t="str">
        <f t="array" ref="FV10">IFERROR(IF('T1'!$J10="",INDEX(LISTA_EX,176),INDEX(LISTA_EX,MATCH('T1'!$J10&amp;"|"&amp;176,LISTA_KLUCZ,0))),"")</f>
        <v/>
      </c>
      <c r="FW10" s="5" t="str">
        <f t="array" ref="FW10">IFERROR(IF('T1'!$J10="",INDEX(LISTA_EX,177),INDEX(LISTA_EX,MATCH('T1'!$J10&amp;"|"&amp;177,LISTA_KLUCZ,0))),"")</f>
        <v/>
      </c>
      <c r="FX10" s="5" t="str">
        <f t="array" ref="FX10">IFERROR(IF('T1'!$J10="",INDEX(LISTA_EX,178),INDEX(LISTA_EX,MATCH('T1'!$J10&amp;"|"&amp;178,LISTA_KLUCZ,0))),"")</f>
        <v/>
      </c>
      <c r="FY10" s="5" t="str">
        <f t="array" ref="FY10">IFERROR(IF('T1'!$J10="",INDEX(LISTA_EX,179),INDEX(LISTA_EX,MATCH('T1'!$J10&amp;"|"&amp;179,LISTA_KLUCZ,0))),"")</f>
        <v/>
      </c>
      <c r="FZ10" s="5" t="str">
        <f t="array" ref="FZ10">IFERROR(IF('T1'!$J10="",INDEX(LISTA_EX,180),INDEX(LISTA_EX,MATCH('T1'!$J10&amp;"|"&amp;180,LISTA_KLUCZ,0))),"")</f>
        <v/>
      </c>
      <c r="GA10" s="5" t="str">
        <f t="array" ref="GA10">IFERROR(IF('T1'!$J10="",INDEX(LISTA_EX,181),INDEX(LISTA_EX,MATCH('T1'!$J10&amp;"|"&amp;181,LISTA_KLUCZ,0))),"")</f>
        <v/>
      </c>
      <c r="GB10" s="5" t="str">
        <f t="array" ref="GB10">IFERROR(IF('T1'!$J10="",INDEX(LISTA_EX,182),INDEX(LISTA_EX,MATCH('T1'!$J10&amp;"|"&amp;182,LISTA_KLUCZ,0))),"")</f>
        <v/>
      </c>
      <c r="GC10" s="5" t="str">
        <f t="array" ref="GC10">IFERROR(IF('T1'!$J10="",INDEX(LISTA_EX,183),INDEX(LISTA_EX,MATCH('T1'!$J10&amp;"|"&amp;183,LISTA_KLUCZ,0))),"")</f>
        <v/>
      </c>
      <c r="GD10" s="5" t="str">
        <f t="array" ref="GD10">IFERROR(IF('T1'!$J10="",INDEX(LISTA_EX,184),INDEX(LISTA_EX,MATCH('T1'!$J10&amp;"|"&amp;184,LISTA_KLUCZ,0))),"")</f>
        <v/>
      </c>
      <c r="GE10" s="5" t="str">
        <f t="array" ref="GE10">IFERROR(IF('T1'!$J10="",INDEX(LISTA_EX,185),INDEX(LISTA_EX,MATCH('T1'!$J10&amp;"|"&amp;185,LISTA_KLUCZ,0))),"")</f>
        <v/>
      </c>
      <c r="GF10" s="5" t="str">
        <f t="array" ref="GF10">IFERROR(IF('T1'!$J10="",INDEX(LISTA_EX,186),INDEX(LISTA_EX,MATCH('T1'!$J10&amp;"|"&amp;186,LISTA_KLUCZ,0))),"")</f>
        <v/>
      </c>
      <c r="GG10" s="5" t="str">
        <f t="array" ref="GG10">IFERROR(IF('T1'!$J10="",INDEX(LISTA_EX,187),INDEX(LISTA_EX,MATCH('T1'!$J10&amp;"|"&amp;187,LISTA_KLUCZ,0))),"")</f>
        <v/>
      </c>
      <c r="GH10" s="5" t="str">
        <f t="array" ref="GH10">IFERROR(IF('T1'!$J10="",INDEX(LISTA_EX,188),INDEX(LISTA_EX,MATCH('T1'!$J10&amp;"|"&amp;188,LISTA_KLUCZ,0))),"")</f>
        <v/>
      </c>
      <c r="GI10" s="5" t="str">
        <f t="array" ref="GI10">IFERROR(IF('T1'!$J10="",INDEX(LISTA_EX,189),INDEX(LISTA_EX,MATCH('T1'!$J10&amp;"|"&amp;189,LISTA_KLUCZ,0))),"")</f>
        <v/>
      </c>
      <c r="GJ10" s="5" t="str">
        <f t="array" ref="GJ10">IFERROR(IF('T1'!$J10="",INDEX(LISTA_EX,190),INDEX(LISTA_EX,MATCH('T1'!$J10&amp;"|"&amp;190,LISTA_KLUCZ,0))),"")</f>
        <v/>
      </c>
      <c r="GK10" s="5" t="str">
        <f t="array" ref="GK10">IFERROR(IF('T1'!$J10="",INDEX(LISTA_EX,191),INDEX(LISTA_EX,MATCH('T1'!$J10&amp;"|"&amp;191,LISTA_KLUCZ,0))),"")</f>
        <v/>
      </c>
      <c r="GL10" s="5" t="str">
        <f t="array" ref="GL10">IFERROR(IF('T1'!$J10="",INDEX(LISTA_EX,192),INDEX(LISTA_EX,MATCH('T1'!$J10&amp;"|"&amp;192,LISTA_KLUCZ,0))),"")</f>
        <v/>
      </c>
      <c r="GM10" s="5" t="str">
        <f t="array" ref="GM10">IFERROR(IF('T1'!$J10="",INDEX(LISTA_EX,193),INDEX(LISTA_EX,MATCH('T1'!$J10&amp;"|"&amp;193,LISTA_KLUCZ,0))),"")</f>
        <v/>
      </c>
      <c r="GN10" s="5" t="str">
        <f t="array" ref="GN10">IFERROR(IF('T1'!$J10="",INDEX(LISTA_EX,194),INDEX(LISTA_EX,MATCH('T1'!$J10&amp;"|"&amp;194,LISTA_KLUCZ,0))),"")</f>
        <v/>
      </c>
      <c r="GO10" s="5" t="str">
        <f t="array" ref="GO10">IFERROR(IF('T1'!$J10="",INDEX(LISTA_EX,195),INDEX(LISTA_EX,MATCH('T1'!$J10&amp;"|"&amp;195,LISTA_KLUCZ,0))),"")</f>
        <v/>
      </c>
      <c r="GP10" s="5" t="str">
        <f t="array" ref="GP10">IFERROR(IF('T1'!$J10="",INDEX(LISTA_EX,196),INDEX(LISTA_EX,MATCH('T1'!$J10&amp;"|"&amp;196,LISTA_KLUCZ,0))),"")</f>
        <v/>
      </c>
      <c r="GQ10" s="5" t="str">
        <f t="array" ref="GQ10">IFERROR(IF('T1'!$J10="",INDEX(LISTA_EX,197),INDEX(LISTA_EX,MATCH('T1'!$J10&amp;"|"&amp;197,LISTA_KLUCZ,0))),"")</f>
        <v/>
      </c>
      <c r="GR10" s="5" t="str">
        <f t="array" ref="GR10">IFERROR(IF('T1'!$J10="",INDEX(LISTA_EX,198),INDEX(LISTA_EX,MATCH('T1'!$J10&amp;"|"&amp;198,LISTA_KLUCZ,0))),"")</f>
        <v/>
      </c>
      <c r="GS10" s="5" t="str">
        <f t="array" ref="GS10">IFERROR(IF('T1'!$J10="",INDEX(LISTA_EX,199),INDEX(LISTA_EX,MATCH('T1'!$J10&amp;"|"&amp;199,LISTA_KLUCZ,0))),"")</f>
        <v/>
      </c>
      <c r="GT10" s="5" t="str">
        <f t="array" ref="GT10">IFERROR(IF('T1'!$J10="",INDEX(LISTA_EX,200),INDEX(LISTA_EX,MATCH('T1'!$J10&amp;"|"&amp;200,LISTA_KLUCZ,0))),"")</f>
        <v/>
      </c>
      <c r="GV10" s="5" t="str">
        <f>IF(BAZA!$A10="","",BAZA!$A10)</f>
        <v>Banded pistol squat</v>
      </c>
      <c r="GW10" s="5" t="str">
        <f>IF(BAZA!$B10="","",BAZA!$B10&amp;"|"&amp;COUNTIF(BAZA!$B$3:$B10,BAZA!$B10))</f>
        <v>Lower push|2</v>
      </c>
    </row>
    <row r="11" ht="15.0" customHeight="1">
      <c r="A11" s="5" t="str">
        <f>IF('T1'!$K11="","",'T1'!$K11)</f>
        <v>D1-S05</v>
      </c>
      <c r="B11" s="5" t="str">
        <f>IF('T1'!$J11="","(wszystkie)",'T1'!$J11)</f>
        <v>(wszystkie)</v>
      </c>
      <c r="C11" s="5" t="str">
        <f t="array" ref="C11">IFERROR(IF('T1'!$J11="",INDEX(LISTA_EX,1),INDEX(LISTA_EX,MATCH('T1'!$J11&amp;"|"&amp;1,LISTA_KLUCZ,0))),"")</f>
        <v>Abduction machine</v>
      </c>
      <c r="D11" s="5" t="str">
        <f t="array" ref="D11">IFERROR(IF('T1'!$J11="",INDEX(LISTA_EX,2),INDEX(LISTA_EX,MATCH('T1'!$J11&amp;"|"&amp;2,LISTA_KLUCZ,0))),"")</f>
        <v>Adduction machine</v>
      </c>
      <c r="E11" s="5" t="str">
        <f t="array" ref="E11">IFERROR(IF('T1'!$J11="",INDEX(LISTA_EX,3),INDEX(LISTA_EX,MATCH('T1'!$J11&amp;"|"&amp;3,LISTA_KLUCZ,0))),"")</f>
        <v>Allah</v>
      </c>
      <c r="F11" s="5" t="str">
        <f t="array" ref="F11">IFERROR(IF('T1'!$J11="",INDEX(LISTA_EX,4),INDEX(LISTA_EX,MATCH('T1'!$J11&amp;"|"&amp;4,LISTA_KLUCZ,0))),"")</f>
        <v>Arnold press</v>
      </c>
      <c r="G11" s="5" t="str">
        <f t="array" ref="G11">IFERROR(IF('T1'!$J11="",INDEX(LISTA_EX,5),INDEX(LISTA_EX,MATCH('T1'!$J11&amp;"|"&amp;5,LISTA_KLUCZ,0))),"")</f>
        <v>Arnold press alternating</v>
      </c>
      <c r="H11" s="5" t="str">
        <f t="array" ref="H11">IFERROR(IF('T1'!$J11="",INDEX(LISTA_EX,6),INDEX(LISTA_EX,MATCH('T1'!$J11&amp;"|"&amp;6,LISTA_KLUCZ,0))),"")</f>
        <v>B/l dragonflag eccentric</v>
      </c>
      <c r="I11" s="5" t="str">
        <f t="array" ref="I11">IFERROR(IF('T1'!$J11="",INDEX(LISTA_EX,7),INDEX(LISTA_EX,MATCH('T1'!$J11&amp;"|"&amp;7,LISTA_KLUCZ,0))),"")</f>
        <v>Back extension</v>
      </c>
      <c r="J11" s="5" t="str">
        <f t="array" ref="J11">IFERROR(IF('T1'!$J11="",INDEX(LISTA_EX,8),INDEX(LISTA_EX,MATCH('T1'!$J11&amp;"|"&amp;8,LISTA_KLUCZ,0))),"")</f>
        <v>Banded pistol squat</v>
      </c>
      <c r="K11" s="5" t="str">
        <f t="array" ref="K11">IFERROR(IF('T1'!$J11="",INDEX(LISTA_EX,9),INDEX(LISTA_EX,MATCH('T1'!$J11&amp;"|"&amp;9,LISTA_KLUCZ,0))),"")</f>
        <v>Banded pull ups</v>
      </c>
      <c r="L11" s="5" t="str">
        <f t="array" ref="L11">IFERROR(IF('T1'!$J11="",INDEX(LISTA_EX,10),INDEX(LISTA_EX,MATCH('T1'!$J11&amp;"|"&amp;10,LISTA_KLUCZ,0))),"")</f>
        <v>Barbell back squat</v>
      </c>
      <c r="M11" s="5" t="str">
        <f t="array" ref="M11">IFERROR(IF('T1'!$J11="",INDEX(LISTA_EX,11),INDEX(LISTA_EX,MATCH('T1'!$J11&amp;"|"&amp;11,LISTA_KLUCZ,0))),"")</f>
        <v>Barbell bench press</v>
      </c>
      <c r="N11" s="5" t="str">
        <f t="array" ref="N11">IFERROR(IF('T1'!$J11="",INDEX(LISTA_EX,12),INDEX(LISTA_EX,MATCH('T1'!$J11&amp;"|"&amp;12,LISTA_KLUCZ,0))),"")</f>
        <v>Barbell curl</v>
      </c>
      <c r="O11" s="5" t="str">
        <f t="array" ref="O11">IFERROR(IF('T1'!$J11="",INDEX(LISTA_EX,13),INDEX(LISTA_EX,MATCH('T1'!$J11&amp;"|"&amp;13,LISTA_KLUCZ,0))),"")</f>
        <v>Barbell low bar squat</v>
      </c>
      <c r="P11" s="5" t="str">
        <f t="array" ref="P11">IFERROR(IF('T1'!$J11="",INDEX(LISTA_EX,14),INDEX(LISTA_EX,MATCH('T1'!$J11&amp;"|"&amp;14,LISTA_KLUCZ,0))),"")</f>
        <v>Barbell OHP</v>
      </c>
      <c r="Q11" s="5" t="str">
        <f t="array" ref="Q11">IFERROR(IF('T1'!$J11="",INDEX(LISTA_EX,15),INDEX(LISTA_EX,MATCH('T1'!$J11&amp;"|"&amp;15,LISTA_KLUCZ,0))),"")</f>
        <v>Barbell oscilation</v>
      </c>
      <c r="R11" s="5" t="str">
        <f t="array" ref="R11">IFERROR(IF('T1'!$J11="",INDEX(LISTA_EX,16),INDEX(LISTA_EX,MATCH('T1'!$J11&amp;"|"&amp;16,LISTA_KLUCZ,0))),"")</f>
        <v>Barbell row</v>
      </c>
      <c r="S11" s="5" t="str">
        <f t="array" ref="S11">IFERROR(IF('T1'!$J11="",INDEX(LISTA_EX,17),INDEX(LISTA_EX,MATCH('T1'!$J11&amp;"|"&amp;17,LISTA_KLUCZ,0))),"")</f>
        <v>Barbell row dead stop pins</v>
      </c>
      <c r="T11" s="5" t="str">
        <f t="array" ref="T11">IFERROR(IF('T1'!$J11="",INDEX(LISTA_EX,18),INDEX(LISTA_EX,MATCH('T1'!$J11&amp;"|"&amp;18,LISTA_KLUCZ,0))),"")</f>
        <v>Barbell SLDL</v>
      </c>
      <c r="U11" s="5" t="str">
        <f t="array" ref="U11">IFERROR(IF('T1'!$J11="",INDEX(LISTA_EX,19),INDEX(LISTA_EX,MATCH('T1'!$J11&amp;"|"&amp;19,LISTA_KLUCZ,0))),"")</f>
        <v>Bayesian curl</v>
      </c>
      <c r="V11" s="5" t="str">
        <f t="array" ref="V11">IFERROR(IF('T1'!$J11="",INDEX(LISTA_EX,20),INDEX(LISTA_EX,MATCH('T1'!$J11&amp;"|"&amp;20,LISTA_KLUCZ,0))),"")</f>
        <v>Bear renegade row</v>
      </c>
      <c r="W11" s="5" t="str">
        <f t="array" ref="W11">IFERROR(IF('T1'!$J11="",INDEX(LISTA_EX,21),INDEX(LISTA_EX,MATCH('T1'!$J11&amp;"|"&amp;21,LISTA_KLUCZ,0))),"")</f>
        <v>Bench press paused 3sec</v>
      </c>
      <c r="X11" s="5" t="str">
        <f t="array" ref="X11">IFERROR(IF('T1'!$J11="",INDEX(LISTA_EX,22),INDEX(LISTA_EX,MATCH('T1'!$J11&amp;"|"&amp;22,LISTA_KLUCZ,0))),"")</f>
        <v>Bicep hammer curl</v>
      </c>
      <c r="Y11" s="5" t="str">
        <f t="array" ref="Y11">IFERROR(IF('T1'!$J11="",INDEX(LISTA_EX,23),INDEX(LISTA_EX,MATCH('T1'!$J11&amp;"|"&amp;23,LISTA_KLUCZ,0))),"")</f>
        <v>Bicep squat cable curl</v>
      </c>
      <c r="Z11" s="5" t="str">
        <f t="array" ref="Z11">IFERROR(IF('T1'!$J11="",INDEX(LISTA_EX,24),INDEX(LISTA_EX,MATCH('T1'!$J11&amp;"|"&amp;24,LISTA_KLUCZ,0))),"")</f>
        <v>Bird dog row</v>
      </c>
      <c r="AA11" s="5" t="str">
        <f t="array" ref="AA11">IFERROR(IF('T1'!$J11="",INDEX(LISTA_EX,25),INDEX(LISTA_EX,MATCH('T1'!$J11&amp;"|"&amp;25,LISTA_KLUCZ,0))),"")</f>
        <v>Box jump</v>
      </c>
      <c r="AB11" s="5" t="str">
        <f t="array" ref="AB11">IFERROR(IF('T1'!$J11="",INDEX(LISTA_EX,26),INDEX(LISTA_EX,MATCH('T1'!$J11&amp;"|"&amp;26,LISTA_KLUCZ,0))),"")</f>
        <v>Bulgarian clean plyo</v>
      </c>
      <c r="AC11" s="5" t="str">
        <f t="array" ref="AC11">IFERROR(IF('T1'!$J11="",INDEX(LISTA_EX,27),INDEX(LISTA_EX,MATCH('T1'!$J11&amp;"|"&amp;27,LISTA_KLUCZ,0))),"")</f>
        <v>Bulgarian squat assisted</v>
      </c>
      <c r="AD11" s="5" t="str">
        <f t="array" ref="AD11">IFERROR(IF('T1'!$J11="",INDEX(LISTA_EX,28),INDEX(LISTA_EX,MATCH('T1'!$J11&amp;"|"&amp;28,LISTA_KLUCZ,0))),"")</f>
        <v>Cable biceps curl</v>
      </c>
      <c r="AE11" s="5" t="str">
        <f t="array" ref="AE11">IFERROR(IF('T1'!$J11="",INDEX(LISTA_EX,29),INDEX(LISTA_EX,MATCH('T1'!$J11&amp;"|"&amp;29,LISTA_KLUCZ,0))),"")</f>
        <v>Cable fly</v>
      </c>
      <c r="AF11" s="5" t="str">
        <f t="array" ref="AF11">IFERROR(IF('T1'!$J11="",INDEX(LISTA_EX,30),INDEX(LISTA_EX,MATCH('T1'!$J11&amp;"|"&amp;30,LISTA_KLUCZ,0))),"")</f>
        <v>Cable lateral raise s/a</v>
      </c>
      <c r="AG11" s="5" t="str">
        <f t="array" ref="AG11">IFERROR(IF('T1'!$J11="",INDEX(LISTA_EX,31),INDEX(LISTA_EX,MATCH('T1'!$J11&amp;"|"&amp;31,LISTA_KLUCZ,0))),"")</f>
        <v>Cable row</v>
      </c>
      <c r="AH11" s="5" t="str">
        <f t="array" ref="AH11">IFERROR(IF('T1'!$J11="",INDEX(LISTA_EX,32),INDEX(LISTA_EX,MATCH('T1'!$J11&amp;"|"&amp;32,LISTA_KLUCZ,0))),"")</f>
        <v>Cable row s/a</v>
      </c>
      <c r="AI11" s="5" t="str">
        <f t="array" ref="AI11">IFERROR(IF('T1'!$J11="",INDEX(LISTA_EX,33),INDEX(LISTA_EX,MATCH('T1'!$J11&amp;"|"&amp;33,LISTA_KLUCZ,0))),"")</f>
        <v>Calf raises</v>
      </c>
      <c r="AJ11" s="5" t="str">
        <f t="array" ref="AJ11">IFERROR(IF('T1'!$J11="",INDEX(LISTA_EX,34),INDEX(LISTA_EX,MATCH('T1'!$J11&amp;"|"&amp;34,LISTA_KLUCZ,0))),"")</f>
        <v>Chest fly machine</v>
      </c>
      <c r="AK11" s="5" t="str">
        <f t="array" ref="AK11">IFERROR(IF('T1'!$J11="",INDEX(LISTA_EX,35),INDEX(LISTA_EX,MATCH('T1'!$J11&amp;"|"&amp;35,LISTA_KLUCZ,0))),"")</f>
        <v>Clean</v>
      </c>
      <c r="AL11" s="5" t="str">
        <f t="array" ref="AL11">IFERROR(IF('T1'!$J11="",INDEX(LISTA_EX,36),INDEX(LISTA_EX,MATCH('T1'!$J11&amp;"|"&amp;36,LISTA_KLUCZ,0))),"")</f>
        <v>Clean pins</v>
      </c>
      <c r="AM11" s="5" t="str">
        <f t="array" ref="AM11">IFERROR(IF('T1'!$J11="",INDEX(LISTA_EX,37),INDEX(LISTA_EX,MATCH('T1'!$J11&amp;"|"&amp;37,LISTA_KLUCZ,0))),"")</f>
        <v>Copenhagen plank</v>
      </c>
      <c r="AN11" s="5" t="str">
        <f t="array" ref="AN11">IFERROR(IF('T1'!$J11="",INDEX(LISTA_EX,38),INDEX(LISTA_EX,MATCH('T1'!$J11&amp;"|"&amp;38,LISTA_KLUCZ,0))),"")</f>
        <v>Dead bug izo + OH</v>
      </c>
      <c r="AO11" s="5" t="str">
        <f t="array" ref="AO11">IFERROR(IF('T1'!$J11="",INDEX(LISTA_EX,39),INDEX(LISTA_EX,MATCH('T1'!$J11&amp;"|"&amp;39,LISTA_KLUCZ,0))),"")</f>
        <v>Dead bug straight legs</v>
      </c>
      <c r="AP11" s="5" t="str">
        <f t="array" ref="AP11">IFERROR(IF('T1'!$J11="",INDEX(LISTA_EX,40),INDEX(LISTA_EX,MATCH('T1'!$J11&amp;"|"&amp;40,LISTA_KLUCZ,0))),"")</f>
        <v>Dead stop barbell row</v>
      </c>
      <c r="AQ11" s="5" t="str">
        <f t="array" ref="AQ11">IFERROR(IF('T1'!$J11="",INDEX(LISTA_EX,41),INDEX(LISTA_EX,MATCH('T1'!$J11&amp;"|"&amp;41,LISTA_KLUCZ,0))),"")</f>
        <v>Deadbug OH</v>
      </c>
      <c r="AR11" s="5" t="str">
        <f t="array" ref="AR11">IFERROR(IF('T1'!$J11="",INDEX(LISTA_EX,42),INDEX(LISTA_EX,MATCH('T1'!$J11&amp;"|"&amp;42,LISTA_KLUCZ,0))),"")</f>
        <v>Deadlift</v>
      </c>
      <c r="AS11" s="5" t="str">
        <f t="array" ref="AS11">IFERROR(IF('T1'!$J11="",INDEX(LISTA_EX,43),INDEX(LISTA_EX,MATCH('T1'!$J11&amp;"|"&amp;43,LISTA_KLUCZ,0))),"")</f>
        <v>Deficit push up</v>
      </c>
      <c r="AT11" s="5" t="str">
        <f t="array" ref="AT11">IFERROR(IF('T1'!$J11="",INDEX(LISTA_EX,44),INDEX(LISTA_EX,MATCH('T1'!$J11&amp;"|"&amp;44,LISTA_KLUCZ,0))),"")</f>
        <v>Deficit reverse lunge</v>
      </c>
      <c r="AU11" s="5" t="str">
        <f t="array" ref="AU11">IFERROR(IF('T1'!$J11="",INDEX(LISTA_EX,45),INDEX(LISTA_EX,MATCH('T1'!$J11&amp;"|"&amp;45,LISTA_KLUCZ,0))),"")</f>
        <v>Dips</v>
      </c>
      <c r="AV11" s="5" t="str">
        <f t="array" ref="AV11">IFERROR(IF('T1'!$J11="",INDEX(LISTA_EX,46),INDEX(LISTA_EX,MATCH('T1'!$J11&amp;"|"&amp;46,LISTA_KLUCZ,0))),"")</f>
        <v>Dips weighted</v>
      </c>
      <c r="AW11" s="5" t="str">
        <f t="array" ref="AW11">IFERROR(IF('T1'!$J11="",INDEX(LISTA_EX,47),INDEX(LISTA_EX,MATCH('T1'!$J11&amp;"|"&amp;47,LISTA_KLUCZ,0))),"")</f>
        <v>Dumbbell bench press</v>
      </c>
      <c r="AX11" s="5" t="str">
        <f t="array" ref="AX11">IFERROR(IF('T1'!$J11="",INDEX(LISTA_EX,48),INDEX(LISTA_EX,MATCH('T1'!$J11&amp;"|"&amp;48,LISTA_KLUCZ,0))),"")</f>
        <v>Dumbbell bench press alternating</v>
      </c>
      <c r="AY11" s="5" t="str">
        <f t="array" ref="AY11">IFERROR(IF('T1'!$J11="",INDEX(LISTA_EX,49),INDEX(LISTA_EX,MATCH('T1'!$J11&amp;"|"&amp;49,LISTA_KLUCZ,0))),"")</f>
        <v>Dumbbell curl</v>
      </c>
      <c r="AZ11" s="5" t="str">
        <f t="array" ref="AZ11">IFERROR(IF('T1'!$J11="",INDEX(LISTA_EX,50),INDEX(LISTA_EX,MATCH('T1'!$J11&amp;"|"&amp;50,LISTA_KLUCZ,0))),"")</f>
        <v>Dumbbell external rotation</v>
      </c>
      <c r="BA11" s="5" t="str">
        <f t="array" ref="BA11">IFERROR(IF('T1'!$J11="",INDEX(LISTA_EX,51),INDEX(LISTA_EX,MATCH('T1'!$J11&amp;"|"&amp;51,LISTA_KLUCZ,0))),"")</f>
        <v>Dumbbell face down curl</v>
      </c>
      <c r="BB11" s="5" t="str">
        <f t="array" ref="BB11">IFERROR(IF('T1'!$J11="",INDEX(LISTA_EX,52),INDEX(LISTA_EX,MATCH('T1'!$J11&amp;"|"&amp;52,LISTA_KLUCZ,0))),"")</f>
        <v>Dumbbell fly</v>
      </c>
      <c r="BC11" s="5" t="str">
        <f t="array" ref="BC11">IFERROR(IF('T1'!$J11="",INDEX(LISTA_EX,53),INDEX(LISTA_EX,MATCH('T1'!$J11&amp;"|"&amp;53,LISTA_KLUCZ,0))),"")</f>
        <v>Dumbbell french press</v>
      </c>
      <c r="BD11" s="5" t="str">
        <f t="array" ref="BD11">IFERROR(IF('T1'!$J11="",INDEX(LISTA_EX,54),INDEX(LISTA_EX,MATCH('T1'!$J11&amp;"|"&amp;54,LISTA_KLUCZ,0))),"")</f>
        <v>Dumbbell lateral raise</v>
      </c>
      <c r="BE11" s="5" t="str">
        <f t="array" ref="BE11">IFERROR(IF('T1'!$J11="",INDEX(LISTA_EX,55),INDEX(LISTA_EX,MATCH('T1'!$J11&amp;"|"&amp;55,LISTA_KLUCZ,0))),"")</f>
        <v>Dumbbell lunges</v>
      </c>
      <c r="BF11" s="5" t="str">
        <f t="array" ref="BF11">IFERROR(IF('T1'!$J11="",INDEX(LISTA_EX,56),INDEX(LISTA_EX,MATCH('T1'!$J11&amp;"|"&amp;56,LISTA_KLUCZ,0))),"")</f>
        <v>Dumbbell OH press</v>
      </c>
      <c r="BG11" s="5" t="str">
        <f t="array" ref="BG11">IFERROR(IF('T1'!$J11="",INDEX(LISTA_EX,57),INDEX(LISTA_EX,MATCH('T1'!$J11&amp;"|"&amp;57,LISTA_KLUCZ,0))),"")</f>
        <v>Dumbbell over head press</v>
      </c>
      <c r="BH11" s="5" t="str">
        <f t="array" ref="BH11">IFERROR(IF('T1'!$J11="",INDEX(LISTA_EX,58),INDEX(LISTA_EX,MATCH('T1'!$J11&amp;"|"&amp;58,LISTA_KLUCZ,0))),"")</f>
        <v>Dumbbell over head press alternating</v>
      </c>
      <c r="BI11" s="5" t="str">
        <f t="array" ref="BI11">IFERROR(IF('T1'!$J11="",INDEX(LISTA_EX,59),INDEX(LISTA_EX,MATCH('T1'!$J11&amp;"|"&amp;59,LISTA_KLUCZ,0))),"")</f>
        <v>Dumbbell row</v>
      </c>
      <c r="BJ11" s="5" t="str">
        <f t="array" ref="BJ11">IFERROR(IF('T1'!$J11="",INDEX(LISTA_EX,60),INDEX(LISTA_EX,MATCH('T1'!$J11&amp;"|"&amp;60,LISTA_KLUCZ,0))),"")</f>
        <v>Dumbbell s/a Arnold press</v>
      </c>
      <c r="BK11" s="5" t="str">
        <f t="array" ref="BK11">IFERROR(IF('T1'!$J11="",INDEX(LISTA_EX,61),INDEX(LISTA_EX,MATCH('T1'!$J11&amp;"|"&amp;61,LISTA_KLUCZ,0))),"")</f>
        <v>Dumbbell s/a row</v>
      </c>
      <c r="BL11" s="5" t="str">
        <f t="array" ref="BL11">IFERROR(IF('T1'!$J11="",INDEX(LISTA_EX,62),INDEX(LISTA_EX,MATCH('T1'!$J11&amp;"|"&amp;62,LISTA_KLUCZ,0))),"")</f>
        <v>Dumbbell seal row</v>
      </c>
      <c r="BM11" s="5" t="str">
        <f t="array" ref="BM11">IFERROR(IF('T1'!$J11="",INDEX(LISTA_EX,63),INDEX(LISTA_EX,MATCH('T1'!$J11&amp;"|"&amp;63,LISTA_KLUCZ,0))),"")</f>
        <v>Dumbbells jumps</v>
      </c>
      <c r="BN11" s="5" t="str">
        <f t="array" ref="BN11">IFERROR(IF('T1'!$J11="",INDEX(LISTA_EX,64),INDEX(LISTA_EX,MATCH('T1'!$J11&amp;"|"&amp;64,LISTA_KLUCZ,0))),"")</f>
        <v>Eccentric pull up</v>
      </c>
      <c r="BO11" s="5" t="str">
        <f t="array" ref="BO11">IFERROR(IF('T1'!$J11="",INDEX(LISTA_EX,65),INDEX(LISTA_EX,MATCH('T1'!$J11&amp;"|"&amp;65,LISTA_KLUCZ,0))),"")</f>
        <v>Eccentric push up (5 sek w dół)</v>
      </c>
      <c r="BP11" s="5" t="str">
        <f t="array" ref="BP11">IFERROR(IF('T1'!$J11="",INDEX(LISTA_EX,66),INDEX(LISTA_EX,MATCH('T1'!$J11&amp;"|"&amp;66,LISTA_KLUCZ,0))),"")</f>
        <v>Extensive plyo jumps s/l</v>
      </c>
      <c r="BQ11" s="5" t="str">
        <f t="array" ref="BQ11">IFERROR(IF('T1'!$J11="",INDEX(LISTA_EX,67),INDEX(LISTA_EX,MATCH('T1'!$J11&amp;"|"&amp;67,LISTA_KLUCZ,0))),"")</f>
        <v>Ez bar curl</v>
      </c>
      <c r="BR11" s="5" t="str">
        <f t="array" ref="BR11">IFERROR(IF('T1'!$J11="",INDEX(LISTA_EX,68),INDEX(LISTA_EX,MATCH('T1'!$J11&amp;"|"&amp;68,LISTA_KLUCZ,0))),"")</f>
        <v>Facepull chest supported</v>
      </c>
      <c r="BS11" s="5" t="str">
        <f t="array" ref="BS11">IFERROR(IF('T1'!$J11="",INDEX(LISTA_EX,69),INDEX(LISTA_EX,MATCH('T1'!$J11&amp;"|"&amp;69,LISTA_KLUCZ,0))),"")</f>
        <v>Front foot elevated split squat</v>
      </c>
      <c r="BT11" s="5" t="str">
        <f t="array" ref="BT11">IFERROR(IF('T1'!$J11="",INDEX(LISTA_EX,70),INDEX(LISTA_EX,MATCH('T1'!$J11&amp;"|"&amp;70,LISTA_KLUCZ,0))),"")</f>
        <v>Front squat</v>
      </c>
      <c r="BU11" s="5" t="str">
        <f t="array" ref="BU11">IFERROR(IF('T1'!$J11="",INDEX(LISTA_EX,71),INDEX(LISTA_EX,MATCH('T1'!$J11&amp;"|"&amp;71,LISTA_KLUCZ,0))),"")</f>
        <v>GHD flexion</v>
      </c>
      <c r="BV11" s="5" t="str">
        <f t="array" ref="BV11">IFERROR(IF('T1'!$J11="",INDEX(LISTA_EX,72),INDEX(LISTA_EX,MATCH('T1'!$J11&amp;"|"&amp;72,LISTA_KLUCZ,0))),"")</f>
        <v>Glute bridge hamstrings izo + OH</v>
      </c>
      <c r="BW11" s="5" t="str">
        <f t="array" ref="BW11">IFERROR(IF('T1'!$J11="",INDEX(LISTA_EX,73),INDEX(LISTA_EX,MATCH('T1'!$J11&amp;"|"&amp;73,LISTA_KLUCZ,0))),"")</f>
        <v>Glute crusher</v>
      </c>
      <c r="BX11" s="5" t="str">
        <f t="array" ref="BX11">IFERROR(IF('T1'!$J11="",INDEX(LISTA_EX,74),INDEX(LISTA_EX,MATCH('T1'!$J11&amp;"|"&amp;74,LISTA_KLUCZ,0))),"")</f>
        <v>Gorilla row</v>
      </c>
      <c r="BY11" s="5" t="str">
        <f t="array" ref="BY11">IFERROR(IF('T1'!$J11="",INDEX(LISTA_EX,75),INDEX(LISTA_EX,MATCH('T1'!$J11&amp;"|"&amp;75,LISTA_KLUCZ,0))),"")</f>
        <v>Halfkneeling s/a cable pull</v>
      </c>
      <c r="BZ11" s="5" t="str">
        <f t="array" ref="BZ11">IFERROR(IF('T1'!$J11="",INDEX(LISTA_EX,76),INDEX(LISTA_EX,MATCH('T1'!$J11&amp;"|"&amp;76,LISTA_KLUCZ,0))),"")</f>
        <v>Halfkneeling wood chopper</v>
      </c>
      <c r="CA11" s="5" t="str">
        <f t="array" ref="CA11">IFERROR(IF('T1'!$J11="",INDEX(LISTA_EX,77),INDEX(LISTA_EX,MATCH('T1'!$J11&amp;"|"&amp;77,LISTA_KLUCZ,0))),"")</f>
        <v>Hinged dumbbell row</v>
      </c>
      <c r="CB11" s="5" t="str">
        <f t="array" ref="CB11">IFERROR(IF('T1'!$J11="",INDEX(LISTA_EX,78),INDEX(LISTA_EX,MATCH('T1'!$J11&amp;"|"&amp;78,LISTA_KLUCZ,0))),"")</f>
        <v>Hip aeroplane</v>
      </c>
      <c r="CC11" s="5" t="str">
        <f t="array" ref="CC11">IFERROR(IF('T1'!$J11="",INDEX(LISTA_EX,79),INDEX(LISTA_EX,MATCH('T1'!$J11&amp;"|"&amp;79,LISTA_KLUCZ,0))),"")</f>
        <v>Hip flexors cable</v>
      </c>
      <c r="CD11" s="5" t="str">
        <f t="array" ref="CD11">IFERROR(IF('T1'!$J11="",INDEX(LISTA_EX,80),INDEX(LISTA_EX,MATCH('T1'!$J11&amp;"|"&amp;80,LISTA_KLUCZ,0))),"")</f>
        <v>Hip thrust barbell</v>
      </c>
      <c r="CE11" s="5" t="str">
        <f t="array" ref="CE11">IFERROR(IF('T1'!$J11="",INDEX(LISTA_EX,81),INDEX(LISTA_EX,MATCH('T1'!$J11&amp;"|"&amp;81,LISTA_KLUCZ,0))),"")</f>
        <v>Hollow body + OH</v>
      </c>
      <c r="CF11" s="5" t="str">
        <f t="array" ref="CF11">IFERROR(IF('T1'!$J11="",INDEX(LISTA_EX,82),INDEX(LISTA_EX,MATCH('T1'!$J11&amp;"|"&amp;82,LISTA_KLUCZ,0))),"")</f>
        <v>Horizontal jump</v>
      </c>
      <c r="CG11" s="5" t="str">
        <f t="array" ref="CG11">IFERROR(IF('T1'!$J11="",INDEX(LISTA_EX,83),INDEX(LISTA_EX,MATCH('T1'!$J11&amp;"|"&amp;83,LISTA_KLUCZ,0))),"")</f>
        <v>Incline bench lateral raise s/a</v>
      </c>
      <c r="CH11" s="5" t="str">
        <f t="array" ref="CH11">IFERROR(IF('T1'!$J11="",INDEX(LISTA_EX,84),INDEX(LISTA_EX,MATCH('T1'!$J11&amp;"|"&amp;84,LISTA_KLUCZ,0))),"")</f>
        <v>Incline curl + OHP</v>
      </c>
      <c r="CI11" s="5" t="str">
        <f t="array" ref="CI11">IFERROR(IF('T1'!$J11="",INDEX(LISTA_EX,85),INDEX(LISTA_EX,MATCH('T1'!$J11&amp;"|"&amp;85,LISTA_KLUCZ,0))),"")</f>
        <v>Incline dumbbell curl</v>
      </c>
      <c r="CJ11" s="5" t="str">
        <f t="array" ref="CJ11">IFERROR(IF('T1'!$J11="",INDEX(LISTA_EX,86),INDEX(LISTA_EX,MATCH('T1'!$J11&amp;"|"&amp;86,LISTA_KLUCZ,0))),"")</f>
        <v>Incline dumbbell curl (back)</v>
      </c>
      <c r="CK11" s="5" t="str">
        <f t="array" ref="CK11">IFERROR(IF('T1'!$J11="",INDEX(LISTA_EX,87),INDEX(LISTA_EX,MATCH('T1'!$J11&amp;"|"&amp;87,LISTA_KLUCZ,0))),"")</f>
        <v>Incline dumbbell curl (front)</v>
      </c>
      <c r="CL11" s="5" t="str">
        <f t="array" ref="CL11">IFERROR(IF('T1'!$J11="",INDEX(LISTA_EX,88),INDEX(LISTA_EX,MATCH('T1'!$J11&amp;"|"&amp;88,LISTA_KLUCZ,0))),"")</f>
        <v>Incline dumbbell fly</v>
      </c>
      <c r="CM11" s="5" t="str">
        <f t="array" ref="CM11">IFERROR(IF('T1'!$J11="",INDEX(LISTA_EX,89),INDEX(LISTA_EX,MATCH('T1'!$J11&amp;"|"&amp;89,LISTA_KLUCZ,0))),"")</f>
        <v>Incline dumbbell press</v>
      </c>
      <c r="CN11" s="5" t="str">
        <f t="array" ref="CN11">IFERROR(IF('T1'!$J11="",INDEX(LISTA_EX,90),INDEX(LISTA_EX,MATCH('T1'!$J11&amp;"|"&amp;90,LISTA_KLUCZ,0))),"")</f>
        <v>Incline dumbbell press alternating</v>
      </c>
      <c r="CO11" s="5" t="str">
        <f t="array" ref="CO11">IFERROR(IF('T1'!$J11="",INDEX(LISTA_EX,91),INDEX(LISTA_EX,MATCH('T1'!$J11&amp;"|"&amp;91,LISTA_KLUCZ,0))),"")</f>
        <v>Incline sit-ups</v>
      </c>
      <c r="CP11" s="5" t="str">
        <f t="array" ref="CP11">IFERROR(IF('T1'!$J11="",INDEX(LISTA_EX,92),INDEX(LISTA_EX,MATCH('T1'!$J11&amp;"|"&amp;92,LISTA_KLUCZ,0))),"")</f>
        <v>Jefferson cable</v>
      </c>
      <c r="CQ11" s="5" t="str">
        <f t="array" ref="CQ11">IFERROR(IF('T1'!$J11="",INDEX(LISTA_EX,93),INDEX(LISTA_EX,MATCH('T1'!$J11&amp;"|"&amp;93,LISTA_KLUCZ,0))),"")</f>
        <v>Kettlebell march</v>
      </c>
      <c r="CR11" s="5" t="str">
        <f t="array" ref="CR11">IFERROR(IF('T1'!$J11="",INDEX(LISTA_EX,94),INDEX(LISTA_EX,MATCH('T1'!$J11&amp;"|"&amp;94,LISTA_KLUCZ,0))),"")</f>
        <v>Kickbacks</v>
      </c>
      <c r="CS11" s="5" t="str">
        <f t="array" ref="CS11">IFERROR(IF('T1'!$J11="",INDEX(LISTA_EX,95),INDEX(LISTA_EX,MATCH('T1'!$J11&amp;"|"&amp;95,LISTA_KLUCZ,0))),"")</f>
        <v>Knee extension machine</v>
      </c>
      <c r="CT11" s="5" t="str">
        <f t="array" ref="CT11">IFERROR(IF('T1'!$J11="",INDEX(LISTA_EX,96),INDEX(LISTA_EX,MATCH('T1'!$J11&amp;"|"&amp;96,LISTA_KLUCZ,0))),"")</f>
        <v>Knee flexion machine</v>
      </c>
      <c r="CU11" s="5" t="str">
        <f t="array" ref="CU11">IFERROR(IF('T1'!$J11="",INDEX(LISTA_EX,97),INDEX(LISTA_EX,MATCH('T1'!$J11&amp;"|"&amp;97,LISTA_KLUCZ,0))),"")</f>
        <v>Knee raises</v>
      </c>
      <c r="CV11" s="5" t="str">
        <f t="array" ref="CV11">IFERROR(IF('T1'!$J11="",INDEX(LISTA_EX,98),INDEX(LISTA_EX,MATCH('T1'!$J11&amp;"|"&amp;98,LISTA_KLUCZ,0))),"")</f>
        <v>Landmine core</v>
      </c>
      <c r="CW11" s="5" t="str">
        <f t="array" ref="CW11">IFERROR(IF('T1'!$J11="",INDEX(LISTA_EX,99),INDEX(LISTA_EX,MATCH('T1'!$J11&amp;"|"&amp;99,LISTA_KLUCZ,0))),"")</f>
        <v>Landmine press</v>
      </c>
      <c r="CX11" s="5" t="str">
        <f t="array" ref="CX11">IFERROR(IF('T1'!$J11="",INDEX(LISTA_EX,100),INDEX(LISTA_EX,MATCH('T1'!$J11&amp;"|"&amp;100,LISTA_KLUCZ,0))),"")</f>
        <v>Landmine rotations (powtórzenia x2)</v>
      </c>
      <c r="CY11" s="5" t="str">
        <f t="array" ref="CY11">IFERROR(IF('T1'!$J11="",INDEX(LISTA_EX,101),INDEX(LISTA_EX,MATCH('T1'!$J11&amp;"|"&amp;101,LISTA_KLUCZ,0))),"")</f>
        <v>Landmine SLDL</v>
      </c>
      <c r="CZ11" s="5" t="str">
        <f t="array" ref="CZ11">IFERROR(IF('T1'!$J11="",INDEX(LISTA_EX,102),INDEX(LISTA_EX,MATCH('T1'!$J11&amp;"|"&amp;102,LISTA_KLUCZ,0))),"")</f>
        <v>Lat pulldown</v>
      </c>
      <c r="DA11" s="5" t="str">
        <f t="array" ref="DA11">IFERROR(IF('T1'!$J11="",INDEX(LISTA_EX,103),INDEX(LISTA_EX,MATCH('T1'!$J11&amp;"|"&amp;103,LISTA_KLUCZ,0))),"")</f>
        <v>Lat pulldown behind the head</v>
      </c>
      <c r="DB11" s="5" t="str">
        <f t="array" ref="DB11">IFERROR(IF('T1'!$J11="",INDEX(LISTA_EX,104),INDEX(LISTA_EX,MATCH('T1'!$J11&amp;"|"&amp;104,LISTA_KLUCZ,0))),"")</f>
        <v>Lat pulldown s/a</v>
      </c>
      <c r="DC11" s="5" t="str">
        <f t="array" ref="DC11">IFERROR(IF('T1'!$J11="",INDEX(LISTA_EX,105),INDEX(LISTA_EX,MATCH('T1'!$J11&amp;"|"&amp;105,LISTA_KLUCZ,0))),"")</f>
        <v>Lateral raise s/a</v>
      </c>
      <c r="DD11" s="5" t="str">
        <f t="array" ref="DD11">IFERROR(IF('T1'!$J11="",INDEX(LISTA_EX,106),INDEX(LISTA_EX,MATCH('T1'!$J11&amp;"|"&amp;106,LISTA_KLUCZ,0))),"")</f>
        <v>Lateral raises</v>
      </c>
      <c r="DE11" s="5" t="str">
        <f t="array" ref="DE11">IFERROR(IF('T1'!$J11="",INDEX(LISTA_EX,107),INDEX(LISTA_EX,MATCH('T1'!$J11&amp;"|"&amp;107,LISTA_KLUCZ,0))),"")</f>
        <v>Lateral raises 2</v>
      </c>
      <c r="DF11" s="5" t="str">
        <f t="array" ref="DF11">IFERROR(IF('T1'!$J11="",INDEX(LISTA_EX,108),INDEX(LISTA_EX,MATCH('T1'!$J11&amp;"|"&amp;108,LISTA_KLUCZ,0))),"")</f>
        <v>Lateral raises full ROM</v>
      </c>
      <c r="DG11" s="5" t="str">
        <f t="array" ref="DG11">IFERROR(IF('T1'!$J11="",INDEX(LISTA_EX,109),INDEX(LISTA_EX,MATCH('T1'!$J11&amp;"|"&amp;109,LISTA_KLUCZ,0))),"")</f>
        <v>Lateral raises hinged</v>
      </c>
      <c r="DH11" s="5" t="str">
        <f t="array" ref="DH11">IFERROR(IF('T1'!$J11="",INDEX(LISTA_EX,110),INDEX(LISTA_EX,MATCH('T1'!$J11&amp;"|"&amp;110,LISTA_KLUCZ,0))),"")</f>
        <v>Lateral raises incline s/a</v>
      </c>
      <c r="DI11" s="5" t="str">
        <f t="array" ref="DI11">IFERROR(IF('T1'!$J11="",INDEX(LISTA_EX,111),INDEX(LISTA_EX,MATCH('T1'!$J11&amp;"|"&amp;111,LISTA_KLUCZ,0))),"")</f>
        <v>Leg curl</v>
      </c>
      <c r="DJ11" s="5" t="str">
        <f t="array" ref="DJ11">IFERROR(IF('T1'!$J11="",INDEX(LISTA_EX,112),INDEX(LISTA_EX,MATCH('T1'!$J11&amp;"|"&amp;112,LISTA_KLUCZ,0))),"")</f>
        <v>Machine row</v>
      </c>
      <c r="DK11" s="5" t="str">
        <f t="array" ref="DK11">IFERROR(IF('T1'!$J11="",INDEX(LISTA_EX,113),INDEX(LISTA_EX,MATCH('T1'!$J11&amp;"|"&amp;113,LISTA_KLUCZ,0))),"")</f>
        <v>Machine row s/a</v>
      </c>
      <c r="DL11" s="5" t="str">
        <f t="array" ref="DL11">IFERROR(IF('T1'!$J11="",INDEX(LISTA_EX,114),INDEX(LISTA_EX,MATCH('T1'!$J11&amp;"|"&amp;114,LISTA_KLUCZ,0))),"")</f>
        <v>Meadows row</v>
      </c>
      <c r="DM11" s="5" t="str">
        <f t="array" ref="DM11">IFERROR(IF('T1'!$J11="",INDEX(LISTA_EX,115),INDEX(LISTA_EX,MATCH('T1'!$J11&amp;"|"&amp;115,LISTA_KLUCZ,0))),"")</f>
        <v>Med ball slam</v>
      </c>
      <c r="DN11" s="5" t="str">
        <f t="array" ref="DN11">IFERROR(IF('T1'!$J11="",INDEX(LISTA_EX,116),INDEX(LISTA_EX,MATCH('T1'!$J11&amp;"|"&amp;116,LISTA_KLUCZ,0))),"")</f>
        <v>OH skullcrushers</v>
      </c>
      <c r="DO11" s="5" t="str">
        <f t="array" ref="DO11">IFERROR(IF('T1'!$J11="",INDEX(LISTA_EX,117),INDEX(LISTA_EX,MATCH('T1'!$J11&amp;"|"&amp;117,LISTA_KLUCZ,0))),"")</f>
        <v>OHP barbell squat 15kg</v>
      </c>
      <c r="DP11" s="5" t="str">
        <f t="array" ref="DP11">IFERROR(IF('T1'!$J11="",INDEX(LISTA_EX,118),INDEX(LISTA_EX,MATCH('T1'!$J11&amp;"|"&amp;118,LISTA_KLUCZ,0))),"")</f>
        <v>Pistol squat eccentric</v>
      </c>
      <c r="DQ11" s="5" t="str">
        <f t="array" ref="DQ11">IFERROR(IF('T1'!$J11="",INDEX(LISTA_EX,119),INDEX(LISTA_EX,MATCH('T1'!$J11&amp;"|"&amp;119,LISTA_KLUCZ,0))),"")</f>
        <v>Plank contralateral</v>
      </c>
      <c r="DR11" s="5" t="str">
        <f t="array" ref="DR11">IFERROR(IF('T1'!$J11="",INDEX(LISTA_EX,120),INDEX(LISTA_EX,MATCH('T1'!$J11&amp;"|"&amp;120,LISTA_KLUCZ,0))),"")</f>
        <v>Plank dumbbell rotation</v>
      </c>
      <c r="DS11" s="5" t="str">
        <f t="array" ref="DS11">IFERROR(IF('T1'!$J11="",INDEX(LISTA_EX,121),INDEX(LISTA_EX,MATCH('T1'!$J11&amp;"|"&amp;121,LISTA_KLUCZ,0))),"")</f>
        <v>Plank leg raises</v>
      </c>
      <c r="DT11" s="5" t="str">
        <f t="array" ref="DT11">IFERROR(IF('T1'!$J11="",INDEX(LISTA_EX,122),INDEX(LISTA_EX,MATCH('T1'!$J11&amp;"|"&amp;122,LISTA_KLUCZ,0))),"")</f>
        <v>Poliquin step up</v>
      </c>
      <c r="DU11" s="5" t="str">
        <f t="array" ref="DU11">IFERROR(IF('T1'!$J11="",INDEX(LISTA_EX,123),INDEX(LISTA_EX,MATCH('T1'!$J11&amp;"|"&amp;123,LISTA_KLUCZ,0))),"")</f>
        <v>Poliquin step up paused 3sec</v>
      </c>
      <c r="DV11" s="5" t="str">
        <f t="array" ref="DV11">IFERROR(IF('T1'!$J11="",INDEX(LISTA_EX,124),INDEX(LISTA_EX,MATCH('T1'!$J11&amp;"|"&amp;124,LISTA_KLUCZ,0))),"")</f>
        <v>Pronation/Supination</v>
      </c>
      <c r="DW11" s="5" t="str">
        <f t="array" ref="DW11">IFERROR(IF('T1'!$J11="",INDEX(LISTA_EX,125),INDEX(LISTA_EX,MATCH('T1'!$J11&amp;"|"&amp;125,LISTA_KLUCZ,0))),"")</f>
        <v>Pull up</v>
      </c>
      <c r="DX11" s="5" t="str">
        <f t="array" ref="DX11">IFERROR(IF('T1'!$J11="",INDEX(LISTA_EX,126),INDEX(LISTA_EX,MATCH('T1'!$J11&amp;"|"&amp;126,LISTA_KLUCZ,0))),"")</f>
        <v>Pull up eccentric weighted</v>
      </c>
      <c r="DY11" s="5" t="str">
        <f t="array" ref="DY11">IFERROR(IF('T1'!$J11="",INDEX(LISTA_EX,127),INDEX(LISTA_EX,MATCH('T1'!$J11&amp;"|"&amp;127,LISTA_KLUCZ,0))),"")</f>
        <v>Pull up eccentric weighted (5 sek w dół)</v>
      </c>
      <c r="DZ11" s="5" t="str">
        <f t="array" ref="DZ11">IFERROR(IF('T1'!$J11="",INDEX(LISTA_EX,128),INDEX(LISTA_EX,MATCH('T1'!$J11&amp;"|"&amp;128,LISTA_KLUCZ,0))),"")</f>
        <v>Pull up weighted</v>
      </c>
      <c r="EA11" s="5" t="str">
        <f t="array" ref="EA11">IFERROR(IF('T1'!$J11="",INDEX(LISTA_EX,129),INDEX(LISTA_EX,MATCH('T1'!$J11&amp;"|"&amp;129,LISTA_KLUCZ,0))),"")</f>
        <v>Pull ups (paused)</v>
      </c>
      <c r="EB11" s="5" t="str">
        <f t="array" ref="EB11">IFERROR(IF('T1'!$J11="",INDEX(LISTA_EX,130),INDEX(LISTA_EX,MATCH('T1'!$J11&amp;"|"&amp;130,LISTA_KLUCZ,0))),"")</f>
        <v>Push press barbell</v>
      </c>
      <c r="EC11" s="5" t="str">
        <f t="array" ref="EC11">IFERROR(IF('T1'!$J11="",INDEX(LISTA_EX,131),INDEX(LISTA_EX,MATCH('T1'!$J11&amp;"|"&amp;131,LISTA_KLUCZ,0))),"")</f>
        <v>Push up</v>
      </c>
      <c r="ED11" s="5" t="str">
        <f t="array" ref="ED11">IFERROR(IF('T1'!$J11="",INDEX(LISTA_EX,132),INDEX(LISTA_EX,MATCH('T1'!$J11&amp;"|"&amp;132,LISTA_KLUCZ,0))),"")</f>
        <v>Raised bird dog</v>
      </c>
      <c r="EE11" s="5" t="str">
        <f t="array" ref="EE11">IFERROR(IF('T1'!$J11="",INDEX(LISTA_EX,133),INDEX(LISTA_EX,MATCH('T1'!$J11&amp;"|"&amp;133,LISTA_KLUCZ,0))),"")</f>
        <v>RDL</v>
      </c>
      <c r="EF11" s="5" t="str">
        <f t="array" ref="EF11">IFERROR(IF('T1'!$J11="",INDEX(LISTA_EX,134),INDEX(LISTA_EX,MATCH('T1'!$J11&amp;"|"&amp;134,LISTA_KLUCZ,0))),"")</f>
        <v>Reverse Nordic</v>
      </c>
      <c r="EG11" s="5" t="str">
        <f t="array" ref="EG11">IFERROR(IF('T1'!$J11="",INDEX(LISTA_EX,135),INDEX(LISTA_EX,MATCH('T1'!$J11&amp;"|"&amp;135,LISTA_KLUCZ,0))),"")</f>
        <v>Rope pushdown</v>
      </c>
      <c r="EH11" s="5" t="str">
        <f t="array" ref="EH11">IFERROR(IF('T1'!$J11="",INDEX(LISTA_EX,136),INDEX(LISTA_EX,MATCH('T1'!$J11&amp;"|"&amp;136,LISTA_KLUCZ,0))),"")</f>
        <v>Rope pushdown OH</v>
      </c>
      <c r="EI11" s="5" t="str">
        <f t="array" ref="EI11">IFERROR(IF('T1'!$J11="",INDEX(LISTA_EX,137),INDEX(LISTA_EX,MATCH('T1'!$J11&amp;"|"&amp;137,LISTA_KLUCZ,0))),"")</f>
        <v>S/a cable pulldown incline bench</v>
      </c>
      <c r="EJ11" s="5" t="str">
        <f t="array" ref="EJ11">IFERROR(IF('T1'!$J11="",INDEX(LISTA_EX,138),INDEX(LISTA_EX,MATCH('T1'!$J11&amp;"|"&amp;138,LISTA_KLUCZ,0))),"")</f>
        <v>S/a lat pulldown incline bench</v>
      </c>
      <c r="EK11" s="5" t="str">
        <f t="array" ref="EK11">IFERROR(IF('T1'!$J11="",INDEX(LISTA_EX,139),INDEX(LISTA_EX,MATCH('T1'!$J11&amp;"|"&amp;139,LISTA_KLUCZ,0))),"")</f>
        <v>S/l dragonflag eccentric</v>
      </c>
      <c r="EL11" s="5" t="str">
        <f t="array" ref="EL11">IFERROR(IF('T1'!$J11="",INDEX(LISTA_EX,140),INDEX(LISTA_EX,MATCH('T1'!$J11&amp;"|"&amp;140,LISTA_KLUCZ,0))),"")</f>
        <v>S/l hip thrust</v>
      </c>
      <c r="EM11" s="5" t="str">
        <f t="array" ref="EM11">IFERROR(IF('T1'!$J11="",INDEX(LISTA_EX,141),INDEX(LISTA_EX,MATCH('T1'!$J11&amp;"|"&amp;141,LISTA_KLUCZ,0))),"")</f>
        <v>Seated broad jump</v>
      </c>
      <c r="EN11" s="5" t="str">
        <f t="array" ref="EN11">IFERROR(IF('T1'!$J11="",INDEX(LISTA_EX,142),INDEX(LISTA_EX,MATCH('T1'!$J11&amp;"|"&amp;142,LISTA_KLUCZ,0))),"")</f>
        <v>Seated cable facepull</v>
      </c>
      <c r="EO11" s="5" t="str">
        <f t="array" ref="EO11">IFERROR(IF('T1'!$J11="",INDEX(LISTA_EX,143),INDEX(LISTA_EX,MATCH('T1'!$J11&amp;"|"&amp;143,LISTA_KLUCZ,0))),"")</f>
        <v>Seated seesaw press (nogi proste)</v>
      </c>
      <c r="EP11" s="5" t="str">
        <f t="array" ref="EP11">IFERROR(IF('T1'!$J11="",INDEX(LISTA_EX,144),INDEX(LISTA_EX,MATCH('T1'!$J11&amp;"|"&amp;144,LISTA_KLUCZ,0))),"")</f>
        <v>Seesaw press</v>
      </c>
      <c r="EQ11" s="5" t="str">
        <f t="array" ref="EQ11">IFERROR(IF('T1'!$J11="",INDEX(LISTA_EX,145),INDEX(LISTA_EX,MATCH('T1'!$J11&amp;"|"&amp;145,LISTA_KLUCZ,0))),"")</f>
        <v>Side crunches</v>
      </c>
      <c r="ER11" s="5" t="str">
        <f t="array" ref="ER11">IFERROR(IF('T1'!$J11="",INDEX(LISTA_EX,146),INDEX(LISTA_EX,MATCH('T1'!$J11&amp;"|"&amp;146,LISTA_KLUCZ,0))),"")</f>
        <v>Side plank hip drop</v>
      </c>
      <c r="ES11" s="5" t="str">
        <f t="array" ref="ES11">IFERROR(IF('T1'!$J11="",INDEX(LISTA_EX,147),INDEX(LISTA_EX,MATCH('T1'!$J11&amp;"|"&amp;147,LISTA_KLUCZ,0))),"")</f>
        <v>Side plank rotations</v>
      </c>
      <c r="ET11" s="5" t="str">
        <f t="array" ref="ET11">IFERROR(IF('T1'!$J11="",INDEX(LISTA_EX,148),INDEX(LISTA_EX,MATCH('T1'!$J11&amp;"|"&amp;148,LISTA_KLUCZ,0))),"")</f>
        <v>SLDL balance</v>
      </c>
      <c r="EU11" s="5" t="str">
        <f t="array" ref="EU11">IFERROR(IF('T1'!$J11="",INDEX(LISTA_EX,149),INDEX(LISTA_EX,MATCH('T1'!$J11&amp;"|"&amp;149,LISTA_KLUCZ,0))),"")</f>
        <v>Split squat</v>
      </c>
      <c r="EV11" s="5" t="str">
        <f t="array" ref="EV11">IFERROR(IF('T1'!$J11="",INDEX(LISTA_EX,150),INDEX(LISTA_EX,MATCH('T1'!$J11&amp;"|"&amp;150,LISTA_KLUCZ,0))),"")</f>
        <v>Split stance SLDL</v>
      </c>
      <c r="EW11" s="5" t="str">
        <f t="array" ref="EW11">IFERROR(IF('T1'!$J11="",INDEX(LISTA_EX,151),INDEX(LISTA_EX,MATCH('T1'!$J11&amp;"|"&amp;151,LISTA_KLUCZ,0))),"")</f>
        <v>Squat izo (15 sek)</v>
      </c>
      <c r="EX11" s="5" t="str">
        <f t="array" ref="EX11">IFERROR(IF('T1'!$J11="",INDEX(LISTA_EX,152),INDEX(LISTA_EX,MATCH('T1'!$J11&amp;"|"&amp;152,LISTA_KLUCZ,0))),"")</f>
        <v>Standing landmine press</v>
      </c>
      <c r="EY11" s="5" t="str">
        <f t="array" ref="EY11">IFERROR(IF('T1'!$J11="",INDEX(LISTA_EX,153),INDEX(LISTA_EX,MATCH('T1'!$J11&amp;"|"&amp;153,LISTA_KLUCZ,0))),"")</f>
        <v>Suitcase carry</v>
      </c>
      <c r="EZ11" s="5" t="str">
        <f t="array" ref="EZ11">IFERROR(IF('T1'!$J11="",INDEX(LISTA_EX,154),INDEX(LISTA_EX,MATCH('T1'!$J11&amp;"|"&amp;154,LISTA_KLUCZ,0))),"")</f>
        <v>Supine pigeon abs</v>
      </c>
      <c r="FA11" s="5" t="str">
        <f t="array" ref="FA11">IFERROR(IF('T1'!$J11="",INDEX(LISTA_EX,155),INDEX(LISTA_EX,MATCH('T1'!$J11&amp;"|"&amp;155,LISTA_KLUCZ,0))),"")</f>
        <v>Swiss ball leg curl</v>
      </c>
      <c r="FB11" s="5" t="str">
        <f t="array" ref="FB11">IFERROR(IF('T1'!$J11="",INDEX(LISTA_EX,156),INDEX(LISTA_EX,MATCH('T1'!$J11&amp;"|"&amp;156,LISTA_KLUCZ,0))),"")</f>
        <v>Toes to bar</v>
      </c>
      <c r="FC11" s="5" t="str">
        <f t="array" ref="FC11">IFERROR(IF('T1'!$J11="",INDEX(LISTA_EX,157),INDEX(LISTA_EX,MATCH('T1'!$J11&amp;"|"&amp;157,LISTA_KLUCZ,0))),"")</f>
        <v>Trap bar deadlift</v>
      </c>
      <c r="FD11" s="5" t="str">
        <f t="array" ref="FD11">IFERROR(IF('T1'!$J11="",INDEX(LISTA_EX,158),INDEX(LISTA_EX,MATCH('T1'!$J11&amp;"|"&amp;158,LISTA_KLUCZ,0))),"")</f>
        <v>Tricep cable pushdown</v>
      </c>
      <c r="FE11" s="5" t="str">
        <f t="array" ref="FE11">IFERROR(IF('T1'!$J11="",INDEX(LISTA_EX,159),INDEX(LISTA_EX,MATCH('T1'!$J11&amp;"|"&amp;159,LISTA_KLUCZ,0))),"")</f>
        <v>Tricep JM press</v>
      </c>
      <c r="FF11" s="5" t="str">
        <f t="array" ref="FF11">IFERROR(IF('T1'!$J11="",INDEX(LISTA_EX,160),INDEX(LISTA_EX,MATCH('T1'!$J11&amp;"|"&amp;160,LISTA_KLUCZ,0))),"")</f>
        <v>Tricep OH cable</v>
      </c>
      <c r="FG11" s="5" t="str">
        <f t="array" ref="FG11">IFERROR(IF('T1'!$J11="",INDEX(LISTA_EX,161),INDEX(LISTA_EX,MATCH('T1'!$J11&amp;"|"&amp;161,LISTA_KLUCZ,0))),"")</f>
        <v>Tricep OH ez bar</v>
      </c>
      <c r="FH11" s="5" t="str">
        <f t="array" ref="FH11">IFERROR(IF('T1'!$J11="",INDEX(LISTA_EX,162),INDEX(LISTA_EX,MATCH('T1'!$J11&amp;"|"&amp;162,LISTA_KLUCZ,0))),"")</f>
        <v>Walking lunges</v>
      </c>
      <c r="FI11" s="5" t="str">
        <f t="array" ref="FI11">IFERROR(IF('T1'!$J11="",INDEX(LISTA_EX,163),INDEX(LISTA_EX,MATCH('T1'!$J11&amp;"|"&amp;163,LISTA_KLUCZ,0))),"")</f>
        <v>Wipers kettle</v>
      </c>
      <c r="FJ11" s="5" t="str">
        <f t="array" ref="FJ11">IFERROR(IF('T1'!$J11="",INDEX(LISTA_EX,164),INDEX(LISTA_EX,MATCH('T1'!$J11&amp;"|"&amp;164,LISTA_KLUCZ,0))),"")</f>
        <v>Zercher jumps</v>
      </c>
      <c r="FK11" s="5" t="str">
        <f t="array" ref="FK11">IFERROR(IF('T1'!$J11="",INDEX(LISTA_EX,165),INDEX(LISTA_EX,MATCH('T1'!$J11&amp;"|"&amp;165,LISTA_KLUCZ,0))),"")</f>
        <v/>
      </c>
      <c r="FL11" s="5" t="str">
        <f t="array" ref="FL11">IFERROR(IF('T1'!$J11="",INDEX(LISTA_EX,166),INDEX(LISTA_EX,MATCH('T1'!$J11&amp;"|"&amp;166,LISTA_KLUCZ,0))),"")</f>
        <v/>
      </c>
      <c r="FM11" s="5" t="str">
        <f t="array" ref="FM11">IFERROR(IF('T1'!$J11="",INDEX(LISTA_EX,167),INDEX(LISTA_EX,MATCH('T1'!$J11&amp;"|"&amp;167,LISTA_KLUCZ,0))),"")</f>
        <v/>
      </c>
      <c r="FN11" s="5" t="str">
        <f t="array" ref="FN11">IFERROR(IF('T1'!$J11="",INDEX(LISTA_EX,168),INDEX(LISTA_EX,MATCH('T1'!$J11&amp;"|"&amp;168,LISTA_KLUCZ,0))),"")</f>
        <v/>
      </c>
      <c r="FO11" s="5" t="str">
        <f t="array" ref="FO11">IFERROR(IF('T1'!$J11="",INDEX(LISTA_EX,169),INDEX(LISTA_EX,MATCH('T1'!$J11&amp;"|"&amp;169,LISTA_KLUCZ,0))),"")</f>
        <v/>
      </c>
      <c r="FP11" s="5" t="str">
        <f t="array" ref="FP11">IFERROR(IF('T1'!$J11="",INDEX(LISTA_EX,170),INDEX(LISTA_EX,MATCH('T1'!$J11&amp;"|"&amp;170,LISTA_KLUCZ,0))),"")</f>
        <v/>
      </c>
      <c r="FQ11" s="5" t="str">
        <f t="array" ref="FQ11">IFERROR(IF('T1'!$J11="",INDEX(LISTA_EX,171),INDEX(LISTA_EX,MATCH('T1'!$J11&amp;"|"&amp;171,LISTA_KLUCZ,0))),"")</f>
        <v/>
      </c>
      <c r="FR11" s="5" t="str">
        <f t="array" ref="FR11">IFERROR(IF('T1'!$J11="",INDEX(LISTA_EX,172),INDEX(LISTA_EX,MATCH('T1'!$J11&amp;"|"&amp;172,LISTA_KLUCZ,0))),"")</f>
        <v/>
      </c>
      <c r="FS11" s="5" t="str">
        <f t="array" ref="FS11">IFERROR(IF('T1'!$J11="",INDEX(LISTA_EX,173),INDEX(LISTA_EX,MATCH('T1'!$J11&amp;"|"&amp;173,LISTA_KLUCZ,0))),"")</f>
        <v/>
      </c>
      <c r="FT11" s="5" t="str">
        <f t="array" ref="FT11">IFERROR(IF('T1'!$J11="",INDEX(LISTA_EX,174),INDEX(LISTA_EX,MATCH('T1'!$J11&amp;"|"&amp;174,LISTA_KLUCZ,0))),"")</f>
        <v/>
      </c>
      <c r="FU11" s="5" t="str">
        <f t="array" ref="FU11">IFERROR(IF('T1'!$J11="",INDEX(LISTA_EX,175),INDEX(LISTA_EX,MATCH('T1'!$J11&amp;"|"&amp;175,LISTA_KLUCZ,0))),"")</f>
        <v/>
      </c>
      <c r="FV11" s="5" t="str">
        <f t="array" ref="FV11">IFERROR(IF('T1'!$J11="",INDEX(LISTA_EX,176),INDEX(LISTA_EX,MATCH('T1'!$J11&amp;"|"&amp;176,LISTA_KLUCZ,0))),"")</f>
        <v/>
      </c>
      <c r="FW11" s="5" t="str">
        <f t="array" ref="FW11">IFERROR(IF('T1'!$J11="",INDEX(LISTA_EX,177),INDEX(LISTA_EX,MATCH('T1'!$J11&amp;"|"&amp;177,LISTA_KLUCZ,0))),"")</f>
        <v/>
      </c>
      <c r="FX11" s="5" t="str">
        <f t="array" ref="FX11">IFERROR(IF('T1'!$J11="",INDEX(LISTA_EX,178),INDEX(LISTA_EX,MATCH('T1'!$J11&amp;"|"&amp;178,LISTA_KLUCZ,0))),"")</f>
        <v/>
      </c>
      <c r="FY11" s="5" t="str">
        <f t="array" ref="FY11">IFERROR(IF('T1'!$J11="",INDEX(LISTA_EX,179),INDEX(LISTA_EX,MATCH('T1'!$J11&amp;"|"&amp;179,LISTA_KLUCZ,0))),"")</f>
        <v/>
      </c>
      <c r="FZ11" s="5" t="str">
        <f t="array" ref="FZ11">IFERROR(IF('T1'!$J11="",INDEX(LISTA_EX,180),INDEX(LISTA_EX,MATCH('T1'!$J11&amp;"|"&amp;180,LISTA_KLUCZ,0))),"")</f>
        <v/>
      </c>
      <c r="GA11" s="5" t="str">
        <f t="array" ref="GA11">IFERROR(IF('T1'!$J11="",INDEX(LISTA_EX,181),INDEX(LISTA_EX,MATCH('T1'!$J11&amp;"|"&amp;181,LISTA_KLUCZ,0))),"")</f>
        <v/>
      </c>
      <c r="GB11" s="5" t="str">
        <f t="array" ref="GB11">IFERROR(IF('T1'!$J11="",INDEX(LISTA_EX,182),INDEX(LISTA_EX,MATCH('T1'!$J11&amp;"|"&amp;182,LISTA_KLUCZ,0))),"")</f>
        <v/>
      </c>
      <c r="GC11" s="5" t="str">
        <f t="array" ref="GC11">IFERROR(IF('T1'!$J11="",INDEX(LISTA_EX,183),INDEX(LISTA_EX,MATCH('T1'!$J11&amp;"|"&amp;183,LISTA_KLUCZ,0))),"")</f>
        <v/>
      </c>
      <c r="GD11" s="5" t="str">
        <f t="array" ref="GD11">IFERROR(IF('T1'!$J11="",INDEX(LISTA_EX,184),INDEX(LISTA_EX,MATCH('T1'!$J11&amp;"|"&amp;184,LISTA_KLUCZ,0))),"")</f>
        <v/>
      </c>
      <c r="GE11" s="5" t="str">
        <f t="array" ref="GE11">IFERROR(IF('T1'!$J11="",INDEX(LISTA_EX,185),INDEX(LISTA_EX,MATCH('T1'!$J11&amp;"|"&amp;185,LISTA_KLUCZ,0))),"")</f>
        <v/>
      </c>
      <c r="GF11" s="5" t="str">
        <f t="array" ref="GF11">IFERROR(IF('T1'!$J11="",INDEX(LISTA_EX,186),INDEX(LISTA_EX,MATCH('T1'!$J11&amp;"|"&amp;186,LISTA_KLUCZ,0))),"")</f>
        <v/>
      </c>
      <c r="GG11" s="5" t="str">
        <f t="array" ref="GG11">IFERROR(IF('T1'!$J11="",INDEX(LISTA_EX,187),INDEX(LISTA_EX,MATCH('T1'!$J11&amp;"|"&amp;187,LISTA_KLUCZ,0))),"")</f>
        <v/>
      </c>
      <c r="GH11" s="5" t="str">
        <f t="array" ref="GH11">IFERROR(IF('T1'!$J11="",INDEX(LISTA_EX,188),INDEX(LISTA_EX,MATCH('T1'!$J11&amp;"|"&amp;188,LISTA_KLUCZ,0))),"")</f>
        <v/>
      </c>
      <c r="GI11" s="5" t="str">
        <f t="array" ref="GI11">IFERROR(IF('T1'!$J11="",INDEX(LISTA_EX,189),INDEX(LISTA_EX,MATCH('T1'!$J11&amp;"|"&amp;189,LISTA_KLUCZ,0))),"")</f>
        <v/>
      </c>
      <c r="GJ11" s="5" t="str">
        <f t="array" ref="GJ11">IFERROR(IF('T1'!$J11="",INDEX(LISTA_EX,190),INDEX(LISTA_EX,MATCH('T1'!$J11&amp;"|"&amp;190,LISTA_KLUCZ,0))),"")</f>
        <v/>
      </c>
      <c r="GK11" s="5" t="str">
        <f t="array" ref="GK11">IFERROR(IF('T1'!$J11="",INDEX(LISTA_EX,191),INDEX(LISTA_EX,MATCH('T1'!$J11&amp;"|"&amp;191,LISTA_KLUCZ,0))),"")</f>
        <v/>
      </c>
      <c r="GL11" s="5" t="str">
        <f t="array" ref="GL11">IFERROR(IF('T1'!$J11="",INDEX(LISTA_EX,192),INDEX(LISTA_EX,MATCH('T1'!$J11&amp;"|"&amp;192,LISTA_KLUCZ,0))),"")</f>
        <v/>
      </c>
      <c r="GM11" s="5" t="str">
        <f t="array" ref="GM11">IFERROR(IF('T1'!$J11="",INDEX(LISTA_EX,193),INDEX(LISTA_EX,MATCH('T1'!$J11&amp;"|"&amp;193,LISTA_KLUCZ,0))),"")</f>
        <v/>
      </c>
      <c r="GN11" s="5" t="str">
        <f t="array" ref="GN11">IFERROR(IF('T1'!$J11="",INDEX(LISTA_EX,194),INDEX(LISTA_EX,MATCH('T1'!$J11&amp;"|"&amp;194,LISTA_KLUCZ,0))),"")</f>
        <v/>
      </c>
      <c r="GO11" s="5" t="str">
        <f t="array" ref="GO11">IFERROR(IF('T1'!$J11="",INDEX(LISTA_EX,195),INDEX(LISTA_EX,MATCH('T1'!$J11&amp;"|"&amp;195,LISTA_KLUCZ,0))),"")</f>
        <v/>
      </c>
      <c r="GP11" s="5" t="str">
        <f t="array" ref="GP11">IFERROR(IF('T1'!$J11="",INDEX(LISTA_EX,196),INDEX(LISTA_EX,MATCH('T1'!$J11&amp;"|"&amp;196,LISTA_KLUCZ,0))),"")</f>
        <v/>
      </c>
      <c r="GQ11" s="5" t="str">
        <f t="array" ref="GQ11">IFERROR(IF('T1'!$J11="",INDEX(LISTA_EX,197),INDEX(LISTA_EX,MATCH('T1'!$J11&amp;"|"&amp;197,LISTA_KLUCZ,0))),"")</f>
        <v/>
      </c>
      <c r="GR11" s="5" t="str">
        <f t="array" ref="GR11">IFERROR(IF('T1'!$J11="",INDEX(LISTA_EX,198),INDEX(LISTA_EX,MATCH('T1'!$J11&amp;"|"&amp;198,LISTA_KLUCZ,0))),"")</f>
        <v/>
      </c>
      <c r="GS11" s="5" t="str">
        <f t="array" ref="GS11">IFERROR(IF('T1'!$J11="",INDEX(LISTA_EX,199),INDEX(LISTA_EX,MATCH('T1'!$J11&amp;"|"&amp;199,LISTA_KLUCZ,0))),"")</f>
        <v/>
      </c>
      <c r="GT11" s="5" t="str">
        <f t="array" ref="GT11">IFERROR(IF('T1'!$J11="",INDEX(LISTA_EX,200),INDEX(LISTA_EX,MATCH('T1'!$J11&amp;"|"&amp;200,LISTA_KLUCZ,0))),"")</f>
        <v/>
      </c>
      <c r="GV11" s="5" t="str">
        <f>IF(BAZA!$A11="","",BAZA!$A11)</f>
        <v>Banded pull ups</v>
      </c>
      <c r="GW11" s="5" t="str">
        <f>IF(BAZA!$B11="","",BAZA!$B11&amp;"|"&amp;COUNTIF(BAZA!$B$3:$B11,BAZA!$B11))</f>
        <v>Upper pull vertical|1</v>
      </c>
    </row>
    <row r="12" ht="15.0" customHeight="1">
      <c r="A12" s="5" t="str">
        <f>IF('T1'!$K12="","",'T1'!$K12)</f>
        <v>D1-S06</v>
      </c>
      <c r="B12" s="5" t="str">
        <f>IF('T1'!$J12="","(wszystkie)",'T1'!$J12)</f>
        <v>(wszystkie)</v>
      </c>
      <c r="C12" s="5" t="str">
        <f t="array" ref="C12">IFERROR(IF('T1'!$J12="",INDEX(LISTA_EX,1),INDEX(LISTA_EX,MATCH('T1'!$J12&amp;"|"&amp;1,LISTA_KLUCZ,0))),"")</f>
        <v>Abduction machine</v>
      </c>
      <c r="D12" s="5" t="str">
        <f t="array" ref="D12">IFERROR(IF('T1'!$J12="",INDEX(LISTA_EX,2),INDEX(LISTA_EX,MATCH('T1'!$J12&amp;"|"&amp;2,LISTA_KLUCZ,0))),"")</f>
        <v>Adduction machine</v>
      </c>
      <c r="E12" s="5" t="str">
        <f t="array" ref="E12">IFERROR(IF('T1'!$J12="",INDEX(LISTA_EX,3),INDEX(LISTA_EX,MATCH('T1'!$J12&amp;"|"&amp;3,LISTA_KLUCZ,0))),"")</f>
        <v>Allah</v>
      </c>
      <c r="F12" s="5" t="str">
        <f t="array" ref="F12">IFERROR(IF('T1'!$J12="",INDEX(LISTA_EX,4),INDEX(LISTA_EX,MATCH('T1'!$J12&amp;"|"&amp;4,LISTA_KLUCZ,0))),"")</f>
        <v>Arnold press</v>
      </c>
      <c r="G12" s="5" t="str">
        <f t="array" ref="G12">IFERROR(IF('T1'!$J12="",INDEX(LISTA_EX,5),INDEX(LISTA_EX,MATCH('T1'!$J12&amp;"|"&amp;5,LISTA_KLUCZ,0))),"")</f>
        <v>Arnold press alternating</v>
      </c>
      <c r="H12" s="5" t="str">
        <f t="array" ref="H12">IFERROR(IF('T1'!$J12="",INDEX(LISTA_EX,6),INDEX(LISTA_EX,MATCH('T1'!$J12&amp;"|"&amp;6,LISTA_KLUCZ,0))),"")</f>
        <v>B/l dragonflag eccentric</v>
      </c>
      <c r="I12" s="5" t="str">
        <f t="array" ref="I12">IFERROR(IF('T1'!$J12="",INDEX(LISTA_EX,7),INDEX(LISTA_EX,MATCH('T1'!$J12&amp;"|"&amp;7,LISTA_KLUCZ,0))),"")</f>
        <v>Back extension</v>
      </c>
      <c r="J12" s="5" t="str">
        <f t="array" ref="J12">IFERROR(IF('T1'!$J12="",INDEX(LISTA_EX,8),INDEX(LISTA_EX,MATCH('T1'!$J12&amp;"|"&amp;8,LISTA_KLUCZ,0))),"")</f>
        <v>Banded pistol squat</v>
      </c>
      <c r="K12" s="5" t="str">
        <f t="array" ref="K12">IFERROR(IF('T1'!$J12="",INDEX(LISTA_EX,9),INDEX(LISTA_EX,MATCH('T1'!$J12&amp;"|"&amp;9,LISTA_KLUCZ,0))),"")</f>
        <v>Banded pull ups</v>
      </c>
      <c r="L12" s="5" t="str">
        <f t="array" ref="L12">IFERROR(IF('T1'!$J12="",INDEX(LISTA_EX,10),INDEX(LISTA_EX,MATCH('T1'!$J12&amp;"|"&amp;10,LISTA_KLUCZ,0))),"")</f>
        <v>Barbell back squat</v>
      </c>
      <c r="M12" s="5" t="str">
        <f t="array" ref="M12">IFERROR(IF('T1'!$J12="",INDEX(LISTA_EX,11),INDEX(LISTA_EX,MATCH('T1'!$J12&amp;"|"&amp;11,LISTA_KLUCZ,0))),"")</f>
        <v>Barbell bench press</v>
      </c>
      <c r="N12" s="5" t="str">
        <f t="array" ref="N12">IFERROR(IF('T1'!$J12="",INDEX(LISTA_EX,12),INDEX(LISTA_EX,MATCH('T1'!$J12&amp;"|"&amp;12,LISTA_KLUCZ,0))),"")</f>
        <v>Barbell curl</v>
      </c>
      <c r="O12" s="5" t="str">
        <f t="array" ref="O12">IFERROR(IF('T1'!$J12="",INDEX(LISTA_EX,13),INDEX(LISTA_EX,MATCH('T1'!$J12&amp;"|"&amp;13,LISTA_KLUCZ,0))),"")</f>
        <v>Barbell low bar squat</v>
      </c>
      <c r="P12" s="5" t="str">
        <f t="array" ref="P12">IFERROR(IF('T1'!$J12="",INDEX(LISTA_EX,14),INDEX(LISTA_EX,MATCH('T1'!$J12&amp;"|"&amp;14,LISTA_KLUCZ,0))),"")</f>
        <v>Barbell OHP</v>
      </c>
      <c r="Q12" s="5" t="str">
        <f t="array" ref="Q12">IFERROR(IF('T1'!$J12="",INDEX(LISTA_EX,15),INDEX(LISTA_EX,MATCH('T1'!$J12&amp;"|"&amp;15,LISTA_KLUCZ,0))),"")</f>
        <v>Barbell oscilation</v>
      </c>
      <c r="R12" s="5" t="str">
        <f t="array" ref="R12">IFERROR(IF('T1'!$J12="",INDEX(LISTA_EX,16),INDEX(LISTA_EX,MATCH('T1'!$J12&amp;"|"&amp;16,LISTA_KLUCZ,0))),"")</f>
        <v>Barbell row</v>
      </c>
      <c r="S12" s="5" t="str">
        <f t="array" ref="S12">IFERROR(IF('T1'!$J12="",INDEX(LISTA_EX,17),INDEX(LISTA_EX,MATCH('T1'!$J12&amp;"|"&amp;17,LISTA_KLUCZ,0))),"")</f>
        <v>Barbell row dead stop pins</v>
      </c>
      <c r="T12" s="5" t="str">
        <f t="array" ref="T12">IFERROR(IF('T1'!$J12="",INDEX(LISTA_EX,18),INDEX(LISTA_EX,MATCH('T1'!$J12&amp;"|"&amp;18,LISTA_KLUCZ,0))),"")</f>
        <v>Barbell SLDL</v>
      </c>
      <c r="U12" s="5" t="str">
        <f t="array" ref="U12">IFERROR(IF('T1'!$J12="",INDEX(LISTA_EX,19),INDEX(LISTA_EX,MATCH('T1'!$J12&amp;"|"&amp;19,LISTA_KLUCZ,0))),"")</f>
        <v>Bayesian curl</v>
      </c>
      <c r="V12" s="5" t="str">
        <f t="array" ref="V12">IFERROR(IF('T1'!$J12="",INDEX(LISTA_EX,20),INDEX(LISTA_EX,MATCH('T1'!$J12&amp;"|"&amp;20,LISTA_KLUCZ,0))),"")</f>
        <v>Bear renegade row</v>
      </c>
      <c r="W12" s="5" t="str">
        <f t="array" ref="W12">IFERROR(IF('T1'!$J12="",INDEX(LISTA_EX,21),INDEX(LISTA_EX,MATCH('T1'!$J12&amp;"|"&amp;21,LISTA_KLUCZ,0))),"")</f>
        <v>Bench press paused 3sec</v>
      </c>
      <c r="X12" s="5" t="str">
        <f t="array" ref="X12">IFERROR(IF('T1'!$J12="",INDEX(LISTA_EX,22),INDEX(LISTA_EX,MATCH('T1'!$J12&amp;"|"&amp;22,LISTA_KLUCZ,0))),"")</f>
        <v>Bicep hammer curl</v>
      </c>
      <c r="Y12" s="5" t="str">
        <f t="array" ref="Y12">IFERROR(IF('T1'!$J12="",INDEX(LISTA_EX,23),INDEX(LISTA_EX,MATCH('T1'!$J12&amp;"|"&amp;23,LISTA_KLUCZ,0))),"")</f>
        <v>Bicep squat cable curl</v>
      </c>
      <c r="Z12" s="5" t="str">
        <f t="array" ref="Z12">IFERROR(IF('T1'!$J12="",INDEX(LISTA_EX,24),INDEX(LISTA_EX,MATCH('T1'!$J12&amp;"|"&amp;24,LISTA_KLUCZ,0))),"")</f>
        <v>Bird dog row</v>
      </c>
      <c r="AA12" s="5" t="str">
        <f t="array" ref="AA12">IFERROR(IF('T1'!$J12="",INDEX(LISTA_EX,25),INDEX(LISTA_EX,MATCH('T1'!$J12&amp;"|"&amp;25,LISTA_KLUCZ,0))),"")</f>
        <v>Box jump</v>
      </c>
      <c r="AB12" s="5" t="str">
        <f t="array" ref="AB12">IFERROR(IF('T1'!$J12="",INDEX(LISTA_EX,26),INDEX(LISTA_EX,MATCH('T1'!$J12&amp;"|"&amp;26,LISTA_KLUCZ,0))),"")</f>
        <v>Bulgarian clean plyo</v>
      </c>
      <c r="AC12" s="5" t="str">
        <f t="array" ref="AC12">IFERROR(IF('T1'!$J12="",INDEX(LISTA_EX,27),INDEX(LISTA_EX,MATCH('T1'!$J12&amp;"|"&amp;27,LISTA_KLUCZ,0))),"")</f>
        <v>Bulgarian squat assisted</v>
      </c>
      <c r="AD12" s="5" t="str">
        <f t="array" ref="AD12">IFERROR(IF('T1'!$J12="",INDEX(LISTA_EX,28),INDEX(LISTA_EX,MATCH('T1'!$J12&amp;"|"&amp;28,LISTA_KLUCZ,0))),"")</f>
        <v>Cable biceps curl</v>
      </c>
      <c r="AE12" s="5" t="str">
        <f t="array" ref="AE12">IFERROR(IF('T1'!$J12="",INDEX(LISTA_EX,29),INDEX(LISTA_EX,MATCH('T1'!$J12&amp;"|"&amp;29,LISTA_KLUCZ,0))),"")</f>
        <v>Cable fly</v>
      </c>
      <c r="AF12" s="5" t="str">
        <f t="array" ref="AF12">IFERROR(IF('T1'!$J12="",INDEX(LISTA_EX,30),INDEX(LISTA_EX,MATCH('T1'!$J12&amp;"|"&amp;30,LISTA_KLUCZ,0))),"")</f>
        <v>Cable lateral raise s/a</v>
      </c>
      <c r="AG12" s="5" t="str">
        <f t="array" ref="AG12">IFERROR(IF('T1'!$J12="",INDEX(LISTA_EX,31),INDEX(LISTA_EX,MATCH('T1'!$J12&amp;"|"&amp;31,LISTA_KLUCZ,0))),"")</f>
        <v>Cable row</v>
      </c>
      <c r="AH12" s="5" t="str">
        <f t="array" ref="AH12">IFERROR(IF('T1'!$J12="",INDEX(LISTA_EX,32),INDEX(LISTA_EX,MATCH('T1'!$J12&amp;"|"&amp;32,LISTA_KLUCZ,0))),"")</f>
        <v>Cable row s/a</v>
      </c>
      <c r="AI12" s="5" t="str">
        <f t="array" ref="AI12">IFERROR(IF('T1'!$J12="",INDEX(LISTA_EX,33),INDEX(LISTA_EX,MATCH('T1'!$J12&amp;"|"&amp;33,LISTA_KLUCZ,0))),"")</f>
        <v>Calf raises</v>
      </c>
      <c r="AJ12" s="5" t="str">
        <f t="array" ref="AJ12">IFERROR(IF('T1'!$J12="",INDEX(LISTA_EX,34),INDEX(LISTA_EX,MATCH('T1'!$J12&amp;"|"&amp;34,LISTA_KLUCZ,0))),"")</f>
        <v>Chest fly machine</v>
      </c>
      <c r="AK12" s="5" t="str">
        <f t="array" ref="AK12">IFERROR(IF('T1'!$J12="",INDEX(LISTA_EX,35),INDEX(LISTA_EX,MATCH('T1'!$J12&amp;"|"&amp;35,LISTA_KLUCZ,0))),"")</f>
        <v>Clean</v>
      </c>
      <c r="AL12" s="5" t="str">
        <f t="array" ref="AL12">IFERROR(IF('T1'!$J12="",INDEX(LISTA_EX,36),INDEX(LISTA_EX,MATCH('T1'!$J12&amp;"|"&amp;36,LISTA_KLUCZ,0))),"")</f>
        <v>Clean pins</v>
      </c>
      <c r="AM12" s="5" t="str">
        <f t="array" ref="AM12">IFERROR(IF('T1'!$J12="",INDEX(LISTA_EX,37),INDEX(LISTA_EX,MATCH('T1'!$J12&amp;"|"&amp;37,LISTA_KLUCZ,0))),"")</f>
        <v>Copenhagen plank</v>
      </c>
      <c r="AN12" s="5" t="str">
        <f t="array" ref="AN12">IFERROR(IF('T1'!$J12="",INDEX(LISTA_EX,38),INDEX(LISTA_EX,MATCH('T1'!$J12&amp;"|"&amp;38,LISTA_KLUCZ,0))),"")</f>
        <v>Dead bug izo + OH</v>
      </c>
      <c r="AO12" s="5" t="str">
        <f t="array" ref="AO12">IFERROR(IF('T1'!$J12="",INDEX(LISTA_EX,39),INDEX(LISTA_EX,MATCH('T1'!$J12&amp;"|"&amp;39,LISTA_KLUCZ,0))),"")</f>
        <v>Dead bug straight legs</v>
      </c>
      <c r="AP12" s="5" t="str">
        <f t="array" ref="AP12">IFERROR(IF('T1'!$J12="",INDEX(LISTA_EX,40),INDEX(LISTA_EX,MATCH('T1'!$J12&amp;"|"&amp;40,LISTA_KLUCZ,0))),"")</f>
        <v>Dead stop barbell row</v>
      </c>
      <c r="AQ12" s="5" t="str">
        <f t="array" ref="AQ12">IFERROR(IF('T1'!$J12="",INDEX(LISTA_EX,41),INDEX(LISTA_EX,MATCH('T1'!$J12&amp;"|"&amp;41,LISTA_KLUCZ,0))),"")</f>
        <v>Deadbug OH</v>
      </c>
      <c r="AR12" s="5" t="str">
        <f t="array" ref="AR12">IFERROR(IF('T1'!$J12="",INDEX(LISTA_EX,42),INDEX(LISTA_EX,MATCH('T1'!$J12&amp;"|"&amp;42,LISTA_KLUCZ,0))),"")</f>
        <v>Deadlift</v>
      </c>
      <c r="AS12" s="5" t="str">
        <f t="array" ref="AS12">IFERROR(IF('T1'!$J12="",INDEX(LISTA_EX,43),INDEX(LISTA_EX,MATCH('T1'!$J12&amp;"|"&amp;43,LISTA_KLUCZ,0))),"")</f>
        <v>Deficit push up</v>
      </c>
      <c r="AT12" s="5" t="str">
        <f t="array" ref="AT12">IFERROR(IF('T1'!$J12="",INDEX(LISTA_EX,44),INDEX(LISTA_EX,MATCH('T1'!$J12&amp;"|"&amp;44,LISTA_KLUCZ,0))),"")</f>
        <v>Deficit reverse lunge</v>
      </c>
      <c r="AU12" s="5" t="str">
        <f t="array" ref="AU12">IFERROR(IF('T1'!$J12="",INDEX(LISTA_EX,45),INDEX(LISTA_EX,MATCH('T1'!$J12&amp;"|"&amp;45,LISTA_KLUCZ,0))),"")</f>
        <v>Dips</v>
      </c>
      <c r="AV12" s="5" t="str">
        <f t="array" ref="AV12">IFERROR(IF('T1'!$J12="",INDEX(LISTA_EX,46),INDEX(LISTA_EX,MATCH('T1'!$J12&amp;"|"&amp;46,LISTA_KLUCZ,0))),"")</f>
        <v>Dips weighted</v>
      </c>
      <c r="AW12" s="5" t="str">
        <f t="array" ref="AW12">IFERROR(IF('T1'!$J12="",INDEX(LISTA_EX,47),INDEX(LISTA_EX,MATCH('T1'!$J12&amp;"|"&amp;47,LISTA_KLUCZ,0))),"")</f>
        <v>Dumbbell bench press</v>
      </c>
      <c r="AX12" s="5" t="str">
        <f t="array" ref="AX12">IFERROR(IF('T1'!$J12="",INDEX(LISTA_EX,48),INDEX(LISTA_EX,MATCH('T1'!$J12&amp;"|"&amp;48,LISTA_KLUCZ,0))),"")</f>
        <v>Dumbbell bench press alternating</v>
      </c>
      <c r="AY12" s="5" t="str">
        <f t="array" ref="AY12">IFERROR(IF('T1'!$J12="",INDEX(LISTA_EX,49),INDEX(LISTA_EX,MATCH('T1'!$J12&amp;"|"&amp;49,LISTA_KLUCZ,0))),"")</f>
        <v>Dumbbell curl</v>
      </c>
      <c r="AZ12" s="5" t="str">
        <f t="array" ref="AZ12">IFERROR(IF('T1'!$J12="",INDEX(LISTA_EX,50),INDEX(LISTA_EX,MATCH('T1'!$J12&amp;"|"&amp;50,LISTA_KLUCZ,0))),"")</f>
        <v>Dumbbell external rotation</v>
      </c>
      <c r="BA12" s="5" t="str">
        <f t="array" ref="BA12">IFERROR(IF('T1'!$J12="",INDEX(LISTA_EX,51),INDEX(LISTA_EX,MATCH('T1'!$J12&amp;"|"&amp;51,LISTA_KLUCZ,0))),"")</f>
        <v>Dumbbell face down curl</v>
      </c>
      <c r="BB12" s="5" t="str">
        <f t="array" ref="BB12">IFERROR(IF('T1'!$J12="",INDEX(LISTA_EX,52),INDEX(LISTA_EX,MATCH('T1'!$J12&amp;"|"&amp;52,LISTA_KLUCZ,0))),"")</f>
        <v>Dumbbell fly</v>
      </c>
      <c r="BC12" s="5" t="str">
        <f t="array" ref="BC12">IFERROR(IF('T1'!$J12="",INDEX(LISTA_EX,53),INDEX(LISTA_EX,MATCH('T1'!$J12&amp;"|"&amp;53,LISTA_KLUCZ,0))),"")</f>
        <v>Dumbbell french press</v>
      </c>
      <c r="BD12" s="5" t="str">
        <f t="array" ref="BD12">IFERROR(IF('T1'!$J12="",INDEX(LISTA_EX,54),INDEX(LISTA_EX,MATCH('T1'!$J12&amp;"|"&amp;54,LISTA_KLUCZ,0))),"")</f>
        <v>Dumbbell lateral raise</v>
      </c>
      <c r="BE12" s="5" t="str">
        <f t="array" ref="BE12">IFERROR(IF('T1'!$J12="",INDEX(LISTA_EX,55),INDEX(LISTA_EX,MATCH('T1'!$J12&amp;"|"&amp;55,LISTA_KLUCZ,0))),"")</f>
        <v>Dumbbell lunges</v>
      </c>
      <c r="BF12" s="5" t="str">
        <f t="array" ref="BF12">IFERROR(IF('T1'!$J12="",INDEX(LISTA_EX,56),INDEX(LISTA_EX,MATCH('T1'!$J12&amp;"|"&amp;56,LISTA_KLUCZ,0))),"")</f>
        <v>Dumbbell OH press</v>
      </c>
      <c r="BG12" s="5" t="str">
        <f t="array" ref="BG12">IFERROR(IF('T1'!$J12="",INDEX(LISTA_EX,57),INDEX(LISTA_EX,MATCH('T1'!$J12&amp;"|"&amp;57,LISTA_KLUCZ,0))),"")</f>
        <v>Dumbbell over head press</v>
      </c>
      <c r="BH12" s="5" t="str">
        <f t="array" ref="BH12">IFERROR(IF('T1'!$J12="",INDEX(LISTA_EX,58),INDEX(LISTA_EX,MATCH('T1'!$J12&amp;"|"&amp;58,LISTA_KLUCZ,0))),"")</f>
        <v>Dumbbell over head press alternating</v>
      </c>
      <c r="BI12" s="5" t="str">
        <f t="array" ref="BI12">IFERROR(IF('T1'!$J12="",INDEX(LISTA_EX,59),INDEX(LISTA_EX,MATCH('T1'!$J12&amp;"|"&amp;59,LISTA_KLUCZ,0))),"")</f>
        <v>Dumbbell row</v>
      </c>
      <c r="BJ12" s="5" t="str">
        <f t="array" ref="BJ12">IFERROR(IF('T1'!$J12="",INDEX(LISTA_EX,60),INDEX(LISTA_EX,MATCH('T1'!$J12&amp;"|"&amp;60,LISTA_KLUCZ,0))),"")</f>
        <v>Dumbbell s/a Arnold press</v>
      </c>
      <c r="BK12" s="5" t="str">
        <f t="array" ref="BK12">IFERROR(IF('T1'!$J12="",INDEX(LISTA_EX,61),INDEX(LISTA_EX,MATCH('T1'!$J12&amp;"|"&amp;61,LISTA_KLUCZ,0))),"")</f>
        <v>Dumbbell s/a row</v>
      </c>
      <c r="BL12" s="5" t="str">
        <f t="array" ref="BL12">IFERROR(IF('T1'!$J12="",INDEX(LISTA_EX,62),INDEX(LISTA_EX,MATCH('T1'!$J12&amp;"|"&amp;62,LISTA_KLUCZ,0))),"")</f>
        <v>Dumbbell seal row</v>
      </c>
      <c r="BM12" s="5" t="str">
        <f t="array" ref="BM12">IFERROR(IF('T1'!$J12="",INDEX(LISTA_EX,63),INDEX(LISTA_EX,MATCH('T1'!$J12&amp;"|"&amp;63,LISTA_KLUCZ,0))),"")</f>
        <v>Dumbbells jumps</v>
      </c>
      <c r="BN12" s="5" t="str">
        <f t="array" ref="BN12">IFERROR(IF('T1'!$J12="",INDEX(LISTA_EX,64),INDEX(LISTA_EX,MATCH('T1'!$J12&amp;"|"&amp;64,LISTA_KLUCZ,0))),"")</f>
        <v>Eccentric pull up</v>
      </c>
      <c r="BO12" s="5" t="str">
        <f t="array" ref="BO12">IFERROR(IF('T1'!$J12="",INDEX(LISTA_EX,65),INDEX(LISTA_EX,MATCH('T1'!$J12&amp;"|"&amp;65,LISTA_KLUCZ,0))),"")</f>
        <v>Eccentric push up (5 sek w dół)</v>
      </c>
      <c r="BP12" s="5" t="str">
        <f t="array" ref="BP12">IFERROR(IF('T1'!$J12="",INDEX(LISTA_EX,66),INDEX(LISTA_EX,MATCH('T1'!$J12&amp;"|"&amp;66,LISTA_KLUCZ,0))),"")</f>
        <v>Extensive plyo jumps s/l</v>
      </c>
      <c r="BQ12" s="5" t="str">
        <f t="array" ref="BQ12">IFERROR(IF('T1'!$J12="",INDEX(LISTA_EX,67),INDEX(LISTA_EX,MATCH('T1'!$J12&amp;"|"&amp;67,LISTA_KLUCZ,0))),"")</f>
        <v>Ez bar curl</v>
      </c>
      <c r="BR12" s="5" t="str">
        <f t="array" ref="BR12">IFERROR(IF('T1'!$J12="",INDEX(LISTA_EX,68),INDEX(LISTA_EX,MATCH('T1'!$J12&amp;"|"&amp;68,LISTA_KLUCZ,0))),"")</f>
        <v>Facepull chest supported</v>
      </c>
      <c r="BS12" s="5" t="str">
        <f t="array" ref="BS12">IFERROR(IF('T1'!$J12="",INDEX(LISTA_EX,69),INDEX(LISTA_EX,MATCH('T1'!$J12&amp;"|"&amp;69,LISTA_KLUCZ,0))),"")</f>
        <v>Front foot elevated split squat</v>
      </c>
      <c r="BT12" s="5" t="str">
        <f t="array" ref="BT12">IFERROR(IF('T1'!$J12="",INDEX(LISTA_EX,70),INDEX(LISTA_EX,MATCH('T1'!$J12&amp;"|"&amp;70,LISTA_KLUCZ,0))),"")</f>
        <v>Front squat</v>
      </c>
      <c r="BU12" s="5" t="str">
        <f t="array" ref="BU12">IFERROR(IF('T1'!$J12="",INDEX(LISTA_EX,71),INDEX(LISTA_EX,MATCH('T1'!$J12&amp;"|"&amp;71,LISTA_KLUCZ,0))),"")</f>
        <v>GHD flexion</v>
      </c>
      <c r="BV12" s="5" t="str">
        <f t="array" ref="BV12">IFERROR(IF('T1'!$J12="",INDEX(LISTA_EX,72),INDEX(LISTA_EX,MATCH('T1'!$J12&amp;"|"&amp;72,LISTA_KLUCZ,0))),"")</f>
        <v>Glute bridge hamstrings izo + OH</v>
      </c>
      <c r="BW12" s="5" t="str">
        <f t="array" ref="BW12">IFERROR(IF('T1'!$J12="",INDEX(LISTA_EX,73),INDEX(LISTA_EX,MATCH('T1'!$J12&amp;"|"&amp;73,LISTA_KLUCZ,0))),"")</f>
        <v>Glute crusher</v>
      </c>
      <c r="BX12" s="5" t="str">
        <f t="array" ref="BX12">IFERROR(IF('T1'!$J12="",INDEX(LISTA_EX,74),INDEX(LISTA_EX,MATCH('T1'!$J12&amp;"|"&amp;74,LISTA_KLUCZ,0))),"")</f>
        <v>Gorilla row</v>
      </c>
      <c r="BY12" s="5" t="str">
        <f t="array" ref="BY12">IFERROR(IF('T1'!$J12="",INDEX(LISTA_EX,75),INDEX(LISTA_EX,MATCH('T1'!$J12&amp;"|"&amp;75,LISTA_KLUCZ,0))),"")</f>
        <v>Halfkneeling s/a cable pull</v>
      </c>
      <c r="BZ12" s="5" t="str">
        <f t="array" ref="BZ12">IFERROR(IF('T1'!$J12="",INDEX(LISTA_EX,76),INDEX(LISTA_EX,MATCH('T1'!$J12&amp;"|"&amp;76,LISTA_KLUCZ,0))),"")</f>
        <v>Halfkneeling wood chopper</v>
      </c>
      <c r="CA12" s="5" t="str">
        <f t="array" ref="CA12">IFERROR(IF('T1'!$J12="",INDEX(LISTA_EX,77),INDEX(LISTA_EX,MATCH('T1'!$J12&amp;"|"&amp;77,LISTA_KLUCZ,0))),"")</f>
        <v>Hinged dumbbell row</v>
      </c>
      <c r="CB12" s="5" t="str">
        <f t="array" ref="CB12">IFERROR(IF('T1'!$J12="",INDEX(LISTA_EX,78),INDEX(LISTA_EX,MATCH('T1'!$J12&amp;"|"&amp;78,LISTA_KLUCZ,0))),"")</f>
        <v>Hip aeroplane</v>
      </c>
      <c r="CC12" s="5" t="str">
        <f t="array" ref="CC12">IFERROR(IF('T1'!$J12="",INDEX(LISTA_EX,79),INDEX(LISTA_EX,MATCH('T1'!$J12&amp;"|"&amp;79,LISTA_KLUCZ,0))),"")</f>
        <v>Hip flexors cable</v>
      </c>
      <c r="CD12" s="5" t="str">
        <f t="array" ref="CD12">IFERROR(IF('T1'!$J12="",INDEX(LISTA_EX,80),INDEX(LISTA_EX,MATCH('T1'!$J12&amp;"|"&amp;80,LISTA_KLUCZ,0))),"")</f>
        <v>Hip thrust barbell</v>
      </c>
      <c r="CE12" s="5" t="str">
        <f t="array" ref="CE12">IFERROR(IF('T1'!$J12="",INDEX(LISTA_EX,81),INDEX(LISTA_EX,MATCH('T1'!$J12&amp;"|"&amp;81,LISTA_KLUCZ,0))),"")</f>
        <v>Hollow body + OH</v>
      </c>
      <c r="CF12" s="5" t="str">
        <f t="array" ref="CF12">IFERROR(IF('T1'!$J12="",INDEX(LISTA_EX,82),INDEX(LISTA_EX,MATCH('T1'!$J12&amp;"|"&amp;82,LISTA_KLUCZ,0))),"")</f>
        <v>Horizontal jump</v>
      </c>
      <c r="CG12" s="5" t="str">
        <f t="array" ref="CG12">IFERROR(IF('T1'!$J12="",INDEX(LISTA_EX,83),INDEX(LISTA_EX,MATCH('T1'!$J12&amp;"|"&amp;83,LISTA_KLUCZ,0))),"")</f>
        <v>Incline bench lateral raise s/a</v>
      </c>
      <c r="CH12" s="5" t="str">
        <f t="array" ref="CH12">IFERROR(IF('T1'!$J12="",INDEX(LISTA_EX,84),INDEX(LISTA_EX,MATCH('T1'!$J12&amp;"|"&amp;84,LISTA_KLUCZ,0))),"")</f>
        <v>Incline curl + OHP</v>
      </c>
      <c r="CI12" s="5" t="str">
        <f t="array" ref="CI12">IFERROR(IF('T1'!$J12="",INDEX(LISTA_EX,85),INDEX(LISTA_EX,MATCH('T1'!$J12&amp;"|"&amp;85,LISTA_KLUCZ,0))),"")</f>
        <v>Incline dumbbell curl</v>
      </c>
      <c r="CJ12" s="5" t="str">
        <f t="array" ref="CJ12">IFERROR(IF('T1'!$J12="",INDEX(LISTA_EX,86),INDEX(LISTA_EX,MATCH('T1'!$J12&amp;"|"&amp;86,LISTA_KLUCZ,0))),"")</f>
        <v>Incline dumbbell curl (back)</v>
      </c>
      <c r="CK12" s="5" t="str">
        <f t="array" ref="CK12">IFERROR(IF('T1'!$J12="",INDEX(LISTA_EX,87),INDEX(LISTA_EX,MATCH('T1'!$J12&amp;"|"&amp;87,LISTA_KLUCZ,0))),"")</f>
        <v>Incline dumbbell curl (front)</v>
      </c>
      <c r="CL12" s="5" t="str">
        <f t="array" ref="CL12">IFERROR(IF('T1'!$J12="",INDEX(LISTA_EX,88),INDEX(LISTA_EX,MATCH('T1'!$J12&amp;"|"&amp;88,LISTA_KLUCZ,0))),"")</f>
        <v>Incline dumbbell fly</v>
      </c>
      <c r="CM12" s="5" t="str">
        <f t="array" ref="CM12">IFERROR(IF('T1'!$J12="",INDEX(LISTA_EX,89),INDEX(LISTA_EX,MATCH('T1'!$J12&amp;"|"&amp;89,LISTA_KLUCZ,0))),"")</f>
        <v>Incline dumbbell press</v>
      </c>
      <c r="CN12" s="5" t="str">
        <f t="array" ref="CN12">IFERROR(IF('T1'!$J12="",INDEX(LISTA_EX,90),INDEX(LISTA_EX,MATCH('T1'!$J12&amp;"|"&amp;90,LISTA_KLUCZ,0))),"")</f>
        <v>Incline dumbbell press alternating</v>
      </c>
      <c r="CO12" s="5" t="str">
        <f t="array" ref="CO12">IFERROR(IF('T1'!$J12="",INDEX(LISTA_EX,91),INDEX(LISTA_EX,MATCH('T1'!$J12&amp;"|"&amp;91,LISTA_KLUCZ,0))),"")</f>
        <v>Incline sit-ups</v>
      </c>
      <c r="CP12" s="5" t="str">
        <f t="array" ref="CP12">IFERROR(IF('T1'!$J12="",INDEX(LISTA_EX,92),INDEX(LISTA_EX,MATCH('T1'!$J12&amp;"|"&amp;92,LISTA_KLUCZ,0))),"")</f>
        <v>Jefferson cable</v>
      </c>
      <c r="CQ12" s="5" t="str">
        <f t="array" ref="CQ12">IFERROR(IF('T1'!$J12="",INDEX(LISTA_EX,93),INDEX(LISTA_EX,MATCH('T1'!$J12&amp;"|"&amp;93,LISTA_KLUCZ,0))),"")</f>
        <v>Kettlebell march</v>
      </c>
      <c r="CR12" s="5" t="str">
        <f t="array" ref="CR12">IFERROR(IF('T1'!$J12="",INDEX(LISTA_EX,94),INDEX(LISTA_EX,MATCH('T1'!$J12&amp;"|"&amp;94,LISTA_KLUCZ,0))),"")</f>
        <v>Kickbacks</v>
      </c>
      <c r="CS12" s="5" t="str">
        <f t="array" ref="CS12">IFERROR(IF('T1'!$J12="",INDEX(LISTA_EX,95),INDEX(LISTA_EX,MATCH('T1'!$J12&amp;"|"&amp;95,LISTA_KLUCZ,0))),"")</f>
        <v>Knee extension machine</v>
      </c>
      <c r="CT12" s="5" t="str">
        <f t="array" ref="CT12">IFERROR(IF('T1'!$J12="",INDEX(LISTA_EX,96),INDEX(LISTA_EX,MATCH('T1'!$J12&amp;"|"&amp;96,LISTA_KLUCZ,0))),"")</f>
        <v>Knee flexion machine</v>
      </c>
      <c r="CU12" s="5" t="str">
        <f t="array" ref="CU12">IFERROR(IF('T1'!$J12="",INDEX(LISTA_EX,97),INDEX(LISTA_EX,MATCH('T1'!$J12&amp;"|"&amp;97,LISTA_KLUCZ,0))),"")</f>
        <v>Knee raises</v>
      </c>
      <c r="CV12" s="5" t="str">
        <f t="array" ref="CV12">IFERROR(IF('T1'!$J12="",INDEX(LISTA_EX,98),INDEX(LISTA_EX,MATCH('T1'!$J12&amp;"|"&amp;98,LISTA_KLUCZ,0))),"")</f>
        <v>Landmine core</v>
      </c>
      <c r="CW12" s="5" t="str">
        <f t="array" ref="CW12">IFERROR(IF('T1'!$J12="",INDEX(LISTA_EX,99),INDEX(LISTA_EX,MATCH('T1'!$J12&amp;"|"&amp;99,LISTA_KLUCZ,0))),"")</f>
        <v>Landmine press</v>
      </c>
      <c r="CX12" s="5" t="str">
        <f t="array" ref="CX12">IFERROR(IF('T1'!$J12="",INDEX(LISTA_EX,100),INDEX(LISTA_EX,MATCH('T1'!$J12&amp;"|"&amp;100,LISTA_KLUCZ,0))),"")</f>
        <v>Landmine rotations (powtórzenia x2)</v>
      </c>
      <c r="CY12" s="5" t="str">
        <f t="array" ref="CY12">IFERROR(IF('T1'!$J12="",INDEX(LISTA_EX,101),INDEX(LISTA_EX,MATCH('T1'!$J12&amp;"|"&amp;101,LISTA_KLUCZ,0))),"")</f>
        <v>Landmine SLDL</v>
      </c>
      <c r="CZ12" s="5" t="str">
        <f t="array" ref="CZ12">IFERROR(IF('T1'!$J12="",INDEX(LISTA_EX,102),INDEX(LISTA_EX,MATCH('T1'!$J12&amp;"|"&amp;102,LISTA_KLUCZ,0))),"")</f>
        <v>Lat pulldown</v>
      </c>
      <c r="DA12" s="5" t="str">
        <f t="array" ref="DA12">IFERROR(IF('T1'!$J12="",INDEX(LISTA_EX,103),INDEX(LISTA_EX,MATCH('T1'!$J12&amp;"|"&amp;103,LISTA_KLUCZ,0))),"")</f>
        <v>Lat pulldown behind the head</v>
      </c>
      <c r="DB12" s="5" t="str">
        <f t="array" ref="DB12">IFERROR(IF('T1'!$J12="",INDEX(LISTA_EX,104),INDEX(LISTA_EX,MATCH('T1'!$J12&amp;"|"&amp;104,LISTA_KLUCZ,0))),"")</f>
        <v>Lat pulldown s/a</v>
      </c>
      <c r="DC12" s="5" t="str">
        <f t="array" ref="DC12">IFERROR(IF('T1'!$J12="",INDEX(LISTA_EX,105),INDEX(LISTA_EX,MATCH('T1'!$J12&amp;"|"&amp;105,LISTA_KLUCZ,0))),"")</f>
        <v>Lateral raise s/a</v>
      </c>
      <c r="DD12" s="5" t="str">
        <f t="array" ref="DD12">IFERROR(IF('T1'!$J12="",INDEX(LISTA_EX,106),INDEX(LISTA_EX,MATCH('T1'!$J12&amp;"|"&amp;106,LISTA_KLUCZ,0))),"")</f>
        <v>Lateral raises</v>
      </c>
      <c r="DE12" s="5" t="str">
        <f t="array" ref="DE12">IFERROR(IF('T1'!$J12="",INDEX(LISTA_EX,107),INDEX(LISTA_EX,MATCH('T1'!$J12&amp;"|"&amp;107,LISTA_KLUCZ,0))),"")</f>
        <v>Lateral raises 2</v>
      </c>
      <c r="DF12" s="5" t="str">
        <f t="array" ref="DF12">IFERROR(IF('T1'!$J12="",INDEX(LISTA_EX,108),INDEX(LISTA_EX,MATCH('T1'!$J12&amp;"|"&amp;108,LISTA_KLUCZ,0))),"")</f>
        <v>Lateral raises full ROM</v>
      </c>
      <c r="DG12" s="5" t="str">
        <f t="array" ref="DG12">IFERROR(IF('T1'!$J12="",INDEX(LISTA_EX,109),INDEX(LISTA_EX,MATCH('T1'!$J12&amp;"|"&amp;109,LISTA_KLUCZ,0))),"")</f>
        <v>Lateral raises hinged</v>
      </c>
      <c r="DH12" s="5" t="str">
        <f t="array" ref="DH12">IFERROR(IF('T1'!$J12="",INDEX(LISTA_EX,110),INDEX(LISTA_EX,MATCH('T1'!$J12&amp;"|"&amp;110,LISTA_KLUCZ,0))),"")</f>
        <v>Lateral raises incline s/a</v>
      </c>
      <c r="DI12" s="5" t="str">
        <f t="array" ref="DI12">IFERROR(IF('T1'!$J12="",INDEX(LISTA_EX,111),INDEX(LISTA_EX,MATCH('T1'!$J12&amp;"|"&amp;111,LISTA_KLUCZ,0))),"")</f>
        <v>Leg curl</v>
      </c>
      <c r="DJ12" s="5" t="str">
        <f t="array" ref="DJ12">IFERROR(IF('T1'!$J12="",INDEX(LISTA_EX,112),INDEX(LISTA_EX,MATCH('T1'!$J12&amp;"|"&amp;112,LISTA_KLUCZ,0))),"")</f>
        <v>Machine row</v>
      </c>
      <c r="DK12" s="5" t="str">
        <f t="array" ref="DK12">IFERROR(IF('T1'!$J12="",INDEX(LISTA_EX,113),INDEX(LISTA_EX,MATCH('T1'!$J12&amp;"|"&amp;113,LISTA_KLUCZ,0))),"")</f>
        <v>Machine row s/a</v>
      </c>
      <c r="DL12" s="5" t="str">
        <f t="array" ref="DL12">IFERROR(IF('T1'!$J12="",INDEX(LISTA_EX,114),INDEX(LISTA_EX,MATCH('T1'!$J12&amp;"|"&amp;114,LISTA_KLUCZ,0))),"")</f>
        <v>Meadows row</v>
      </c>
      <c r="DM12" s="5" t="str">
        <f t="array" ref="DM12">IFERROR(IF('T1'!$J12="",INDEX(LISTA_EX,115),INDEX(LISTA_EX,MATCH('T1'!$J12&amp;"|"&amp;115,LISTA_KLUCZ,0))),"")</f>
        <v>Med ball slam</v>
      </c>
      <c r="DN12" s="5" t="str">
        <f t="array" ref="DN12">IFERROR(IF('T1'!$J12="",INDEX(LISTA_EX,116),INDEX(LISTA_EX,MATCH('T1'!$J12&amp;"|"&amp;116,LISTA_KLUCZ,0))),"")</f>
        <v>OH skullcrushers</v>
      </c>
      <c r="DO12" s="5" t="str">
        <f t="array" ref="DO12">IFERROR(IF('T1'!$J12="",INDEX(LISTA_EX,117),INDEX(LISTA_EX,MATCH('T1'!$J12&amp;"|"&amp;117,LISTA_KLUCZ,0))),"")</f>
        <v>OHP barbell squat 15kg</v>
      </c>
      <c r="DP12" s="5" t="str">
        <f t="array" ref="DP12">IFERROR(IF('T1'!$J12="",INDEX(LISTA_EX,118),INDEX(LISTA_EX,MATCH('T1'!$J12&amp;"|"&amp;118,LISTA_KLUCZ,0))),"")</f>
        <v>Pistol squat eccentric</v>
      </c>
      <c r="DQ12" s="5" t="str">
        <f t="array" ref="DQ12">IFERROR(IF('T1'!$J12="",INDEX(LISTA_EX,119),INDEX(LISTA_EX,MATCH('T1'!$J12&amp;"|"&amp;119,LISTA_KLUCZ,0))),"")</f>
        <v>Plank contralateral</v>
      </c>
      <c r="DR12" s="5" t="str">
        <f t="array" ref="DR12">IFERROR(IF('T1'!$J12="",INDEX(LISTA_EX,120),INDEX(LISTA_EX,MATCH('T1'!$J12&amp;"|"&amp;120,LISTA_KLUCZ,0))),"")</f>
        <v>Plank dumbbell rotation</v>
      </c>
      <c r="DS12" s="5" t="str">
        <f t="array" ref="DS12">IFERROR(IF('T1'!$J12="",INDEX(LISTA_EX,121),INDEX(LISTA_EX,MATCH('T1'!$J12&amp;"|"&amp;121,LISTA_KLUCZ,0))),"")</f>
        <v>Plank leg raises</v>
      </c>
      <c r="DT12" s="5" t="str">
        <f t="array" ref="DT12">IFERROR(IF('T1'!$J12="",INDEX(LISTA_EX,122),INDEX(LISTA_EX,MATCH('T1'!$J12&amp;"|"&amp;122,LISTA_KLUCZ,0))),"")</f>
        <v>Poliquin step up</v>
      </c>
      <c r="DU12" s="5" t="str">
        <f t="array" ref="DU12">IFERROR(IF('T1'!$J12="",INDEX(LISTA_EX,123),INDEX(LISTA_EX,MATCH('T1'!$J12&amp;"|"&amp;123,LISTA_KLUCZ,0))),"")</f>
        <v>Poliquin step up paused 3sec</v>
      </c>
      <c r="DV12" s="5" t="str">
        <f t="array" ref="DV12">IFERROR(IF('T1'!$J12="",INDEX(LISTA_EX,124),INDEX(LISTA_EX,MATCH('T1'!$J12&amp;"|"&amp;124,LISTA_KLUCZ,0))),"")</f>
        <v>Pronation/Supination</v>
      </c>
      <c r="DW12" s="5" t="str">
        <f t="array" ref="DW12">IFERROR(IF('T1'!$J12="",INDEX(LISTA_EX,125),INDEX(LISTA_EX,MATCH('T1'!$J12&amp;"|"&amp;125,LISTA_KLUCZ,0))),"")</f>
        <v>Pull up</v>
      </c>
      <c r="DX12" s="5" t="str">
        <f t="array" ref="DX12">IFERROR(IF('T1'!$J12="",INDEX(LISTA_EX,126),INDEX(LISTA_EX,MATCH('T1'!$J12&amp;"|"&amp;126,LISTA_KLUCZ,0))),"")</f>
        <v>Pull up eccentric weighted</v>
      </c>
      <c r="DY12" s="5" t="str">
        <f t="array" ref="DY12">IFERROR(IF('T1'!$J12="",INDEX(LISTA_EX,127),INDEX(LISTA_EX,MATCH('T1'!$J12&amp;"|"&amp;127,LISTA_KLUCZ,0))),"")</f>
        <v>Pull up eccentric weighted (5 sek w dół)</v>
      </c>
      <c r="DZ12" s="5" t="str">
        <f t="array" ref="DZ12">IFERROR(IF('T1'!$J12="",INDEX(LISTA_EX,128),INDEX(LISTA_EX,MATCH('T1'!$J12&amp;"|"&amp;128,LISTA_KLUCZ,0))),"")</f>
        <v>Pull up weighted</v>
      </c>
      <c r="EA12" s="5" t="str">
        <f t="array" ref="EA12">IFERROR(IF('T1'!$J12="",INDEX(LISTA_EX,129),INDEX(LISTA_EX,MATCH('T1'!$J12&amp;"|"&amp;129,LISTA_KLUCZ,0))),"")</f>
        <v>Pull ups (paused)</v>
      </c>
      <c r="EB12" s="5" t="str">
        <f t="array" ref="EB12">IFERROR(IF('T1'!$J12="",INDEX(LISTA_EX,130),INDEX(LISTA_EX,MATCH('T1'!$J12&amp;"|"&amp;130,LISTA_KLUCZ,0))),"")</f>
        <v>Push press barbell</v>
      </c>
      <c r="EC12" s="5" t="str">
        <f t="array" ref="EC12">IFERROR(IF('T1'!$J12="",INDEX(LISTA_EX,131),INDEX(LISTA_EX,MATCH('T1'!$J12&amp;"|"&amp;131,LISTA_KLUCZ,0))),"")</f>
        <v>Push up</v>
      </c>
      <c r="ED12" s="5" t="str">
        <f t="array" ref="ED12">IFERROR(IF('T1'!$J12="",INDEX(LISTA_EX,132),INDEX(LISTA_EX,MATCH('T1'!$J12&amp;"|"&amp;132,LISTA_KLUCZ,0))),"")</f>
        <v>Raised bird dog</v>
      </c>
      <c r="EE12" s="5" t="str">
        <f t="array" ref="EE12">IFERROR(IF('T1'!$J12="",INDEX(LISTA_EX,133),INDEX(LISTA_EX,MATCH('T1'!$J12&amp;"|"&amp;133,LISTA_KLUCZ,0))),"")</f>
        <v>RDL</v>
      </c>
      <c r="EF12" s="5" t="str">
        <f t="array" ref="EF12">IFERROR(IF('T1'!$J12="",INDEX(LISTA_EX,134),INDEX(LISTA_EX,MATCH('T1'!$J12&amp;"|"&amp;134,LISTA_KLUCZ,0))),"")</f>
        <v>Reverse Nordic</v>
      </c>
      <c r="EG12" s="5" t="str">
        <f t="array" ref="EG12">IFERROR(IF('T1'!$J12="",INDEX(LISTA_EX,135),INDEX(LISTA_EX,MATCH('T1'!$J12&amp;"|"&amp;135,LISTA_KLUCZ,0))),"")</f>
        <v>Rope pushdown</v>
      </c>
      <c r="EH12" s="5" t="str">
        <f t="array" ref="EH12">IFERROR(IF('T1'!$J12="",INDEX(LISTA_EX,136),INDEX(LISTA_EX,MATCH('T1'!$J12&amp;"|"&amp;136,LISTA_KLUCZ,0))),"")</f>
        <v>Rope pushdown OH</v>
      </c>
      <c r="EI12" s="5" t="str">
        <f t="array" ref="EI12">IFERROR(IF('T1'!$J12="",INDEX(LISTA_EX,137),INDEX(LISTA_EX,MATCH('T1'!$J12&amp;"|"&amp;137,LISTA_KLUCZ,0))),"")</f>
        <v>S/a cable pulldown incline bench</v>
      </c>
      <c r="EJ12" s="5" t="str">
        <f t="array" ref="EJ12">IFERROR(IF('T1'!$J12="",INDEX(LISTA_EX,138),INDEX(LISTA_EX,MATCH('T1'!$J12&amp;"|"&amp;138,LISTA_KLUCZ,0))),"")</f>
        <v>S/a lat pulldown incline bench</v>
      </c>
      <c r="EK12" s="5" t="str">
        <f t="array" ref="EK12">IFERROR(IF('T1'!$J12="",INDEX(LISTA_EX,139),INDEX(LISTA_EX,MATCH('T1'!$J12&amp;"|"&amp;139,LISTA_KLUCZ,0))),"")</f>
        <v>S/l dragonflag eccentric</v>
      </c>
      <c r="EL12" s="5" t="str">
        <f t="array" ref="EL12">IFERROR(IF('T1'!$J12="",INDEX(LISTA_EX,140),INDEX(LISTA_EX,MATCH('T1'!$J12&amp;"|"&amp;140,LISTA_KLUCZ,0))),"")</f>
        <v>S/l hip thrust</v>
      </c>
      <c r="EM12" s="5" t="str">
        <f t="array" ref="EM12">IFERROR(IF('T1'!$J12="",INDEX(LISTA_EX,141),INDEX(LISTA_EX,MATCH('T1'!$J12&amp;"|"&amp;141,LISTA_KLUCZ,0))),"")</f>
        <v>Seated broad jump</v>
      </c>
      <c r="EN12" s="5" t="str">
        <f t="array" ref="EN12">IFERROR(IF('T1'!$J12="",INDEX(LISTA_EX,142),INDEX(LISTA_EX,MATCH('T1'!$J12&amp;"|"&amp;142,LISTA_KLUCZ,0))),"")</f>
        <v>Seated cable facepull</v>
      </c>
      <c r="EO12" s="5" t="str">
        <f t="array" ref="EO12">IFERROR(IF('T1'!$J12="",INDEX(LISTA_EX,143),INDEX(LISTA_EX,MATCH('T1'!$J12&amp;"|"&amp;143,LISTA_KLUCZ,0))),"")</f>
        <v>Seated seesaw press (nogi proste)</v>
      </c>
      <c r="EP12" s="5" t="str">
        <f t="array" ref="EP12">IFERROR(IF('T1'!$J12="",INDEX(LISTA_EX,144),INDEX(LISTA_EX,MATCH('T1'!$J12&amp;"|"&amp;144,LISTA_KLUCZ,0))),"")</f>
        <v>Seesaw press</v>
      </c>
      <c r="EQ12" s="5" t="str">
        <f t="array" ref="EQ12">IFERROR(IF('T1'!$J12="",INDEX(LISTA_EX,145),INDEX(LISTA_EX,MATCH('T1'!$J12&amp;"|"&amp;145,LISTA_KLUCZ,0))),"")</f>
        <v>Side crunches</v>
      </c>
      <c r="ER12" s="5" t="str">
        <f t="array" ref="ER12">IFERROR(IF('T1'!$J12="",INDEX(LISTA_EX,146),INDEX(LISTA_EX,MATCH('T1'!$J12&amp;"|"&amp;146,LISTA_KLUCZ,0))),"")</f>
        <v>Side plank hip drop</v>
      </c>
      <c r="ES12" s="5" t="str">
        <f t="array" ref="ES12">IFERROR(IF('T1'!$J12="",INDEX(LISTA_EX,147),INDEX(LISTA_EX,MATCH('T1'!$J12&amp;"|"&amp;147,LISTA_KLUCZ,0))),"")</f>
        <v>Side plank rotations</v>
      </c>
      <c r="ET12" s="5" t="str">
        <f t="array" ref="ET12">IFERROR(IF('T1'!$J12="",INDEX(LISTA_EX,148),INDEX(LISTA_EX,MATCH('T1'!$J12&amp;"|"&amp;148,LISTA_KLUCZ,0))),"")</f>
        <v>SLDL balance</v>
      </c>
      <c r="EU12" s="5" t="str">
        <f t="array" ref="EU12">IFERROR(IF('T1'!$J12="",INDEX(LISTA_EX,149),INDEX(LISTA_EX,MATCH('T1'!$J12&amp;"|"&amp;149,LISTA_KLUCZ,0))),"")</f>
        <v>Split squat</v>
      </c>
      <c r="EV12" s="5" t="str">
        <f t="array" ref="EV12">IFERROR(IF('T1'!$J12="",INDEX(LISTA_EX,150),INDEX(LISTA_EX,MATCH('T1'!$J12&amp;"|"&amp;150,LISTA_KLUCZ,0))),"")</f>
        <v>Split stance SLDL</v>
      </c>
      <c r="EW12" s="5" t="str">
        <f t="array" ref="EW12">IFERROR(IF('T1'!$J12="",INDEX(LISTA_EX,151),INDEX(LISTA_EX,MATCH('T1'!$J12&amp;"|"&amp;151,LISTA_KLUCZ,0))),"")</f>
        <v>Squat izo (15 sek)</v>
      </c>
      <c r="EX12" s="5" t="str">
        <f t="array" ref="EX12">IFERROR(IF('T1'!$J12="",INDEX(LISTA_EX,152),INDEX(LISTA_EX,MATCH('T1'!$J12&amp;"|"&amp;152,LISTA_KLUCZ,0))),"")</f>
        <v>Standing landmine press</v>
      </c>
      <c r="EY12" s="5" t="str">
        <f t="array" ref="EY12">IFERROR(IF('T1'!$J12="",INDEX(LISTA_EX,153),INDEX(LISTA_EX,MATCH('T1'!$J12&amp;"|"&amp;153,LISTA_KLUCZ,0))),"")</f>
        <v>Suitcase carry</v>
      </c>
      <c r="EZ12" s="5" t="str">
        <f t="array" ref="EZ12">IFERROR(IF('T1'!$J12="",INDEX(LISTA_EX,154),INDEX(LISTA_EX,MATCH('T1'!$J12&amp;"|"&amp;154,LISTA_KLUCZ,0))),"")</f>
        <v>Supine pigeon abs</v>
      </c>
      <c r="FA12" s="5" t="str">
        <f t="array" ref="FA12">IFERROR(IF('T1'!$J12="",INDEX(LISTA_EX,155),INDEX(LISTA_EX,MATCH('T1'!$J12&amp;"|"&amp;155,LISTA_KLUCZ,0))),"")</f>
        <v>Swiss ball leg curl</v>
      </c>
      <c r="FB12" s="5" t="str">
        <f t="array" ref="FB12">IFERROR(IF('T1'!$J12="",INDEX(LISTA_EX,156),INDEX(LISTA_EX,MATCH('T1'!$J12&amp;"|"&amp;156,LISTA_KLUCZ,0))),"")</f>
        <v>Toes to bar</v>
      </c>
      <c r="FC12" s="5" t="str">
        <f t="array" ref="FC12">IFERROR(IF('T1'!$J12="",INDEX(LISTA_EX,157),INDEX(LISTA_EX,MATCH('T1'!$J12&amp;"|"&amp;157,LISTA_KLUCZ,0))),"")</f>
        <v>Trap bar deadlift</v>
      </c>
      <c r="FD12" s="5" t="str">
        <f t="array" ref="FD12">IFERROR(IF('T1'!$J12="",INDEX(LISTA_EX,158),INDEX(LISTA_EX,MATCH('T1'!$J12&amp;"|"&amp;158,LISTA_KLUCZ,0))),"")</f>
        <v>Tricep cable pushdown</v>
      </c>
      <c r="FE12" s="5" t="str">
        <f t="array" ref="FE12">IFERROR(IF('T1'!$J12="",INDEX(LISTA_EX,159),INDEX(LISTA_EX,MATCH('T1'!$J12&amp;"|"&amp;159,LISTA_KLUCZ,0))),"")</f>
        <v>Tricep JM press</v>
      </c>
      <c r="FF12" s="5" t="str">
        <f t="array" ref="FF12">IFERROR(IF('T1'!$J12="",INDEX(LISTA_EX,160),INDEX(LISTA_EX,MATCH('T1'!$J12&amp;"|"&amp;160,LISTA_KLUCZ,0))),"")</f>
        <v>Tricep OH cable</v>
      </c>
      <c r="FG12" s="5" t="str">
        <f t="array" ref="FG12">IFERROR(IF('T1'!$J12="",INDEX(LISTA_EX,161),INDEX(LISTA_EX,MATCH('T1'!$J12&amp;"|"&amp;161,LISTA_KLUCZ,0))),"")</f>
        <v>Tricep OH ez bar</v>
      </c>
      <c r="FH12" s="5" t="str">
        <f t="array" ref="FH12">IFERROR(IF('T1'!$J12="",INDEX(LISTA_EX,162),INDEX(LISTA_EX,MATCH('T1'!$J12&amp;"|"&amp;162,LISTA_KLUCZ,0))),"")</f>
        <v>Walking lunges</v>
      </c>
      <c r="FI12" s="5" t="str">
        <f t="array" ref="FI12">IFERROR(IF('T1'!$J12="",INDEX(LISTA_EX,163),INDEX(LISTA_EX,MATCH('T1'!$J12&amp;"|"&amp;163,LISTA_KLUCZ,0))),"")</f>
        <v>Wipers kettle</v>
      </c>
      <c r="FJ12" s="5" t="str">
        <f t="array" ref="FJ12">IFERROR(IF('T1'!$J12="",INDEX(LISTA_EX,164),INDEX(LISTA_EX,MATCH('T1'!$J12&amp;"|"&amp;164,LISTA_KLUCZ,0))),"")</f>
        <v>Zercher jumps</v>
      </c>
      <c r="FK12" s="5" t="str">
        <f t="array" ref="FK12">IFERROR(IF('T1'!$J12="",INDEX(LISTA_EX,165),INDEX(LISTA_EX,MATCH('T1'!$J12&amp;"|"&amp;165,LISTA_KLUCZ,0))),"")</f>
        <v/>
      </c>
      <c r="FL12" s="5" t="str">
        <f t="array" ref="FL12">IFERROR(IF('T1'!$J12="",INDEX(LISTA_EX,166),INDEX(LISTA_EX,MATCH('T1'!$J12&amp;"|"&amp;166,LISTA_KLUCZ,0))),"")</f>
        <v/>
      </c>
      <c r="FM12" s="5" t="str">
        <f t="array" ref="FM12">IFERROR(IF('T1'!$J12="",INDEX(LISTA_EX,167),INDEX(LISTA_EX,MATCH('T1'!$J12&amp;"|"&amp;167,LISTA_KLUCZ,0))),"")</f>
        <v/>
      </c>
      <c r="FN12" s="5" t="str">
        <f t="array" ref="FN12">IFERROR(IF('T1'!$J12="",INDEX(LISTA_EX,168),INDEX(LISTA_EX,MATCH('T1'!$J12&amp;"|"&amp;168,LISTA_KLUCZ,0))),"")</f>
        <v/>
      </c>
      <c r="FO12" s="5" t="str">
        <f t="array" ref="FO12">IFERROR(IF('T1'!$J12="",INDEX(LISTA_EX,169),INDEX(LISTA_EX,MATCH('T1'!$J12&amp;"|"&amp;169,LISTA_KLUCZ,0))),"")</f>
        <v/>
      </c>
      <c r="FP12" s="5" t="str">
        <f t="array" ref="FP12">IFERROR(IF('T1'!$J12="",INDEX(LISTA_EX,170),INDEX(LISTA_EX,MATCH('T1'!$J12&amp;"|"&amp;170,LISTA_KLUCZ,0))),"")</f>
        <v/>
      </c>
      <c r="FQ12" s="5" t="str">
        <f t="array" ref="FQ12">IFERROR(IF('T1'!$J12="",INDEX(LISTA_EX,171),INDEX(LISTA_EX,MATCH('T1'!$J12&amp;"|"&amp;171,LISTA_KLUCZ,0))),"")</f>
        <v/>
      </c>
      <c r="FR12" s="5" t="str">
        <f t="array" ref="FR12">IFERROR(IF('T1'!$J12="",INDEX(LISTA_EX,172),INDEX(LISTA_EX,MATCH('T1'!$J12&amp;"|"&amp;172,LISTA_KLUCZ,0))),"")</f>
        <v/>
      </c>
      <c r="FS12" s="5" t="str">
        <f t="array" ref="FS12">IFERROR(IF('T1'!$J12="",INDEX(LISTA_EX,173),INDEX(LISTA_EX,MATCH('T1'!$J12&amp;"|"&amp;173,LISTA_KLUCZ,0))),"")</f>
        <v/>
      </c>
      <c r="FT12" s="5" t="str">
        <f t="array" ref="FT12">IFERROR(IF('T1'!$J12="",INDEX(LISTA_EX,174),INDEX(LISTA_EX,MATCH('T1'!$J12&amp;"|"&amp;174,LISTA_KLUCZ,0))),"")</f>
        <v/>
      </c>
      <c r="FU12" s="5" t="str">
        <f t="array" ref="FU12">IFERROR(IF('T1'!$J12="",INDEX(LISTA_EX,175),INDEX(LISTA_EX,MATCH('T1'!$J12&amp;"|"&amp;175,LISTA_KLUCZ,0))),"")</f>
        <v/>
      </c>
      <c r="FV12" s="5" t="str">
        <f t="array" ref="FV12">IFERROR(IF('T1'!$J12="",INDEX(LISTA_EX,176),INDEX(LISTA_EX,MATCH('T1'!$J12&amp;"|"&amp;176,LISTA_KLUCZ,0))),"")</f>
        <v/>
      </c>
      <c r="FW12" s="5" t="str">
        <f t="array" ref="FW12">IFERROR(IF('T1'!$J12="",INDEX(LISTA_EX,177),INDEX(LISTA_EX,MATCH('T1'!$J12&amp;"|"&amp;177,LISTA_KLUCZ,0))),"")</f>
        <v/>
      </c>
      <c r="FX12" s="5" t="str">
        <f t="array" ref="FX12">IFERROR(IF('T1'!$J12="",INDEX(LISTA_EX,178),INDEX(LISTA_EX,MATCH('T1'!$J12&amp;"|"&amp;178,LISTA_KLUCZ,0))),"")</f>
        <v/>
      </c>
      <c r="FY12" s="5" t="str">
        <f t="array" ref="FY12">IFERROR(IF('T1'!$J12="",INDEX(LISTA_EX,179),INDEX(LISTA_EX,MATCH('T1'!$J12&amp;"|"&amp;179,LISTA_KLUCZ,0))),"")</f>
        <v/>
      </c>
      <c r="FZ12" s="5" t="str">
        <f t="array" ref="FZ12">IFERROR(IF('T1'!$J12="",INDEX(LISTA_EX,180),INDEX(LISTA_EX,MATCH('T1'!$J12&amp;"|"&amp;180,LISTA_KLUCZ,0))),"")</f>
        <v/>
      </c>
      <c r="GA12" s="5" t="str">
        <f t="array" ref="GA12">IFERROR(IF('T1'!$J12="",INDEX(LISTA_EX,181),INDEX(LISTA_EX,MATCH('T1'!$J12&amp;"|"&amp;181,LISTA_KLUCZ,0))),"")</f>
        <v/>
      </c>
      <c r="GB12" s="5" t="str">
        <f t="array" ref="GB12">IFERROR(IF('T1'!$J12="",INDEX(LISTA_EX,182),INDEX(LISTA_EX,MATCH('T1'!$J12&amp;"|"&amp;182,LISTA_KLUCZ,0))),"")</f>
        <v/>
      </c>
      <c r="GC12" s="5" t="str">
        <f t="array" ref="GC12">IFERROR(IF('T1'!$J12="",INDEX(LISTA_EX,183),INDEX(LISTA_EX,MATCH('T1'!$J12&amp;"|"&amp;183,LISTA_KLUCZ,0))),"")</f>
        <v/>
      </c>
      <c r="GD12" s="5" t="str">
        <f t="array" ref="GD12">IFERROR(IF('T1'!$J12="",INDEX(LISTA_EX,184),INDEX(LISTA_EX,MATCH('T1'!$J12&amp;"|"&amp;184,LISTA_KLUCZ,0))),"")</f>
        <v/>
      </c>
      <c r="GE12" s="5" t="str">
        <f t="array" ref="GE12">IFERROR(IF('T1'!$J12="",INDEX(LISTA_EX,185),INDEX(LISTA_EX,MATCH('T1'!$J12&amp;"|"&amp;185,LISTA_KLUCZ,0))),"")</f>
        <v/>
      </c>
      <c r="GF12" s="5" t="str">
        <f t="array" ref="GF12">IFERROR(IF('T1'!$J12="",INDEX(LISTA_EX,186),INDEX(LISTA_EX,MATCH('T1'!$J12&amp;"|"&amp;186,LISTA_KLUCZ,0))),"")</f>
        <v/>
      </c>
      <c r="GG12" s="5" t="str">
        <f t="array" ref="GG12">IFERROR(IF('T1'!$J12="",INDEX(LISTA_EX,187),INDEX(LISTA_EX,MATCH('T1'!$J12&amp;"|"&amp;187,LISTA_KLUCZ,0))),"")</f>
        <v/>
      </c>
      <c r="GH12" s="5" t="str">
        <f t="array" ref="GH12">IFERROR(IF('T1'!$J12="",INDEX(LISTA_EX,188),INDEX(LISTA_EX,MATCH('T1'!$J12&amp;"|"&amp;188,LISTA_KLUCZ,0))),"")</f>
        <v/>
      </c>
      <c r="GI12" s="5" t="str">
        <f t="array" ref="GI12">IFERROR(IF('T1'!$J12="",INDEX(LISTA_EX,189),INDEX(LISTA_EX,MATCH('T1'!$J12&amp;"|"&amp;189,LISTA_KLUCZ,0))),"")</f>
        <v/>
      </c>
      <c r="GJ12" s="5" t="str">
        <f t="array" ref="GJ12">IFERROR(IF('T1'!$J12="",INDEX(LISTA_EX,190),INDEX(LISTA_EX,MATCH('T1'!$J12&amp;"|"&amp;190,LISTA_KLUCZ,0))),"")</f>
        <v/>
      </c>
      <c r="GK12" s="5" t="str">
        <f t="array" ref="GK12">IFERROR(IF('T1'!$J12="",INDEX(LISTA_EX,191),INDEX(LISTA_EX,MATCH('T1'!$J12&amp;"|"&amp;191,LISTA_KLUCZ,0))),"")</f>
        <v/>
      </c>
      <c r="GL12" s="5" t="str">
        <f t="array" ref="GL12">IFERROR(IF('T1'!$J12="",INDEX(LISTA_EX,192),INDEX(LISTA_EX,MATCH('T1'!$J12&amp;"|"&amp;192,LISTA_KLUCZ,0))),"")</f>
        <v/>
      </c>
      <c r="GM12" s="5" t="str">
        <f t="array" ref="GM12">IFERROR(IF('T1'!$J12="",INDEX(LISTA_EX,193),INDEX(LISTA_EX,MATCH('T1'!$J12&amp;"|"&amp;193,LISTA_KLUCZ,0))),"")</f>
        <v/>
      </c>
      <c r="GN12" s="5" t="str">
        <f t="array" ref="GN12">IFERROR(IF('T1'!$J12="",INDEX(LISTA_EX,194),INDEX(LISTA_EX,MATCH('T1'!$J12&amp;"|"&amp;194,LISTA_KLUCZ,0))),"")</f>
        <v/>
      </c>
      <c r="GO12" s="5" t="str">
        <f t="array" ref="GO12">IFERROR(IF('T1'!$J12="",INDEX(LISTA_EX,195),INDEX(LISTA_EX,MATCH('T1'!$J12&amp;"|"&amp;195,LISTA_KLUCZ,0))),"")</f>
        <v/>
      </c>
      <c r="GP12" s="5" t="str">
        <f t="array" ref="GP12">IFERROR(IF('T1'!$J12="",INDEX(LISTA_EX,196),INDEX(LISTA_EX,MATCH('T1'!$J12&amp;"|"&amp;196,LISTA_KLUCZ,0))),"")</f>
        <v/>
      </c>
      <c r="GQ12" s="5" t="str">
        <f t="array" ref="GQ12">IFERROR(IF('T1'!$J12="",INDEX(LISTA_EX,197),INDEX(LISTA_EX,MATCH('T1'!$J12&amp;"|"&amp;197,LISTA_KLUCZ,0))),"")</f>
        <v/>
      </c>
      <c r="GR12" s="5" t="str">
        <f t="array" ref="GR12">IFERROR(IF('T1'!$J12="",INDEX(LISTA_EX,198),INDEX(LISTA_EX,MATCH('T1'!$J12&amp;"|"&amp;198,LISTA_KLUCZ,0))),"")</f>
        <v/>
      </c>
      <c r="GS12" s="5" t="str">
        <f t="array" ref="GS12">IFERROR(IF('T1'!$J12="",INDEX(LISTA_EX,199),INDEX(LISTA_EX,MATCH('T1'!$J12&amp;"|"&amp;199,LISTA_KLUCZ,0))),"")</f>
        <v/>
      </c>
      <c r="GT12" s="5" t="str">
        <f t="array" ref="GT12">IFERROR(IF('T1'!$J12="",INDEX(LISTA_EX,200),INDEX(LISTA_EX,MATCH('T1'!$J12&amp;"|"&amp;200,LISTA_KLUCZ,0))),"")</f>
        <v/>
      </c>
      <c r="GV12" s="5" t="str">
        <f>IF(BAZA!$A12="","",BAZA!$A12)</f>
        <v>Barbell back squat</v>
      </c>
      <c r="GW12" s="5" t="str">
        <f>IF(BAZA!$B12="","",BAZA!$B12&amp;"|"&amp;COUNTIF(BAZA!$B$3:$B12,BAZA!$B12))</f>
        <v>Lower push|3</v>
      </c>
    </row>
    <row r="13" ht="15.0" customHeight="1">
      <c r="A13" s="5" t="str">
        <f>IF('T1'!$K13="","",'T1'!$K13)</f>
        <v>D1-S07</v>
      </c>
      <c r="B13" s="5" t="str">
        <f>IF('T1'!$J13="","(wszystkie)",'T1'!$J13)</f>
        <v>(wszystkie)</v>
      </c>
      <c r="C13" s="5" t="str">
        <f t="array" ref="C13">IFERROR(IF('T1'!$J13="",INDEX(LISTA_EX,1),INDEX(LISTA_EX,MATCH('T1'!$J13&amp;"|"&amp;1,LISTA_KLUCZ,0))),"")</f>
        <v>Abduction machine</v>
      </c>
      <c r="D13" s="5" t="str">
        <f t="array" ref="D13">IFERROR(IF('T1'!$J13="",INDEX(LISTA_EX,2),INDEX(LISTA_EX,MATCH('T1'!$J13&amp;"|"&amp;2,LISTA_KLUCZ,0))),"")</f>
        <v>Adduction machine</v>
      </c>
      <c r="E13" s="5" t="str">
        <f t="array" ref="E13">IFERROR(IF('T1'!$J13="",INDEX(LISTA_EX,3),INDEX(LISTA_EX,MATCH('T1'!$J13&amp;"|"&amp;3,LISTA_KLUCZ,0))),"")</f>
        <v>Allah</v>
      </c>
      <c r="F13" s="5" t="str">
        <f t="array" ref="F13">IFERROR(IF('T1'!$J13="",INDEX(LISTA_EX,4),INDEX(LISTA_EX,MATCH('T1'!$J13&amp;"|"&amp;4,LISTA_KLUCZ,0))),"")</f>
        <v>Arnold press</v>
      </c>
      <c r="G13" s="5" t="str">
        <f t="array" ref="G13">IFERROR(IF('T1'!$J13="",INDEX(LISTA_EX,5),INDEX(LISTA_EX,MATCH('T1'!$J13&amp;"|"&amp;5,LISTA_KLUCZ,0))),"")</f>
        <v>Arnold press alternating</v>
      </c>
      <c r="H13" s="5" t="str">
        <f t="array" ref="H13">IFERROR(IF('T1'!$J13="",INDEX(LISTA_EX,6),INDEX(LISTA_EX,MATCH('T1'!$J13&amp;"|"&amp;6,LISTA_KLUCZ,0))),"")</f>
        <v>B/l dragonflag eccentric</v>
      </c>
      <c r="I13" s="5" t="str">
        <f t="array" ref="I13">IFERROR(IF('T1'!$J13="",INDEX(LISTA_EX,7),INDEX(LISTA_EX,MATCH('T1'!$J13&amp;"|"&amp;7,LISTA_KLUCZ,0))),"")</f>
        <v>Back extension</v>
      </c>
      <c r="J13" s="5" t="str">
        <f t="array" ref="J13">IFERROR(IF('T1'!$J13="",INDEX(LISTA_EX,8),INDEX(LISTA_EX,MATCH('T1'!$J13&amp;"|"&amp;8,LISTA_KLUCZ,0))),"")</f>
        <v>Banded pistol squat</v>
      </c>
      <c r="K13" s="5" t="str">
        <f t="array" ref="K13">IFERROR(IF('T1'!$J13="",INDEX(LISTA_EX,9),INDEX(LISTA_EX,MATCH('T1'!$J13&amp;"|"&amp;9,LISTA_KLUCZ,0))),"")</f>
        <v>Banded pull ups</v>
      </c>
      <c r="L13" s="5" t="str">
        <f t="array" ref="L13">IFERROR(IF('T1'!$J13="",INDEX(LISTA_EX,10),INDEX(LISTA_EX,MATCH('T1'!$J13&amp;"|"&amp;10,LISTA_KLUCZ,0))),"")</f>
        <v>Barbell back squat</v>
      </c>
      <c r="M13" s="5" t="str">
        <f t="array" ref="M13">IFERROR(IF('T1'!$J13="",INDEX(LISTA_EX,11),INDEX(LISTA_EX,MATCH('T1'!$J13&amp;"|"&amp;11,LISTA_KLUCZ,0))),"")</f>
        <v>Barbell bench press</v>
      </c>
      <c r="N13" s="5" t="str">
        <f t="array" ref="N13">IFERROR(IF('T1'!$J13="",INDEX(LISTA_EX,12),INDEX(LISTA_EX,MATCH('T1'!$J13&amp;"|"&amp;12,LISTA_KLUCZ,0))),"")</f>
        <v>Barbell curl</v>
      </c>
      <c r="O13" s="5" t="str">
        <f t="array" ref="O13">IFERROR(IF('T1'!$J13="",INDEX(LISTA_EX,13),INDEX(LISTA_EX,MATCH('T1'!$J13&amp;"|"&amp;13,LISTA_KLUCZ,0))),"")</f>
        <v>Barbell low bar squat</v>
      </c>
      <c r="P13" s="5" t="str">
        <f t="array" ref="P13">IFERROR(IF('T1'!$J13="",INDEX(LISTA_EX,14),INDEX(LISTA_EX,MATCH('T1'!$J13&amp;"|"&amp;14,LISTA_KLUCZ,0))),"")</f>
        <v>Barbell OHP</v>
      </c>
      <c r="Q13" s="5" t="str">
        <f t="array" ref="Q13">IFERROR(IF('T1'!$J13="",INDEX(LISTA_EX,15),INDEX(LISTA_EX,MATCH('T1'!$J13&amp;"|"&amp;15,LISTA_KLUCZ,0))),"")</f>
        <v>Barbell oscilation</v>
      </c>
      <c r="R13" s="5" t="str">
        <f t="array" ref="R13">IFERROR(IF('T1'!$J13="",INDEX(LISTA_EX,16),INDEX(LISTA_EX,MATCH('T1'!$J13&amp;"|"&amp;16,LISTA_KLUCZ,0))),"")</f>
        <v>Barbell row</v>
      </c>
      <c r="S13" s="5" t="str">
        <f t="array" ref="S13">IFERROR(IF('T1'!$J13="",INDEX(LISTA_EX,17),INDEX(LISTA_EX,MATCH('T1'!$J13&amp;"|"&amp;17,LISTA_KLUCZ,0))),"")</f>
        <v>Barbell row dead stop pins</v>
      </c>
      <c r="T13" s="5" t="str">
        <f t="array" ref="T13">IFERROR(IF('T1'!$J13="",INDEX(LISTA_EX,18),INDEX(LISTA_EX,MATCH('T1'!$J13&amp;"|"&amp;18,LISTA_KLUCZ,0))),"")</f>
        <v>Barbell SLDL</v>
      </c>
      <c r="U13" s="5" t="str">
        <f t="array" ref="U13">IFERROR(IF('T1'!$J13="",INDEX(LISTA_EX,19),INDEX(LISTA_EX,MATCH('T1'!$J13&amp;"|"&amp;19,LISTA_KLUCZ,0))),"")</f>
        <v>Bayesian curl</v>
      </c>
      <c r="V13" s="5" t="str">
        <f t="array" ref="V13">IFERROR(IF('T1'!$J13="",INDEX(LISTA_EX,20),INDEX(LISTA_EX,MATCH('T1'!$J13&amp;"|"&amp;20,LISTA_KLUCZ,0))),"")</f>
        <v>Bear renegade row</v>
      </c>
      <c r="W13" s="5" t="str">
        <f t="array" ref="W13">IFERROR(IF('T1'!$J13="",INDEX(LISTA_EX,21),INDEX(LISTA_EX,MATCH('T1'!$J13&amp;"|"&amp;21,LISTA_KLUCZ,0))),"")</f>
        <v>Bench press paused 3sec</v>
      </c>
      <c r="X13" s="5" t="str">
        <f t="array" ref="X13">IFERROR(IF('T1'!$J13="",INDEX(LISTA_EX,22),INDEX(LISTA_EX,MATCH('T1'!$J13&amp;"|"&amp;22,LISTA_KLUCZ,0))),"")</f>
        <v>Bicep hammer curl</v>
      </c>
      <c r="Y13" s="5" t="str">
        <f t="array" ref="Y13">IFERROR(IF('T1'!$J13="",INDEX(LISTA_EX,23),INDEX(LISTA_EX,MATCH('T1'!$J13&amp;"|"&amp;23,LISTA_KLUCZ,0))),"")</f>
        <v>Bicep squat cable curl</v>
      </c>
      <c r="Z13" s="5" t="str">
        <f t="array" ref="Z13">IFERROR(IF('T1'!$J13="",INDEX(LISTA_EX,24),INDEX(LISTA_EX,MATCH('T1'!$J13&amp;"|"&amp;24,LISTA_KLUCZ,0))),"")</f>
        <v>Bird dog row</v>
      </c>
      <c r="AA13" s="5" t="str">
        <f t="array" ref="AA13">IFERROR(IF('T1'!$J13="",INDEX(LISTA_EX,25),INDEX(LISTA_EX,MATCH('T1'!$J13&amp;"|"&amp;25,LISTA_KLUCZ,0))),"")</f>
        <v>Box jump</v>
      </c>
      <c r="AB13" s="5" t="str">
        <f t="array" ref="AB13">IFERROR(IF('T1'!$J13="",INDEX(LISTA_EX,26),INDEX(LISTA_EX,MATCH('T1'!$J13&amp;"|"&amp;26,LISTA_KLUCZ,0))),"")</f>
        <v>Bulgarian clean plyo</v>
      </c>
      <c r="AC13" s="5" t="str">
        <f t="array" ref="AC13">IFERROR(IF('T1'!$J13="",INDEX(LISTA_EX,27),INDEX(LISTA_EX,MATCH('T1'!$J13&amp;"|"&amp;27,LISTA_KLUCZ,0))),"")</f>
        <v>Bulgarian squat assisted</v>
      </c>
      <c r="AD13" s="5" t="str">
        <f t="array" ref="AD13">IFERROR(IF('T1'!$J13="",INDEX(LISTA_EX,28),INDEX(LISTA_EX,MATCH('T1'!$J13&amp;"|"&amp;28,LISTA_KLUCZ,0))),"")</f>
        <v>Cable biceps curl</v>
      </c>
      <c r="AE13" s="5" t="str">
        <f t="array" ref="AE13">IFERROR(IF('T1'!$J13="",INDEX(LISTA_EX,29),INDEX(LISTA_EX,MATCH('T1'!$J13&amp;"|"&amp;29,LISTA_KLUCZ,0))),"")</f>
        <v>Cable fly</v>
      </c>
      <c r="AF13" s="5" t="str">
        <f t="array" ref="AF13">IFERROR(IF('T1'!$J13="",INDEX(LISTA_EX,30),INDEX(LISTA_EX,MATCH('T1'!$J13&amp;"|"&amp;30,LISTA_KLUCZ,0))),"")</f>
        <v>Cable lateral raise s/a</v>
      </c>
      <c r="AG13" s="5" t="str">
        <f t="array" ref="AG13">IFERROR(IF('T1'!$J13="",INDEX(LISTA_EX,31),INDEX(LISTA_EX,MATCH('T1'!$J13&amp;"|"&amp;31,LISTA_KLUCZ,0))),"")</f>
        <v>Cable row</v>
      </c>
      <c r="AH13" s="5" t="str">
        <f t="array" ref="AH13">IFERROR(IF('T1'!$J13="",INDEX(LISTA_EX,32),INDEX(LISTA_EX,MATCH('T1'!$J13&amp;"|"&amp;32,LISTA_KLUCZ,0))),"")</f>
        <v>Cable row s/a</v>
      </c>
      <c r="AI13" s="5" t="str">
        <f t="array" ref="AI13">IFERROR(IF('T1'!$J13="",INDEX(LISTA_EX,33),INDEX(LISTA_EX,MATCH('T1'!$J13&amp;"|"&amp;33,LISTA_KLUCZ,0))),"")</f>
        <v>Calf raises</v>
      </c>
      <c r="AJ13" s="5" t="str">
        <f t="array" ref="AJ13">IFERROR(IF('T1'!$J13="",INDEX(LISTA_EX,34),INDEX(LISTA_EX,MATCH('T1'!$J13&amp;"|"&amp;34,LISTA_KLUCZ,0))),"")</f>
        <v>Chest fly machine</v>
      </c>
      <c r="AK13" s="5" t="str">
        <f t="array" ref="AK13">IFERROR(IF('T1'!$J13="",INDEX(LISTA_EX,35),INDEX(LISTA_EX,MATCH('T1'!$J13&amp;"|"&amp;35,LISTA_KLUCZ,0))),"")</f>
        <v>Clean</v>
      </c>
      <c r="AL13" s="5" t="str">
        <f t="array" ref="AL13">IFERROR(IF('T1'!$J13="",INDEX(LISTA_EX,36),INDEX(LISTA_EX,MATCH('T1'!$J13&amp;"|"&amp;36,LISTA_KLUCZ,0))),"")</f>
        <v>Clean pins</v>
      </c>
      <c r="AM13" s="5" t="str">
        <f t="array" ref="AM13">IFERROR(IF('T1'!$J13="",INDEX(LISTA_EX,37),INDEX(LISTA_EX,MATCH('T1'!$J13&amp;"|"&amp;37,LISTA_KLUCZ,0))),"")</f>
        <v>Copenhagen plank</v>
      </c>
      <c r="AN13" s="5" t="str">
        <f t="array" ref="AN13">IFERROR(IF('T1'!$J13="",INDEX(LISTA_EX,38),INDEX(LISTA_EX,MATCH('T1'!$J13&amp;"|"&amp;38,LISTA_KLUCZ,0))),"")</f>
        <v>Dead bug izo + OH</v>
      </c>
      <c r="AO13" s="5" t="str">
        <f t="array" ref="AO13">IFERROR(IF('T1'!$J13="",INDEX(LISTA_EX,39),INDEX(LISTA_EX,MATCH('T1'!$J13&amp;"|"&amp;39,LISTA_KLUCZ,0))),"")</f>
        <v>Dead bug straight legs</v>
      </c>
      <c r="AP13" s="5" t="str">
        <f t="array" ref="AP13">IFERROR(IF('T1'!$J13="",INDEX(LISTA_EX,40),INDEX(LISTA_EX,MATCH('T1'!$J13&amp;"|"&amp;40,LISTA_KLUCZ,0))),"")</f>
        <v>Dead stop barbell row</v>
      </c>
      <c r="AQ13" s="5" t="str">
        <f t="array" ref="AQ13">IFERROR(IF('T1'!$J13="",INDEX(LISTA_EX,41),INDEX(LISTA_EX,MATCH('T1'!$J13&amp;"|"&amp;41,LISTA_KLUCZ,0))),"")</f>
        <v>Deadbug OH</v>
      </c>
      <c r="AR13" s="5" t="str">
        <f t="array" ref="AR13">IFERROR(IF('T1'!$J13="",INDEX(LISTA_EX,42),INDEX(LISTA_EX,MATCH('T1'!$J13&amp;"|"&amp;42,LISTA_KLUCZ,0))),"")</f>
        <v>Deadlift</v>
      </c>
      <c r="AS13" s="5" t="str">
        <f t="array" ref="AS13">IFERROR(IF('T1'!$J13="",INDEX(LISTA_EX,43),INDEX(LISTA_EX,MATCH('T1'!$J13&amp;"|"&amp;43,LISTA_KLUCZ,0))),"")</f>
        <v>Deficit push up</v>
      </c>
      <c r="AT13" s="5" t="str">
        <f t="array" ref="AT13">IFERROR(IF('T1'!$J13="",INDEX(LISTA_EX,44),INDEX(LISTA_EX,MATCH('T1'!$J13&amp;"|"&amp;44,LISTA_KLUCZ,0))),"")</f>
        <v>Deficit reverse lunge</v>
      </c>
      <c r="AU13" s="5" t="str">
        <f t="array" ref="AU13">IFERROR(IF('T1'!$J13="",INDEX(LISTA_EX,45),INDEX(LISTA_EX,MATCH('T1'!$J13&amp;"|"&amp;45,LISTA_KLUCZ,0))),"")</f>
        <v>Dips</v>
      </c>
      <c r="AV13" s="5" t="str">
        <f t="array" ref="AV13">IFERROR(IF('T1'!$J13="",INDEX(LISTA_EX,46),INDEX(LISTA_EX,MATCH('T1'!$J13&amp;"|"&amp;46,LISTA_KLUCZ,0))),"")</f>
        <v>Dips weighted</v>
      </c>
      <c r="AW13" s="5" t="str">
        <f t="array" ref="AW13">IFERROR(IF('T1'!$J13="",INDEX(LISTA_EX,47),INDEX(LISTA_EX,MATCH('T1'!$J13&amp;"|"&amp;47,LISTA_KLUCZ,0))),"")</f>
        <v>Dumbbell bench press</v>
      </c>
      <c r="AX13" s="5" t="str">
        <f t="array" ref="AX13">IFERROR(IF('T1'!$J13="",INDEX(LISTA_EX,48),INDEX(LISTA_EX,MATCH('T1'!$J13&amp;"|"&amp;48,LISTA_KLUCZ,0))),"")</f>
        <v>Dumbbell bench press alternating</v>
      </c>
      <c r="AY13" s="5" t="str">
        <f t="array" ref="AY13">IFERROR(IF('T1'!$J13="",INDEX(LISTA_EX,49),INDEX(LISTA_EX,MATCH('T1'!$J13&amp;"|"&amp;49,LISTA_KLUCZ,0))),"")</f>
        <v>Dumbbell curl</v>
      </c>
      <c r="AZ13" s="5" t="str">
        <f t="array" ref="AZ13">IFERROR(IF('T1'!$J13="",INDEX(LISTA_EX,50),INDEX(LISTA_EX,MATCH('T1'!$J13&amp;"|"&amp;50,LISTA_KLUCZ,0))),"")</f>
        <v>Dumbbell external rotation</v>
      </c>
      <c r="BA13" s="5" t="str">
        <f t="array" ref="BA13">IFERROR(IF('T1'!$J13="",INDEX(LISTA_EX,51),INDEX(LISTA_EX,MATCH('T1'!$J13&amp;"|"&amp;51,LISTA_KLUCZ,0))),"")</f>
        <v>Dumbbell face down curl</v>
      </c>
      <c r="BB13" s="5" t="str">
        <f t="array" ref="BB13">IFERROR(IF('T1'!$J13="",INDEX(LISTA_EX,52),INDEX(LISTA_EX,MATCH('T1'!$J13&amp;"|"&amp;52,LISTA_KLUCZ,0))),"")</f>
        <v>Dumbbell fly</v>
      </c>
      <c r="BC13" s="5" t="str">
        <f t="array" ref="BC13">IFERROR(IF('T1'!$J13="",INDEX(LISTA_EX,53),INDEX(LISTA_EX,MATCH('T1'!$J13&amp;"|"&amp;53,LISTA_KLUCZ,0))),"")</f>
        <v>Dumbbell french press</v>
      </c>
      <c r="BD13" s="5" t="str">
        <f t="array" ref="BD13">IFERROR(IF('T1'!$J13="",INDEX(LISTA_EX,54),INDEX(LISTA_EX,MATCH('T1'!$J13&amp;"|"&amp;54,LISTA_KLUCZ,0))),"")</f>
        <v>Dumbbell lateral raise</v>
      </c>
      <c r="BE13" s="5" t="str">
        <f t="array" ref="BE13">IFERROR(IF('T1'!$J13="",INDEX(LISTA_EX,55),INDEX(LISTA_EX,MATCH('T1'!$J13&amp;"|"&amp;55,LISTA_KLUCZ,0))),"")</f>
        <v>Dumbbell lunges</v>
      </c>
      <c r="BF13" s="5" t="str">
        <f t="array" ref="BF13">IFERROR(IF('T1'!$J13="",INDEX(LISTA_EX,56),INDEX(LISTA_EX,MATCH('T1'!$J13&amp;"|"&amp;56,LISTA_KLUCZ,0))),"")</f>
        <v>Dumbbell OH press</v>
      </c>
      <c r="BG13" s="5" t="str">
        <f t="array" ref="BG13">IFERROR(IF('T1'!$J13="",INDEX(LISTA_EX,57),INDEX(LISTA_EX,MATCH('T1'!$J13&amp;"|"&amp;57,LISTA_KLUCZ,0))),"")</f>
        <v>Dumbbell over head press</v>
      </c>
      <c r="BH13" s="5" t="str">
        <f t="array" ref="BH13">IFERROR(IF('T1'!$J13="",INDEX(LISTA_EX,58),INDEX(LISTA_EX,MATCH('T1'!$J13&amp;"|"&amp;58,LISTA_KLUCZ,0))),"")</f>
        <v>Dumbbell over head press alternating</v>
      </c>
      <c r="BI13" s="5" t="str">
        <f t="array" ref="BI13">IFERROR(IF('T1'!$J13="",INDEX(LISTA_EX,59),INDEX(LISTA_EX,MATCH('T1'!$J13&amp;"|"&amp;59,LISTA_KLUCZ,0))),"")</f>
        <v>Dumbbell row</v>
      </c>
      <c r="BJ13" s="5" t="str">
        <f t="array" ref="BJ13">IFERROR(IF('T1'!$J13="",INDEX(LISTA_EX,60),INDEX(LISTA_EX,MATCH('T1'!$J13&amp;"|"&amp;60,LISTA_KLUCZ,0))),"")</f>
        <v>Dumbbell s/a Arnold press</v>
      </c>
      <c r="BK13" s="5" t="str">
        <f t="array" ref="BK13">IFERROR(IF('T1'!$J13="",INDEX(LISTA_EX,61),INDEX(LISTA_EX,MATCH('T1'!$J13&amp;"|"&amp;61,LISTA_KLUCZ,0))),"")</f>
        <v>Dumbbell s/a row</v>
      </c>
      <c r="BL13" s="5" t="str">
        <f t="array" ref="BL13">IFERROR(IF('T1'!$J13="",INDEX(LISTA_EX,62),INDEX(LISTA_EX,MATCH('T1'!$J13&amp;"|"&amp;62,LISTA_KLUCZ,0))),"")</f>
        <v>Dumbbell seal row</v>
      </c>
      <c r="BM13" s="5" t="str">
        <f t="array" ref="BM13">IFERROR(IF('T1'!$J13="",INDEX(LISTA_EX,63),INDEX(LISTA_EX,MATCH('T1'!$J13&amp;"|"&amp;63,LISTA_KLUCZ,0))),"")</f>
        <v>Dumbbells jumps</v>
      </c>
      <c r="BN13" s="5" t="str">
        <f t="array" ref="BN13">IFERROR(IF('T1'!$J13="",INDEX(LISTA_EX,64),INDEX(LISTA_EX,MATCH('T1'!$J13&amp;"|"&amp;64,LISTA_KLUCZ,0))),"")</f>
        <v>Eccentric pull up</v>
      </c>
      <c r="BO13" s="5" t="str">
        <f t="array" ref="BO13">IFERROR(IF('T1'!$J13="",INDEX(LISTA_EX,65),INDEX(LISTA_EX,MATCH('T1'!$J13&amp;"|"&amp;65,LISTA_KLUCZ,0))),"")</f>
        <v>Eccentric push up (5 sek w dół)</v>
      </c>
      <c r="BP13" s="5" t="str">
        <f t="array" ref="BP13">IFERROR(IF('T1'!$J13="",INDEX(LISTA_EX,66),INDEX(LISTA_EX,MATCH('T1'!$J13&amp;"|"&amp;66,LISTA_KLUCZ,0))),"")</f>
        <v>Extensive plyo jumps s/l</v>
      </c>
      <c r="BQ13" s="5" t="str">
        <f t="array" ref="BQ13">IFERROR(IF('T1'!$J13="",INDEX(LISTA_EX,67),INDEX(LISTA_EX,MATCH('T1'!$J13&amp;"|"&amp;67,LISTA_KLUCZ,0))),"")</f>
        <v>Ez bar curl</v>
      </c>
      <c r="BR13" s="5" t="str">
        <f t="array" ref="BR13">IFERROR(IF('T1'!$J13="",INDEX(LISTA_EX,68),INDEX(LISTA_EX,MATCH('T1'!$J13&amp;"|"&amp;68,LISTA_KLUCZ,0))),"")</f>
        <v>Facepull chest supported</v>
      </c>
      <c r="BS13" s="5" t="str">
        <f t="array" ref="BS13">IFERROR(IF('T1'!$J13="",INDEX(LISTA_EX,69),INDEX(LISTA_EX,MATCH('T1'!$J13&amp;"|"&amp;69,LISTA_KLUCZ,0))),"")</f>
        <v>Front foot elevated split squat</v>
      </c>
      <c r="BT13" s="5" t="str">
        <f t="array" ref="BT13">IFERROR(IF('T1'!$J13="",INDEX(LISTA_EX,70),INDEX(LISTA_EX,MATCH('T1'!$J13&amp;"|"&amp;70,LISTA_KLUCZ,0))),"")</f>
        <v>Front squat</v>
      </c>
      <c r="BU13" s="5" t="str">
        <f t="array" ref="BU13">IFERROR(IF('T1'!$J13="",INDEX(LISTA_EX,71),INDEX(LISTA_EX,MATCH('T1'!$J13&amp;"|"&amp;71,LISTA_KLUCZ,0))),"")</f>
        <v>GHD flexion</v>
      </c>
      <c r="BV13" s="5" t="str">
        <f t="array" ref="BV13">IFERROR(IF('T1'!$J13="",INDEX(LISTA_EX,72),INDEX(LISTA_EX,MATCH('T1'!$J13&amp;"|"&amp;72,LISTA_KLUCZ,0))),"")</f>
        <v>Glute bridge hamstrings izo + OH</v>
      </c>
      <c r="BW13" s="5" t="str">
        <f t="array" ref="BW13">IFERROR(IF('T1'!$J13="",INDEX(LISTA_EX,73),INDEX(LISTA_EX,MATCH('T1'!$J13&amp;"|"&amp;73,LISTA_KLUCZ,0))),"")</f>
        <v>Glute crusher</v>
      </c>
      <c r="BX13" s="5" t="str">
        <f t="array" ref="BX13">IFERROR(IF('T1'!$J13="",INDEX(LISTA_EX,74),INDEX(LISTA_EX,MATCH('T1'!$J13&amp;"|"&amp;74,LISTA_KLUCZ,0))),"")</f>
        <v>Gorilla row</v>
      </c>
      <c r="BY13" s="5" t="str">
        <f t="array" ref="BY13">IFERROR(IF('T1'!$J13="",INDEX(LISTA_EX,75),INDEX(LISTA_EX,MATCH('T1'!$J13&amp;"|"&amp;75,LISTA_KLUCZ,0))),"")</f>
        <v>Halfkneeling s/a cable pull</v>
      </c>
      <c r="BZ13" s="5" t="str">
        <f t="array" ref="BZ13">IFERROR(IF('T1'!$J13="",INDEX(LISTA_EX,76),INDEX(LISTA_EX,MATCH('T1'!$J13&amp;"|"&amp;76,LISTA_KLUCZ,0))),"")</f>
        <v>Halfkneeling wood chopper</v>
      </c>
      <c r="CA13" s="5" t="str">
        <f t="array" ref="CA13">IFERROR(IF('T1'!$J13="",INDEX(LISTA_EX,77),INDEX(LISTA_EX,MATCH('T1'!$J13&amp;"|"&amp;77,LISTA_KLUCZ,0))),"")</f>
        <v>Hinged dumbbell row</v>
      </c>
      <c r="CB13" s="5" t="str">
        <f t="array" ref="CB13">IFERROR(IF('T1'!$J13="",INDEX(LISTA_EX,78),INDEX(LISTA_EX,MATCH('T1'!$J13&amp;"|"&amp;78,LISTA_KLUCZ,0))),"")</f>
        <v>Hip aeroplane</v>
      </c>
      <c r="CC13" s="5" t="str">
        <f t="array" ref="CC13">IFERROR(IF('T1'!$J13="",INDEX(LISTA_EX,79),INDEX(LISTA_EX,MATCH('T1'!$J13&amp;"|"&amp;79,LISTA_KLUCZ,0))),"")</f>
        <v>Hip flexors cable</v>
      </c>
      <c r="CD13" s="5" t="str">
        <f t="array" ref="CD13">IFERROR(IF('T1'!$J13="",INDEX(LISTA_EX,80),INDEX(LISTA_EX,MATCH('T1'!$J13&amp;"|"&amp;80,LISTA_KLUCZ,0))),"")</f>
        <v>Hip thrust barbell</v>
      </c>
      <c r="CE13" s="5" t="str">
        <f t="array" ref="CE13">IFERROR(IF('T1'!$J13="",INDEX(LISTA_EX,81),INDEX(LISTA_EX,MATCH('T1'!$J13&amp;"|"&amp;81,LISTA_KLUCZ,0))),"")</f>
        <v>Hollow body + OH</v>
      </c>
      <c r="CF13" s="5" t="str">
        <f t="array" ref="CF13">IFERROR(IF('T1'!$J13="",INDEX(LISTA_EX,82),INDEX(LISTA_EX,MATCH('T1'!$J13&amp;"|"&amp;82,LISTA_KLUCZ,0))),"")</f>
        <v>Horizontal jump</v>
      </c>
      <c r="CG13" s="5" t="str">
        <f t="array" ref="CG13">IFERROR(IF('T1'!$J13="",INDEX(LISTA_EX,83),INDEX(LISTA_EX,MATCH('T1'!$J13&amp;"|"&amp;83,LISTA_KLUCZ,0))),"")</f>
        <v>Incline bench lateral raise s/a</v>
      </c>
      <c r="CH13" s="5" t="str">
        <f t="array" ref="CH13">IFERROR(IF('T1'!$J13="",INDEX(LISTA_EX,84),INDEX(LISTA_EX,MATCH('T1'!$J13&amp;"|"&amp;84,LISTA_KLUCZ,0))),"")</f>
        <v>Incline curl + OHP</v>
      </c>
      <c r="CI13" s="5" t="str">
        <f t="array" ref="CI13">IFERROR(IF('T1'!$J13="",INDEX(LISTA_EX,85),INDEX(LISTA_EX,MATCH('T1'!$J13&amp;"|"&amp;85,LISTA_KLUCZ,0))),"")</f>
        <v>Incline dumbbell curl</v>
      </c>
      <c r="CJ13" s="5" t="str">
        <f t="array" ref="CJ13">IFERROR(IF('T1'!$J13="",INDEX(LISTA_EX,86),INDEX(LISTA_EX,MATCH('T1'!$J13&amp;"|"&amp;86,LISTA_KLUCZ,0))),"")</f>
        <v>Incline dumbbell curl (back)</v>
      </c>
      <c r="CK13" s="5" t="str">
        <f t="array" ref="CK13">IFERROR(IF('T1'!$J13="",INDEX(LISTA_EX,87),INDEX(LISTA_EX,MATCH('T1'!$J13&amp;"|"&amp;87,LISTA_KLUCZ,0))),"")</f>
        <v>Incline dumbbell curl (front)</v>
      </c>
      <c r="CL13" s="5" t="str">
        <f t="array" ref="CL13">IFERROR(IF('T1'!$J13="",INDEX(LISTA_EX,88),INDEX(LISTA_EX,MATCH('T1'!$J13&amp;"|"&amp;88,LISTA_KLUCZ,0))),"")</f>
        <v>Incline dumbbell fly</v>
      </c>
      <c r="CM13" s="5" t="str">
        <f t="array" ref="CM13">IFERROR(IF('T1'!$J13="",INDEX(LISTA_EX,89),INDEX(LISTA_EX,MATCH('T1'!$J13&amp;"|"&amp;89,LISTA_KLUCZ,0))),"")</f>
        <v>Incline dumbbell press</v>
      </c>
      <c r="CN13" s="5" t="str">
        <f t="array" ref="CN13">IFERROR(IF('T1'!$J13="",INDEX(LISTA_EX,90),INDEX(LISTA_EX,MATCH('T1'!$J13&amp;"|"&amp;90,LISTA_KLUCZ,0))),"")</f>
        <v>Incline dumbbell press alternating</v>
      </c>
      <c r="CO13" s="5" t="str">
        <f t="array" ref="CO13">IFERROR(IF('T1'!$J13="",INDEX(LISTA_EX,91),INDEX(LISTA_EX,MATCH('T1'!$J13&amp;"|"&amp;91,LISTA_KLUCZ,0))),"")</f>
        <v>Incline sit-ups</v>
      </c>
      <c r="CP13" s="5" t="str">
        <f t="array" ref="CP13">IFERROR(IF('T1'!$J13="",INDEX(LISTA_EX,92),INDEX(LISTA_EX,MATCH('T1'!$J13&amp;"|"&amp;92,LISTA_KLUCZ,0))),"")</f>
        <v>Jefferson cable</v>
      </c>
      <c r="CQ13" s="5" t="str">
        <f t="array" ref="CQ13">IFERROR(IF('T1'!$J13="",INDEX(LISTA_EX,93),INDEX(LISTA_EX,MATCH('T1'!$J13&amp;"|"&amp;93,LISTA_KLUCZ,0))),"")</f>
        <v>Kettlebell march</v>
      </c>
      <c r="CR13" s="5" t="str">
        <f t="array" ref="CR13">IFERROR(IF('T1'!$J13="",INDEX(LISTA_EX,94),INDEX(LISTA_EX,MATCH('T1'!$J13&amp;"|"&amp;94,LISTA_KLUCZ,0))),"")</f>
        <v>Kickbacks</v>
      </c>
      <c r="CS13" s="5" t="str">
        <f t="array" ref="CS13">IFERROR(IF('T1'!$J13="",INDEX(LISTA_EX,95),INDEX(LISTA_EX,MATCH('T1'!$J13&amp;"|"&amp;95,LISTA_KLUCZ,0))),"")</f>
        <v>Knee extension machine</v>
      </c>
      <c r="CT13" s="5" t="str">
        <f t="array" ref="CT13">IFERROR(IF('T1'!$J13="",INDEX(LISTA_EX,96),INDEX(LISTA_EX,MATCH('T1'!$J13&amp;"|"&amp;96,LISTA_KLUCZ,0))),"")</f>
        <v>Knee flexion machine</v>
      </c>
      <c r="CU13" s="5" t="str">
        <f t="array" ref="CU13">IFERROR(IF('T1'!$J13="",INDEX(LISTA_EX,97),INDEX(LISTA_EX,MATCH('T1'!$J13&amp;"|"&amp;97,LISTA_KLUCZ,0))),"")</f>
        <v>Knee raises</v>
      </c>
      <c r="CV13" s="5" t="str">
        <f t="array" ref="CV13">IFERROR(IF('T1'!$J13="",INDEX(LISTA_EX,98),INDEX(LISTA_EX,MATCH('T1'!$J13&amp;"|"&amp;98,LISTA_KLUCZ,0))),"")</f>
        <v>Landmine core</v>
      </c>
      <c r="CW13" s="5" t="str">
        <f t="array" ref="CW13">IFERROR(IF('T1'!$J13="",INDEX(LISTA_EX,99),INDEX(LISTA_EX,MATCH('T1'!$J13&amp;"|"&amp;99,LISTA_KLUCZ,0))),"")</f>
        <v>Landmine press</v>
      </c>
      <c r="CX13" s="5" t="str">
        <f t="array" ref="CX13">IFERROR(IF('T1'!$J13="",INDEX(LISTA_EX,100),INDEX(LISTA_EX,MATCH('T1'!$J13&amp;"|"&amp;100,LISTA_KLUCZ,0))),"")</f>
        <v>Landmine rotations (powtórzenia x2)</v>
      </c>
      <c r="CY13" s="5" t="str">
        <f t="array" ref="CY13">IFERROR(IF('T1'!$J13="",INDEX(LISTA_EX,101),INDEX(LISTA_EX,MATCH('T1'!$J13&amp;"|"&amp;101,LISTA_KLUCZ,0))),"")</f>
        <v>Landmine SLDL</v>
      </c>
      <c r="CZ13" s="5" t="str">
        <f t="array" ref="CZ13">IFERROR(IF('T1'!$J13="",INDEX(LISTA_EX,102),INDEX(LISTA_EX,MATCH('T1'!$J13&amp;"|"&amp;102,LISTA_KLUCZ,0))),"")</f>
        <v>Lat pulldown</v>
      </c>
      <c r="DA13" s="5" t="str">
        <f t="array" ref="DA13">IFERROR(IF('T1'!$J13="",INDEX(LISTA_EX,103),INDEX(LISTA_EX,MATCH('T1'!$J13&amp;"|"&amp;103,LISTA_KLUCZ,0))),"")</f>
        <v>Lat pulldown behind the head</v>
      </c>
      <c r="DB13" s="5" t="str">
        <f t="array" ref="DB13">IFERROR(IF('T1'!$J13="",INDEX(LISTA_EX,104),INDEX(LISTA_EX,MATCH('T1'!$J13&amp;"|"&amp;104,LISTA_KLUCZ,0))),"")</f>
        <v>Lat pulldown s/a</v>
      </c>
      <c r="DC13" s="5" t="str">
        <f t="array" ref="DC13">IFERROR(IF('T1'!$J13="",INDEX(LISTA_EX,105),INDEX(LISTA_EX,MATCH('T1'!$J13&amp;"|"&amp;105,LISTA_KLUCZ,0))),"")</f>
        <v>Lateral raise s/a</v>
      </c>
      <c r="DD13" s="5" t="str">
        <f t="array" ref="DD13">IFERROR(IF('T1'!$J13="",INDEX(LISTA_EX,106),INDEX(LISTA_EX,MATCH('T1'!$J13&amp;"|"&amp;106,LISTA_KLUCZ,0))),"")</f>
        <v>Lateral raises</v>
      </c>
      <c r="DE13" s="5" t="str">
        <f t="array" ref="DE13">IFERROR(IF('T1'!$J13="",INDEX(LISTA_EX,107),INDEX(LISTA_EX,MATCH('T1'!$J13&amp;"|"&amp;107,LISTA_KLUCZ,0))),"")</f>
        <v>Lateral raises 2</v>
      </c>
      <c r="DF13" s="5" t="str">
        <f t="array" ref="DF13">IFERROR(IF('T1'!$J13="",INDEX(LISTA_EX,108),INDEX(LISTA_EX,MATCH('T1'!$J13&amp;"|"&amp;108,LISTA_KLUCZ,0))),"")</f>
        <v>Lateral raises full ROM</v>
      </c>
      <c r="DG13" s="5" t="str">
        <f t="array" ref="DG13">IFERROR(IF('T1'!$J13="",INDEX(LISTA_EX,109),INDEX(LISTA_EX,MATCH('T1'!$J13&amp;"|"&amp;109,LISTA_KLUCZ,0))),"")</f>
        <v>Lateral raises hinged</v>
      </c>
      <c r="DH13" s="5" t="str">
        <f t="array" ref="DH13">IFERROR(IF('T1'!$J13="",INDEX(LISTA_EX,110),INDEX(LISTA_EX,MATCH('T1'!$J13&amp;"|"&amp;110,LISTA_KLUCZ,0))),"")</f>
        <v>Lateral raises incline s/a</v>
      </c>
      <c r="DI13" s="5" t="str">
        <f t="array" ref="DI13">IFERROR(IF('T1'!$J13="",INDEX(LISTA_EX,111),INDEX(LISTA_EX,MATCH('T1'!$J13&amp;"|"&amp;111,LISTA_KLUCZ,0))),"")</f>
        <v>Leg curl</v>
      </c>
      <c r="DJ13" s="5" t="str">
        <f t="array" ref="DJ13">IFERROR(IF('T1'!$J13="",INDEX(LISTA_EX,112),INDEX(LISTA_EX,MATCH('T1'!$J13&amp;"|"&amp;112,LISTA_KLUCZ,0))),"")</f>
        <v>Machine row</v>
      </c>
      <c r="DK13" s="5" t="str">
        <f t="array" ref="DK13">IFERROR(IF('T1'!$J13="",INDEX(LISTA_EX,113),INDEX(LISTA_EX,MATCH('T1'!$J13&amp;"|"&amp;113,LISTA_KLUCZ,0))),"")</f>
        <v>Machine row s/a</v>
      </c>
      <c r="DL13" s="5" t="str">
        <f t="array" ref="DL13">IFERROR(IF('T1'!$J13="",INDEX(LISTA_EX,114),INDEX(LISTA_EX,MATCH('T1'!$J13&amp;"|"&amp;114,LISTA_KLUCZ,0))),"")</f>
        <v>Meadows row</v>
      </c>
      <c r="DM13" s="5" t="str">
        <f t="array" ref="DM13">IFERROR(IF('T1'!$J13="",INDEX(LISTA_EX,115),INDEX(LISTA_EX,MATCH('T1'!$J13&amp;"|"&amp;115,LISTA_KLUCZ,0))),"")</f>
        <v>Med ball slam</v>
      </c>
      <c r="DN13" s="5" t="str">
        <f t="array" ref="DN13">IFERROR(IF('T1'!$J13="",INDEX(LISTA_EX,116),INDEX(LISTA_EX,MATCH('T1'!$J13&amp;"|"&amp;116,LISTA_KLUCZ,0))),"")</f>
        <v>OH skullcrushers</v>
      </c>
      <c r="DO13" s="5" t="str">
        <f t="array" ref="DO13">IFERROR(IF('T1'!$J13="",INDEX(LISTA_EX,117),INDEX(LISTA_EX,MATCH('T1'!$J13&amp;"|"&amp;117,LISTA_KLUCZ,0))),"")</f>
        <v>OHP barbell squat 15kg</v>
      </c>
      <c r="DP13" s="5" t="str">
        <f t="array" ref="DP13">IFERROR(IF('T1'!$J13="",INDEX(LISTA_EX,118),INDEX(LISTA_EX,MATCH('T1'!$J13&amp;"|"&amp;118,LISTA_KLUCZ,0))),"")</f>
        <v>Pistol squat eccentric</v>
      </c>
      <c r="DQ13" s="5" t="str">
        <f t="array" ref="DQ13">IFERROR(IF('T1'!$J13="",INDEX(LISTA_EX,119),INDEX(LISTA_EX,MATCH('T1'!$J13&amp;"|"&amp;119,LISTA_KLUCZ,0))),"")</f>
        <v>Plank contralateral</v>
      </c>
      <c r="DR13" s="5" t="str">
        <f t="array" ref="DR13">IFERROR(IF('T1'!$J13="",INDEX(LISTA_EX,120),INDEX(LISTA_EX,MATCH('T1'!$J13&amp;"|"&amp;120,LISTA_KLUCZ,0))),"")</f>
        <v>Plank dumbbell rotation</v>
      </c>
      <c r="DS13" s="5" t="str">
        <f t="array" ref="DS13">IFERROR(IF('T1'!$J13="",INDEX(LISTA_EX,121),INDEX(LISTA_EX,MATCH('T1'!$J13&amp;"|"&amp;121,LISTA_KLUCZ,0))),"")</f>
        <v>Plank leg raises</v>
      </c>
      <c r="DT13" s="5" t="str">
        <f t="array" ref="DT13">IFERROR(IF('T1'!$J13="",INDEX(LISTA_EX,122),INDEX(LISTA_EX,MATCH('T1'!$J13&amp;"|"&amp;122,LISTA_KLUCZ,0))),"")</f>
        <v>Poliquin step up</v>
      </c>
      <c r="DU13" s="5" t="str">
        <f t="array" ref="DU13">IFERROR(IF('T1'!$J13="",INDEX(LISTA_EX,123),INDEX(LISTA_EX,MATCH('T1'!$J13&amp;"|"&amp;123,LISTA_KLUCZ,0))),"")</f>
        <v>Poliquin step up paused 3sec</v>
      </c>
      <c r="DV13" s="5" t="str">
        <f t="array" ref="DV13">IFERROR(IF('T1'!$J13="",INDEX(LISTA_EX,124),INDEX(LISTA_EX,MATCH('T1'!$J13&amp;"|"&amp;124,LISTA_KLUCZ,0))),"")</f>
        <v>Pronation/Supination</v>
      </c>
      <c r="DW13" s="5" t="str">
        <f t="array" ref="DW13">IFERROR(IF('T1'!$J13="",INDEX(LISTA_EX,125),INDEX(LISTA_EX,MATCH('T1'!$J13&amp;"|"&amp;125,LISTA_KLUCZ,0))),"")</f>
        <v>Pull up</v>
      </c>
      <c r="DX13" s="5" t="str">
        <f t="array" ref="DX13">IFERROR(IF('T1'!$J13="",INDEX(LISTA_EX,126),INDEX(LISTA_EX,MATCH('T1'!$J13&amp;"|"&amp;126,LISTA_KLUCZ,0))),"")</f>
        <v>Pull up eccentric weighted</v>
      </c>
      <c r="DY13" s="5" t="str">
        <f t="array" ref="DY13">IFERROR(IF('T1'!$J13="",INDEX(LISTA_EX,127),INDEX(LISTA_EX,MATCH('T1'!$J13&amp;"|"&amp;127,LISTA_KLUCZ,0))),"")</f>
        <v>Pull up eccentric weighted (5 sek w dół)</v>
      </c>
      <c r="DZ13" s="5" t="str">
        <f t="array" ref="DZ13">IFERROR(IF('T1'!$J13="",INDEX(LISTA_EX,128),INDEX(LISTA_EX,MATCH('T1'!$J13&amp;"|"&amp;128,LISTA_KLUCZ,0))),"")</f>
        <v>Pull up weighted</v>
      </c>
      <c r="EA13" s="5" t="str">
        <f t="array" ref="EA13">IFERROR(IF('T1'!$J13="",INDEX(LISTA_EX,129),INDEX(LISTA_EX,MATCH('T1'!$J13&amp;"|"&amp;129,LISTA_KLUCZ,0))),"")</f>
        <v>Pull ups (paused)</v>
      </c>
      <c r="EB13" s="5" t="str">
        <f t="array" ref="EB13">IFERROR(IF('T1'!$J13="",INDEX(LISTA_EX,130),INDEX(LISTA_EX,MATCH('T1'!$J13&amp;"|"&amp;130,LISTA_KLUCZ,0))),"")</f>
        <v>Push press barbell</v>
      </c>
      <c r="EC13" s="5" t="str">
        <f t="array" ref="EC13">IFERROR(IF('T1'!$J13="",INDEX(LISTA_EX,131),INDEX(LISTA_EX,MATCH('T1'!$J13&amp;"|"&amp;131,LISTA_KLUCZ,0))),"")</f>
        <v>Push up</v>
      </c>
      <c r="ED13" s="5" t="str">
        <f t="array" ref="ED13">IFERROR(IF('T1'!$J13="",INDEX(LISTA_EX,132),INDEX(LISTA_EX,MATCH('T1'!$J13&amp;"|"&amp;132,LISTA_KLUCZ,0))),"")</f>
        <v>Raised bird dog</v>
      </c>
      <c r="EE13" s="5" t="str">
        <f t="array" ref="EE13">IFERROR(IF('T1'!$J13="",INDEX(LISTA_EX,133),INDEX(LISTA_EX,MATCH('T1'!$J13&amp;"|"&amp;133,LISTA_KLUCZ,0))),"")</f>
        <v>RDL</v>
      </c>
      <c r="EF13" s="5" t="str">
        <f t="array" ref="EF13">IFERROR(IF('T1'!$J13="",INDEX(LISTA_EX,134),INDEX(LISTA_EX,MATCH('T1'!$J13&amp;"|"&amp;134,LISTA_KLUCZ,0))),"")</f>
        <v>Reverse Nordic</v>
      </c>
      <c r="EG13" s="5" t="str">
        <f t="array" ref="EG13">IFERROR(IF('T1'!$J13="",INDEX(LISTA_EX,135),INDEX(LISTA_EX,MATCH('T1'!$J13&amp;"|"&amp;135,LISTA_KLUCZ,0))),"")</f>
        <v>Rope pushdown</v>
      </c>
      <c r="EH13" s="5" t="str">
        <f t="array" ref="EH13">IFERROR(IF('T1'!$J13="",INDEX(LISTA_EX,136),INDEX(LISTA_EX,MATCH('T1'!$J13&amp;"|"&amp;136,LISTA_KLUCZ,0))),"")</f>
        <v>Rope pushdown OH</v>
      </c>
      <c r="EI13" s="5" t="str">
        <f t="array" ref="EI13">IFERROR(IF('T1'!$J13="",INDEX(LISTA_EX,137),INDEX(LISTA_EX,MATCH('T1'!$J13&amp;"|"&amp;137,LISTA_KLUCZ,0))),"")</f>
        <v>S/a cable pulldown incline bench</v>
      </c>
      <c r="EJ13" s="5" t="str">
        <f t="array" ref="EJ13">IFERROR(IF('T1'!$J13="",INDEX(LISTA_EX,138),INDEX(LISTA_EX,MATCH('T1'!$J13&amp;"|"&amp;138,LISTA_KLUCZ,0))),"")</f>
        <v>S/a lat pulldown incline bench</v>
      </c>
      <c r="EK13" s="5" t="str">
        <f t="array" ref="EK13">IFERROR(IF('T1'!$J13="",INDEX(LISTA_EX,139),INDEX(LISTA_EX,MATCH('T1'!$J13&amp;"|"&amp;139,LISTA_KLUCZ,0))),"")</f>
        <v>S/l dragonflag eccentric</v>
      </c>
      <c r="EL13" s="5" t="str">
        <f t="array" ref="EL13">IFERROR(IF('T1'!$J13="",INDEX(LISTA_EX,140),INDEX(LISTA_EX,MATCH('T1'!$J13&amp;"|"&amp;140,LISTA_KLUCZ,0))),"")</f>
        <v>S/l hip thrust</v>
      </c>
      <c r="EM13" s="5" t="str">
        <f t="array" ref="EM13">IFERROR(IF('T1'!$J13="",INDEX(LISTA_EX,141),INDEX(LISTA_EX,MATCH('T1'!$J13&amp;"|"&amp;141,LISTA_KLUCZ,0))),"")</f>
        <v>Seated broad jump</v>
      </c>
      <c r="EN13" s="5" t="str">
        <f t="array" ref="EN13">IFERROR(IF('T1'!$J13="",INDEX(LISTA_EX,142),INDEX(LISTA_EX,MATCH('T1'!$J13&amp;"|"&amp;142,LISTA_KLUCZ,0))),"")</f>
        <v>Seated cable facepull</v>
      </c>
      <c r="EO13" s="5" t="str">
        <f t="array" ref="EO13">IFERROR(IF('T1'!$J13="",INDEX(LISTA_EX,143),INDEX(LISTA_EX,MATCH('T1'!$J13&amp;"|"&amp;143,LISTA_KLUCZ,0))),"")</f>
        <v>Seated seesaw press (nogi proste)</v>
      </c>
      <c r="EP13" s="5" t="str">
        <f t="array" ref="EP13">IFERROR(IF('T1'!$J13="",INDEX(LISTA_EX,144),INDEX(LISTA_EX,MATCH('T1'!$J13&amp;"|"&amp;144,LISTA_KLUCZ,0))),"")</f>
        <v>Seesaw press</v>
      </c>
      <c r="EQ13" s="5" t="str">
        <f t="array" ref="EQ13">IFERROR(IF('T1'!$J13="",INDEX(LISTA_EX,145),INDEX(LISTA_EX,MATCH('T1'!$J13&amp;"|"&amp;145,LISTA_KLUCZ,0))),"")</f>
        <v>Side crunches</v>
      </c>
      <c r="ER13" s="5" t="str">
        <f t="array" ref="ER13">IFERROR(IF('T1'!$J13="",INDEX(LISTA_EX,146),INDEX(LISTA_EX,MATCH('T1'!$J13&amp;"|"&amp;146,LISTA_KLUCZ,0))),"")</f>
        <v>Side plank hip drop</v>
      </c>
      <c r="ES13" s="5" t="str">
        <f t="array" ref="ES13">IFERROR(IF('T1'!$J13="",INDEX(LISTA_EX,147),INDEX(LISTA_EX,MATCH('T1'!$J13&amp;"|"&amp;147,LISTA_KLUCZ,0))),"")</f>
        <v>Side plank rotations</v>
      </c>
      <c r="ET13" s="5" t="str">
        <f t="array" ref="ET13">IFERROR(IF('T1'!$J13="",INDEX(LISTA_EX,148),INDEX(LISTA_EX,MATCH('T1'!$J13&amp;"|"&amp;148,LISTA_KLUCZ,0))),"")</f>
        <v>SLDL balance</v>
      </c>
      <c r="EU13" s="5" t="str">
        <f t="array" ref="EU13">IFERROR(IF('T1'!$J13="",INDEX(LISTA_EX,149),INDEX(LISTA_EX,MATCH('T1'!$J13&amp;"|"&amp;149,LISTA_KLUCZ,0))),"")</f>
        <v>Split squat</v>
      </c>
      <c r="EV13" s="5" t="str">
        <f t="array" ref="EV13">IFERROR(IF('T1'!$J13="",INDEX(LISTA_EX,150),INDEX(LISTA_EX,MATCH('T1'!$J13&amp;"|"&amp;150,LISTA_KLUCZ,0))),"")</f>
        <v>Split stance SLDL</v>
      </c>
      <c r="EW13" s="5" t="str">
        <f t="array" ref="EW13">IFERROR(IF('T1'!$J13="",INDEX(LISTA_EX,151),INDEX(LISTA_EX,MATCH('T1'!$J13&amp;"|"&amp;151,LISTA_KLUCZ,0))),"")</f>
        <v>Squat izo (15 sek)</v>
      </c>
      <c r="EX13" s="5" t="str">
        <f t="array" ref="EX13">IFERROR(IF('T1'!$J13="",INDEX(LISTA_EX,152),INDEX(LISTA_EX,MATCH('T1'!$J13&amp;"|"&amp;152,LISTA_KLUCZ,0))),"")</f>
        <v>Standing landmine press</v>
      </c>
      <c r="EY13" s="5" t="str">
        <f t="array" ref="EY13">IFERROR(IF('T1'!$J13="",INDEX(LISTA_EX,153),INDEX(LISTA_EX,MATCH('T1'!$J13&amp;"|"&amp;153,LISTA_KLUCZ,0))),"")</f>
        <v>Suitcase carry</v>
      </c>
      <c r="EZ13" s="5" t="str">
        <f t="array" ref="EZ13">IFERROR(IF('T1'!$J13="",INDEX(LISTA_EX,154),INDEX(LISTA_EX,MATCH('T1'!$J13&amp;"|"&amp;154,LISTA_KLUCZ,0))),"")</f>
        <v>Supine pigeon abs</v>
      </c>
      <c r="FA13" s="5" t="str">
        <f t="array" ref="FA13">IFERROR(IF('T1'!$J13="",INDEX(LISTA_EX,155),INDEX(LISTA_EX,MATCH('T1'!$J13&amp;"|"&amp;155,LISTA_KLUCZ,0))),"")</f>
        <v>Swiss ball leg curl</v>
      </c>
      <c r="FB13" s="5" t="str">
        <f t="array" ref="FB13">IFERROR(IF('T1'!$J13="",INDEX(LISTA_EX,156),INDEX(LISTA_EX,MATCH('T1'!$J13&amp;"|"&amp;156,LISTA_KLUCZ,0))),"")</f>
        <v>Toes to bar</v>
      </c>
      <c r="FC13" s="5" t="str">
        <f t="array" ref="FC13">IFERROR(IF('T1'!$J13="",INDEX(LISTA_EX,157),INDEX(LISTA_EX,MATCH('T1'!$J13&amp;"|"&amp;157,LISTA_KLUCZ,0))),"")</f>
        <v>Trap bar deadlift</v>
      </c>
      <c r="FD13" s="5" t="str">
        <f t="array" ref="FD13">IFERROR(IF('T1'!$J13="",INDEX(LISTA_EX,158),INDEX(LISTA_EX,MATCH('T1'!$J13&amp;"|"&amp;158,LISTA_KLUCZ,0))),"")</f>
        <v>Tricep cable pushdown</v>
      </c>
      <c r="FE13" s="5" t="str">
        <f t="array" ref="FE13">IFERROR(IF('T1'!$J13="",INDEX(LISTA_EX,159),INDEX(LISTA_EX,MATCH('T1'!$J13&amp;"|"&amp;159,LISTA_KLUCZ,0))),"")</f>
        <v>Tricep JM press</v>
      </c>
      <c r="FF13" s="5" t="str">
        <f t="array" ref="FF13">IFERROR(IF('T1'!$J13="",INDEX(LISTA_EX,160),INDEX(LISTA_EX,MATCH('T1'!$J13&amp;"|"&amp;160,LISTA_KLUCZ,0))),"")</f>
        <v>Tricep OH cable</v>
      </c>
      <c r="FG13" s="5" t="str">
        <f t="array" ref="FG13">IFERROR(IF('T1'!$J13="",INDEX(LISTA_EX,161),INDEX(LISTA_EX,MATCH('T1'!$J13&amp;"|"&amp;161,LISTA_KLUCZ,0))),"")</f>
        <v>Tricep OH ez bar</v>
      </c>
      <c r="FH13" s="5" t="str">
        <f t="array" ref="FH13">IFERROR(IF('T1'!$J13="",INDEX(LISTA_EX,162),INDEX(LISTA_EX,MATCH('T1'!$J13&amp;"|"&amp;162,LISTA_KLUCZ,0))),"")</f>
        <v>Walking lunges</v>
      </c>
      <c r="FI13" s="5" t="str">
        <f t="array" ref="FI13">IFERROR(IF('T1'!$J13="",INDEX(LISTA_EX,163),INDEX(LISTA_EX,MATCH('T1'!$J13&amp;"|"&amp;163,LISTA_KLUCZ,0))),"")</f>
        <v>Wipers kettle</v>
      </c>
      <c r="FJ13" s="5" t="str">
        <f t="array" ref="FJ13">IFERROR(IF('T1'!$J13="",INDEX(LISTA_EX,164),INDEX(LISTA_EX,MATCH('T1'!$J13&amp;"|"&amp;164,LISTA_KLUCZ,0))),"")</f>
        <v>Zercher jumps</v>
      </c>
      <c r="FK13" s="5" t="str">
        <f t="array" ref="FK13">IFERROR(IF('T1'!$J13="",INDEX(LISTA_EX,165),INDEX(LISTA_EX,MATCH('T1'!$J13&amp;"|"&amp;165,LISTA_KLUCZ,0))),"")</f>
        <v/>
      </c>
      <c r="FL13" s="5" t="str">
        <f t="array" ref="FL13">IFERROR(IF('T1'!$J13="",INDEX(LISTA_EX,166),INDEX(LISTA_EX,MATCH('T1'!$J13&amp;"|"&amp;166,LISTA_KLUCZ,0))),"")</f>
        <v/>
      </c>
      <c r="FM13" s="5" t="str">
        <f t="array" ref="FM13">IFERROR(IF('T1'!$J13="",INDEX(LISTA_EX,167),INDEX(LISTA_EX,MATCH('T1'!$J13&amp;"|"&amp;167,LISTA_KLUCZ,0))),"")</f>
        <v/>
      </c>
      <c r="FN13" s="5" t="str">
        <f t="array" ref="FN13">IFERROR(IF('T1'!$J13="",INDEX(LISTA_EX,168),INDEX(LISTA_EX,MATCH('T1'!$J13&amp;"|"&amp;168,LISTA_KLUCZ,0))),"")</f>
        <v/>
      </c>
      <c r="FO13" s="5" t="str">
        <f t="array" ref="FO13">IFERROR(IF('T1'!$J13="",INDEX(LISTA_EX,169),INDEX(LISTA_EX,MATCH('T1'!$J13&amp;"|"&amp;169,LISTA_KLUCZ,0))),"")</f>
        <v/>
      </c>
      <c r="FP13" s="5" t="str">
        <f t="array" ref="FP13">IFERROR(IF('T1'!$J13="",INDEX(LISTA_EX,170),INDEX(LISTA_EX,MATCH('T1'!$J13&amp;"|"&amp;170,LISTA_KLUCZ,0))),"")</f>
        <v/>
      </c>
      <c r="FQ13" s="5" t="str">
        <f t="array" ref="FQ13">IFERROR(IF('T1'!$J13="",INDEX(LISTA_EX,171),INDEX(LISTA_EX,MATCH('T1'!$J13&amp;"|"&amp;171,LISTA_KLUCZ,0))),"")</f>
        <v/>
      </c>
      <c r="FR13" s="5" t="str">
        <f t="array" ref="FR13">IFERROR(IF('T1'!$J13="",INDEX(LISTA_EX,172),INDEX(LISTA_EX,MATCH('T1'!$J13&amp;"|"&amp;172,LISTA_KLUCZ,0))),"")</f>
        <v/>
      </c>
      <c r="FS13" s="5" t="str">
        <f t="array" ref="FS13">IFERROR(IF('T1'!$J13="",INDEX(LISTA_EX,173),INDEX(LISTA_EX,MATCH('T1'!$J13&amp;"|"&amp;173,LISTA_KLUCZ,0))),"")</f>
        <v/>
      </c>
      <c r="FT13" s="5" t="str">
        <f t="array" ref="FT13">IFERROR(IF('T1'!$J13="",INDEX(LISTA_EX,174),INDEX(LISTA_EX,MATCH('T1'!$J13&amp;"|"&amp;174,LISTA_KLUCZ,0))),"")</f>
        <v/>
      </c>
      <c r="FU13" s="5" t="str">
        <f t="array" ref="FU13">IFERROR(IF('T1'!$J13="",INDEX(LISTA_EX,175),INDEX(LISTA_EX,MATCH('T1'!$J13&amp;"|"&amp;175,LISTA_KLUCZ,0))),"")</f>
        <v/>
      </c>
      <c r="FV13" s="5" t="str">
        <f t="array" ref="FV13">IFERROR(IF('T1'!$J13="",INDEX(LISTA_EX,176),INDEX(LISTA_EX,MATCH('T1'!$J13&amp;"|"&amp;176,LISTA_KLUCZ,0))),"")</f>
        <v/>
      </c>
      <c r="FW13" s="5" t="str">
        <f t="array" ref="FW13">IFERROR(IF('T1'!$J13="",INDEX(LISTA_EX,177),INDEX(LISTA_EX,MATCH('T1'!$J13&amp;"|"&amp;177,LISTA_KLUCZ,0))),"")</f>
        <v/>
      </c>
      <c r="FX13" s="5" t="str">
        <f t="array" ref="FX13">IFERROR(IF('T1'!$J13="",INDEX(LISTA_EX,178),INDEX(LISTA_EX,MATCH('T1'!$J13&amp;"|"&amp;178,LISTA_KLUCZ,0))),"")</f>
        <v/>
      </c>
      <c r="FY13" s="5" t="str">
        <f t="array" ref="FY13">IFERROR(IF('T1'!$J13="",INDEX(LISTA_EX,179),INDEX(LISTA_EX,MATCH('T1'!$J13&amp;"|"&amp;179,LISTA_KLUCZ,0))),"")</f>
        <v/>
      </c>
      <c r="FZ13" s="5" t="str">
        <f t="array" ref="FZ13">IFERROR(IF('T1'!$J13="",INDEX(LISTA_EX,180),INDEX(LISTA_EX,MATCH('T1'!$J13&amp;"|"&amp;180,LISTA_KLUCZ,0))),"")</f>
        <v/>
      </c>
      <c r="GA13" s="5" t="str">
        <f t="array" ref="GA13">IFERROR(IF('T1'!$J13="",INDEX(LISTA_EX,181),INDEX(LISTA_EX,MATCH('T1'!$J13&amp;"|"&amp;181,LISTA_KLUCZ,0))),"")</f>
        <v/>
      </c>
      <c r="GB13" s="5" t="str">
        <f t="array" ref="GB13">IFERROR(IF('T1'!$J13="",INDEX(LISTA_EX,182),INDEX(LISTA_EX,MATCH('T1'!$J13&amp;"|"&amp;182,LISTA_KLUCZ,0))),"")</f>
        <v/>
      </c>
      <c r="GC13" s="5" t="str">
        <f t="array" ref="GC13">IFERROR(IF('T1'!$J13="",INDEX(LISTA_EX,183),INDEX(LISTA_EX,MATCH('T1'!$J13&amp;"|"&amp;183,LISTA_KLUCZ,0))),"")</f>
        <v/>
      </c>
      <c r="GD13" s="5" t="str">
        <f t="array" ref="GD13">IFERROR(IF('T1'!$J13="",INDEX(LISTA_EX,184),INDEX(LISTA_EX,MATCH('T1'!$J13&amp;"|"&amp;184,LISTA_KLUCZ,0))),"")</f>
        <v/>
      </c>
      <c r="GE13" s="5" t="str">
        <f t="array" ref="GE13">IFERROR(IF('T1'!$J13="",INDEX(LISTA_EX,185),INDEX(LISTA_EX,MATCH('T1'!$J13&amp;"|"&amp;185,LISTA_KLUCZ,0))),"")</f>
        <v/>
      </c>
      <c r="GF13" s="5" t="str">
        <f t="array" ref="GF13">IFERROR(IF('T1'!$J13="",INDEX(LISTA_EX,186),INDEX(LISTA_EX,MATCH('T1'!$J13&amp;"|"&amp;186,LISTA_KLUCZ,0))),"")</f>
        <v/>
      </c>
      <c r="GG13" s="5" t="str">
        <f t="array" ref="GG13">IFERROR(IF('T1'!$J13="",INDEX(LISTA_EX,187),INDEX(LISTA_EX,MATCH('T1'!$J13&amp;"|"&amp;187,LISTA_KLUCZ,0))),"")</f>
        <v/>
      </c>
      <c r="GH13" s="5" t="str">
        <f t="array" ref="GH13">IFERROR(IF('T1'!$J13="",INDEX(LISTA_EX,188),INDEX(LISTA_EX,MATCH('T1'!$J13&amp;"|"&amp;188,LISTA_KLUCZ,0))),"")</f>
        <v/>
      </c>
      <c r="GI13" s="5" t="str">
        <f t="array" ref="GI13">IFERROR(IF('T1'!$J13="",INDEX(LISTA_EX,189),INDEX(LISTA_EX,MATCH('T1'!$J13&amp;"|"&amp;189,LISTA_KLUCZ,0))),"")</f>
        <v/>
      </c>
      <c r="GJ13" s="5" t="str">
        <f t="array" ref="GJ13">IFERROR(IF('T1'!$J13="",INDEX(LISTA_EX,190),INDEX(LISTA_EX,MATCH('T1'!$J13&amp;"|"&amp;190,LISTA_KLUCZ,0))),"")</f>
        <v/>
      </c>
      <c r="GK13" s="5" t="str">
        <f t="array" ref="GK13">IFERROR(IF('T1'!$J13="",INDEX(LISTA_EX,191),INDEX(LISTA_EX,MATCH('T1'!$J13&amp;"|"&amp;191,LISTA_KLUCZ,0))),"")</f>
        <v/>
      </c>
      <c r="GL13" s="5" t="str">
        <f t="array" ref="GL13">IFERROR(IF('T1'!$J13="",INDEX(LISTA_EX,192),INDEX(LISTA_EX,MATCH('T1'!$J13&amp;"|"&amp;192,LISTA_KLUCZ,0))),"")</f>
        <v/>
      </c>
      <c r="GM13" s="5" t="str">
        <f t="array" ref="GM13">IFERROR(IF('T1'!$J13="",INDEX(LISTA_EX,193),INDEX(LISTA_EX,MATCH('T1'!$J13&amp;"|"&amp;193,LISTA_KLUCZ,0))),"")</f>
        <v/>
      </c>
      <c r="GN13" s="5" t="str">
        <f t="array" ref="GN13">IFERROR(IF('T1'!$J13="",INDEX(LISTA_EX,194),INDEX(LISTA_EX,MATCH('T1'!$J13&amp;"|"&amp;194,LISTA_KLUCZ,0))),"")</f>
        <v/>
      </c>
      <c r="GO13" s="5" t="str">
        <f t="array" ref="GO13">IFERROR(IF('T1'!$J13="",INDEX(LISTA_EX,195),INDEX(LISTA_EX,MATCH('T1'!$J13&amp;"|"&amp;195,LISTA_KLUCZ,0))),"")</f>
        <v/>
      </c>
      <c r="GP13" s="5" t="str">
        <f t="array" ref="GP13">IFERROR(IF('T1'!$J13="",INDEX(LISTA_EX,196),INDEX(LISTA_EX,MATCH('T1'!$J13&amp;"|"&amp;196,LISTA_KLUCZ,0))),"")</f>
        <v/>
      </c>
      <c r="GQ13" s="5" t="str">
        <f t="array" ref="GQ13">IFERROR(IF('T1'!$J13="",INDEX(LISTA_EX,197),INDEX(LISTA_EX,MATCH('T1'!$J13&amp;"|"&amp;197,LISTA_KLUCZ,0))),"")</f>
        <v/>
      </c>
      <c r="GR13" s="5" t="str">
        <f t="array" ref="GR13">IFERROR(IF('T1'!$J13="",INDEX(LISTA_EX,198),INDEX(LISTA_EX,MATCH('T1'!$J13&amp;"|"&amp;198,LISTA_KLUCZ,0))),"")</f>
        <v/>
      </c>
      <c r="GS13" s="5" t="str">
        <f t="array" ref="GS13">IFERROR(IF('T1'!$J13="",INDEX(LISTA_EX,199),INDEX(LISTA_EX,MATCH('T1'!$J13&amp;"|"&amp;199,LISTA_KLUCZ,0))),"")</f>
        <v/>
      </c>
      <c r="GT13" s="5" t="str">
        <f t="array" ref="GT13">IFERROR(IF('T1'!$J13="",INDEX(LISTA_EX,200),INDEX(LISTA_EX,MATCH('T1'!$J13&amp;"|"&amp;200,LISTA_KLUCZ,0))),"")</f>
        <v/>
      </c>
      <c r="GV13" s="5" t="str">
        <f>IF(BAZA!$A13="","",BAZA!$A13)</f>
        <v>Barbell bench press</v>
      </c>
      <c r="GW13" s="5" t="str">
        <f>IF(BAZA!$B13="","",BAZA!$B13&amp;"|"&amp;COUNTIF(BAZA!$B$3:$B13,BAZA!$B13))</f>
        <v>Upper push horizontal|1</v>
      </c>
    </row>
    <row r="14" ht="15.0" customHeight="1">
      <c r="A14" s="5" t="str">
        <f>IF('T1'!$K14="","",'T1'!$K14)</f>
        <v>D1-S08</v>
      </c>
      <c r="B14" s="5" t="str">
        <f>IF('T1'!$J14="","(wszystkie)",'T1'!$J14)</f>
        <v>(wszystkie)</v>
      </c>
      <c r="C14" s="5" t="str">
        <f t="array" ref="C14">IFERROR(IF('T1'!$J14="",INDEX(LISTA_EX,1),INDEX(LISTA_EX,MATCH('T1'!$J14&amp;"|"&amp;1,LISTA_KLUCZ,0))),"")</f>
        <v>Abduction machine</v>
      </c>
      <c r="D14" s="5" t="str">
        <f t="array" ref="D14">IFERROR(IF('T1'!$J14="",INDEX(LISTA_EX,2),INDEX(LISTA_EX,MATCH('T1'!$J14&amp;"|"&amp;2,LISTA_KLUCZ,0))),"")</f>
        <v>Adduction machine</v>
      </c>
      <c r="E14" s="5" t="str">
        <f t="array" ref="E14">IFERROR(IF('T1'!$J14="",INDEX(LISTA_EX,3),INDEX(LISTA_EX,MATCH('T1'!$J14&amp;"|"&amp;3,LISTA_KLUCZ,0))),"")</f>
        <v>Allah</v>
      </c>
      <c r="F14" s="5" t="str">
        <f t="array" ref="F14">IFERROR(IF('T1'!$J14="",INDEX(LISTA_EX,4),INDEX(LISTA_EX,MATCH('T1'!$J14&amp;"|"&amp;4,LISTA_KLUCZ,0))),"")</f>
        <v>Arnold press</v>
      </c>
      <c r="G14" s="5" t="str">
        <f t="array" ref="G14">IFERROR(IF('T1'!$J14="",INDEX(LISTA_EX,5),INDEX(LISTA_EX,MATCH('T1'!$J14&amp;"|"&amp;5,LISTA_KLUCZ,0))),"")</f>
        <v>Arnold press alternating</v>
      </c>
      <c r="H14" s="5" t="str">
        <f t="array" ref="H14">IFERROR(IF('T1'!$J14="",INDEX(LISTA_EX,6),INDEX(LISTA_EX,MATCH('T1'!$J14&amp;"|"&amp;6,LISTA_KLUCZ,0))),"")</f>
        <v>B/l dragonflag eccentric</v>
      </c>
      <c r="I14" s="5" t="str">
        <f t="array" ref="I14">IFERROR(IF('T1'!$J14="",INDEX(LISTA_EX,7),INDEX(LISTA_EX,MATCH('T1'!$J14&amp;"|"&amp;7,LISTA_KLUCZ,0))),"")</f>
        <v>Back extension</v>
      </c>
      <c r="J14" s="5" t="str">
        <f t="array" ref="J14">IFERROR(IF('T1'!$J14="",INDEX(LISTA_EX,8),INDEX(LISTA_EX,MATCH('T1'!$J14&amp;"|"&amp;8,LISTA_KLUCZ,0))),"")</f>
        <v>Banded pistol squat</v>
      </c>
      <c r="K14" s="5" t="str">
        <f t="array" ref="K14">IFERROR(IF('T1'!$J14="",INDEX(LISTA_EX,9),INDEX(LISTA_EX,MATCH('T1'!$J14&amp;"|"&amp;9,LISTA_KLUCZ,0))),"")</f>
        <v>Banded pull ups</v>
      </c>
      <c r="L14" s="5" t="str">
        <f t="array" ref="L14">IFERROR(IF('T1'!$J14="",INDEX(LISTA_EX,10),INDEX(LISTA_EX,MATCH('T1'!$J14&amp;"|"&amp;10,LISTA_KLUCZ,0))),"")</f>
        <v>Barbell back squat</v>
      </c>
      <c r="M14" s="5" t="str">
        <f t="array" ref="M14">IFERROR(IF('T1'!$J14="",INDEX(LISTA_EX,11),INDEX(LISTA_EX,MATCH('T1'!$J14&amp;"|"&amp;11,LISTA_KLUCZ,0))),"")</f>
        <v>Barbell bench press</v>
      </c>
      <c r="N14" s="5" t="str">
        <f t="array" ref="N14">IFERROR(IF('T1'!$J14="",INDEX(LISTA_EX,12),INDEX(LISTA_EX,MATCH('T1'!$J14&amp;"|"&amp;12,LISTA_KLUCZ,0))),"")</f>
        <v>Barbell curl</v>
      </c>
      <c r="O14" s="5" t="str">
        <f t="array" ref="O14">IFERROR(IF('T1'!$J14="",INDEX(LISTA_EX,13),INDEX(LISTA_EX,MATCH('T1'!$J14&amp;"|"&amp;13,LISTA_KLUCZ,0))),"")</f>
        <v>Barbell low bar squat</v>
      </c>
      <c r="P14" s="5" t="str">
        <f t="array" ref="P14">IFERROR(IF('T1'!$J14="",INDEX(LISTA_EX,14),INDEX(LISTA_EX,MATCH('T1'!$J14&amp;"|"&amp;14,LISTA_KLUCZ,0))),"")</f>
        <v>Barbell OHP</v>
      </c>
      <c r="Q14" s="5" t="str">
        <f t="array" ref="Q14">IFERROR(IF('T1'!$J14="",INDEX(LISTA_EX,15),INDEX(LISTA_EX,MATCH('T1'!$J14&amp;"|"&amp;15,LISTA_KLUCZ,0))),"")</f>
        <v>Barbell oscilation</v>
      </c>
      <c r="R14" s="5" t="str">
        <f t="array" ref="R14">IFERROR(IF('T1'!$J14="",INDEX(LISTA_EX,16),INDEX(LISTA_EX,MATCH('T1'!$J14&amp;"|"&amp;16,LISTA_KLUCZ,0))),"")</f>
        <v>Barbell row</v>
      </c>
      <c r="S14" s="5" t="str">
        <f t="array" ref="S14">IFERROR(IF('T1'!$J14="",INDEX(LISTA_EX,17),INDEX(LISTA_EX,MATCH('T1'!$J14&amp;"|"&amp;17,LISTA_KLUCZ,0))),"")</f>
        <v>Barbell row dead stop pins</v>
      </c>
      <c r="T14" s="5" t="str">
        <f t="array" ref="T14">IFERROR(IF('T1'!$J14="",INDEX(LISTA_EX,18),INDEX(LISTA_EX,MATCH('T1'!$J14&amp;"|"&amp;18,LISTA_KLUCZ,0))),"")</f>
        <v>Barbell SLDL</v>
      </c>
      <c r="U14" s="5" t="str">
        <f t="array" ref="U14">IFERROR(IF('T1'!$J14="",INDEX(LISTA_EX,19),INDEX(LISTA_EX,MATCH('T1'!$J14&amp;"|"&amp;19,LISTA_KLUCZ,0))),"")</f>
        <v>Bayesian curl</v>
      </c>
      <c r="V14" s="5" t="str">
        <f t="array" ref="V14">IFERROR(IF('T1'!$J14="",INDEX(LISTA_EX,20),INDEX(LISTA_EX,MATCH('T1'!$J14&amp;"|"&amp;20,LISTA_KLUCZ,0))),"")</f>
        <v>Bear renegade row</v>
      </c>
      <c r="W14" s="5" t="str">
        <f t="array" ref="W14">IFERROR(IF('T1'!$J14="",INDEX(LISTA_EX,21),INDEX(LISTA_EX,MATCH('T1'!$J14&amp;"|"&amp;21,LISTA_KLUCZ,0))),"")</f>
        <v>Bench press paused 3sec</v>
      </c>
      <c r="X14" s="5" t="str">
        <f t="array" ref="X14">IFERROR(IF('T1'!$J14="",INDEX(LISTA_EX,22),INDEX(LISTA_EX,MATCH('T1'!$J14&amp;"|"&amp;22,LISTA_KLUCZ,0))),"")</f>
        <v>Bicep hammer curl</v>
      </c>
      <c r="Y14" s="5" t="str">
        <f t="array" ref="Y14">IFERROR(IF('T1'!$J14="",INDEX(LISTA_EX,23),INDEX(LISTA_EX,MATCH('T1'!$J14&amp;"|"&amp;23,LISTA_KLUCZ,0))),"")</f>
        <v>Bicep squat cable curl</v>
      </c>
      <c r="Z14" s="5" t="str">
        <f t="array" ref="Z14">IFERROR(IF('T1'!$J14="",INDEX(LISTA_EX,24),INDEX(LISTA_EX,MATCH('T1'!$J14&amp;"|"&amp;24,LISTA_KLUCZ,0))),"")</f>
        <v>Bird dog row</v>
      </c>
      <c r="AA14" s="5" t="str">
        <f t="array" ref="AA14">IFERROR(IF('T1'!$J14="",INDEX(LISTA_EX,25),INDEX(LISTA_EX,MATCH('T1'!$J14&amp;"|"&amp;25,LISTA_KLUCZ,0))),"")</f>
        <v>Box jump</v>
      </c>
      <c r="AB14" s="5" t="str">
        <f t="array" ref="AB14">IFERROR(IF('T1'!$J14="",INDEX(LISTA_EX,26),INDEX(LISTA_EX,MATCH('T1'!$J14&amp;"|"&amp;26,LISTA_KLUCZ,0))),"")</f>
        <v>Bulgarian clean plyo</v>
      </c>
      <c r="AC14" s="5" t="str">
        <f t="array" ref="AC14">IFERROR(IF('T1'!$J14="",INDEX(LISTA_EX,27),INDEX(LISTA_EX,MATCH('T1'!$J14&amp;"|"&amp;27,LISTA_KLUCZ,0))),"")</f>
        <v>Bulgarian squat assisted</v>
      </c>
      <c r="AD14" s="5" t="str">
        <f t="array" ref="AD14">IFERROR(IF('T1'!$J14="",INDEX(LISTA_EX,28),INDEX(LISTA_EX,MATCH('T1'!$J14&amp;"|"&amp;28,LISTA_KLUCZ,0))),"")</f>
        <v>Cable biceps curl</v>
      </c>
      <c r="AE14" s="5" t="str">
        <f t="array" ref="AE14">IFERROR(IF('T1'!$J14="",INDEX(LISTA_EX,29),INDEX(LISTA_EX,MATCH('T1'!$J14&amp;"|"&amp;29,LISTA_KLUCZ,0))),"")</f>
        <v>Cable fly</v>
      </c>
      <c r="AF14" s="5" t="str">
        <f t="array" ref="AF14">IFERROR(IF('T1'!$J14="",INDEX(LISTA_EX,30),INDEX(LISTA_EX,MATCH('T1'!$J14&amp;"|"&amp;30,LISTA_KLUCZ,0))),"")</f>
        <v>Cable lateral raise s/a</v>
      </c>
      <c r="AG14" s="5" t="str">
        <f t="array" ref="AG14">IFERROR(IF('T1'!$J14="",INDEX(LISTA_EX,31),INDEX(LISTA_EX,MATCH('T1'!$J14&amp;"|"&amp;31,LISTA_KLUCZ,0))),"")</f>
        <v>Cable row</v>
      </c>
      <c r="AH14" s="5" t="str">
        <f t="array" ref="AH14">IFERROR(IF('T1'!$J14="",INDEX(LISTA_EX,32),INDEX(LISTA_EX,MATCH('T1'!$J14&amp;"|"&amp;32,LISTA_KLUCZ,0))),"")</f>
        <v>Cable row s/a</v>
      </c>
      <c r="AI14" s="5" t="str">
        <f t="array" ref="AI14">IFERROR(IF('T1'!$J14="",INDEX(LISTA_EX,33),INDEX(LISTA_EX,MATCH('T1'!$J14&amp;"|"&amp;33,LISTA_KLUCZ,0))),"")</f>
        <v>Calf raises</v>
      </c>
      <c r="AJ14" s="5" t="str">
        <f t="array" ref="AJ14">IFERROR(IF('T1'!$J14="",INDEX(LISTA_EX,34),INDEX(LISTA_EX,MATCH('T1'!$J14&amp;"|"&amp;34,LISTA_KLUCZ,0))),"")</f>
        <v>Chest fly machine</v>
      </c>
      <c r="AK14" s="5" t="str">
        <f t="array" ref="AK14">IFERROR(IF('T1'!$J14="",INDEX(LISTA_EX,35),INDEX(LISTA_EX,MATCH('T1'!$J14&amp;"|"&amp;35,LISTA_KLUCZ,0))),"")</f>
        <v>Clean</v>
      </c>
      <c r="AL14" s="5" t="str">
        <f t="array" ref="AL14">IFERROR(IF('T1'!$J14="",INDEX(LISTA_EX,36),INDEX(LISTA_EX,MATCH('T1'!$J14&amp;"|"&amp;36,LISTA_KLUCZ,0))),"")</f>
        <v>Clean pins</v>
      </c>
      <c r="AM14" s="5" t="str">
        <f t="array" ref="AM14">IFERROR(IF('T1'!$J14="",INDEX(LISTA_EX,37),INDEX(LISTA_EX,MATCH('T1'!$J14&amp;"|"&amp;37,LISTA_KLUCZ,0))),"")</f>
        <v>Copenhagen plank</v>
      </c>
      <c r="AN14" s="5" t="str">
        <f t="array" ref="AN14">IFERROR(IF('T1'!$J14="",INDEX(LISTA_EX,38),INDEX(LISTA_EX,MATCH('T1'!$J14&amp;"|"&amp;38,LISTA_KLUCZ,0))),"")</f>
        <v>Dead bug izo + OH</v>
      </c>
      <c r="AO14" s="5" t="str">
        <f t="array" ref="AO14">IFERROR(IF('T1'!$J14="",INDEX(LISTA_EX,39),INDEX(LISTA_EX,MATCH('T1'!$J14&amp;"|"&amp;39,LISTA_KLUCZ,0))),"")</f>
        <v>Dead bug straight legs</v>
      </c>
      <c r="AP14" s="5" t="str">
        <f t="array" ref="AP14">IFERROR(IF('T1'!$J14="",INDEX(LISTA_EX,40),INDEX(LISTA_EX,MATCH('T1'!$J14&amp;"|"&amp;40,LISTA_KLUCZ,0))),"")</f>
        <v>Dead stop barbell row</v>
      </c>
      <c r="AQ14" s="5" t="str">
        <f t="array" ref="AQ14">IFERROR(IF('T1'!$J14="",INDEX(LISTA_EX,41),INDEX(LISTA_EX,MATCH('T1'!$J14&amp;"|"&amp;41,LISTA_KLUCZ,0))),"")</f>
        <v>Deadbug OH</v>
      </c>
      <c r="AR14" s="5" t="str">
        <f t="array" ref="AR14">IFERROR(IF('T1'!$J14="",INDEX(LISTA_EX,42),INDEX(LISTA_EX,MATCH('T1'!$J14&amp;"|"&amp;42,LISTA_KLUCZ,0))),"")</f>
        <v>Deadlift</v>
      </c>
      <c r="AS14" s="5" t="str">
        <f t="array" ref="AS14">IFERROR(IF('T1'!$J14="",INDEX(LISTA_EX,43),INDEX(LISTA_EX,MATCH('T1'!$J14&amp;"|"&amp;43,LISTA_KLUCZ,0))),"")</f>
        <v>Deficit push up</v>
      </c>
      <c r="AT14" s="5" t="str">
        <f t="array" ref="AT14">IFERROR(IF('T1'!$J14="",INDEX(LISTA_EX,44),INDEX(LISTA_EX,MATCH('T1'!$J14&amp;"|"&amp;44,LISTA_KLUCZ,0))),"")</f>
        <v>Deficit reverse lunge</v>
      </c>
      <c r="AU14" s="5" t="str">
        <f t="array" ref="AU14">IFERROR(IF('T1'!$J14="",INDEX(LISTA_EX,45),INDEX(LISTA_EX,MATCH('T1'!$J14&amp;"|"&amp;45,LISTA_KLUCZ,0))),"")</f>
        <v>Dips</v>
      </c>
      <c r="AV14" s="5" t="str">
        <f t="array" ref="AV14">IFERROR(IF('T1'!$J14="",INDEX(LISTA_EX,46),INDEX(LISTA_EX,MATCH('T1'!$J14&amp;"|"&amp;46,LISTA_KLUCZ,0))),"")</f>
        <v>Dips weighted</v>
      </c>
      <c r="AW14" s="5" t="str">
        <f t="array" ref="AW14">IFERROR(IF('T1'!$J14="",INDEX(LISTA_EX,47),INDEX(LISTA_EX,MATCH('T1'!$J14&amp;"|"&amp;47,LISTA_KLUCZ,0))),"")</f>
        <v>Dumbbell bench press</v>
      </c>
      <c r="AX14" s="5" t="str">
        <f t="array" ref="AX14">IFERROR(IF('T1'!$J14="",INDEX(LISTA_EX,48),INDEX(LISTA_EX,MATCH('T1'!$J14&amp;"|"&amp;48,LISTA_KLUCZ,0))),"")</f>
        <v>Dumbbell bench press alternating</v>
      </c>
      <c r="AY14" s="5" t="str">
        <f t="array" ref="AY14">IFERROR(IF('T1'!$J14="",INDEX(LISTA_EX,49),INDEX(LISTA_EX,MATCH('T1'!$J14&amp;"|"&amp;49,LISTA_KLUCZ,0))),"")</f>
        <v>Dumbbell curl</v>
      </c>
      <c r="AZ14" s="5" t="str">
        <f t="array" ref="AZ14">IFERROR(IF('T1'!$J14="",INDEX(LISTA_EX,50),INDEX(LISTA_EX,MATCH('T1'!$J14&amp;"|"&amp;50,LISTA_KLUCZ,0))),"")</f>
        <v>Dumbbell external rotation</v>
      </c>
      <c r="BA14" s="5" t="str">
        <f t="array" ref="BA14">IFERROR(IF('T1'!$J14="",INDEX(LISTA_EX,51),INDEX(LISTA_EX,MATCH('T1'!$J14&amp;"|"&amp;51,LISTA_KLUCZ,0))),"")</f>
        <v>Dumbbell face down curl</v>
      </c>
      <c r="BB14" s="5" t="str">
        <f t="array" ref="BB14">IFERROR(IF('T1'!$J14="",INDEX(LISTA_EX,52),INDEX(LISTA_EX,MATCH('T1'!$J14&amp;"|"&amp;52,LISTA_KLUCZ,0))),"")</f>
        <v>Dumbbell fly</v>
      </c>
      <c r="BC14" s="5" t="str">
        <f t="array" ref="BC14">IFERROR(IF('T1'!$J14="",INDEX(LISTA_EX,53),INDEX(LISTA_EX,MATCH('T1'!$J14&amp;"|"&amp;53,LISTA_KLUCZ,0))),"")</f>
        <v>Dumbbell french press</v>
      </c>
      <c r="BD14" s="5" t="str">
        <f t="array" ref="BD14">IFERROR(IF('T1'!$J14="",INDEX(LISTA_EX,54),INDEX(LISTA_EX,MATCH('T1'!$J14&amp;"|"&amp;54,LISTA_KLUCZ,0))),"")</f>
        <v>Dumbbell lateral raise</v>
      </c>
      <c r="BE14" s="5" t="str">
        <f t="array" ref="BE14">IFERROR(IF('T1'!$J14="",INDEX(LISTA_EX,55),INDEX(LISTA_EX,MATCH('T1'!$J14&amp;"|"&amp;55,LISTA_KLUCZ,0))),"")</f>
        <v>Dumbbell lunges</v>
      </c>
      <c r="BF14" s="5" t="str">
        <f t="array" ref="BF14">IFERROR(IF('T1'!$J14="",INDEX(LISTA_EX,56),INDEX(LISTA_EX,MATCH('T1'!$J14&amp;"|"&amp;56,LISTA_KLUCZ,0))),"")</f>
        <v>Dumbbell OH press</v>
      </c>
      <c r="BG14" s="5" t="str">
        <f t="array" ref="BG14">IFERROR(IF('T1'!$J14="",INDEX(LISTA_EX,57),INDEX(LISTA_EX,MATCH('T1'!$J14&amp;"|"&amp;57,LISTA_KLUCZ,0))),"")</f>
        <v>Dumbbell over head press</v>
      </c>
      <c r="BH14" s="5" t="str">
        <f t="array" ref="BH14">IFERROR(IF('T1'!$J14="",INDEX(LISTA_EX,58),INDEX(LISTA_EX,MATCH('T1'!$J14&amp;"|"&amp;58,LISTA_KLUCZ,0))),"")</f>
        <v>Dumbbell over head press alternating</v>
      </c>
      <c r="BI14" s="5" t="str">
        <f t="array" ref="BI14">IFERROR(IF('T1'!$J14="",INDEX(LISTA_EX,59),INDEX(LISTA_EX,MATCH('T1'!$J14&amp;"|"&amp;59,LISTA_KLUCZ,0))),"")</f>
        <v>Dumbbell row</v>
      </c>
      <c r="BJ14" s="5" t="str">
        <f t="array" ref="BJ14">IFERROR(IF('T1'!$J14="",INDEX(LISTA_EX,60),INDEX(LISTA_EX,MATCH('T1'!$J14&amp;"|"&amp;60,LISTA_KLUCZ,0))),"")</f>
        <v>Dumbbell s/a Arnold press</v>
      </c>
      <c r="BK14" s="5" t="str">
        <f t="array" ref="BK14">IFERROR(IF('T1'!$J14="",INDEX(LISTA_EX,61),INDEX(LISTA_EX,MATCH('T1'!$J14&amp;"|"&amp;61,LISTA_KLUCZ,0))),"")</f>
        <v>Dumbbell s/a row</v>
      </c>
      <c r="BL14" s="5" t="str">
        <f t="array" ref="BL14">IFERROR(IF('T1'!$J14="",INDEX(LISTA_EX,62),INDEX(LISTA_EX,MATCH('T1'!$J14&amp;"|"&amp;62,LISTA_KLUCZ,0))),"")</f>
        <v>Dumbbell seal row</v>
      </c>
      <c r="BM14" s="5" t="str">
        <f t="array" ref="BM14">IFERROR(IF('T1'!$J14="",INDEX(LISTA_EX,63),INDEX(LISTA_EX,MATCH('T1'!$J14&amp;"|"&amp;63,LISTA_KLUCZ,0))),"")</f>
        <v>Dumbbells jumps</v>
      </c>
      <c r="BN14" s="5" t="str">
        <f t="array" ref="BN14">IFERROR(IF('T1'!$J14="",INDEX(LISTA_EX,64),INDEX(LISTA_EX,MATCH('T1'!$J14&amp;"|"&amp;64,LISTA_KLUCZ,0))),"")</f>
        <v>Eccentric pull up</v>
      </c>
      <c r="BO14" s="5" t="str">
        <f t="array" ref="BO14">IFERROR(IF('T1'!$J14="",INDEX(LISTA_EX,65),INDEX(LISTA_EX,MATCH('T1'!$J14&amp;"|"&amp;65,LISTA_KLUCZ,0))),"")</f>
        <v>Eccentric push up (5 sek w dół)</v>
      </c>
      <c r="BP14" s="5" t="str">
        <f t="array" ref="BP14">IFERROR(IF('T1'!$J14="",INDEX(LISTA_EX,66),INDEX(LISTA_EX,MATCH('T1'!$J14&amp;"|"&amp;66,LISTA_KLUCZ,0))),"")</f>
        <v>Extensive plyo jumps s/l</v>
      </c>
      <c r="BQ14" s="5" t="str">
        <f t="array" ref="BQ14">IFERROR(IF('T1'!$J14="",INDEX(LISTA_EX,67),INDEX(LISTA_EX,MATCH('T1'!$J14&amp;"|"&amp;67,LISTA_KLUCZ,0))),"")</f>
        <v>Ez bar curl</v>
      </c>
      <c r="BR14" s="5" t="str">
        <f t="array" ref="BR14">IFERROR(IF('T1'!$J14="",INDEX(LISTA_EX,68),INDEX(LISTA_EX,MATCH('T1'!$J14&amp;"|"&amp;68,LISTA_KLUCZ,0))),"")</f>
        <v>Facepull chest supported</v>
      </c>
      <c r="BS14" s="5" t="str">
        <f t="array" ref="BS14">IFERROR(IF('T1'!$J14="",INDEX(LISTA_EX,69),INDEX(LISTA_EX,MATCH('T1'!$J14&amp;"|"&amp;69,LISTA_KLUCZ,0))),"")</f>
        <v>Front foot elevated split squat</v>
      </c>
      <c r="BT14" s="5" t="str">
        <f t="array" ref="BT14">IFERROR(IF('T1'!$J14="",INDEX(LISTA_EX,70),INDEX(LISTA_EX,MATCH('T1'!$J14&amp;"|"&amp;70,LISTA_KLUCZ,0))),"")</f>
        <v>Front squat</v>
      </c>
      <c r="BU14" s="5" t="str">
        <f t="array" ref="BU14">IFERROR(IF('T1'!$J14="",INDEX(LISTA_EX,71),INDEX(LISTA_EX,MATCH('T1'!$J14&amp;"|"&amp;71,LISTA_KLUCZ,0))),"")</f>
        <v>GHD flexion</v>
      </c>
      <c r="BV14" s="5" t="str">
        <f t="array" ref="BV14">IFERROR(IF('T1'!$J14="",INDEX(LISTA_EX,72),INDEX(LISTA_EX,MATCH('T1'!$J14&amp;"|"&amp;72,LISTA_KLUCZ,0))),"")</f>
        <v>Glute bridge hamstrings izo + OH</v>
      </c>
      <c r="BW14" s="5" t="str">
        <f t="array" ref="BW14">IFERROR(IF('T1'!$J14="",INDEX(LISTA_EX,73),INDEX(LISTA_EX,MATCH('T1'!$J14&amp;"|"&amp;73,LISTA_KLUCZ,0))),"")</f>
        <v>Glute crusher</v>
      </c>
      <c r="BX14" s="5" t="str">
        <f t="array" ref="BX14">IFERROR(IF('T1'!$J14="",INDEX(LISTA_EX,74),INDEX(LISTA_EX,MATCH('T1'!$J14&amp;"|"&amp;74,LISTA_KLUCZ,0))),"")</f>
        <v>Gorilla row</v>
      </c>
      <c r="BY14" s="5" t="str">
        <f t="array" ref="BY14">IFERROR(IF('T1'!$J14="",INDEX(LISTA_EX,75),INDEX(LISTA_EX,MATCH('T1'!$J14&amp;"|"&amp;75,LISTA_KLUCZ,0))),"")</f>
        <v>Halfkneeling s/a cable pull</v>
      </c>
      <c r="BZ14" s="5" t="str">
        <f t="array" ref="BZ14">IFERROR(IF('T1'!$J14="",INDEX(LISTA_EX,76),INDEX(LISTA_EX,MATCH('T1'!$J14&amp;"|"&amp;76,LISTA_KLUCZ,0))),"")</f>
        <v>Halfkneeling wood chopper</v>
      </c>
      <c r="CA14" s="5" t="str">
        <f t="array" ref="CA14">IFERROR(IF('T1'!$J14="",INDEX(LISTA_EX,77),INDEX(LISTA_EX,MATCH('T1'!$J14&amp;"|"&amp;77,LISTA_KLUCZ,0))),"")</f>
        <v>Hinged dumbbell row</v>
      </c>
      <c r="CB14" s="5" t="str">
        <f t="array" ref="CB14">IFERROR(IF('T1'!$J14="",INDEX(LISTA_EX,78),INDEX(LISTA_EX,MATCH('T1'!$J14&amp;"|"&amp;78,LISTA_KLUCZ,0))),"")</f>
        <v>Hip aeroplane</v>
      </c>
      <c r="CC14" s="5" t="str">
        <f t="array" ref="CC14">IFERROR(IF('T1'!$J14="",INDEX(LISTA_EX,79),INDEX(LISTA_EX,MATCH('T1'!$J14&amp;"|"&amp;79,LISTA_KLUCZ,0))),"")</f>
        <v>Hip flexors cable</v>
      </c>
      <c r="CD14" s="5" t="str">
        <f t="array" ref="CD14">IFERROR(IF('T1'!$J14="",INDEX(LISTA_EX,80),INDEX(LISTA_EX,MATCH('T1'!$J14&amp;"|"&amp;80,LISTA_KLUCZ,0))),"")</f>
        <v>Hip thrust barbell</v>
      </c>
      <c r="CE14" s="5" t="str">
        <f t="array" ref="CE14">IFERROR(IF('T1'!$J14="",INDEX(LISTA_EX,81),INDEX(LISTA_EX,MATCH('T1'!$J14&amp;"|"&amp;81,LISTA_KLUCZ,0))),"")</f>
        <v>Hollow body + OH</v>
      </c>
      <c r="CF14" s="5" t="str">
        <f t="array" ref="CF14">IFERROR(IF('T1'!$J14="",INDEX(LISTA_EX,82),INDEX(LISTA_EX,MATCH('T1'!$J14&amp;"|"&amp;82,LISTA_KLUCZ,0))),"")</f>
        <v>Horizontal jump</v>
      </c>
      <c r="CG14" s="5" t="str">
        <f t="array" ref="CG14">IFERROR(IF('T1'!$J14="",INDEX(LISTA_EX,83),INDEX(LISTA_EX,MATCH('T1'!$J14&amp;"|"&amp;83,LISTA_KLUCZ,0))),"")</f>
        <v>Incline bench lateral raise s/a</v>
      </c>
      <c r="CH14" s="5" t="str">
        <f t="array" ref="CH14">IFERROR(IF('T1'!$J14="",INDEX(LISTA_EX,84),INDEX(LISTA_EX,MATCH('T1'!$J14&amp;"|"&amp;84,LISTA_KLUCZ,0))),"")</f>
        <v>Incline curl + OHP</v>
      </c>
      <c r="CI14" s="5" t="str">
        <f t="array" ref="CI14">IFERROR(IF('T1'!$J14="",INDEX(LISTA_EX,85),INDEX(LISTA_EX,MATCH('T1'!$J14&amp;"|"&amp;85,LISTA_KLUCZ,0))),"")</f>
        <v>Incline dumbbell curl</v>
      </c>
      <c r="CJ14" s="5" t="str">
        <f t="array" ref="CJ14">IFERROR(IF('T1'!$J14="",INDEX(LISTA_EX,86),INDEX(LISTA_EX,MATCH('T1'!$J14&amp;"|"&amp;86,LISTA_KLUCZ,0))),"")</f>
        <v>Incline dumbbell curl (back)</v>
      </c>
      <c r="CK14" s="5" t="str">
        <f t="array" ref="CK14">IFERROR(IF('T1'!$J14="",INDEX(LISTA_EX,87),INDEX(LISTA_EX,MATCH('T1'!$J14&amp;"|"&amp;87,LISTA_KLUCZ,0))),"")</f>
        <v>Incline dumbbell curl (front)</v>
      </c>
      <c r="CL14" s="5" t="str">
        <f t="array" ref="CL14">IFERROR(IF('T1'!$J14="",INDEX(LISTA_EX,88),INDEX(LISTA_EX,MATCH('T1'!$J14&amp;"|"&amp;88,LISTA_KLUCZ,0))),"")</f>
        <v>Incline dumbbell fly</v>
      </c>
      <c r="CM14" s="5" t="str">
        <f t="array" ref="CM14">IFERROR(IF('T1'!$J14="",INDEX(LISTA_EX,89),INDEX(LISTA_EX,MATCH('T1'!$J14&amp;"|"&amp;89,LISTA_KLUCZ,0))),"")</f>
        <v>Incline dumbbell press</v>
      </c>
      <c r="CN14" s="5" t="str">
        <f t="array" ref="CN14">IFERROR(IF('T1'!$J14="",INDEX(LISTA_EX,90),INDEX(LISTA_EX,MATCH('T1'!$J14&amp;"|"&amp;90,LISTA_KLUCZ,0))),"")</f>
        <v>Incline dumbbell press alternating</v>
      </c>
      <c r="CO14" s="5" t="str">
        <f t="array" ref="CO14">IFERROR(IF('T1'!$J14="",INDEX(LISTA_EX,91),INDEX(LISTA_EX,MATCH('T1'!$J14&amp;"|"&amp;91,LISTA_KLUCZ,0))),"")</f>
        <v>Incline sit-ups</v>
      </c>
      <c r="CP14" s="5" t="str">
        <f t="array" ref="CP14">IFERROR(IF('T1'!$J14="",INDEX(LISTA_EX,92),INDEX(LISTA_EX,MATCH('T1'!$J14&amp;"|"&amp;92,LISTA_KLUCZ,0))),"")</f>
        <v>Jefferson cable</v>
      </c>
      <c r="CQ14" s="5" t="str">
        <f t="array" ref="CQ14">IFERROR(IF('T1'!$J14="",INDEX(LISTA_EX,93),INDEX(LISTA_EX,MATCH('T1'!$J14&amp;"|"&amp;93,LISTA_KLUCZ,0))),"")</f>
        <v>Kettlebell march</v>
      </c>
      <c r="CR14" s="5" t="str">
        <f t="array" ref="CR14">IFERROR(IF('T1'!$J14="",INDEX(LISTA_EX,94),INDEX(LISTA_EX,MATCH('T1'!$J14&amp;"|"&amp;94,LISTA_KLUCZ,0))),"")</f>
        <v>Kickbacks</v>
      </c>
      <c r="CS14" s="5" t="str">
        <f t="array" ref="CS14">IFERROR(IF('T1'!$J14="",INDEX(LISTA_EX,95),INDEX(LISTA_EX,MATCH('T1'!$J14&amp;"|"&amp;95,LISTA_KLUCZ,0))),"")</f>
        <v>Knee extension machine</v>
      </c>
      <c r="CT14" s="5" t="str">
        <f t="array" ref="CT14">IFERROR(IF('T1'!$J14="",INDEX(LISTA_EX,96),INDEX(LISTA_EX,MATCH('T1'!$J14&amp;"|"&amp;96,LISTA_KLUCZ,0))),"")</f>
        <v>Knee flexion machine</v>
      </c>
      <c r="CU14" s="5" t="str">
        <f t="array" ref="CU14">IFERROR(IF('T1'!$J14="",INDEX(LISTA_EX,97),INDEX(LISTA_EX,MATCH('T1'!$J14&amp;"|"&amp;97,LISTA_KLUCZ,0))),"")</f>
        <v>Knee raises</v>
      </c>
      <c r="CV14" s="5" t="str">
        <f t="array" ref="CV14">IFERROR(IF('T1'!$J14="",INDEX(LISTA_EX,98),INDEX(LISTA_EX,MATCH('T1'!$J14&amp;"|"&amp;98,LISTA_KLUCZ,0))),"")</f>
        <v>Landmine core</v>
      </c>
      <c r="CW14" s="5" t="str">
        <f t="array" ref="CW14">IFERROR(IF('T1'!$J14="",INDEX(LISTA_EX,99),INDEX(LISTA_EX,MATCH('T1'!$J14&amp;"|"&amp;99,LISTA_KLUCZ,0))),"")</f>
        <v>Landmine press</v>
      </c>
      <c r="CX14" s="5" t="str">
        <f t="array" ref="CX14">IFERROR(IF('T1'!$J14="",INDEX(LISTA_EX,100),INDEX(LISTA_EX,MATCH('T1'!$J14&amp;"|"&amp;100,LISTA_KLUCZ,0))),"")</f>
        <v>Landmine rotations (powtórzenia x2)</v>
      </c>
      <c r="CY14" s="5" t="str">
        <f t="array" ref="CY14">IFERROR(IF('T1'!$J14="",INDEX(LISTA_EX,101),INDEX(LISTA_EX,MATCH('T1'!$J14&amp;"|"&amp;101,LISTA_KLUCZ,0))),"")</f>
        <v>Landmine SLDL</v>
      </c>
      <c r="CZ14" s="5" t="str">
        <f t="array" ref="CZ14">IFERROR(IF('T1'!$J14="",INDEX(LISTA_EX,102),INDEX(LISTA_EX,MATCH('T1'!$J14&amp;"|"&amp;102,LISTA_KLUCZ,0))),"")</f>
        <v>Lat pulldown</v>
      </c>
      <c r="DA14" s="5" t="str">
        <f t="array" ref="DA14">IFERROR(IF('T1'!$J14="",INDEX(LISTA_EX,103),INDEX(LISTA_EX,MATCH('T1'!$J14&amp;"|"&amp;103,LISTA_KLUCZ,0))),"")</f>
        <v>Lat pulldown behind the head</v>
      </c>
      <c r="DB14" s="5" t="str">
        <f t="array" ref="DB14">IFERROR(IF('T1'!$J14="",INDEX(LISTA_EX,104),INDEX(LISTA_EX,MATCH('T1'!$J14&amp;"|"&amp;104,LISTA_KLUCZ,0))),"")</f>
        <v>Lat pulldown s/a</v>
      </c>
      <c r="DC14" s="5" t="str">
        <f t="array" ref="DC14">IFERROR(IF('T1'!$J14="",INDEX(LISTA_EX,105),INDEX(LISTA_EX,MATCH('T1'!$J14&amp;"|"&amp;105,LISTA_KLUCZ,0))),"")</f>
        <v>Lateral raise s/a</v>
      </c>
      <c r="DD14" s="5" t="str">
        <f t="array" ref="DD14">IFERROR(IF('T1'!$J14="",INDEX(LISTA_EX,106),INDEX(LISTA_EX,MATCH('T1'!$J14&amp;"|"&amp;106,LISTA_KLUCZ,0))),"")</f>
        <v>Lateral raises</v>
      </c>
      <c r="DE14" s="5" t="str">
        <f t="array" ref="DE14">IFERROR(IF('T1'!$J14="",INDEX(LISTA_EX,107),INDEX(LISTA_EX,MATCH('T1'!$J14&amp;"|"&amp;107,LISTA_KLUCZ,0))),"")</f>
        <v>Lateral raises 2</v>
      </c>
      <c r="DF14" s="5" t="str">
        <f t="array" ref="DF14">IFERROR(IF('T1'!$J14="",INDEX(LISTA_EX,108),INDEX(LISTA_EX,MATCH('T1'!$J14&amp;"|"&amp;108,LISTA_KLUCZ,0))),"")</f>
        <v>Lateral raises full ROM</v>
      </c>
      <c r="DG14" s="5" t="str">
        <f t="array" ref="DG14">IFERROR(IF('T1'!$J14="",INDEX(LISTA_EX,109),INDEX(LISTA_EX,MATCH('T1'!$J14&amp;"|"&amp;109,LISTA_KLUCZ,0))),"")</f>
        <v>Lateral raises hinged</v>
      </c>
      <c r="DH14" s="5" t="str">
        <f t="array" ref="DH14">IFERROR(IF('T1'!$J14="",INDEX(LISTA_EX,110),INDEX(LISTA_EX,MATCH('T1'!$J14&amp;"|"&amp;110,LISTA_KLUCZ,0))),"")</f>
        <v>Lateral raises incline s/a</v>
      </c>
      <c r="DI14" s="5" t="str">
        <f t="array" ref="DI14">IFERROR(IF('T1'!$J14="",INDEX(LISTA_EX,111),INDEX(LISTA_EX,MATCH('T1'!$J14&amp;"|"&amp;111,LISTA_KLUCZ,0))),"")</f>
        <v>Leg curl</v>
      </c>
      <c r="DJ14" s="5" t="str">
        <f t="array" ref="DJ14">IFERROR(IF('T1'!$J14="",INDEX(LISTA_EX,112),INDEX(LISTA_EX,MATCH('T1'!$J14&amp;"|"&amp;112,LISTA_KLUCZ,0))),"")</f>
        <v>Machine row</v>
      </c>
      <c r="DK14" s="5" t="str">
        <f t="array" ref="DK14">IFERROR(IF('T1'!$J14="",INDEX(LISTA_EX,113),INDEX(LISTA_EX,MATCH('T1'!$J14&amp;"|"&amp;113,LISTA_KLUCZ,0))),"")</f>
        <v>Machine row s/a</v>
      </c>
      <c r="DL14" s="5" t="str">
        <f t="array" ref="DL14">IFERROR(IF('T1'!$J14="",INDEX(LISTA_EX,114),INDEX(LISTA_EX,MATCH('T1'!$J14&amp;"|"&amp;114,LISTA_KLUCZ,0))),"")</f>
        <v>Meadows row</v>
      </c>
      <c r="DM14" s="5" t="str">
        <f t="array" ref="DM14">IFERROR(IF('T1'!$J14="",INDEX(LISTA_EX,115),INDEX(LISTA_EX,MATCH('T1'!$J14&amp;"|"&amp;115,LISTA_KLUCZ,0))),"")</f>
        <v>Med ball slam</v>
      </c>
      <c r="DN14" s="5" t="str">
        <f t="array" ref="DN14">IFERROR(IF('T1'!$J14="",INDEX(LISTA_EX,116),INDEX(LISTA_EX,MATCH('T1'!$J14&amp;"|"&amp;116,LISTA_KLUCZ,0))),"")</f>
        <v>OH skullcrushers</v>
      </c>
      <c r="DO14" s="5" t="str">
        <f t="array" ref="DO14">IFERROR(IF('T1'!$J14="",INDEX(LISTA_EX,117),INDEX(LISTA_EX,MATCH('T1'!$J14&amp;"|"&amp;117,LISTA_KLUCZ,0))),"")</f>
        <v>OHP barbell squat 15kg</v>
      </c>
      <c r="DP14" s="5" t="str">
        <f t="array" ref="DP14">IFERROR(IF('T1'!$J14="",INDEX(LISTA_EX,118),INDEX(LISTA_EX,MATCH('T1'!$J14&amp;"|"&amp;118,LISTA_KLUCZ,0))),"")</f>
        <v>Pistol squat eccentric</v>
      </c>
      <c r="DQ14" s="5" t="str">
        <f t="array" ref="DQ14">IFERROR(IF('T1'!$J14="",INDEX(LISTA_EX,119),INDEX(LISTA_EX,MATCH('T1'!$J14&amp;"|"&amp;119,LISTA_KLUCZ,0))),"")</f>
        <v>Plank contralateral</v>
      </c>
      <c r="DR14" s="5" t="str">
        <f t="array" ref="DR14">IFERROR(IF('T1'!$J14="",INDEX(LISTA_EX,120),INDEX(LISTA_EX,MATCH('T1'!$J14&amp;"|"&amp;120,LISTA_KLUCZ,0))),"")</f>
        <v>Plank dumbbell rotation</v>
      </c>
      <c r="DS14" s="5" t="str">
        <f t="array" ref="DS14">IFERROR(IF('T1'!$J14="",INDEX(LISTA_EX,121),INDEX(LISTA_EX,MATCH('T1'!$J14&amp;"|"&amp;121,LISTA_KLUCZ,0))),"")</f>
        <v>Plank leg raises</v>
      </c>
      <c r="DT14" s="5" t="str">
        <f t="array" ref="DT14">IFERROR(IF('T1'!$J14="",INDEX(LISTA_EX,122),INDEX(LISTA_EX,MATCH('T1'!$J14&amp;"|"&amp;122,LISTA_KLUCZ,0))),"")</f>
        <v>Poliquin step up</v>
      </c>
      <c r="DU14" s="5" t="str">
        <f t="array" ref="DU14">IFERROR(IF('T1'!$J14="",INDEX(LISTA_EX,123),INDEX(LISTA_EX,MATCH('T1'!$J14&amp;"|"&amp;123,LISTA_KLUCZ,0))),"")</f>
        <v>Poliquin step up paused 3sec</v>
      </c>
      <c r="DV14" s="5" t="str">
        <f t="array" ref="DV14">IFERROR(IF('T1'!$J14="",INDEX(LISTA_EX,124),INDEX(LISTA_EX,MATCH('T1'!$J14&amp;"|"&amp;124,LISTA_KLUCZ,0))),"")</f>
        <v>Pronation/Supination</v>
      </c>
      <c r="DW14" s="5" t="str">
        <f t="array" ref="DW14">IFERROR(IF('T1'!$J14="",INDEX(LISTA_EX,125),INDEX(LISTA_EX,MATCH('T1'!$J14&amp;"|"&amp;125,LISTA_KLUCZ,0))),"")</f>
        <v>Pull up</v>
      </c>
      <c r="DX14" s="5" t="str">
        <f t="array" ref="DX14">IFERROR(IF('T1'!$J14="",INDEX(LISTA_EX,126),INDEX(LISTA_EX,MATCH('T1'!$J14&amp;"|"&amp;126,LISTA_KLUCZ,0))),"")</f>
        <v>Pull up eccentric weighted</v>
      </c>
      <c r="DY14" s="5" t="str">
        <f t="array" ref="DY14">IFERROR(IF('T1'!$J14="",INDEX(LISTA_EX,127),INDEX(LISTA_EX,MATCH('T1'!$J14&amp;"|"&amp;127,LISTA_KLUCZ,0))),"")</f>
        <v>Pull up eccentric weighted (5 sek w dół)</v>
      </c>
      <c r="DZ14" s="5" t="str">
        <f t="array" ref="DZ14">IFERROR(IF('T1'!$J14="",INDEX(LISTA_EX,128),INDEX(LISTA_EX,MATCH('T1'!$J14&amp;"|"&amp;128,LISTA_KLUCZ,0))),"")</f>
        <v>Pull up weighted</v>
      </c>
      <c r="EA14" s="5" t="str">
        <f t="array" ref="EA14">IFERROR(IF('T1'!$J14="",INDEX(LISTA_EX,129),INDEX(LISTA_EX,MATCH('T1'!$J14&amp;"|"&amp;129,LISTA_KLUCZ,0))),"")</f>
        <v>Pull ups (paused)</v>
      </c>
      <c r="EB14" s="5" t="str">
        <f t="array" ref="EB14">IFERROR(IF('T1'!$J14="",INDEX(LISTA_EX,130),INDEX(LISTA_EX,MATCH('T1'!$J14&amp;"|"&amp;130,LISTA_KLUCZ,0))),"")</f>
        <v>Push press barbell</v>
      </c>
      <c r="EC14" s="5" t="str">
        <f t="array" ref="EC14">IFERROR(IF('T1'!$J14="",INDEX(LISTA_EX,131),INDEX(LISTA_EX,MATCH('T1'!$J14&amp;"|"&amp;131,LISTA_KLUCZ,0))),"")</f>
        <v>Push up</v>
      </c>
      <c r="ED14" s="5" t="str">
        <f t="array" ref="ED14">IFERROR(IF('T1'!$J14="",INDEX(LISTA_EX,132),INDEX(LISTA_EX,MATCH('T1'!$J14&amp;"|"&amp;132,LISTA_KLUCZ,0))),"")</f>
        <v>Raised bird dog</v>
      </c>
      <c r="EE14" s="5" t="str">
        <f t="array" ref="EE14">IFERROR(IF('T1'!$J14="",INDEX(LISTA_EX,133),INDEX(LISTA_EX,MATCH('T1'!$J14&amp;"|"&amp;133,LISTA_KLUCZ,0))),"")</f>
        <v>RDL</v>
      </c>
      <c r="EF14" s="5" t="str">
        <f t="array" ref="EF14">IFERROR(IF('T1'!$J14="",INDEX(LISTA_EX,134),INDEX(LISTA_EX,MATCH('T1'!$J14&amp;"|"&amp;134,LISTA_KLUCZ,0))),"")</f>
        <v>Reverse Nordic</v>
      </c>
      <c r="EG14" s="5" t="str">
        <f t="array" ref="EG14">IFERROR(IF('T1'!$J14="",INDEX(LISTA_EX,135),INDEX(LISTA_EX,MATCH('T1'!$J14&amp;"|"&amp;135,LISTA_KLUCZ,0))),"")</f>
        <v>Rope pushdown</v>
      </c>
      <c r="EH14" s="5" t="str">
        <f t="array" ref="EH14">IFERROR(IF('T1'!$J14="",INDEX(LISTA_EX,136),INDEX(LISTA_EX,MATCH('T1'!$J14&amp;"|"&amp;136,LISTA_KLUCZ,0))),"")</f>
        <v>Rope pushdown OH</v>
      </c>
      <c r="EI14" s="5" t="str">
        <f t="array" ref="EI14">IFERROR(IF('T1'!$J14="",INDEX(LISTA_EX,137),INDEX(LISTA_EX,MATCH('T1'!$J14&amp;"|"&amp;137,LISTA_KLUCZ,0))),"")</f>
        <v>S/a cable pulldown incline bench</v>
      </c>
      <c r="EJ14" s="5" t="str">
        <f t="array" ref="EJ14">IFERROR(IF('T1'!$J14="",INDEX(LISTA_EX,138),INDEX(LISTA_EX,MATCH('T1'!$J14&amp;"|"&amp;138,LISTA_KLUCZ,0))),"")</f>
        <v>S/a lat pulldown incline bench</v>
      </c>
      <c r="EK14" s="5" t="str">
        <f t="array" ref="EK14">IFERROR(IF('T1'!$J14="",INDEX(LISTA_EX,139),INDEX(LISTA_EX,MATCH('T1'!$J14&amp;"|"&amp;139,LISTA_KLUCZ,0))),"")</f>
        <v>S/l dragonflag eccentric</v>
      </c>
      <c r="EL14" s="5" t="str">
        <f t="array" ref="EL14">IFERROR(IF('T1'!$J14="",INDEX(LISTA_EX,140),INDEX(LISTA_EX,MATCH('T1'!$J14&amp;"|"&amp;140,LISTA_KLUCZ,0))),"")</f>
        <v>S/l hip thrust</v>
      </c>
      <c r="EM14" s="5" t="str">
        <f t="array" ref="EM14">IFERROR(IF('T1'!$J14="",INDEX(LISTA_EX,141),INDEX(LISTA_EX,MATCH('T1'!$J14&amp;"|"&amp;141,LISTA_KLUCZ,0))),"")</f>
        <v>Seated broad jump</v>
      </c>
      <c r="EN14" s="5" t="str">
        <f t="array" ref="EN14">IFERROR(IF('T1'!$J14="",INDEX(LISTA_EX,142),INDEX(LISTA_EX,MATCH('T1'!$J14&amp;"|"&amp;142,LISTA_KLUCZ,0))),"")</f>
        <v>Seated cable facepull</v>
      </c>
      <c r="EO14" s="5" t="str">
        <f t="array" ref="EO14">IFERROR(IF('T1'!$J14="",INDEX(LISTA_EX,143),INDEX(LISTA_EX,MATCH('T1'!$J14&amp;"|"&amp;143,LISTA_KLUCZ,0))),"")</f>
        <v>Seated seesaw press (nogi proste)</v>
      </c>
      <c r="EP14" s="5" t="str">
        <f t="array" ref="EP14">IFERROR(IF('T1'!$J14="",INDEX(LISTA_EX,144),INDEX(LISTA_EX,MATCH('T1'!$J14&amp;"|"&amp;144,LISTA_KLUCZ,0))),"")</f>
        <v>Seesaw press</v>
      </c>
      <c r="EQ14" s="5" t="str">
        <f t="array" ref="EQ14">IFERROR(IF('T1'!$J14="",INDEX(LISTA_EX,145),INDEX(LISTA_EX,MATCH('T1'!$J14&amp;"|"&amp;145,LISTA_KLUCZ,0))),"")</f>
        <v>Side crunches</v>
      </c>
      <c r="ER14" s="5" t="str">
        <f t="array" ref="ER14">IFERROR(IF('T1'!$J14="",INDEX(LISTA_EX,146),INDEX(LISTA_EX,MATCH('T1'!$J14&amp;"|"&amp;146,LISTA_KLUCZ,0))),"")</f>
        <v>Side plank hip drop</v>
      </c>
      <c r="ES14" s="5" t="str">
        <f t="array" ref="ES14">IFERROR(IF('T1'!$J14="",INDEX(LISTA_EX,147),INDEX(LISTA_EX,MATCH('T1'!$J14&amp;"|"&amp;147,LISTA_KLUCZ,0))),"")</f>
        <v>Side plank rotations</v>
      </c>
      <c r="ET14" s="5" t="str">
        <f t="array" ref="ET14">IFERROR(IF('T1'!$J14="",INDEX(LISTA_EX,148),INDEX(LISTA_EX,MATCH('T1'!$J14&amp;"|"&amp;148,LISTA_KLUCZ,0))),"")</f>
        <v>SLDL balance</v>
      </c>
      <c r="EU14" s="5" t="str">
        <f t="array" ref="EU14">IFERROR(IF('T1'!$J14="",INDEX(LISTA_EX,149),INDEX(LISTA_EX,MATCH('T1'!$J14&amp;"|"&amp;149,LISTA_KLUCZ,0))),"")</f>
        <v>Split squat</v>
      </c>
      <c r="EV14" s="5" t="str">
        <f t="array" ref="EV14">IFERROR(IF('T1'!$J14="",INDEX(LISTA_EX,150),INDEX(LISTA_EX,MATCH('T1'!$J14&amp;"|"&amp;150,LISTA_KLUCZ,0))),"")</f>
        <v>Split stance SLDL</v>
      </c>
      <c r="EW14" s="5" t="str">
        <f t="array" ref="EW14">IFERROR(IF('T1'!$J14="",INDEX(LISTA_EX,151),INDEX(LISTA_EX,MATCH('T1'!$J14&amp;"|"&amp;151,LISTA_KLUCZ,0))),"")</f>
        <v>Squat izo (15 sek)</v>
      </c>
      <c r="EX14" s="5" t="str">
        <f t="array" ref="EX14">IFERROR(IF('T1'!$J14="",INDEX(LISTA_EX,152),INDEX(LISTA_EX,MATCH('T1'!$J14&amp;"|"&amp;152,LISTA_KLUCZ,0))),"")</f>
        <v>Standing landmine press</v>
      </c>
      <c r="EY14" s="5" t="str">
        <f t="array" ref="EY14">IFERROR(IF('T1'!$J14="",INDEX(LISTA_EX,153),INDEX(LISTA_EX,MATCH('T1'!$J14&amp;"|"&amp;153,LISTA_KLUCZ,0))),"")</f>
        <v>Suitcase carry</v>
      </c>
      <c r="EZ14" s="5" t="str">
        <f t="array" ref="EZ14">IFERROR(IF('T1'!$J14="",INDEX(LISTA_EX,154),INDEX(LISTA_EX,MATCH('T1'!$J14&amp;"|"&amp;154,LISTA_KLUCZ,0))),"")</f>
        <v>Supine pigeon abs</v>
      </c>
      <c r="FA14" s="5" t="str">
        <f t="array" ref="FA14">IFERROR(IF('T1'!$J14="",INDEX(LISTA_EX,155),INDEX(LISTA_EX,MATCH('T1'!$J14&amp;"|"&amp;155,LISTA_KLUCZ,0))),"")</f>
        <v>Swiss ball leg curl</v>
      </c>
      <c r="FB14" s="5" t="str">
        <f t="array" ref="FB14">IFERROR(IF('T1'!$J14="",INDEX(LISTA_EX,156),INDEX(LISTA_EX,MATCH('T1'!$J14&amp;"|"&amp;156,LISTA_KLUCZ,0))),"")</f>
        <v>Toes to bar</v>
      </c>
      <c r="FC14" s="5" t="str">
        <f t="array" ref="FC14">IFERROR(IF('T1'!$J14="",INDEX(LISTA_EX,157),INDEX(LISTA_EX,MATCH('T1'!$J14&amp;"|"&amp;157,LISTA_KLUCZ,0))),"")</f>
        <v>Trap bar deadlift</v>
      </c>
      <c r="FD14" s="5" t="str">
        <f t="array" ref="FD14">IFERROR(IF('T1'!$J14="",INDEX(LISTA_EX,158),INDEX(LISTA_EX,MATCH('T1'!$J14&amp;"|"&amp;158,LISTA_KLUCZ,0))),"")</f>
        <v>Tricep cable pushdown</v>
      </c>
      <c r="FE14" s="5" t="str">
        <f t="array" ref="FE14">IFERROR(IF('T1'!$J14="",INDEX(LISTA_EX,159),INDEX(LISTA_EX,MATCH('T1'!$J14&amp;"|"&amp;159,LISTA_KLUCZ,0))),"")</f>
        <v>Tricep JM press</v>
      </c>
      <c r="FF14" s="5" t="str">
        <f t="array" ref="FF14">IFERROR(IF('T1'!$J14="",INDEX(LISTA_EX,160),INDEX(LISTA_EX,MATCH('T1'!$J14&amp;"|"&amp;160,LISTA_KLUCZ,0))),"")</f>
        <v>Tricep OH cable</v>
      </c>
      <c r="FG14" s="5" t="str">
        <f t="array" ref="FG14">IFERROR(IF('T1'!$J14="",INDEX(LISTA_EX,161),INDEX(LISTA_EX,MATCH('T1'!$J14&amp;"|"&amp;161,LISTA_KLUCZ,0))),"")</f>
        <v>Tricep OH ez bar</v>
      </c>
      <c r="FH14" s="5" t="str">
        <f t="array" ref="FH14">IFERROR(IF('T1'!$J14="",INDEX(LISTA_EX,162),INDEX(LISTA_EX,MATCH('T1'!$J14&amp;"|"&amp;162,LISTA_KLUCZ,0))),"")</f>
        <v>Walking lunges</v>
      </c>
      <c r="FI14" s="5" t="str">
        <f t="array" ref="FI14">IFERROR(IF('T1'!$J14="",INDEX(LISTA_EX,163),INDEX(LISTA_EX,MATCH('T1'!$J14&amp;"|"&amp;163,LISTA_KLUCZ,0))),"")</f>
        <v>Wipers kettle</v>
      </c>
      <c r="FJ14" s="5" t="str">
        <f t="array" ref="FJ14">IFERROR(IF('T1'!$J14="",INDEX(LISTA_EX,164),INDEX(LISTA_EX,MATCH('T1'!$J14&amp;"|"&amp;164,LISTA_KLUCZ,0))),"")</f>
        <v>Zercher jumps</v>
      </c>
      <c r="FK14" s="5" t="str">
        <f t="array" ref="FK14">IFERROR(IF('T1'!$J14="",INDEX(LISTA_EX,165),INDEX(LISTA_EX,MATCH('T1'!$J14&amp;"|"&amp;165,LISTA_KLUCZ,0))),"")</f>
        <v/>
      </c>
      <c r="FL14" s="5" t="str">
        <f t="array" ref="FL14">IFERROR(IF('T1'!$J14="",INDEX(LISTA_EX,166),INDEX(LISTA_EX,MATCH('T1'!$J14&amp;"|"&amp;166,LISTA_KLUCZ,0))),"")</f>
        <v/>
      </c>
      <c r="FM14" s="5" t="str">
        <f t="array" ref="FM14">IFERROR(IF('T1'!$J14="",INDEX(LISTA_EX,167),INDEX(LISTA_EX,MATCH('T1'!$J14&amp;"|"&amp;167,LISTA_KLUCZ,0))),"")</f>
        <v/>
      </c>
      <c r="FN14" s="5" t="str">
        <f t="array" ref="FN14">IFERROR(IF('T1'!$J14="",INDEX(LISTA_EX,168),INDEX(LISTA_EX,MATCH('T1'!$J14&amp;"|"&amp;168,LISTA_KLUCZ,0))),"")</f>
        <v/>
      </c>
      <c r="FO14" s="5" t="str">
        <f t="array" ref="FO14">IFERROR(IF('T1'!$J14="",INDEX(LISTA_EX,169),INDEX(LISTA_EX,MATCH('T1'!$J14&amp;"|"&amp;169,LISTA_KLUCZ,0))),"")</f>
        <v/>
      </c>
      <c r="FP14" s="5" t="str">
        <f t="array" ref="FP14">IFERROR(IF('T1'!$J14="",INDEX(LISTA_EX,170),INDEX(LISTA_EX,MATCH('T1'!$J14&amp;"|"&amp;170,LISTA_KLUCZ,0))),"")</f>
        <v/>
      </c>
      <c r="FQ14" s="5" t="str">
        <f t="array" ref="FQ14">IFERROR(IF('T1'!$J14="",INDEX(LISTA_EX,171),INDEX(LISTA_EX,MATCH('T1'!$J14&amp;"|"&amp;171,LISTA_KLUCZ,0))),"")</f>
        <v/>
      </c>
      <c r="FR14" s="5" t="str">
        <f t="array" ref="FR14">IFERROR(IF('T1'!$J14="",INDEX(LISTA_EX,172),INDEX(LISTA_EX,MATCH('T1'!$J14&amp;"|"&amp;172,LISTA_KLUCZ,0))),"")</f>
        <v/>
      </c>
      <c r="FS14" s="5" t="str">
        <f t="array" ref="FS14">IFERROR(IF('T1'!$J14="",INDEX(LISTA_EX,173),INDEX(LISTA_EX,MATCH('T1'!$J14&amp;"|"&amp;173,LISTA_KLUCZ,0))),"")</f>
        <v/>
      </c>
      <c r="FT14" s="5" t="str">
        <f t="array" ref="FT14">IFERROR(IF('T1'!$J14="",INDEX(LISTA_EX,174),INDEX(LISTA_EX,MATCH('T1'!$J14&amp;"|"&amp;174,LISTA_KLUCZ,0))),"")</f>
        <v/>
      </c>
      <c r="FU14" s="5" t="str">
        <f t="array" ref="FU14">IFERROR(IF('T1'!$J14="",INDEX(LISTA_EX,175),INDEX(LISTA_EX,MATCH('T1'!$J14&amp;"|"&amp;175,LISTA_KLUCZ,0))),"")</f>
        <v/>
      </c>
      <c r="FV14" s="5" t="str">
        <f t="array" ref="FV14">IFERROR(IF('T1'!$J14="",INDEX(LISTA_EX,176),INDEX(LISTA_EX,MATCH('T1'!$J14&amp;"|"&amp;176,LISTA_KLUCZ,0))),"")</f>
        <v/>
      </c>
      <c r="FW14" s="5" t="str">
        <f t="array" ref="FW14">IFERROR(IF('T1'!$J14="",INDEX(LISTA_EX,177),INDEX(LISTA_EX,MATCH('T1'!$J14&amp;"|"&amp;177,LISTA_KLUCZ,0))),"")</f>
        <v/>
      </c>
      <c r="FX14" s="5" t="str">
        <f t="array" ref="FX14">IFERROR(IF('T1'!$J14="",INDEX(LISTA_EX,178),INDEX(LISTA_EX,MATCH('T1'!$J14&amp;"|"&amp;178,LISTA_KLUCZ,0))),"")</f>
        <v/>
      </c>
      <c r="FY14" s="5" t="str">
        <f t="array" ref="FY14">IFERROR(IF('T1'!$J14="",INDEX(LISTA_EX,179),INDEX(LISTA_EX,MATCH('T1'!$J14&amp;"|"&amp;179,LISTA_KLUCZ,0))),"")</f>
        <v/>
      </c>
      <c r="FZ14" s="5" t="str">
        <f t="array" ref="FZ14">IFERROR(IF('T1'!$J14="",INDEX(LISTA_EX,180),INDEX(LISTA_EX,MATCH('T1'!$J14&amp;"|"&amp;180,LISTA_KLUCZ,0))),"")</f>
        <v/>
      </c>
      <c r="GA14" s="5" t="str">
        <f t="array" ref="GA14">IFERROR(IF('T1'!$J14="",INDEX(LISTA_EX,181),INDEX(LISTA_EX,MATCH('T1'!$J14&amp;"|"&amp;181,LISTA_KLUCZ,0))),"")</f>
        <v/>
      </c>
      <c r="GB14" s="5" t="str">
        <f t="array" ref="GB14">IFERROR(IF('T1'!$J14="",INDEX(LISTA_EX,182),INDEX(LISTA_EX,MATCH('T1'!$J14&amp;"|"&amp;182,LISTA_KLUCZ,0))),"")</f>
        <v/>
      </c>
      <c r="GC14" s="5" t="str">
        <f t="array" ref="GC14">IFERROR(IF('T1'!$J14="",INDEX(LISTA_EX,183),INDEX(LISTA_EX,MATCH('T1'!$J14&amp;"|"&amp;183,LISTA_KLUCZ,0))),"")</f>
        <v/>
      </c>
      <c r="GD14" s="5" t="str">
        <f t="array" ref="GD14">IFERROR(IF('T1'!$J14="",INDEX(LISTA_EX,184),INDEX(LISTA_EX,MATCH('T1'!$J14&amp;"|"&amp;184,LISTA_KLUCZ,0))),"")</f>
        <v/>
      </c>
      <c r="GE14" s="5" t="str">
        <f t="array" ref="GE14">IFERROR(IF('T1'!$J14="",INDEX(LISTA_EX,185),INDEX(LISTA_EX,MATCH('T1'!$J14&amp;"|"&amp;185,LISTA_KLUCZ,0))),"")</f>
        <v/>
      </c>
      <c r="GF14" s="5" t="str">
        <f t="array" ref="GF14">IFERROR(IF('T1'!$J14="",INDEX(LISTA_EX,186),INDEX(LISTA_EX,MATCH('T1'!$J14&amp;"|"&amp;186,LISTA_KLUCZ,0))),"")</f>
        <v/>
      </c>
      <c r="GG14" s="5" t="str">
        <f t="array" ref="GG14">IFERROR(IF('T1'!$J14="",INDEX(LISTA_EX,187),INDEX(LISTA_EX,MATCH('T1'!$J14&amp;"|"&amp;187,LISTA_KLUCZ,0))),"")</f>
        <v/>
      </c>
      <c r="GH14" s="5" t="str">
        <f t="array" ref="GH14">IFERROR(IF('T1'!$J14="",INDEX(LISTA_EX,188),INDEX(LISTA_EX,MATCH('T1'!$J14&amp;"|"&amp;188,LISTA_KLUCZ,0))),"")</f>
        <v/>
      </c>
      <c r="GI14" s="5" t="str">
        <f t="array" ref="GI14">IFERROR(IF('T1'!$J14="",INDEX(LISTA_EX,189),INDEX(LISTA_EX,MATCH('T1'!$J14&amp;"|"&amp;189,LISTA_KLUCZ,0))),"")</f>
        <v/>
      </c>
      <c r="GJ14" s="5" t="str">
        <f t="array" ref="GJ14">IFERROR(IF('T1'!$J14="",INDEX(LISTA_EX,190),INDEX(LISTA_EX,MATCH('T1'!$J14&amp;"|"&amp;190,LISTA_KLUCZ,0))),"")</f>
        <v/>
      </c>
      <c r="GK14" s="5" t="str">
        <f t="array" ref="GK14">IFERROR(IF('T1'!$J14="",INDEX(LISTA_EX,191),INDEX(LISTA_EX,MATCH('T1'!$J14&amp;"|"&amp;191,LISTA_KLUCZ,0))),"")</f>
        <v/>
      </c>
      <c r="GL14" s="5" t="str">
        <f t="array" ref="GL14">IFERROR(IF('T1'!$J14="",INDEX(LISTA_EX,192),INDEX(LISTA_EX,MATCH('T1'!$J14&amp;"|"&amp;192,LISTA_KLUCZ,0))),"")</f>
        <v/>
      </c>
      <c r="GM14" s="5" t="str">
        <f t="array" ref="GM14">IFERROR(IF('T1'!$J14="",INDEX(LISTA_EX,193),INDEX(LISTA_EX,MATCH('T1'!$J14&amp;"|"&amp;193,LISTA_KLUCZ,0))),"")</f>
        <v/>
      </c>
      <c r="GN14" s="5" t="str">
        <f t="array" ref="GN14">IFERROR(IF('T1'!$J14="",INDEX(LISTA_EX,194),INDEX(LISTA_EX,MATCH('T1'!$J14&amp;"|"&amp;194,LISTA_KLUCZ,0))),"")</f>
        <v/>
      </c>
      <c r="GO14" s="5" t="str">
        <f t="array" ref="GO14">IFERROR(IF('T1'!$J14="",INDEX(LISTA_EX,195),INDEX(LISTA_EX,MATCH('T1'!$J14&amp;"|"&amp;195,LISTA_KLUCZ,0))),"")</f>
        <v/>
      </c>
      <c r="GP14" s="5" t="str">
        <f t="array" ref="GP14">IFERROR(IF('T1'!$J14="",INDEX(LISTA_EX,196),INDEX(LISTA_EX,MATCH('T1'!$J14&amp;"|"&amp;196,LISTA_KLUCZ,0))),"")</f>
        <v/>
      </c>
      <c r="GQ14" s="5" t="str">
        <f t="array" ref="GQ14">IFERROR(IF('T1'!$J14="",INDEX(LISTA_EX,197),INDEX(LISTA_EX,MATCH('T1'!$J14&amp;"|"&amp;197,LISTA_KLUCZ,0))),"")</f>
        <v/>
      </c>
      <c r="GR14" s="5" t="str">
        <f t="array" ref="GR14">IFERROR(IF('T1'!$J14="",INDEX(LISTA_EX,198),INDEX(LISTA_EX,MATCH('T1'!$J14&amp;"|"&amp;198,LISTA_KLUCZ,0))),"")</f>
        <v/>
      </c>
      <c r="GS14" s="5" t="str">
        <f t="array" ref="GS14">IFERROR(IF('T1'!$J14="",INDEX(LISTA_EX,199),INDEX(LISTA_EX,MATCH('T1'!$J14&amp;"|"&amp;199,LISTA_KLUCZ,0))),"")</f>
        <v/>
      </c>
      <c r="GT14" s="5" t="str">
        <f t="array" ref="GT14">IFERROR(IF('T1'!$J14="",INDEX(LISTA_EX,200),INDEX(LISTA_EX,MATCH('T1'!$J14&amp;"|"&amp;200,LISTA_KLUCZ,0))),"")</f>
        <v/>
      </c>
      <c r="GV14" s="5" t="str">
        <f>IF(BAZA!$A14="","",BAZA!$A14)</f>
        <v>Barbell curl</v>
      </c>
      <c r="GW14" s="5" t="str">
        <f>IF(BAZA!$B14="","",BAZA!$B14&amp;"|"&amp;COUNTIF(BAZA!$B$3:$B14,BAZA!$B14))</f>
        <v>Bicep|1</v>
      </c>
    </row>
    <row r="15" ht="15.0" customHeight="1">
      <c r="A15" s="5" t="str">
        <f>IF('T1'!$K15="","",'T1'!$K15)</f>
        <v>D1-S09</v>
      </c>
      <c r="B15" s="5" t="str">
        <f>IF('T1'!$J15="","(wszystkie)",'T1'!$J15)</f>
        <v>(wszystkie)</v>
      </c>
      <c r="C15" s="5" t="str">
        <f t="array" ref="C15">IFERROR(IF('T1'!$J15="",INDEX(LISTA_EX,1),INDEX(LISTA_EX,MATCH('T1'!$J15&amp;"|"&amp;1,LISTA_KLUCZ,0))),"")</f>
        <v>Abduction machine</v>
      </c>
      <c r="D15" s="5" t="str">
        <f t="array" ref="D15">IFERROR(IF('T1'!$J15="",INDEX(LISTA_EX,2),INDEX(LISTA_EX,MATCH('T1'!$J15&amp;"|"&amp;2,LISTA_KLUCZ,0))),"")</f>
        <v>Adduction machine</v>
      </c>
      <c r="E15" s="5" t="str">
        <f t="array" ref="E15">IFERROR(IF('T1'!$J15="",INDEX(LISTA_EX,3),INDEX(LISTA_EX,MATCH('T1'!$J15&amp;"|"&amp;3,LISTA_KLUCZ,0))),"")</f>
        <v>Allah</v>
      </c>
      <c r="F15" s="5" t="str">
        <f t="array" ref="F15">IFERROR(IF('T1'!$J15="",INDEX(LISTA_EX,4),INDEX(LISTA_EX,MATCH('T1'!$J15&amp;"|"&amp;4,LISTA_KLUCZ,0))),"")</f>
        <v>Arnold press</v>
      </c>
      <c r="G15" s="5" t="str">
        <f t="array" ref="G15">IFERROR(IF('T1'!$J15="",INDEX(LISTA_EX,5),INDEX(LISTA_EX,MATCH('T1'!$J15&amp;"|"&amp;5,LISTA_KLUCZ,0))),"")</f>
        <v>Arnold press alternating</v>
      </c>
      <c r="H15" s="5" t="str">
        <f t="array" ref="H15">IFERROR(IF('T1'!$J15="",INDEX(LISTA_EX,6),INDEX(LISTA_EX,MATCH('T1'!$J15&amp;"|"&amp;6,LISTA_KLUCZ,0))),"")</f>
        <v>B/l dragonflag eccentric</v>
      </c>
      <c r="I15" s="5" t="str">
        <f t="array" ref="I15">IFERROR(IF('T1'!$J15="",INDEX(LISTA_EX,7),INDEX(LISTA_EX,MATCH('T1'!$J15&amp;"|"&amp;7,LISTA_KLUCZ,0))),"")</f>
        <v>Back extension</v>
      </c>
      <c r="J15" s="5" t="str">
        <f t="array" ref="J15">IFERROR(IF('T1'!$J15="",INDEX(LISTA_EX,8),INDEX(LISTA_EX,MATCH('T1'!$J15&amp;"|"&amp;8,LISTA_KLUCZ,0))),"")</f>
        <v>Banded pistol squat</v>
      </c>
      <c r="K15" s="5" t="str">
        <f t="array" ref="K15">IFERROR(IF('T1'!$J15="",INDEX(LISTA_EX,9),INDEX(LISTA_EX,MATCH('T1'!$J15&amp;"|"&amp;9,LISTA_KLUCZ,0))),"")</f>
        <v>Banded pull ups</v>
      </c>
      <c r="L15" s="5" t="str">
        <f t="array" ref="L15">IFERROR(IF('T1'!$J15="",INDEX(LISTA_EX,10),INDEX(LISTA_EX,MATCH('T1'!$J15&amp;"|"&amp;10,LISTA_KLUCZ,0))),"")</f>
        <v>Barbell back squat</v>
      </c>
      <c r="M15" s="5" t="str">
        <f t="array" ref="M15">IFERROR(IF('T1'!$J15="",INDEX(LISTA_EX,11),INDEX(LISTA_EX,MATCH('T1'!$J15&amp;"|"&amp;11,LISTA_KLUCZ,0))),"")</f>
        <v>Barbell bench press</v>
      </c>
      <c r="N15" s="5" t="str">
        <f t="array" ref="N15">IFERROR(IF('T1'!$J15="",INDEX(LISTA_EX,12),INDEX(LISTA_EX,MATCH('T1'!$J15&amp;"|"&amp;12,LISTA_KLUCZ,0))),"")</f>
        <v>Barbell curl</v>
      </c>
      <c r="O15" s="5" t="str">
        <f t="array" ref="O15">IFERROR(IF('T1'!$J15="",INDEX(LISTA_EX,13),INDEX(LISTA_EX,MATCH('T1'!$J15&amp;"|"&amp;13,LISTA_KLUCZ,0))),"")</f>
        <v>Barbell low bar squat</v>
      </c>
      <c r="P15" s="5" t="str">
        <f t="array" ref="P15">IFERROR(IF('T1'!$J15="",INDEX(LISTA_EX,14),INDEX(LISTA_EX,MATCH('T1'!$J15&amp;"|"&amp;14,LISTA_KLUCZ,0))),"")</f>
        <v>Barbell OHP</v>
      </c>
      <c r="Q15" s="5" t="str">
        <f t="array" ref="Q15">IFERROR(IF('T1'!$J15="",INDEX(LISTA_EX,15),INDEX(LISTA_EX,MATCH('T1'!$J15&amp;"|"&amp;15,LISTA_KLUCZ,0))),"")</f>
        <v>Barbell oscilation</v>
      </c>
      <c r="R15" s="5" t="str">
        <f t="array" ref="R15">IFERROR(IF('T1'!$J15="",INDEX(LISTA_EX,16),INDEX(LISTA_EX,MATCH('T1'!$J15&amp;"|"&amp;16,LISTA_KLUCZ,0))),"")</f>
        <v>Barbell row</v>
      </c>
      <c r="S15" s="5" t="str">
        <f t="array" ref="S15">IFERROR(IF('T1'!$J15="",INDEX(LISTA_EX,17),INDEX(LISTA_EX,MATCH('T1'!$J15&amp;"|"&amp;17,LISTA_KLUCZ,0))),"")</f>
        <v>Barbell row dead stop pins</v>
      </c>
      <c r="T15" s="5" t="str">
        <f t="array" ref="T15">IFERROR(IF('T1'!$J15="",INDEX(LISTA_EX,18),INDEX(LISTA_EX,MATCH('T1'!$J15&amp;"|"&amp;18,LISTA_KLUCZ,0))),"")</f>
        <v>Barbell SLDL</v>
      </c>
      <c r="U15" s="5" t="str">
        <f t="array" ref="U15">IFERROR(IF('T1'!$J15="",INDEX(LISTA_EX,19),INDEX(LISTA_EX,MATCH('T1'!$J15&amp;"|"&amp;19,LISTA_KLUCZ,0))),"")</f>
        <v>Bayesian curl</v>
      </c>
      <c r="V15" s="5" t="str">
        <f t="array" ref="V15">IFERROR(IF('T1'!$J15="",INDEX(LISTA_EX,20),INDEX(LISTA_EX,MATCH('T1'!$J15&amp;"|"&amp;20,LISTA_KLUCZ,0))),"")</f>
        <v>Bear renegade row</v>
      </c>
      <c r="W15" s="5" t="str">
        <f t="array" ref="W15">IFERROR(IF('T1'!$J15="",INDEX(LISTA_EX,21),INDEX(LISTA_EX,MATCH('T1'!$J15&amp;"|"&amp;21,LISTA_KLUCZ,0))),"")</f>
        <v>Bench press paused 3sec</v>
      </c>
      <c r="X15" s="5" t="str">
        <f t="array" ref="X15">IFERROR(IF('T1'!$J15="",INDEX(LISTA_EX,22),INDEX(LISTA_EX,MATCH('T1'!$J15&amp;"|"&amp;22,LISTA_KLUCZ,0))),"")</f>
        <v>Bicep hammer curl</v>
      </c>
      <c r="Y15" s="5" t="str">
        <f t="array" ref="Y15">IFERROR(IF('T1'!$J15="",INDEX(LISTA_EX,23),INDEX(LISTA_EX,MATCH('T1'!$J15&amp;"|"&amp;23,LISTA_KLUCZ,0))),"")</f>
        <v>Bicep squat cable curl</v>
      </c>
      <c r="Z15" s="5" t="str">
        <f t="array" ref="Z15">IFERROR(IF('T1'!$J15="",INDEX(LISTA_EX,24),INDEX(LISTA_EX,MATCH('T1'!$J15&amp;"|"&amp;24,LISTA_KLUCZ,0))),"")</f>
        <v>Bird dog row</v>
      </c>
      <c r="AA15" s="5" t="str">
        <f t="array" ref="AA15">IFERROR(IF('T1'!$J15="",INDEX(LISTA_EX,25),INDEX(LISTA_EX,MATCH('T1'!$J15&amp;"|"&amp;25,LISTA_KLUCZ,0))),"")</f>
        <v>Box jump</v>
      </c>
      <c r="AB15" s="5" t="str">
        <f t="array" ref="AB15">IFERROR(IF('T1'!$J15="",INDEX(LISTA_EX,26),INDEX(LISTA_EX,MATCH('T1'!$J15&amp;"|"&amp;26,LISTA_KLUCZ,0))),"")</f>
        <v>Bulgarian clean plyo</v>
      </c>
      <c r="AC15" s="5" t="str">
        <f t="array" ref="AC15">IFERROR(IF('T1'!$J15="",INDEX(LISTA_EX,27),INDEX(LISTA_EX,MATCH('T1'!$J15&amp;"|"&amp;27,LISTA_KLUCZ,0))),"")</f>
        <v>Bulgarian squat assisted</v>
      </c>
      <c r="AD15" s="5" t="str">
        <f t="array" ref="AD15">IFERROR(IF('T1'!$J15="",INDEX(LISTA_EX,28),INDEX(LISTA_EX,MATCH('T1'!$J15&amp;"|"&amp;28,LISTA_KLUCZ,0))),"")</f>
        <v>Cable biceps curl</v>
      </c>
      <c r="AE15" s="5" t="str">
        <f t="array" ref="AE15">IFERROR(IF('T1'!$J15="",INDEX(LISTA_EX,29),INDEX(LISTA_EX,MATCH('T1'!$J15&amp;"|"&amp;29,LISTA_KLUCZ,0))),"")</f>
        <v>Cable fly</v>
      </c>
      <c r="AF15" s="5" t="str">
        <f t="array" ref="AF15">IFERROR(IF('T1'!$J15="",INDEX(LISTA_EX,30),INDEX(LISTA_EX,MATCH('T1'!$J15&amp;"|"&amp;30,LISTA_KLUCZ,0))),"")</f>
        <v>Cable lateral raise s/a</v>
      </c>
      <c r="AG15" s="5" t="str">
        <f t="array" ref="AG15">IFERROR(IF('T1'!$J15="",INDEX(LISTA_EX,31),INDEX(LISTA_EX,MATCH('T1'!$J15&amp;"|"&amp;31,LISTA_KLUCZ,0))),"")</f>
        <v>Cable row</v>
      </c>
      <c r="AH15" s="5" t="str">
        <f t="array" ref="AH15">IFERROR(IF('T1'!$J15="",INDEX(LISTA_EX,32),INDEX(LISTA_EX,MATCH('T1'!$J15&amp;"|"&amp;32,LISTA_KLUCZ,0))),"")</f>
        <v>Cable row s/a</v>
      </c>
      <c r="AI15" s="5" t="str">
        <f t="array" ref="AI15">IFERROR(IF('T1'!$J15="",INDEX(LISTA_EX,33),INDEX(LISTA_EX,MATCH('T1'!$J15&amp;"|"&amp;33,LISTA_KLUCZ,0))),"")</f>
        <v>Calf raises</v>
      </c>
      <c r="AJ15" s="5" t="str">
        <f t="array" ref="AJ15">IFERROR(IF('T1'!$J15="",INDEX(LISTA_EX,34),INDEX(LISTA_EX,MATCH('T1'!$J15&amp;"|"&amp;34,LISTA_KLUCZ,0))),"")</f>
        <v>Chest fly machine</v>
      </c>
      <c r="AK15" s="5" t="str">
        <f t="array" ref="AK15">IFERROR(IF('T1'!$J15="",INDEX(LISTA_EX,35),INDEX(LISTA_EX,MATCH('T1'!$J15&amp;"|"&amp;35,LISTA_KLUCZ,0))),"")</f>
        <v>Clean</v>
      </c>
      <c r="AL15" s="5" t="str">
        <f t="array" ref="AL15">IFERROR(IF('T1'!$J15="",INDEX(LISTA_EX,36),INDEX(LISTA_EX,MATCH('T1'!$J15&amp;"|"&amp;36,LISTA_KLUCZ,0))),"")</f>
        <v>Clean pins</v>
      </c>
      <c r="AM15" s="5" t="str">
        <f t="array" ref="AM15">IFERROR(IF('T1'!$J15="",INDEX(LISTA_EX,37),INDEX(LISTA_EX,MATCH('T1'!$J15&amp;"|"&amp;37,LISTA_KLUCZ,0))),"")</f>
        <v>Copenhagen plank</v>
      </c>
      <c r="AN15" s="5" t="str">
        <f t="array" ref="AN15">IFERROR(IF('T1'!$J15="",INDEX(LISTA_EX,38),INDEX(LISTA_EX,MATCH('T1'!$J15&amp;"|"&amp;38,LISTA_KLUCZ,0))),"")</f>
        <v>Dead bug izo + OH</v>
      </c>
      <c r="AO15" s="5" t="str">
        <f t="array" ref="AO15">IFERROR(IF('T1'!$J15="",INDEX(LISTA_EX,39),INDEX(LISTA_EX,MATCH('T1'!$J15&amp;"|"&amp;39,LISTA_KLUCZ,0))),"")</f>
        <v>Dead bug straight legs</v>
      </c>
      <c r="AP15" s="5" t="str">
        <f t="array" ref="AP15">IFERROR(IF('T1'!$J15="",INDEX(LISTA_EX,40),INDEX(LISTA_EX,MATCH('T1'!$J15&amp;"|"&amp;40,LISTA_KLUCZ,0))),"")</f>
        <v>Dead stop barbell row</v>
      </c>
      <c r="AQ15" s="5" t="str">
        <f t="array" ref="AQ15">IFERROR(IF('T1'!$J15="",INDEX(LISTA_EX,41),INDEX(LISTA_EX,MATCH('T1'!$J15&amp;"|"&amp;41,LISTA_KLUCZ,0))),"")</f>
        <v>Deadbug OH</v>
      </c>
      <c r="AR15" s="5" t="str">
        <f t="array" ref="AR15">IFERROR(IF('T1'!$J15="",INDEX(LISTA_EX,42),INDEX(LISTA_EX,MATCH('T1'!$J15&amp;"|"&amp;42,LISTA_KLUCZ,0))),"")</f>
        <v>Deadlift</v>
      </c>
      <c r="AS15" s="5" t="str">
        <f t="array" ref="AS15">IFERROR(IF('T1'!$J15="",INDEX(LISTA_EX,43),INDEX(LISTA_EX,MATCH('T1'!$J15&amp;"|"&amp;43,LISTA_KLUCZ,0))),"")</f>
        <v>Deficit push up</v>
      </c>
      <c r="AT15" s="5" t="str">
        <f t="array" ref="AT15">IFERROR(IF('T1'!$J15="",INDEX(LISTA_EX,44),INDEX(LISTA_EX,MATCH('T1'!$J15&amp;"|"&amp;44,LISTA_KLUCZ,0))),"")</f>
        <v>Deficit reverse lunge</v>
      </c>
      <c r="AU15" s="5" t="str">
        <f t="array" ref="AU15">IFERROR(IF('T1'!$J15="",INDEX(LISTA_EX,45),INDEX(LISTA_EX,MATCH('T1'!$J15&amp;"|"&amp;45,LISTA_KLUCZ,0))),"")</f>
        <v>Dips</v>
      </c>
      <c r="AV15" s="5" t="str">
        <f t="array" ref="AV15">IFERROR(IF('T1'!$J15="",INDEX(LISTA_EX,46),INDEX(LISTA_EX,MATCH('T1'!$J15&amp;"|"&amp;46,LISTA_KLUCZ,0))),"")</f>
        <v>Dips weighted</v>
      </c>
      <c r="AW15" s="5" t="str">
        <f t="array" ref="AW15">IFERROR(IF('T1'!$J15="",INDEX(LISTA_EX,47),INDEX(LISTA_EX,MATCH('T1'!$J15&amp;"|"&amp;47,LISTA_KLUCZ,0))),"")</f>
        <v>Dumbbell bench press</v>
      </c>
      <c r="AX15" s="5" t="str">
        <f t="array" ref="AX15">IFERROR(IF('T1'!$J15="",INDEX(LISTA_EX,48),INDEX(LISTA_EX,MATCH('T1'!$J15&amp;"|"&amp;48,LISTA_KLUCZ,0))),"")</f>
        <v>Dumbbell bench press alternating</v>
      </c>
      <c r="AY15" s="5" t="str">
        <f t="array" ref="AY15">IFERROR(IF('T1'!$J15="",INDEX(LISTA_EX,49),INDEX(LISTA_EX,MATCH('T1'!$J15&amp;"|"&amp;49,LISTA_KLUCZ,0))),"")</f>
        <v>Dumbbell curl</v>
      </c>
      <c r="AZ15" s="5" t="str">
        <f t="array" ref="AZ15">IFERROR(IF('T1'!$J15="",INDEX(LISTA_EX,50),INDEX(LISTA_EX,MATCH('T1'!$J15&amp;"|"&amp;50,LISTA_KLUCZ,0))),"")</f>
        <v>Dumbbell external rotation</v>
      </c>
      <c r="BA15" s="5" t="str">
        <f t="array" ref="BA15">IFERROR(IF('T1'!$J15="",INDEX(LISTA_EX,51),INDEX(LISTA_EX,MATCH('T1'!$J15&amp;"|"&amp;51,LISTA_KLUCZ,0))),"")</f>
        <v>Dumbbell face down curl</v>
      </c>
      <c r="BB15" s="5" t="str">
        <f t="array" ref="BB15">IFERROR(IF('T1'!$J15="",INDEX(LISTA_EX,52),INDEX(LISTA_EX,MATCH('T1'!$J15&amp;"|"&amp;52,LISTA_KLUCZ,0))),"")</f>
        <v>Dumbbell fly</v>
      </c>
      <c r="BC15" s="5" t="str">
        <f t="array" ref="BC15">IFERROR(IF('T1'!$J15="",INDEX(LISTA_EX,53),INDEX(LISTA_EX,MATCH('T1'!$J15&amp;"|"&amp;53,LISTA_KLUCZ,0))),"")</f>
        <v>Dumbbell french press</v>
      </c>
      <c r="BD15" s="5" t="str">
        <f t="array" ref="BD15">IFERROR(IF('T1'!$J15="",INDEX(LISTA_EX,54),INDEX(LISTA_EX,MATCH('T1'!$J15&amp;"|"&amp;54,LISTA_KLUCZ,0))),"")</f>
        <v>Dumbbell lateral raise</v>
      </c>
      <c r="BE15" s="5" t="str">
        <f t="array" ref="BE15">IFERROR(IF('T1'!$J15="",INDEX(LISTA_EX,55),INDEX(LISTA_EX,MATCH('T1'!$J15&amp;"|"&amp;55,LISTA_KLUCZ,0))),"")</f>
        <v>Dumbbell lunges</v>
      </c>
      <c r="BF15" s="5" t="str">
        <f t="array" ref="BF15">IFERROR(IF('T1'!$J15="",INDEX(LISTA_EX,56),INDEX(LISTA_EX,MATCH('T1'!$J15&amp;"|"&amp;56,LISTA_KLUCZ,0))),"")</f>
        <v>Dumbbell OH press</v>
      </c>
      <c r="BG15" s="5" t="str">
        <f t="array" ref="BG15">IFERROR(IF('T1'!$J15="",INDEX(LISTA_EX,57),INDEX(LISTA_EX,MATCH('T1'!$J15&amp;"|"&amp;57,LISTA_KLUCZ,0))),"")</f>
        <v>Dumbbell over head press</v>
      </c>
      <c r="BH15" s="5" t="str">
        <f t="array" ref="BH15">IFERROR(IF('T1'!$J15="",INDEX(LISTA_EX,58),INDEX(LISTA_EX,MATCH('T1'!$J15&amp;"|"&amp;58,LISTA_KLUCZ,0))),"")</f>
        <v>Dumbbell over head press alternating</v>
      </c>
      <c r="BI15" s="5" t="str">
        <f t="array" ref="BI15">IFERROR(IF('T1'!$J15="",INDEX(LISTA_EX,59),INDEX(LISTA_EX,MATCH('T1'!$J15&amp;"|"&amp;59,LISTA_KLUCZ,0))),"")</f>
        <v>Dumbbell row</v>
      </c>
      <c r="BJ15" s="5" t="str">
        <f t="array" ref="BJ15">IFERROR(IF('T1'!$J15="",INDEX(LISTA_EX,60),INDEX(LISTA_EX,MATCH('T1'!$J15&amp;"|"&amp;60,LISTA_KLUCZ,0))),"")</f>
        <v>Dumbbell s/a Arnold press</v>
      </c>
      <c r="BK15" s="5" t="str">
        <f t="array" ref="BK15">IFERROR(IF('T1'!$J15="",INDEX(LISTA_EX,61),INDEX(LISTA_EX,MATCH('T1'!$J15&amp;"|"&amp;61,LISTA_KLUCZ,0))),"")</f>
        <v>Dumbbell s/a row</v>
      </c>
      <c r="BL15" s="5" t="str">
        <f t="array" ref="BL15">IFERROR(IF('T1'!$J15="",INDEX(LISTA_EX,62),INDEX(LISTA_EX,MATCH('T1'!$J15&amp;"|"&amp;62,LISTA_KLUCZ,0))),"")</f>
        <v>Dumbbell seal row</v>
      </c>
      <c r="BM15" s="5" t="str">
        <f t="array" ref="BM15">IFERROR(IF('T1'!$J15="",INDEX(LISTA_EX,63),INDEX(LISTA_EX,MATCH('T1'!$J15&amp;"|"&amp;63,LISTA_KLUCZ,0))),"")</f>
        <v>Dumbbells jumps</v>
      </c>
      <c r="BN15" s="5" t="str">
        <f t="array" ref="BN15">IFERROR(IF('T1'!$J15="",INDEX(LISTA_EX,64),INDEX(LISTA_EX,MATCH('T1'!$J15&amp;"|"&amp;64,LISTA_KLUCZ,0))),"")</f>
        <v>Eccentric pull up</v>
      </c>
      <c r="BO15" s="5" t="str">
        <f t="array" ref="BO15">IFERROR(IF('T1'!$J15="",INDEX(LISTA_EX,65),INDEX(LISTA_EX,MATCH('T1'!$J15&amp;"|"&amp;65,LISTA_KLUCZ,0))),"")</f>
        <v>Eccentric push up (5 sek w dół)</v>
      </c>
      <c r="BP15" s="5" t="str">
        <f t="array" ref="BP15">IFERROR(IF('T1'!$J15="",INDEX(LISTA_EX,66),INDEX(LISTA_EX,MATCH('T1'!$J15&amp;"|"&amp;66,LISTA_KLUCZ,0))),"")</f>
        <v>Extensive plyo jumps s/l</v>
      </c>
      <c r="BQ15" s="5" t="str">
        <f t="array" ref="BQ15">IFERROR(IF('T1'!$J15="",INDEX(LISTA_EX,67),INDEX(LISTA_EX,MATCH('T1'!$J15&amp;"|"&amp;67,LISTA_KLUCZ,0))),"")</f>
        <v>Ez bar curl</v>
      </c>
      <c r="BR15" s="5" t="str">
        <f t="array" ref="BR15">IFERROR(IF('T1'!$J15="",INDEX(LISTA_EX,68),INDEX(LISTA_EX,MATCH('T1'!$J15&amp;"|"&amp;68,LISTA_KLUCZ,0))),"")</f>
        <v>Facepull chest supported</v>
      </c>
      <c r="BS15" s="5" t="str">
        <f t="array" ref="BS15">IFERROR(IF('T1'!$J15="",INDEX(LISTA_EX,69),INDEX(LISTA_EX,MATCH('T1'!$J15&amp;"|"&amp;69,LISTA_KLUCZ,0))),"")</f>
        <v>Front foot elevated split squat</v>
      </c>
      <c r="BT15" s="5" t="str">
        <f t="array" ref="BT15">IFERROR(IF('T1'!$J15="",INDEX(LISTA_EX,70),INDEX(LISTA_EX,MATCH('T1'!$J15&amp;"|"&amp;70,LISTA_KLUCZ,0))),"")</f>
        <v>Front squat</v>
      </c>
      <c r="BU15" s="5" t="str">
        <f t="array" ref="BU15">IFERROR(IF('T1'!$J15="",INDEX(LISTA_EX,71),INDEX(LISTA_EX,MATCH('T1'!$J15&amp;"|"&amp;71,LISTA_KLUCZ,0))),"")</f>
        <v>GHD flexion</v>
      </c>
      <c r="BV15" s="5" t="str">
        <f t="array" ref="BV15">IFERROR(IF('T1'!$J15="",INDEX(LISTA_EX,72),INDEX(LISTA_EX,MATCH('T1'!$J15&amp;"|"&amp;72,LISTA_KLUCZ,0))),"")</f>
        <v>Glute bridge hamstrings izo + OH</v>
      </c>
      <c r="BW15" s="5" t="str">
        <f t="array" ref="BW15">IFERROR(IF('T1'!$J15="",INDEX(LISTA_EX,73),INDEX(LISTA_EX,MATCH('T1'!$J15&amp;"|"&amp;73,LISTA_KLUCZ,0))),"")</f>
        <v>Glute crusher</v>
      </c>
      <c r="BX15" s="5" t="str">
        <f t="array" ref="BX15">IFERROR(IF('T1'!$J15="",INDEX(LISTA_EX,74),INDEX(LISTA_EX,MATCH('T1'!$J15&amp;"|"&amp;74,LISTA_KLUCZ,0))),"")</f>
        <v>Gorilla row</v>
      </c>
      <c r="BY15" s="5" t="str">
        <f t="array" ref="BY15">IFERROR(IF('T1'!$J15="",INDEX(LISTA_EX,75),INDEX(LISTA_EX,MATCH('T1'!$J15&amp;"|"&amp;75,LISTA_KLUCZ,0))),"")</f>
        <v>Halfkneeling s/a cable pull</v>
      </c>
      <c r="BZ15" s="5" t="str">
        <f t="array" ref="BZ15">IFERROR(IF('T1'!$J15="",INDEX(LISTA_EX,76),INDEX(LISTA_EX,MATCH('T1'!$J15&amp;"|"&amp;76,LISTA_KLUCZ,0))),"")</f>
        <v>Halfkneeling wood chopper</v>
      </c>
      <c r="CA15" s="5" t="str">
        <f t="array" ref="CA15">IFERROR(IF('T1'!$J15="",INDEX(LISTA_EX,77),INDEX(LISTA_EX,MATCH('T1'!$J15&amp;"|"&amp;77,LISTA_KLUCZ,0))),"")</f>
        <v>Hinged dumbbell row</v>
      </c>
      <c r="CB15" s="5" t="str">
        <f t="array" ref="CB15">IFERROR(IF('T1'!$J15="",INDEX(LISTA_EX,78),INDEX(LISTA_EX,MATCH('T1'!$J15&amp;"|"&amp;78,LISTA_KLUCZ,0))),"")</f>
        <v>Hip aeroplane</v>
      </c>
      <c r="CC15" s="5" t="str">
        <f t="array" ref="CC15">IFERROR(IF('T1'!$J15="",INDEX(LISTA_EX,79),INDEX(LISTA_EX,MATCH('T1'!$J15&amp;"|"&amp;79,LISTA_KLUCZ,0))),"")</f>
        <v>Hip flexors cable</v>
      </c>
      <c r="CD15" s="5" t="str">
        <f t="array" ref="CD15">IFERROR(IF('T1'!$J15="",INDEX(LISTA_EX,80),INDEX(LISTA_EX,MATCH('T1'!$J15&amp;"|"&amp;80,LISTA_KLUCZ,0))),"")</f>
        <v>Hip thrust barbell</v>
      </c>
      <c r="CE15" s="5" t="str">
        <f t="array" ref="CE15">IFERROR(IF('T1'!$J15="",INDEX(LISTA_EX,81),INDEX(LISTA_EX,MATCH('T1'!$J15&amp;"|"&amp;81,LISTA_KLUCZ,0))),"")</f>
        <v>Hollow body + OH</v>
      </c>
      <c r="CF15" s="5" t="str">
        <f t="array" ref="CF15">IFERROR(IF('T1'!$J15="",INDEX(LISTA_EX,82),INDEX(LISTA_EX,MATCH('T1'!$J15&amp;"|"&amp;82,LISTA_KLUCZ,0))),"")</f>
        <v>Horizontal jump</v>
      </c>
      <c r="CG15" s="5" t="str">
        <f t="array" ref="CG15">IFERROR(IF('T1'!$J15="",INDEX(LISTA_EX,83),INDEX(LISTA_EX,MATCH('T1'!$J15&amp;"|"&amp;83,LISTA_KLUCZ,0))),"")</f>
        <v>Incline bench lateral raise s/a</v>
      </c>
      <c r="CH15" s="5" t="str">
        <f t="array" ref="CH15">IFERROR(IF('T1'!$J15="",INDEX(LISTA_EX,84),INDEX(LISTA_EX,MATCH('T1'!$J15&amp;"|"&amp;84,LISTA_KLUCZ,0))),"")</f>
        <v>Incline curl + OHP</v>
      </c>
      <c r="CI15" s="5" t="str">
        <f t="array" ref="CI15">IFERROR(IF('T1'!$J15="",INDEX(LISTA_EX,85),INDEX(LISTA_EX,MATCH('T1'!$J15&amp;"|"&amp;85,LISTA_KLUCZ,0))),"")</f>
        <v>Incline dumbbell curl</v>
      </c>
      <c r="CJ15" s="5" t="str">
        <f t="array" ref="CJ15">IFERROR(IF('T1'!$J15="",INDEX(LISTA_EX,86),INDEX(LISTA_EX,MATCH('T1'!$J15&amp;"|"&amp;86,LISTA_KLUCZ,0))),"")</f>
        <v>Incline dumbbell curl (back)</v>
      </c>
      <c r="CK15" s="5" t="str">
        <f t="array" ref="CK15">IFERROR(IF('T1'!$J15="",INDEX(LISTA_EX,87),INDEX(LISTA_EX,MATCH('T1'!$J15&amp;"|"&amp;87,LISTA_KLUCZ,0))),"")</f>
        <v>Incline dumbbell curl (front)</v>
      </c>
      <c r="CL15" s="5" t="str">
        <f t="array" ref="CL15">IFERROR(IF('T1'!$J15="",INDEX(LISTA_EX,88),INDEX(LISTA_EX,MATCH('T1'!$J15&amp;"|"&amp;88,LISTA_KLUCZ,0))),"")</f>
        <v>Incline dumbbell fly</v>
      </c>
      <c r="CM15" s="5" t="str">
        <f t="array" ref="CM15">IFERROR(IF('T1'!$J15="",INDEX(LISTA_EX,89),INDEX(LISTA_EX,MATCH('T1'!$J15&amp;"|"&amp;89,LISTA_KLUCZ,0))),"")</f>
        <v>Incline dumbbell press</v>
      </c>
      <c r="CN15" s="5" t="str">
        <f t="array" ref="CN15">IFERROR(IF('T1'!$J15="",INDEX(LISTA_EX,90),INDEX(LISTA_EX,MATCH('T1'!$J15&amp;"|"&amp;90,LISTA_KLUCZ,0))),"")</f>
        <v>Incline dumbbell press alternating</v>
      </c>
      <c r="CO15" s="5" t="str">
        <f t="array" ref="CO15">IFERROR(IF('T1'!$J15="",INDEX(LISTA_EX,91),INDEX(LISTA_EX,MATCH('T1'!$J15&amp;"|"&amp;91,LISTA_KLUCZ,0))),"")</f>
        <v>Incline sit-ups</v>
      </c>
      <c r="CP15" s="5" t="str">
        <f t="array" ref="CP15">IFERROR(IF('T1'!$J15="",INDEX(LISTA_EX,92),INDEX(LISTA_EX,MATCH('T1'!$J15&amp;"|"&amp;92,LISTA_KLUCZ,0))),"")</f>
        <v>Jefferson cable</v>
      </c>
      <c r="CQ15" s="5" t="str">
        <f t="array" ref="CQ15">IFERROR(IF('T1'!$J15="",INDEX(LISTA_EX,93),INDEX(LISTA_EX,MATCH('T1'!$J15&amp;"|"&amp;93,LISTA_KLUCZ,0))),"")</f>
        <v>Kettlebell march</v>
      </c>
      <c r="CR15" s="5" t="str">
        <f t="array" ref="CR15">IFERROR(IF('T1'!$J15="",INDEX(LISTA_EX,94),INDEX(LISTA_EX,MATCH('T1'!$J15&amp;"|"&amp;94,LISTA_KLUCZ,0))),"")</f>
        <v>Kickbacks</v>
      </c>
      <c r="CS15" s="5" t="str">
        <f t="array" ref="CS15">IFERROR(IF('T1'!$J15="",INDEX(LISTA_EX,95),INDEX(LISTA_EX,MATCH('T1'!$J15&amp;"|"&amp;95,LISTA_KLUCZ,0))),"")</f>
        <v>Knee extension machine</v>
      </c>
      <c r="CT15" s="5" t="str">
        <f t="array" ref="CT15">IFERROR(IF('T1'!$J15="",INDEX(LISTA_EX,96),INDEX(LISTA_EX,MATCH('T1'!$J15&amp;"|"&amp;96,LISTA_KLUCZ,0))),"")</f>
        <v>Knee flexion machine</v>
      </c>
      <c r="CU15" s="5" t="str">
        <f t="array" ref="CU15">IFERROR(IF('T1'!$J15="",INDEX(LISTA_EX,97),INDEX(LISTA_EX,MATCH('T1'!$J15&amp;"|"&amp;97,LISTA_KLUCZ,0))),"")</f>
        <v>Knee raises</v>
      </c>
      <c r="CV15" s="5" t="str">
        <f t="array" ref="CV15">IFERROR(IF('T1'!$J15="",INDEX(LISTA_EX,98),INDEX(LISTA_EX,MATCH('T1'!$J15&amp;"|"&amp;98,LISTA_KLUCZ,0))),"")</f>
        <v>Landmine core</v>
      </c>
      <c r="CW15" s="5" t="str">
        <f t="array" ref="CW15">IFERROR(IF('T1'!$J15="",INDEX(LISTA_EX,99),INDEX(LISTA_EX,MATCH('T1'!$J15&amp;"|"&amp;99,LISTA_KLUCZ,0))),"")</f>
        <v>Landmine press</v>
      </c>
      <c r="CX15" s="5" t="str">
        <f t="array" ref="CX15">IFERROR(IF('T1'!$J15="",INDEX(LISTA_EX,100),INDEX(LISTA_EX,MATCH('T1'!$J15&amp;"|"&amp;100,LISTA_KLUCZ,0))),"")</f>
        <v>Landmine rotations (powtórzenia x2)</v>
      </c>
      <c r="CY15" s="5" t="str">
        <f t="array" ref="CY15">IFERROR(IF('T1'!$J15="",INDEX(LISTA_EX,101),INDEX(LISTA_EX,MATCH('T1'!$J15&amp;"|"&amp;101,LISTA_KLUCZ,0))),"")</f>
        <v>Landmine SLDL</v>
      </c>
      <c r="CZ15" s="5" t="str">
        <f t="array" ref="CZ15">IFERROR(IF('T1'!$J15="",INDEX(LISTA_EX,102),INDEX(LISTA_EX,MATCH('T1'!$J15&amp;"|"&amp;102,LISTA_KLUCZ,0))),"")</f>
        <v>Lat pulldown</v>
      </c>
      <c r="DA15" s="5" t="str">
        <f t="array" ref="DA15">IFERROR(IF('T1'!$J15="",INDEX(LISTA_EX,103),INDEX(LISTA_EX,MATCH('T1'!$J15&amp;"|"&amp;103,LISTA_KLUCZ,0))),"")</f>
        <v>Lat pulldown behind the head</v>
      </c>
      <c r="DB15" s="5" t="str">
        <f t="array" ref="DB15">IFERROR(IF('T1'!$J15="",INDEX(LISTA_EX,104),INDEX(LISTA_EX,MATCH('T1'!$J15&amp;"|"&amp;104,LISTA_KLUCZ,0))),"")</f>
        <v>Lat pulldown s/a</v>
      </c>
      <c r="DC15" s="5" t="str">
        <f t="array" ref="DC15">IFERROR(IF('T1'!$J15="",INDEX(LISTA_EX,105),INDEX(LISTA_EX,MATCH('T1'!$J15&amp;"|"&amp;105,LISTA_KLUCZ,0))),"")</f>
        <v>Lateral raise s/a</v>
      </c>
      <c r="DD15" s="5" t="str">
        <f t="array" ref="DD15">IFERROR(IF('T1'!$J15="",INDEX(LISTA_EX,106),INDEX(LISTA_EX,MATCH('T1'!$J15&amp;"|"&amp;106,LISTA_KLUCZ,0))),"")</f>
        <v>Lateral raises</v>
      </c>
      <c r="DE15" s="5" t="str">
        <f t="array" ref="DE15">IFERROR(IF('T1'!$J15="",INDEX(LISTA_EX,107),INDEX(LISTA_EX,MATCH('T1'!$J15&amp;"|"&amp;107,LISTA_KLUCZ,0))),"")</f>
        <v>Lateral raises 2</v>
      </c>
      <c r="DF15" s="5" t="str">
        <f t="array" ref="DF15">IFERROR(IF('T1'!$J15="",INDEX(LISTA_EX,108),INDEX(LISTA_EX,MATCH('T1'!$J15&amp;"|"&amp;108,LISTA_KLUCZ,0))),"")</f>
        <v>Lateral raises full ROM</v>
      </c>
      <c r="DG15" s="5" t="str">
        <f t="array" ref="DG15">IFERROR(IF('T1'!$J15="",INDEX(LISTA_EX,109),INDEX(LISTA_EX,MATCH('T1'!$J15&amp;"|"&amp;109,LISTA_KLUCZ,0))),"")</f>
        <v>Lateral raises hinged</v>
      </c>
      <c r="DH15" s="5" t="str">
        <f t="array" ref="DH15">IFERROR(IF('T1'!$J15="",INDEX(LISTA_EX,110),INDEX(LISTA_EX,MATCH('T1'!$J15&amp;"|"&amp;110,LISTA_KLUCZ,0))),"")</f>
        <v>Lateral raises incline s/a</v>
      </c>
      <c r="DI15" s="5" t="str">
        <f t="array" ref="DI15">IFERROR(IF('T1'!$J15="",INDEX(LISTA_EX,111),INDEX(LISTA_EX,MATCH('T1'!$J15&amp;"|"&amp;111,LISTA_KLUCZ,0))),"")</f>
        <v>Leg curl</v>
      </c>
      <c r="DJ15" s="5" t="str">
        <f t="array" ref="DJ15">IFERROR(IF('T1'!$J15="",INDEX(LISTA_EX,112),INDEX(LISTA_EX,MATCH('T1'!$J15&amp;"|"&amp;112,LISTA_KLUCZ,0))),"")</f>
        <v>Machine row</v>
      </c>
      <c r="DK15" s="5" t="str">
        <f t="array" ref="DK15">IFERROR(IF('T1'!$J15="",INDEX(LISTA_EX,113),INDEX(LISTA_EX,MATCH('T1'!$J15&amp;"|"&amp;113,LISTA_KLUCZ,0))),"")</f>
        <v>Machine row s/a</v>
      </c>
      <c r="DL15" s="5" t="str">
        <f t="array" ref="DL15">IFERROR(IF('T1'!$J15="",INDEX(LISTA_EX,114),INDEX(LISTA_EX,MATCH('T1'!$J15&amp;"|"&amp;114,LISTA_KLUCZ,0))),"")</f>
        <v>Meadows row</v>
      </c>
      <c r="DM15" s="5" t="str">
        <f t="array" ref="DM15">IFERROR(IF('T1'!$J15="",INDEX(LISTA_EX,115),INDEX(LISTA_EX,MATCH('T1'!$J15&amp;"|"&amp;115,LISTA_KLUCZ,0))),"")</f>
        <v>Med ball slam</v>
      </c>
      <c r="DN15" s="5" t="str">
        <f t="array" ref="DN15">IFERROR(IF('T1'!$J15="",INDEX(LISTA_EX,116),INDEX(LISTA_EX,MATCH('T1'!$J15&amp;"|"&amp;116,LISTA_KLUCZ,0))),"")</f>
        <v>OH skullcrushers</v>
      </c>
      <c r="DO15" s="5" t="str">
        <f t="array" ref="DO15">IFERROR(IF('T1'!$J15="",INDEX(LISTA_EX,117),INDEX(LISTA_EX,MATCH('T1'!$J15&amp;"|"&amp;117,LISTA_KLUCZ,0))),"")</f>
        <v>OHP barbell squat 15kg</v>
      </c>
      <c r="DP15" s="5" t="str">
        <f t="array" ref="DP15">IFERROR(IF('T1'!$J15="",INDEX(LISTA_EX,118),INDEX(LISTA_EX,MATCH('T1'!$J15&amp;"|"&amp;118,LISTA_KLUCZ,0))),"")</f>
        <v>Pistol squat eccentric</v>
      </c>
      <c r="DQ15" s="5" t="str">
        <f t="array" ref="DQ15">IFERROR(IF('T1'!$J15="",INDEX(LISTA_EX,119),INDEX(LISTA_EX,MATCH('T1'!$J15&amp;"|"&amp;119,LISTA_KLUCZ,0))),"")</f>
        <v>Plank contralateral</v>
      </c>
      <c r="DR15" s="5" t="str">
        <f t="array" ref="DR15">IFERROR(IF('T1'!$J15="",INDEX(LISTA_EX,120),INDEX(LISTA_EX,MATCH('T1'!$J15&amp;"|"&amp;120,LISTA_KLUCZ,0))),"")</f>
        <v>Plank dumbbell rotation</v>
      </c>
      <c r="DS15" s="5" t="str">
        <f t="array" ref="DS15">IFERROR(IF('T1'!$J15="",INDEX(LISTA_EX,121),INDEX(LISTA_EX,MATCH('T1'!$J15&amp;"|"&amp;121,LISTA_KLUCZ,0))),"")</f>
        <v>Plank leg raises</v>
      </c>
      <c r="DT15" s="5" t="str">
        <f t="array" ref="DT15">IFERROR(IF('T1'!$J15="",INDEX(LISTA_EX,122),INDEX(LISTA_EX,MATCH('T1'!$J15&amp;"|"&amp;122,LISTA_KLUCZ,0))),"")</f>
        <v>Poliquin step up</v>
      </c>
      <c r="DU15" s="5" t="str">
        <f t="array" ref="DU15">IFERROR(IF('T1'!$J15="",INDEX(LISTA_EX,123),INDEX(LISTA_EX,MATCH('T1'!$J15&amp;"|"&amp;123,LISTA_KLUCZ,0))),"")</f>
        <v>Poliquin step up paused 3sec</v>
      </c>
      <c r="DV15" s="5" t="str">
        <f t="array" ref="DV15">IFERROR(IF('T1'!$J15="",INDEX(LISTA_EX,124),INDEX(LISTA_EX,MATCH('T1'!$J15&amp;"|"&amp;124,LISTA_KLUCZ,0))),"")</f>
        <v>Pronation/Supination</v>
      </c>
      <c r="DW15" s="5" t="str">
        <f t="array" ref="DW15">IFERROR(IF('T1'!$J15="",INDEX(LISTA_EX,125),INDEX(LISTA_EX,MATCH('T1'!$J15&amp;"|"&amp;125,LISTA_KLUCZ,0))),"")</f>
        <v>Pull up</v>
      </c>
      <c r="DX15" s="5" t="str">
        <f t="array" ref="DX15">IFERROR(IF('T1'!$J15="",INDEX(LISTA_EX,126),INDEX(LISTA_EX,MATCH('T1'!$J15&amp;"|"&amp;126,LISTA_KLUCZ,0))),"")</f>
        <v>Pull up eccentric weighted</v>
      </c>
      <c r="DY15" s="5" t="str">
        <f t="array" ref="DY15">IFERROR(IF('T1'!$J15="",INDEX(LISTA_EX,127),INDEX(LISTA_EX,MATCH('T1'!$J15&amp;"|"&amp;127,LISTA_KLUCZ,0))),"")</f>
        <v>Pull up eccentric weighted (5 sek w dół)</v>
      </c>
      <c r="DZ15" s="5" t="str">
        <f t="array" ref="DZ15">IFERROR(IF('T1'!$J15="",INDEX(LISTA_EX,128),INDEX(LISTA_EX,MATCH('T1'!$J15&amp;"|"&amp;128,LISTA_KLUCZ,0))),"")</f>
        <v>Pull up weighted</v>
      </c>
      <c r="EA15" s="5" t="str">
        <f t="array" ref="EA15">IFERROR(IF('T1'!$J15="",INDEX(LISTA_EX,129),INDEX(LISTA_EX,MATCH('T1'!$J15&amp;"|"&amp;129,LISTA_KLUCZ,0))),"")</f>
        <v>Pull ups (paused)</v>
      </c>
      <c r="EB15" s="5" t="str">
        <f t="array" ref="EB15">IFERROR(IF('T1'!$J15="",INDEX(LISTA_EX,130),INDEX(LISTA_EX,MATCH('T1'!$J15&amp;"|"&amp;130,LISTA_KLUCZ,0))),"")</f>
        <v>Push press barbell</v>
      </c>
      <c r="EC15" s="5" t="str">
        <f t="array" ref="EC15">IFERROR(IF('T1'!$J15="",INDEX(LISTA_EX,131),INDEX(LISTA_EX,MATCH('T1'!$J15&amp;"|"&amp;131,LISTA_KLUCZ,0))),"")</f>
        <v>Push up</v>
      </c>
      <c r="ED15" s="5" t="str">
        <f t="array" ref="ED15">IFERROR(IF('T1'!$J15="",INDEX(LISTA_EX,132),INDEX(LISTA_EX,MATCH('T1'!$J15&amp;"|"&amp;132,LISTA_KLUCZ,0))),"")</f>
        <v>Raised bird dog</v>
      </c>
      <c r="EE15" s="5" t="str">
        <f t="array" ref="EE15">IFERROR(IF('T1'!$J15="",INDEX(LISTA_EX,133),INDEX(LISTA_EX,MATCH('T1'!$J15&amp;"|"&amp;133,LISTA_KLUCZ,0))),"")</f>
        <v>RDL</v>
      </c>
      <c r="EF15" s="5" t="str">
        <f t="array" ref="EF15">IFERROR(IF('T1'!$J15="",INDEX(LISTA_EX,134),INDEX(LISTA_EX,MATCH('T1'!$J15&amp;"|"&amp;134,LISTA_KLUCZ,0))),"")</f>
        <v>Reverse Nordic</v>
      </c>
      <c r="EG15" s="5" t="str">
        <f t="array" ref="EG15">IFERROR(IF('T1'!$J15="",INDEX(LISTA_EX,135),INDEX(LISTA_EX,MATCH('T1'!$J15&amp;"|"&amp;135,LISTA_KLUCZ,0))),"")</f>
        <v>Rope pushdown</v>
      </c>
      <c r="EH15" s="5" t="str">
        <f t="array" ref="EH15">IFERROR(IF('T1'!$J15="",INDEX(LISTA_EX,136),INDEX(LISTA_EX,MATCH('T1'!$J15&amp;"|"&amp;136,LISTA_KLUCZ,0))),"")</f>
        <v>Rope pushdown OH</v>
      </c>
      <c r="EI15" s="5" t="str">
        <f t="array" ref="EI15">IFERROR(IF('T1'!$J15="",INDEX(LISTA_EX,137),INDEX(LISTA_EX,MATCH('T1'!$J15&amp;"|"&amp;137,LISTA_KLUCZ,0))),"")</f>
        <v>S/a cable pulldown incline bench</v>
      </c>
      <c r="EJ15" s="5" t="str">
        <f t="array" ref="EJ15">IFERROR(IF('T1'!$J15="",INDEX(LISTA_EX,138),INDEX(LISTA_EX,MATCH('T1'!$J15&amp;"|"&amp;138,LISTA_KLUCZ,0))),"")</f>
        <v>S/a lat pulldown incline bench</v>
      </c>
      <c r="EK15" s="5" t="str">
        <f t="array" ref="EK15">IFERROR(IF('T1'!$J15="",INDEX(LISTA_EX,139),INDEX(LISTA_EX,MATCH('T1'!$J15&amp;"|"&amp;139,LISTA_KLUCZ,0))),"")</f>
        <v>S/l dragonflag eccentric</v>
      </c>
      <c r="EL15" s="5" t="str">
        <f t="array" ref="EL15">IFERROR(IF('T1'!$J15="",INDEX(LISTA_EX,140),INDEX(LISTA_EX,MATCH('T1'!$J15&amp;"|"&amp;140,LISTA_KLUCZ,0))),"")</f>
        <v>S/l hip thrust</v>
      </c>
      <c r="EM15" s="5" t="str">
        <f t="array" ref="EM15">IFERROR(IF('T1'!$J15="",INDEX(LISTA_EX,141),INDEX(LISTA_EX,MATCH('T1'!$J15&amp;"|"&amp;141,LISTA_KLUCZ,0))),"")</f>
        <v>Seated broad jump</v>
      </c>
      <c r="EN15" s="5" t="str">
        <f t="array" ref="EN15">IFERROR(IF('T1'!$J15="",INDEX(LISTA_EX,142),INDEX(LISTA_EX,MATCH('T1'!$J15&amp;"|"&amp;142,LISTA_KLUCZ,0))),"")</f>
        <v>Seated cable facepull</v>
      </c>
      <c r="EO15" s="5" t="str">
        <f t="array" ref="EO15">IFERROR(IF('T1'!$J15="",INDEX(LISTA_EX,143),INDEX(LISTA_EX,MATCH('T1'!$J15&amp;"|"&amp;143,LISTA_KLUCZ,0))),"")</f>
        <v>Seated seesaw press (nogi proste)</v>
      </c>
      <c r="EP15" s="5" t="str">
        <f t="array" ref="EP15">IFERROR(IF('T1'!$J15="",INDEX(LISTA_EX,144),INDEX(LISTA_EX,MATCH('T1'!$J15&amp;"|"&amp;144,LISTA_KLUCZ,0))),"")</f>
        <v>Seesaw press</v>
      </c>
      <c r="EQ15" s="5" t="str">
        <f t="array" ref="EQ15">IFERROR(IF('T1'!$J15="",INDEX(LISTA_EX,145),INDEX(LISTA_EX,MATCH('T1'!$J15&amp;"|"&amp;145,LISTA_KLUCZ,0))),"")</f>
        <v>Side crunches</v>
      </c>
      <c r="ER15" s="5" t="str">
        <f t="array" ref="ER15">IFERROR(IF('T1'!$J15="",INDEX(LISTA_EX,146),INDEX(LISTA_EX,MATCH('T1'!$J15&amp;"|"&amp;146,LISTA_KLUCZ,0))),"")</f>
        <v>Side plank hip drop</v>
      </c>
      <c r="ES15" s="5" t="str">
        <f t="array" ref="ES15">IFERROR(IF('T1'!$J15="",INDEX(LISTA_EX,147),INDEX(LISTA_EX,MATCH('T1'!$J15&amp;"|"&amp;147,LISTA_KLUCZ,0))),"")</f>
        <v>Side plank rotations</v>
      </c>
      <c r="ET15" s="5" t="str">
        <f t="array" ref="ET15">IFERROR(IF('T1'!$J15="",INDEX(LISTA_EX,148),INDEX(LISTA_EX,MATCH('T1'!$J15&amp;"|"&amp;148,LISTA_KLUCZ,0))),"")</f>
        <v>SLDL balance</v>
      </c>
      <c r="EU15" s="5" t="str">
        <f t="array" ref="EU15">IFERROR(IF('T1'!$J15="",INDEX(LISTA_EX,149),INDEX(LISTA_EX,MATCH('T1'!$J15&amp;"|"&amp;149,LISTA_KLUCZ,0))),"")</f>
        <v>Split squat</v>
      </c>
      <c r="EV15" s="5" t="str">
        <f t="array" ref="EV15">IFERROR(IF('T1'!$J15="",INDEX(LISTA_EX,150),INDEX(LISTA_EX,MATCH('T1'!$J15&amp;"|"&amp;150,LISTA_KLUCZ,0))),"")</f>
        <v>Split stance SLDL</v>
      </c>
      <c r="EW15" s="5" t="str">
        <f t="array" ref="EW15">IFERROR(IF('T1'!$J15="",INDEX(LISTA_EX,151),INDEX(LISTA_EX,MATCH('T1'!$J15&amp;"|"&amp;151,LISTA_KLUCZ,0))),"")</f>
        <v>Squat izo (15 sek)</v>
      </c>
      <c r="EX15" s="5" t="str">
        <f t="array" ref="EX15">IFERROR(IF('T1'!$J15="",INDEX(LISTA_EX,152),INDEX(LISTA_EX,MATCH('T1'!$J15&amp;"|"&amp;152,LISTA_KLUCZ,0))),"")</f>
        <v>Standing landmine press</v>
      </c>
      <c r="EY15" s="5" t="str">
        <f t="array" ref="EY15">IFERROR(IF('T1'!$J15="",INDEX(LISTA_EX,153),INDEX(LISTA_EX,MATCH('T1'!$J15&amp;"|"&amp;153,LISTA_KLUCZ,0))),"")</f>
        <v>Suitcase carry</v>
      </c>
      <c r="EZ15" s="5" t="str">
        <f t="array" ref="EZ15">IFERROR(IF('T1'!$J15="",INDEX(LISTA_EX,154),INDEX(LISTA_EX,MATCH('T1'!$J15&amp;"|"&amp;154,LISTA_KLUCZ,0))),"")</f>
        <v>Supine pigeon abs</v>
      </c>
      <c r="FA15" s="5" t="str">
        <f t="array" ref="FA15">IFERROR(IF('T1'!$J15="",INDEX(LISTA_EX,155),INDEX(LISTA_EX,MATCH('T1'!$J15&amp;"|"&amp;155,LISTA_KLUCZ,0))),"")</f>
        <v>Swiss ball leg curl</v>
      </c>
      <c r="FB15" s="5" t="str">
        <f t="array" ref="FB15">IFERROR(IF('T1'!$J15="",INDEX(LISTA_EX,156),INDEX(LISTA_EX,MATCH('T1'!$J15&amp;"|"&amp;156,LISTA_KLUCZ,0))),"")</f>
        <v>Toes to bar</v>
      </c>
      <c r="FC15" s="5" t="str">
        <f t="array" ref="FC15">IFERROR(IF('T1'!$J15="",INDEX(LISTA_EX,157),INDEX(LISTA_EX,MATCH('T1'!$J15&amp;"|"&amp;157,LISTA_KLUCZ,0))),"")</f>
        <v>Trap bar deadlift</v>
      </c>
      <c r="FD15" s="5" t="str">
        <f t="array" ref="FD15">IFERROR(IF('T1'!$J15="",INDEX(LISTA_EX,158),INDEX(LISTA_EX,MATCH('T1'!$J15&amp;"|"&amp;158,LISTA_KLUCZ,0))),"")</f>
        <v>Tricep cable pushdown</v>
      </c>
      <c r="FE15" s="5" t="str">
        <f t="array" ref="FE15">IFERROR(IF('T1'!$J15="",INDEX(LISTA_EX,159),INDEX(LISTA_EX,MATCH('T1'!$J15&amp;"|"&amp;159,LISTA_KLUCZ,0))),"")</f>
        <v>Tricep JM press</v>
      </c>
      <c r="FF15" s="5" t="str">
        <f t="array" ref="FF15">IFERROR(IF('T1'!$J15="",INDEX(LISTA_EX,160),INDEX(LISTA_EX,MATCH('T1'!$J15&amp;"|"&amp;160,LISTA_KLUCZ,0))),"")</f>
        <v>Tricep OH cable</v>
      </c>
      <c r="FG15" s="5" t="str">
        <f t="array" ref="FG15">IFERROR(IF('T1'!$J15="",INDEX(LISTA_EX,161),INDEX(LISTA_EX,MATCH('T1'!$J15&amp;"|"&amp;161,LISTA_KLUCZ,0))),"")</f>
        <v>Tricep OH ez bar</v>
      </c>
      <c r="FH15" s="5" t="str">
        <f t="array" ref="FH15">IFERROR(IF('T1'!$J15="",INDEX(LISTA_EX,162),INDEX(LISTA_EX,MATCH('T1'!$J15&amp;"|"&amp;162,LISTA_KLUCZ,0))),"")</f>
        <v>Walking lunges</v>
      </c>
      <c r="FI15" s="5" t="str">
        <f t="array" ref="FI15">IFERROR(IF('T1'!$J15="",INDEX(LISTA_EX,163),INDEX(LISTA_EX,MATCH('T1'!$J15&amp;"|"&amp;163,LISTA_KLUCZ,0))),"")</f>
        <v>Wipers kettle</v>
      </c>
      <c r="FJ15" s="5" t="str">
        <f t="array" ref="FJ15">IFERROR(IF('T1'!$J15="",INDEX(LISTA_EX,164),INDEX(LISTA_EX,MATCH('T1'!$J15&amp;"|"&amp;164,LISTA_KLUCZ,0))),"")</f>
        <v>Zercher jumps</v>
      </c>
      <c r="FK15" s="5" t="str">
        <f t="array" ref="FK15">IFERROR(IF('T1'!$J15="",INDEX(LISTA_EX,165),INDEX(LISTA_EX,MATCH('T1'!$J15&amp;"|"&amp;165,LISTA_KLUCZ,0))),"")</f>
        <v/>
      </c>
      <c r="FL15" s="5" t="str">
        <f t="array" ref="FL15">IFERROR(IF('T1'!$J15="",INDEX(LISTA_EX,166),INDEX(LISTA_EX,MATCH('T1'!$J15&amp;"|"&amp;166,LISTA_KLUCZ,0))),"")</f>
        <v/>
      </c>
      <c r="FM15" s="5" t="str">
        <f t="array" ref="FM15">IFERROR(IF('T1'!$J15="",INDEX(LISTA_EX,167),INDEX(LISTA_EX,MATCH('T1'!$J15&amp;"|"&amp;167,LISTA_KLUCZ,0))),"")</f>
        <v/>
      </c>
      <c r="FN15" s="5" t="str">
        <f t="array" ref="FN15">IFERROR(IF('T1'!$J15="",INDEX(LISTA_EX,168),INDEX(LISTA_EX,MATCH('T1'!$J15&amp;"|"&amp;168,LISTA_KLUCZ,0))),"")</f>
        <v/>
      </c>
      <c r="FO15" s="5" t="str">
        <f t="array" ref="FO15">IFERROR(IF('T1'!$J15="",INDEX(LISTA_EX,169),INDEX(LISTA_EX,MATCH('T1'!$J15&amp;"|"&amp;169,LISTA_KLUCZ,0))),"")</f>
        <v/>
      </c>
      <c r="FP15" s="5" t="str">
        <f t="array" ref="FP15">IFERROR(IF('T1'!$J15="",INDEX(LISTA_EX,170),INDEX(LISTA_EX,MATCH('T1'!$J15&amp;"|"&amp;170,LISTA_KLUCZ,0))),"")</f>
        <v/>
      </c>
      <c r="FQ15" s="5" t="str">
        <f t="array" ref="FQ15">IFERROR(IF('T1'!$J15="",INDEX(LISTA_EX,171),INDEX(LISTA_EX,MATCH('T1'!$J15&amp;"|"&amp;171,LISTA_KLUCZ,0))),"")</f>
        <v/>
      </c>
      <c r="FR15" s="5" t="str">
        <f t="array" ref="FR15">IFERROR(IF('T1'!$J15="",INDEX(LISTA_EX,172),INDEX(LISTA_EX,MATCH('T1'!$J15&amp;"|"&amp;172,LISTA_KLUCZ,0))),"")</f>
        <v/>
      </c>
      <c r="FS15" s="5" t="str">
        <f t="array" ref="FS15">IFERROR(IF('T1'!$J15="",INDEX(LISTA_EX,173),INDEX(LISTA_EX,MATCH('T1'!$J15&amp;"|"&amp;173,LISTA_KLUCZ,0))),"")</f>
        <v/>
      </c>
      <c r="FT15" s="5" t="str">
        <f t="array" ref="FT15">IFERROR(IF('T1'!$J15="",INDEX(LISTA_EX,174),INDEX(LISTA_EX,MATCH('T1'!$J15&amp;"|"&amp;174,LISTA_KLUCZ,0))),"")</f>
        <v/>
      </c>
      <c r="FU15" s="5" t="str">
        <f t="array" ref="FU15">IFERROR(IF('T1'!$J15="",INDEX(LISTA_EX,175),INDEX(LISTA_EX,MATCH('T1'!$J15&amp;"|"&amp;175,LISTA_KLUCZ,0))),"")</f>
        <v/>
      </c>
      <c r="FV15" s="5" t="str">
        <f t="array" ref="FV15">IFERROR(IF('T1'!$J15="",INDEX(LISTA_EX,176),INDEX(LISTA_EX,MATCH('T1'!$J15&amp;"|"&amp;176,LISTA_KLUCZ,0))),"")</f>
        <v/>
      </c>
      <c r="FW15" s="5" t="str">
        <f t="array" ref="FW15">IFERROR(IF('T1'!$J15="",INDEX(LISTA_EX,177),INDEX(LISTA_EX,MATCH('T1'!$J15&amp;"|"&amp;177,LISTA_KLUCZ,0))),"")</f>
        <v/>
      </c>
      <c r="FX15" s="5" t="str">
        <f t="array" ref="FX15">IFERROR(IF('T1'!$J15="",INDEX(LISTA_EX,178),INDEX(LISTA_EX,MATCH('T1'!$J15&amp;"|"&amp;178,LISTA_KLUCZ,0))),"")</f>
        <v/>
      </c>
      <c r="FY15" s="5" t="str">
        <f t="array" ref="FY15">IFERROR(IF('T1'!$J15="",INDEX(LISTA_EX,179),INDEX(LISTA_EX,MATCH('T1'!$J15&amp;"|"&amp;179,LISTA_KLUCZ,0))),"")</f>
        <v/>
      </c>
      <c r="FZ15" s="5" t="str">
        <f t="array" ref="FZ15">IFERROR(IF('T1'!$J15="",INDEX(LISTA_EX,180),INDEX(LISTA_EX,MATCH('T1'!$J15&amp;"|"&amp;180,LISTA_KLUCZ,0))),"")</f>
        <v/>
      </c>
      <c r="GA15" s="5" t="str">
        <f t="array" ref="GA15">IFERROR(IF('T1'!$J15="",INDEX(LISTA_EX,181),INDEX(LISTA_EX,MATCH('T1'!$J15&amp;"|"&amp;181,LISTA_KLUCZ,0))),"")</f>
        <v/>
      </c>
      <c r="GB15" s="5" t="str">
        <f t="array" ref="GB15">IFERROR(IF('T1'!$J15="",INDEX(LISTA_EX,182),INDEX(LISTA_EX,MATCH('T1'!$J15&amp;"|"&amp;182,LISTA_KLUCZ,0))),"")</f>
        <v/>
      </c>
      <c r="GC15" s="5" t="str">
        <f t="array" ref="GC15">IFERROR(IF('T1'!$J15="",INDEX(LISTA_EX,183),INDEX(LISTA_EX,MATCH('T1'!$J15&amp;"|"&amp;183,LISTA_KLUCZ,0))),"")</f>
        <v/>
      </c>
      <c r="GD15" s="5" t="str">
        <f t="array" ref="GD15">IFERROR(IF('T1'!$J15="",INDEX(LISTA_EX,184),INDEX(LISTA_EX,MATCH('T1'!$J15&amp;"|"&amp;184,LISTA_KLUCZ,0))),"")</f>
        <v/>
      </c>
      <c r="GE15" s="5" t="str">
        <f t="array" ref="GE15">IFERROR(IF('T1'!$J15="",INDEX(LISTA_EX,185),INDEX(LISTA_EX,MATCH('T1'!$J15&amp;"|"&amp;185,LISTA_KLUCZ,0))),"")</f>
        <v/>
      </c>
      <c r="GF15" s="5" t="str">
        <f t="array" ref="GF15">IFERROR(IF('T1'!$J15="",INDEX(LISTA_EX,186),INDEX(LISTA_EX,MATCH('T1'!$J15&amp;"|"&amp;186,LISTA_KLUCZ,0))),"")</f>
        <v/>
      </c>
      <c r="GG15" s="5" t="str">
        <f t="array" ref="GG15">IFERROR(IF('T1'!$J15="",INDEX(LISTA_EX,187),INDEX(LISTA_EX,MATCH('T1'!$J15&amp;"|"&amp;187,LISTA_KLUCZ,0))),"")</f>
        <v/>
      </c>
      <c r="GH15" s="5" t="str">
        <f t="array" ref="GH15">IFERROR(IF('T1'!$J15="",INDEX(LISTA_EX,188),INDEX(LISTA_EX,MATCH('T1'!$J15&amp;"|"&amp;188,LISTA_KLUCZ,0))),"")</f>
        <v/>
      </c>
      <c r="GI15" s="5" t="str">
        <f t="array" ref="GI15">IFERROR(IF('T1'!$J15="",INDEX(LISTA_EX,189),INDEX(LISTA_EX,MATCH('T1'!$J15&amp;"|"&amp;189,LISTA_KLUCZ,0))),"")</f>
        <v/>
      </c>
      <c r="GJ15" s="5" t="str">
        <f t="array" ref="GJ15">IFERROR(IF('T1'!$J15="",INDEX(LISTA_EX,190),INDEX(LISTA_EX,MATCH('T1'!$J15&amp;"|"&amp;190,LISTA_KLUCZ,0))),"")</f>
        <v/>
      </c>
      <c r="GK15" s="5" t="str">
        <f t="array" ref="GK15">IFERROR(IF('T1'!$J15="",INDEX(LISTA_EX,191),INDEX(LISTA_EX,MATCH('T1'!$J15&amp;"|"&amp;191,LISTA_KLUCZ,0))),"")</f>
        <v/>
      </c>
      <c r="GL15" s="5" t="str">
        <f t="array" ref="GL15">IFERROR(IF('T1'!$J15="",INDEX(LISTA_EX,192),INDEX(LISTA_EX,MATCH('T1'!$J15&amp;"|"&amp;192,LISTA_KLUCZ,0))),"")</f>
        <v/>
      </c>
      <c r="GM15" s="5" t="str">
        <f t="array" ref="GM15">IFERROR(IF('T1'!$J15="",INDEX(LISTA_EX,193),INDEX(LISTA_EX,MATCH('T1'!$J15&amp;"|"&amp;193,LISTA_KLUCZ,0))),"")</f>
        <v/>
      </c>
      <c r="GN15" s="5" t="str">
        <f t="array" ref="GN15">IFERROR(IF('T1'!$J15="",INDEX(LISTA_EX,194),INDEX(LISTA_EX,MATCH('T1'!$J15&amp;"|"&amp;194,LISTA_KLUCZ,0))),"")</f>
        <v/>
      </c>
      <c r="GO15" s="5" t="str">
        <f t="array" ref="GO15">IFERROR(IF('T1'!$J15="",INDEX(LISTA_EX,195),INDEX(LISTA_EX,MATCH('T1'!$J15&amp;"|"&amp;195,LISTA_KLUCZ,0))),"")</f>
        <v/>
      </c>
      <c r="GP15" s="5" t="str">
        <f t="array" ref="GP15">IFERROR(IF('T1'!$J15="",INDEX(LISTA_EX,196),INDEX(LISTA_EX,MATCH('T1'!$J15&amp;"|"&amp;196,LISTA_KLUCZ,0))),"")</f>
        <v/>
      </c>
      <c r="GQ15" s="5" t="str">
        <f t="array" ref="GQ15">IFERROR(IF('T1'!$J15="",INDEX(LISTA_EX,197),INDEX(LISTA_EX,MATCH('T1'!$J15&amp;"|"&amp;197,LISTA_KLUCZ,0))),"")</f>
        <v/>
      </c>
      <c r="GR15" s="5" t="str">
        <f t="array" ref="GR15">IFERROR(IF('T1'!$J15="",INDEX(LISTA_EX,198),INDEX(LISTA_EX,MATCH('T1'!$J15&amp;"|"&amp;198,LISTA_KLUCZ,0))),"")</f>
        <v/>
      </c>
      <c r="GS15" s="5" t="str">
        <f t="array" ref="GS15">IFERROR(IF('T1'!$J15="",INDEX(LISTA_EX,199),INDEX(LISTA_EX,MATCH('T1'!$J15&amp;"|"&amp;199,LISTA_KLUCZ,0))),"")</f>
        <v/>
      </c>
      <c r="GT15" s="5" t="str">
        <f t="array" ref="GT15">IFERROR(IF('T1'!$J15="",INDEX(LISTA_EX,200),INDEX(LISTA_EX,MATCH('T1'!$J15&amp;"|"&amp;200,LISTA_KLUCZ,0))),"")</f>
        <v/>
      </c>
      <c r="GV15" s="5" t="str">
        <f>IF(BAZA!$A15="","",BAZA!$A15)</f>
        <v>Barbell low bar squat</v>
      </c>
      <c r="GW15" s="5" t="str">
        <f>IF(BAZA!$B15="","",BAZA!$B15&amp;"|"&amp;COUNTIF(BAZA!$B$3:$B15,BAZA!$B15))</f>
        <v>Lower push|4</v>
      </c>
    </row>
    <row r="16" ht="15.0" customHeight="1">
      <c r="A16" s="5" t="str">
        <f>IF('T1'!$K16="","",'T1'!$K16)</f>
        <v>D1-S10</v>
      </c>
      <c r="B16" s="5" t="str">
        <f>IF('T1'!$J16="","(wszystkie)",'T1'!$J16)</f>
        <v>(wszystkie)</v>
      </c>
      <c r="C16" s="5" t="str">
        <f t="array" ref="C16">IFERROR(IF('T1'!$J16="",INDEX(LISTA_EX,1),INDEX(LISTA_EX,MATCH('T1'!$J16&amp;"|"&amp;1,LISTA_KLUCZ,0))),"")</f>
        <v>Abduction machine</v>
      </c>
      <c r="D16" s="5" t="str">
        <f t="array" ref="D16">IFERROR(IF('T1'!$J16="",INDEX(LISTA_EX,2),INDEX(LISTA_EX,MATCH('T1'!$J16&amp;"|"&amp;2,LISTA_KLUCZ,0))),"")</f>
        <v>Adduction machine</v>
      </c>
      <c r="E16" s="5" t="str">
        <f t="array" ref="E16">IFERROR(IF('T1'!$J16="",INDEX(LISTA_EX,3),INDEX(LISTA_EX,MATCH('T1'!$J16&amp;"|"&amp;3,LISTA_KLUCZ,0))),"")</f>
        <v>Allah</v>
      </c>
      <c r="F16" s="5" t="str">
        <f t="array" ref="F16">IFERROR(IF('T1'!$J16="",INDEX(LISTA_EX,4),INDEX(LISTA_EX,MATCH('T1'!$J16&amp;"|"&amp;4,LISTA_KLUCZ,0))),"")</f>
        <v>Arnold press</v>
      </c>
      <c r="G16" s="5" t="str">
        <f t="array" ref="G16">IFERROR(IF('T1'!$J16="",INDEX(LISTA_EX,5),INDEX(LISTA_EX,MATCH('T1'!$J16&amp;"|"&amp;5,LISTA_KLUCZ,0))),"")</f>
        <v>Arnold press alternating</v>
      </c>
      <c r="H16" s="5" t="str">
        <f t="array" ref="H16">IFERROR(IF('T1'!$J16="",INDEX(LISTA_EX,6),INDEX(LISTA_EX,MATCH('T1'!$J16&amp;"|"&amp;6,LISTA_KLUCZ,0))),"")</f>
        <v>B/l dragonflag eccentric</v>
      </c>
      <c r="I16" s="5" t="str">
        <f t="array" ref="I16">IFERROR(IF('T1'!$J16="",INDEX(LISTA_EX,7),INDEX(LISTA_EX,MATCH('T1'!$J16&amp;"|"&amp;7,LISTA_KLUCZ,0))),"")</f>
        <v>Back extension</v>
      </c>
      <c r="J16" s="5" t="str">
        <f t="array" ref="J16">IFERROR(IF('T1'!$J16="",INDEX(LISTA_EX,8),INDEX(LISTA_EX,MATCH('T1'!$J16&amp;"|"&amp;8,LISTA_KLUCZ,0))),"")</f>
        <v>Banded pistol squat</v>
      </c>
      <c r="K16" s="5" t="str">
        <f t="array" ref="K16">IFERROR(IF('T1'!$J16="",INDEX(LISTA_EX,9),INDEX(LISTA_EX,MATCH('T1'!$J16&amp;"|"&amp;9,LISTA_KLUCZ,0))),"")</f>
        <v>Banded pull ups</v>
      </c>
      <c r="L16" s="5" t="str">
        <f t="array" ref="L16">IFERROR(IF('T1'!$J16="",INDEX(LISTA_EX,10),INDEX(LISTA_EX,MATCH('T1'!$J16&amp;"|"&amp;10,LISTA_KLUCZ,0))),"")</f>
        <v>Barbell back squat</v>
      </c>
      <c r="M16" s="5" t="str">
        <f t="array" ref="M16">IFERROR(IF('T1'!$J16="",INDEX(LISTA_EX,11),INDEX(LISTA_EX,MATCH('T1'!$J16&amp;"|"&amp;11,LISTA_KLUCZ,0))),"")</f>
        <v>Barbell bench press</v>
      </c>
      <c r="N16" s="5" t="str">
        <f t="array" ref="N16">IFERROR(IF('T1'!$J16="",INDEX(LISTA_EX,12),INDEX(LISTA_EX,MATCH('T1'!$J16&amp;"|"&amp;12,LISTA_KLUCZ,0))),"")</f>
        <v>Barbell curl</v>
      </c>
      <c r="O16" s="5" t="str">
        <f t="array" ref="O16">IFERROR(IF('T1'!$J16="",INDEX(LISTA_EX,13),INDEX(LISTA_EX,MATCH('T1'!$J16&amp;"|"&amp;13,LISTA_KLUCZ,0))),"")</f>
        <v>Barbell low bar squat</v>
      </c>
      <c r="P16" s="5" t="str">
        <f t="array" ref="P16">IFERROR(IF('T1'!$J16="",INDEX(LISTA_EX,14),INDEX(LISTA_EX,MATCH('T1'!$J16&amp;"|"&amp;14,LISTA_KLUCZ,0))),"")</f>
        <v>Barbell OHP</v>
      </c>
      <c r="Q16" s="5" t="str">
        <f t="array" ref="Q16">IFERROR(IF('T1'!$J16="",INDEX(LISTA_EX,15),INDEX(LISTA_EX,MATCH('T1'!$J16&amp;"|"&amp;15,LISTA_KLUCZ,0))),"")</f>
        <v>Barbell oscilation</v>
      </c>
      <c r="R16" s="5" t="str">
        <f t="array" ref="R16">IFERROR(IF('T1'!$J16="",INDEX(LISTA_EX,16),INDEX(LISTA_EX,MATCH('T1'!$J16&amp;"|"&amp;16,LISTA_KLUCZ,0))),"")</f>
        <v>Barbell row</v>
      </c>
      <c r="S16" s="5" t="str">
        <f t="array" ref="S16">IFERROR(IF('T1'!$J16="",INDEX(LISTA_EX,17),INDEX(LISTA_EX,MATCH('T1'!$J16&amp;"|"&amp;17,LISTA_KLUCZ,0))),"")</f>
        <v>Barbell row dead stop pins</v>
      </c>
      <c r="T16" s="5" t="str">
        <f t="array" ref="T16">IFERROR(IF('T1'!$J16="",INDEX(LISTA_EX,18),INDEX(LISTA_EX,MATCH('T1'!$J16&amp;"|"&amp;18,LISTA_KLUCZ,0))),"")</f>
        <v>Barbell SLDL</v>
      </c>
      <c r="U16" s="5" t="str">
        <f t="array" ref="U16">IFERROR(IF('T1'!$J16="",INDEX(LISTA_EX,19),INDEX(LISTA_EX,MATCH('T1'!$J16&amp;"|"&amp;19,LISTA_KLUCZ,0))),"")</f>
        <v>Bayesian curl</v>
      </c>
      <c r="V16" s="5" t="str">
        <f t="array" ref="V16">IFERROR(IF('T1'!$J16="",INDEX(LISTA_EX,20),INDEX(LISTA_EX,MATCH('T1'!$J16&amp;"|"&amp;20,LISTA_KLUCZ,0))),"")</f>
        <v>Bear renegade row</v>
      </c>
      <c r="W16" s="5" t="str">
        <f t="array" ref="W16">IFERROR(IF('T1'!$J16="",INDEX(LISTA_EX,21),INDEX(LISTA_EX,MATCH('T1'!$J16&amp;"|"&amp;21,LISTA_KLUCZ,0))),"")</f>
        <v>Bench press paused 3sec</v>
      </c>
      <c r="X16" s="5" t="str">
        <f t="array" ref="X16">IFERROR(IF('T1'!$J16="",INDEX(LISTA_EX,22),INDEX(LISTA_EX,MATCH('T1'!$J16&amp;"|"&amp;22,LISTA_KLUCZ,0))),"")</f>
        <v>Bicep hammer curl</v>
      </c>
      <c r="Y16" s="5" t="str">
        <f t="array" ref="Y16">IFERROR(IF('T1'!$J16="",INDEX(LISTA_EX,23),INDEX(LISTA_EX,MATCH('T1'!$J16&amp;"|"&amp;23,LISTA_KLUCZ,0))),"")</f>
        <v>Bicep squat cable curl</v>
      </c>
      <c r="Z16" s="5" t="str">
        <f t="array" ref="Z16">IFERROR(IF('T1'!$J16="",INDEX(LISTA_EX,24),INDEX(LISTA_EX,MATCH('T1'!$J16&amp;"|"&amp;24,LISTA_KLUCZ,0))),"")</f>
        <v>Bird dog row</v>
      </c>
      <c r="AA16" s="5" t="str">
        <f t="array" ref="AA16">IFERROR(IF('T1'!$J16="",INDEX(LISTA_EX,25),INDEX(LISTA_EX,MATCH('T1'!$J16&amp;"|"&amp;25,LISTA_KLUCZ,0))),"")</f>
        <v>Box jump</v>
      </c>
      <c r="AB16" s="5" t="str">
        <f t="array" ref="AB16">IFERROR(IF('T1'!$J16="",INDEX(LISTA_EX,26),INDEX(LISTA_EX,MATCH('T1'!$J16&amp;"|"&amp;26,LISTA_KLUCZ,0))),"")</f>
        <v>Bulgarian clean plyo</v>
      </c>
      <c r="AC16" s="5" t="str">
        <f t="array" ref="AC16">IFERROR(IF('T1'!$J16="",INDEX(LISTA_EX,27),INDEX(LISTA_EX,MATCH('T1'!$J16&amp;"|"&amp;27,LISTA_KLUCZ,0))),"")</f>
        <v>Bulgarian squat assisted</v>
      </c>
      <c r="AD16" s="5" t="str">
        <f t="array" ref="AD16">IFERROR(IF('T1'!$J16="",INDEX(LISTA_EX,28),INDEX(LISTA_EX,MATCH('T1'!$J16&amp;"|"&amp;28,LISTA_KLUCZ,0))),"")</f>
        <v>Cable biceps curl</v>
      </c>
      <c r="AE16" s="5" t="str">
        <f t="array" ref="AE16">IFERROR(IF('T1'!$J16="",INDEX(LISTA_EX,29),INDEX(LISTA_EX,MATCH('T1'!$J16&amp;"|"&amp;29,LISTA_KLUCZ,0))),"")</f>
        <v>Cable fly</v>
      </c>
      <c r="AF16" s="5" t="str">
        <f t="array" ref="AF16">IFERROR(IF('T1'!$J16="",INDEX(LISTA_EX,30),INDEX(LISTA_EX,MATCH('T1'!$J16&amp;"|"&amp;30,LISTA_KLUCZ,0))),"")</f>
        <v>Cable lateral raise s/a</v>
      </c>
      <c r="AG16" s="5" t="str">
        <f t="array" ref="AG16">IFERROR(IF('T1'!$J16="",INDEX(LISTA_EX,31),INDEX(LISTA_EX,MATCH('T1'!$J16&amp;"|"&amp;31,LISTA_KLUCZ,0))),"")</f>
        <v>Cable row</v>
      </c>
      <c r="AH16" s="5" t="str">
        <f t="array" ref="AH16">IFERROR(IF('T1'!$J16="",INDEX(LISTA_EX,32),INDEX(LISTA_EX,MATCH('T1'!$J16&amp;"|"&amp;32,LISTA_KLUCZ,0))),"")</f>
        <v>Cable row s/a</v>
      </c>
      <c r="AI16" s="5" t="str">
        <f t="array" ref="AI16">IFERROR(IF('T1'!$J16="",INDEX(LISTA_EX,33),INDEX(LISTA_EX,MATCH('T1'!$J16&amp;"|"&amp;33,LISTA_KLUCZ,0))),"")</f>
        <v>Calf raises</v>
      </c>
      <c r="AJ16" s="5" t="str">
        <f t="array" ref="AJ16">IFERROR(IF('T1'!$J16="",INDEX(LISTA_EX,34),INDEX(LISTA_EX,MATCH('T1'!$J16&amp;"|"&amp;34,LISTA_KLUCZ,0))),"")</f>
        <v>Chest fly machine</v>
      </c>
      <c r="AK16" s="5" t="str">
        <f t="array" ref="AK16">IFERROR(IF('T1'!$J16="",INDEX(LISTA_EX,35),INDEX(LISTA_EX,MATCH('T1'!$J16&amp;"|"&amp;35,LISTA_KLUCZ,0))),"")</f>
        <v>Clean</v>
      </c>
      <c r="AL16" s="5" t="str">
        <f t="array" ref="AL16">IFERROR(IF('T1'!$J16="",INDEX(LISTA_EX,36),INDEX(LISTA_EX,MATCH('T1'!$J16&amp;"|"&amp;36,LISTA_KLUCZ,0))),"")</f>
        <v>Clean pins</v>
      </c>
      <c r="AM16" s="5" t="str">
        <f t="array" ref="AM16">IFERROR(IF('T1'!$J16="",INDEX(LISTA_EX,37),INDEX(LISTA_EX,MATCH('T1'!$J16&amp;"|"&amp;37,LISTA_KLUCZ,0))),"")</f>
        <v>Copenhagen plank</v>
      </c>
      <c r="AN16" s="5" t="str">
        <f t="array" ref="AN16">IFERROR(IF('T1'!$J16="",INDEX(LISTA_EX,38),INDEX(LISTA_EX,MATCH('T1'!$J16&amp;"|"&amp;38,LISTA_KLUCZ,0))),"")</f>
        <v>Dead bug izo + OH</v>
      </c>
      <c r="AO16" s="5" t="str">
        <f t="array" ref="AO16">IFERROR(IF('T1'!$J16="",INDEX(LISTA_EX,39),INDEX(LISTA_EX,MATCH('T1'!$J16&amp;"|"&amp;39,LISTA_KLUCZ,0))),"")</f>
        <v>Dead bug straight legs</v>
      </c>
      <c r="AP16" s="5" t="str">
        <f t="array" ref="AP16">IFERROR(IF('T1'!$J16="",INDEX(LISTA_EX,40),INDEX(LISTA_EX,MATCH('T1'!$J16&amp;"|"&amp;40,LISTA_KLUCZ,0))),"")</f>
        <v>Dead stop barbell row</v>
      </c>
      <c r="AQ16" s="5" t="str">
        <f t="array" ref="AQ16">IFERROR(IF('T1'!$J16="",INDEX(LISTA_EX,41),INDEX(LISTA_EX,MATCH('T1'!$J16&amp;"|"&amp;41,LISTA_KLUCZ,0))),"")</f>
        <v>Deadbug OH</v>
      </c>
      <c r="AR16" s="5" t="str">
        <f t="array" ref="AR16">IFERROR(IF('T1'!$J16="",INDEX(LISTA_EX,42),INDEX(LISTA_EX,MATCH('T1'!$J16&amp;"|"&amp;42,LISTA_KLUCZ,0))),"")</f>
        <v>Deadlift</v>
      </c>
      <c r="AS16" s="5" t="str">
        <f t="array" ref="AS16">IFERROR(IF('T1'!$J16="",INDEX(LISTA_EX,43),INDEX(LISTA_EX,MATCH('T1'!$J16&amp;"|"&amp;43,LISTA_KLUCZ,0))),"")</f>
        <v>Deficit push up</v>
      </c>
      <c r="AT16" s="5" t="str">
        <f t="array" ref="AT16">IFERROR(IF('T1'!$J16="",INDEX(LISTA_EX,44),INDEX(LISTA_EX,MATCH('T1'!$J16&amp;"|"&amp;44,LISTA_KLUCZ,0))),"")</f>
        <v>Deficit reverse lunge</v>
      </c>
      <c r="AU16" s="5" t="str">
        <f t="array" ref="AU16">IFERROR(IF('T1'!$J16="",INDEX(LISTA_EX,45),INDEX(LISTA_EX,MATCH('T1'!$J16&amp;"|"&amp;45,LISTA_KLUCZ,0))),"")</f>
        <v>Dips</v>
      </c>
      <c r="AV16" s="5" t="str">
        <f t="array" ref="AV16">IFERROR(IF('T1'!$J16="",INDEX(LISTA_EX,46),INDEX(LISTA_EX,MATCH('T1'!$J16&amp;"|"&amp;46,LISTA_KLUCZ,0))),"")</f>
        <v>Dips weighted</v>
      </c>
      <c r="AW16" s="5" t="str">
        <f t="array" ref="AW16">IFERROR(IF('T1'!$J16="",INDEX(LISTA_EX,47),INDEX(LISTA_EX,MATCH('T1'!$J16&amp;"|"&amp;47,LISTA_KLUCZ,0))),"")</f>
        <v>Dumbbell bench press</v>
      </c>
      <c r="AX16" s="5" t="str">
        <f t="array" ref="AX16">IFERROR(IF('T1'!$J16="",INDEX(LISTA_EX,48),INDEX(LISTA_EX,MATCH('T1'!$J16&amp;"|"&amp;48,LISTA_KLUCZ,0))),"")</f>
        <v>Dumbbell bench press alternating</v>
      </c>
      <c r="AY16" s="5" t="str">
        <f t="array" ref="AY16">IFERROR(IF('T1'!$J16="",INDEX(LISTA_EX,49),INDEX(LISTA_EX,MATCH('T1'!$J16&amp;"|"&amp;49,LISTA_KLUCZ,0))),"")</f>
        <v>Dumbbell curl</v>
      </c>
      <c r="AZ16" s="5" t="str">
        <f t="array" ref="AZ16">IFERROR(IF('T1'!$J16="",INDEX(LISTA_EX,50),INDEX(LISTA_EX,MATCH('T1'!$J16&amp;"|"&amp;50,LISTA_KLUCZ,0))),"")</f>
        <v>Dumbbell external rotation</v>
      </c>
      <c r="BA16" s="5" t="str">
        <f t="array" ref="BA16">IFERROR(IF('T1'!$J16="",INDEX(LISTA_EX,51),INDEX(LISTA_EX,MATCH('T1'!$J16&amp;"|"&amp;51,LISTA_KLUCZ,0))),"")</f>
        <v>Dumbbell face down curl</v>
      </c>
      <c r="BB16" s="5" t="str">
        <f t="array" ref="BB16">IFERROR(IF('T1'!$J16="",INDEX(LISTA_EX,52),INDEX(LISTA_EX,MATCH('T1'!$J16&amp;"|"&amp;52,LISTA_KLUCZ,0))),"")</f>
        <v>Dumbbell fly</v>
      </c>
      <c r="BC16" s="5" t="str">
        <f t="array" ref="BC16">IFERROR(IF('T1'!$J16="",INDEX(LISTA_EX,53),INDEX(LISTA_EX,MATCH('T1'!$J16&amp;"|"&amp;53,LISTA_KLUCZ,0))),"")</f>
        <v>Dumbbell french press</v>
      </c>
      <c r="BD16" s="5" t="str">
        <f t="array" ref="BD16">IFERROR(IF('T1'!$J16="",INDEX(LISTA_EX,54),INDEX(LISTA_EX,MATCH('T1'!$J16&amp;"|"&amp;54,LISTA_KLUCZ,0))),"")</f>
        <v>Dumbbell lateral raise</v>
      </c>
      <c r="BE16" s="5" t="str">
        <f t="array" ref="BE16">IFERROR(IF('T1'!$J16="",INDEX(LISTA_EX,55),INDEX(LISTA_EX,MATCH('T1'!$J16&amp;"|"&amp;55,LISTA_KLUCZ,0))),"")</f>
        <v>Dumbbell lunges</v>
      </c>
      <c r="BF16" s="5" t="str">
        <f t="array" ref="BF16">IFERROR(IF('T1'!$J16="",INDEX(LISTA_EX,56),INDEX(LISTA_EX,MATCH('T1'!$J16&amp;"|"&amp;56,LISTA_KLUCZ,0))),"")</f>
        <v>Dumbbell OH press</v>
      </c>
      <c r="BG16" s="5" t="str">
        <f t="array" ref="BG16">IFERROR(IF('T1'!$J16="",INDEX(LISTA_EX,57),INDEX(LISTA_EX,MATCH('T1'!$J16&amp;"|"&amp;57,LISTA_KLUCZ,0))),"")</f>
        <v>Dumbbell over head press</v>
      </c>
      <c r="BH16" s="5" t="str">
        <f t="array" ref="BH16">IFERROR(IF('T1'!$J16="",INDEX(LISTA_EX,58),INDEX(LISTA_EX,MATCH('T1'!$J16&amp;"|"&amp;58,LISTA_KLUCZ,0))),"")</f>
        <v>Dumbbell over head press alternating</v>
      </c>
      <c r="BI16" s="5" t="str">
        <f t="array" ref="BI16">IFERROR(IF('T1'!$J16="",INDEX(LISTA_EX,59),INDEX(LISTA_EX,MATCH('T1'!$J16&amp;"|"&amp;59,LISTA_KLUCZ,0))),"")</f>
        <v>Dumbbell row</v>
      </c>
      <c r="BJ16" s="5" t="str">
        <f t="array" ref="BJ16">IFERROR(IF('T1'!$J16="",INDEX(LISTA_EX,60),INDEX(LISTA_EX,MATCH('T1'!$J16&amp;"|"&amp;60,LISTA_KLUCZ,0))),"")</f>
        <v>Dumbbell s/a Arnold press</v>
      </c>
      <c r="BK16" s="5" t="str">
        <f t="array" ref="BK16">IFERROR(IF('T1'!$J16="",INDEX(LISTA_EX,61),INDEX(LISTA_EX,MATCH('T1'!$J16&amp;"|"&amp;61,LISTA_KLUCZ,0))),"")</f>
        <v>Dumbbell s/a row</v>
      </c>
      <c r="BL16" s="5" t="str">
        <f t="array" ref="BL16">IFERROR(IF('T1'!$J16="",INDEX(LISTA_EX,62),INDEX(LISTA_EX,MATCH('T1'!$J16&amp;"|"&amp;62,LISTA_KLUCZ,0))),"")</f>
        <v>Dumbbell seal row</v>
      </c>
      <c r="BM16" s="5" t="str">
        <f t="array" ref="BM16">IFERROR(IF('T1'!$J16="",INDEX(LISTA_EX,63),INDEX(LISTA_EX,MATCH('T1'!$J16&amp;"|"&amp;63,LISTA_KLUCZ,0))),"")</f>
        <v>Dumbbells jumps</v>
      </c>
      <c r="BN16" s="5" t="str">
        <f t="array" ref="BN16">IFERROR(IF('T1'!$J16="",INDEX(LISTA_EX,64),INDEX(LISTA_EX,MATCH('T1'!$J16&amp;"|"&amp;64,LISTA_KLUCZ,0))),"")</f>
        <v>Eccentric pull up</v>
      </c>
      <c r="BO16" s="5" t="str">
        <f t="array" ref="BO16">IFERROR(IF('T1'!$J16="",INDEX(LISTA_EX,65),INDEX(LISTA_EX,MATCH('T1'!$J16&amp;"|"&amp;65,LISTA_KLUCZ,0))),"")</f>
        <v>Eccentric push up (5 sek w dół)</v>
      </c>
      <c r="BP16" s="5" t="str">
        <f t="array" ref="BP16">IFERROR(IF('T1'!$J16="",INDEX(LISTA_EX,66),INDEX(LISTA_EX,MATCH('T1'!$J16&amp;"|"&amp;66,LISTA_KLUCZ,0))),"")</f>
        <v>Extensive plyo jumps s/l</v>
      </c>
      <c r="BQ16" s="5" t="str">
        <f t="array" ref="BQ16">IFERROR(IF('T1'!$J16="",INDEX(LISTA_EX,67),INDEX(LISTA_EX,MATCH('T1'!$J16&amp;"|"&amp;67,LISTA_KLUCZ,0))),"")</f>
        <v>Ez bar curl</v>
      </c>
      <c r="BR16" s="5" t="str">
        <f t="array" ref="BR16">IFERROR(IF('T1'!$J16="",INDEX(LISTA_EX,68),INDEX(LISTA_EX,MATCH('T1'!$J16&amp;"|"&amp;68,LISTA_KLUCZ,0))),"")</f>
        <v>Facepull chest supported</v>
      </c>
      <c r="BS16" s="5" t="str">
        <f t="array" ref="BS16">IFERROR(IF('T1'!$J16="",INDEX(LISTA_EX,69),INDEX(LISTA_EX,MATCH('T1'!$J16&amp;"|"&amp;69,LISTA_KLUCZ,0))),"")</f>
        <v>Front foot elevated split squat</v>
      </c>
      <c r="BT16" s="5" t="str">
        <f t="array" ref="BT16">IFERROR(IF('T1'!$J16="",INDEX(LISTA_EX,70),INDEX(LISTA_EX,MATCH('T1'!$J16&amp;"|"&amp;70,LISTA_KLUCZ,0))),"")</f>
        <v>Front squat</v>
      </c>
      <c r="BU16" s="5" t="str">
        <f t="array" ref="BU16">IFERROR(IF('T1'!$J16="",INDEX(LISTA_EX,71),INDEX(LISTA_EX,MATCH('T1'!$J16&amp;"|"&amp;71,LISTA_KLUCZ,0))),"")</f>
        <v>GHD flexion</v>
      </c>
      <c r="BV16" s="5" t="str">
        <f t="array" ref="BV16">IFERROR(IF('T1'!$J16="",INDEX(LISTA_EX,72),INDEX(LISTA_EX,MATCH('T1'!$J16&amp;"|"&amp;72,LISTA_KLUCZ,0))),"")</f>
        <v>Glute bridge hamstrings izo + OH</v>
      </c>
      <c r="BW16" s="5" t="str">
        <f t="array" ref="BW16">IFERROR(IF('T1'!$J16="",INDEX(LISTA_EX,73),INDEX(LISTA_EX,MATCH('T1'!$J16&amp;"|"&amp;73,LISTA_KLUCZ,0))),"")</f>
        <v>Glute crusher</v>
      </c>
      <c r="BX16" s="5" t="str">
        <f t="array" ref="BX16">IFERROR(IF('T1'!$J16="",INDEX(LISTA_EX,74),INDEX(LISTA_EX,MATCH('T1'!$J16&amp;"|"&amp;74,LISTA_KLUCZ,0))),"")</f>
        <v>Gorilla row</v>
      </c>
      <c r="BY16" s="5" t="str">
        <f t="array" ref="BY16">IFERROR(IF('T1'!$J16="",INDEX(LISTA_EX,75),INDEX(LISTA_EX,MATCH('T1'!$J16&amp;"|"&amp;75,LISTA_KLUCZ,0))),"")</f>
        <v>Halfkneeling s/a cable pull</v>
      </c>
      <c r="BZ16" s="5" t="str">
        <f t="array" ref="BZ16">IFERROR(IF('T1'!$J16="",INDEX(LISTA_EX,76),INDEX(LISTA_EX,MATCH('T1'!$J16&amp;"|"&amp;76,LISTA_KLUCZ,0))),"")</f>
        <v>Halfkneeling wood chopper</v>
      </c>
      <c r="CA16" s="5" t="str">
        <f t="array" ref="CA16">IFERROR(IF('T1'!$J16="",INDEX(LISTA_EX,77),INDEX(LISTA_EX,MATCH('T1'!$J16&amp;"|"&amp;77,LISTA_KLUCZ,0))),"")</f>
        <v>Hinged dumbbell row</v>
      </c>
      <c r="CB16" s="5" t="str">
        <f t="array" ref="CB16">IFERROR(IF('T1'!$J16="",INDEX(LISTA_EX,78),INDEX(LISTA_EX,MATCH('T1'!$J16&amp;"|"&amp;78,LISTA_KLUCZ,0))),"")</f>
        <v>Hip aeroplane</v>
      </c>
      <c r="CC16" s="5" t="str">
        <f t="array" ref="CC16">IFERROR(IF('T1'!$J16="",INDEX(LISTA_EX,79),INDEX(LISTA_EX,MATCH('T1'!$J16&amp;"|"&amp;79,LISTA_KLUCZ,0))),"")</f>
        <v>Hip flexors cable</v>
      </c>
      <c r="CD16" s="5" t="str">
        <f t="array" ref="CD16">IFERROR(IF('T1'!$J16="",INDEX(LISTA_EX,80),INDEX(LISTA_EX,MATCH('T1'!$J16&amp;"|"&amp;80,LISTA_KLUCZ,0))),"")</f>
        <v>Hip thrust barbell</v>
      </c>
      <c r="CE16" s="5" t="str">
        <f t="array" ref="CE16">IFERROR(IF('T1'!$J16="",INDEX(LISTA_EX,81),INDEX(LISTA_EX,MATCH('T1'!$J16&amp;"|"&amp;81,LISTA_KLUCZ,0))),"")</f>
        <v>Hollow body + OH</v>
      </c>
      <c r="CF16" s="5" t="str">
        <f t="array" ref="CF16">IFERROR(IF('T1'!$J16="",INDEX(LISTA_EX,82),INDEX(LISTA_EX,MATCH('T1'!$J16&amp;"|"&amp;82,LISTA_KLUCZ,0))),"")</f>
        <v>Horizontal jump</v>
      </c>
      <c r="CG16" s="5" t="str">
        <f t="array" ref="CG16">IFERROR(IF('T1'!$J16="",INDEX(LISTA_EX,83),INDEX(LISTA_EX,MATCH('T1'!$J16&amp;"|"&amp;83,LISTA_KLUCZ,0))),"")</f>
        <v>Incline bench lateral raise s/a</v>
      </c>
      <c r="CH16" s="5" t="str">
        <f t="array" ref="CH16">IFERROR(IF('T1'!$J16="",INDEX(LISTA_EX,84),INDEX(LISTA_EX,MATCH('T1'!$J16&amp;"|"&amp;84,LISTA_KLUCZ,0))),"")</f>
        <v>Incline curl + OHP</v>
      </c>
      <c r="CI16" s="5" t="str">
        <f t="array" ref="CI16">IFERROR(IF('T1'!$J16="",INDEX(LISTA_EX,85),INDEX(LISTA_EX,MATCH('T1'!$J16&amp;"|"&amp;85,LISTA_KLUCZ,0))),"")</f>
        <v>Incline dumbbell curl</v>
      </c>
      <c r="CJ16" s="5" t="str">
        <f t="array" ref="CJ16">IFERROR(IF('T1'!$J16="",INDEX(LISTA_EX,86),INDEX(LISTA_EX,MATCH('T1'!$J16&amp;"|"&amp;86,LISTA_KLUCZ,0))),"")</f>
        <v>Incline dumbbell curl (back)</v>
      </c>
      <c r="CK16" s="5" t="str">
        <f t="array" ref="CK16">IFERROR(IF('T1'!$J16="",INDEX(LISTA_EX,87),INDEX(LISTA_EX,MATCH('T1'!$J16&amp;"|"&amp;87,LISTA_KLUCZ,0))),"")</f>
        <v>Incline dumbbell curl (front)</v>
      </c>
      <c r="CL16" s="5" t="str">
        <f t="array" ref="CL16">IFERROR(IF('T1'!$J16="",INDEX(LISTA_EX,88),INDEX(LISTA_EX,MATCH('T1'!$J16&amp;"|"&amp;88,LISTA_KLUCZ,0))),"")</f>
        <v>Incline dumbbell fly</v>
      </c>
      <c r="CM16" s="5" t="str">
        <f t="array" ref="CM16">IFERROR(IF('T1'!$J16="",INDEX(LISTA_EX,89),INDEX(LISTA_EX,MATCH('T1'!$J16&amp;"|"&amp;89,LISTA_KLUCZ,0))),"")</f>
        <v>Incline dumbbell press</v>
      </c>
      <c r="CN16" s="5" t="str">
        <f t="array" ref="CN16">IFERROR(IF('T1'!$J16="",INDEX(LISTA_EX,90),INDEX(LISTA_EX,MATCH('T1'!$J16&amp;"|"&amp;90,LISTA_KLUCZ,0))),"")</f>
        <v>Incline dumbbell press alternating</v>
      </c>
      <c r="CO16" s="5" t="str">
        <f t="array" ref="CO16">IFERROR(IF('T1'!$J16="",INDEX(LISTA_EX,91),INDEX(LISTA_EX,MATCH('T1'!$J16&amp;"|"&amp;91,LISTA_KLUCZ,0))),"")</f>
        <v>Incline sit-ups</v>
      </c>
      <c r="CP16" s="5" t="str">
        <f t="array" ref="CP16">IFERROR(IF('T1'!$J16="",INDEX(LISTA_EX,92),INDEX(LISTA_EX,MATCH('T1'!$J16&amp;"|"&amp;92,LISTA_KLUCZ,0))),"")</f>
        <v>Jefferson cable</v>
      </c>
      <c r="CQ16" s="5" t="str">
        <f t="array" ref="CQ16">IFERROR(IF('T1'!$J16="",INDEX(LISTA_EX,93),INDEX(LISTA_EX,MATCH('T1'!$J16&amp;"|"&amp;93,LISTA_KLUCZ,0))),"")</f>
        <v>Kettlebell march</v>
      </c>
      <c r="CR16" s="5" t="str">
        <f t="array" ref="CR16">IFERROR(IF('T1'!$J16="",INDEX(LISTA_EX,94),INDEX(LISTA_EX,MATCH('T1'!$J16&amp;"|"&amp;94,LISTA_KLUCZ,0))),"")</f>
        <v>Kickbacks</v>
      </c>
      <c r="CS16" s="5" t="str">
        <f t="array" ref="CS16">IFERROR(IF('T1'!$J16="",INDEX(LISTA_EX,95),INDEX(LISTA_EX,MATCH('T1'!$J16&amp;"|"&amp;95,LISTA_KLUCZ,0))),"")</f>
        <v>Knee extension machine</v>
      </c>
      <c r="CT16" s="5" t="str">
        <f t="array" ref="CT16">IFERROR(IF('T1'!$J16="",INDEX(LISTA_EX,96),INDEX(LISTA_EX,MATCH('T1'!$J16&amp;"|"&amp;96,LISTA_KLUCZ,0))),"")</f>
        <v>Knee flexion machine</v>
      </c>
      <c r="CU16" s="5" t="str">
        <f t="array" ref="CU16">IFERROR(IF('T1'!$J16="",INDEX(LISTA_EX,97),INDEX(LISTA_EX,MATCH('T1'!$J16&amp;"|"&amp;97,LISTA_KLUCZ,0))),"")</f>
        <v>Knee raises</v>
      </c>
      <c r="CV16" s="5" t="str">
        <f t="array" ref="CV16">IFERROR(IF('T1'!$J16="",INDEX(LISTA_EX,98),INDEX(LISTA_EX,MATCH('T1'!$J16&amp;"|"&amp;98,LISTA_KLUCZ,0))),"")</f>
        <v>Landmine core</v>
      </c>
      <c r="CW16" s="5" t="str">
        <f t="array" ref="CW16">IFERROR(IF('T1'!$J16="",INDEX(LISTA_EX,99),INDEX(LISTA_EX,MATCH('T1'!$J16&amp;"|"&amp;99,LISTA_KLUCZ,0))),"")</f>
        <v>Landmine press</v>
      </c>
      <c r="CX16" s="5" t="str">
        <f t="array" ref="CX16">IFERROR(IF('T1'!$J16="",INDEX(LISTA_EX,100),INDEX(LISTA_EX,MATCH('T1'!$J16&amp;"|"&amp;100,LISTA_KLUCZ,0))),"")</f>
        <v>Landmine rotations (powtórzenia x2)</v>
      </c>
      <c r="CY16" s="5" t="str">
        <f t="array" ref="CY16">IFERROR(IF('T1'!$J16="",INDEX(LISTA_EX,101),INDEX(LISTA_EX,MATCH('T1'!$J16&amp;"|"&amp;101,LISTA_KLUCZ,0))),"")</f>
        <v>Landmine SLDL</v>
      </c>
      <c r="CZ16" s="5" t="str">
        <f t="array" ref="CZ16">IFERROR(IF('T1'!$J16="",INDEX(LISTA_EX,102),INDEX(LISTA_EX,MATCH('T1'!$J16&amp;"|"&amp;102,LISTA_KLUCZ,0))),"")</f>
        <v>Lat pulldown</v>
      </c>
      <c r="DA16" s="5" t="str">
        <f t="array" ref="DA16">IFERROR(IF('T1'!$J16="",INDEX(LISTA_EX,103),INDEX(LISTA_EX,MATCH('T1'!$J16&amp;"|"&amp;103,LISTA_KLUCZ,0))),"")</f>
        <v>Lat pulldown behind the head</v>
      </c>
      <c r="DB16" s="5" t="str">
        <f t="array" ref="DB16">IFERROR(IF('T1'!$J16="",INDEX(LISTA_EX,104),INDEX(LISTA_EX,MATCH('T1'!$J16&amp;"|"&amp;104,LISTA_KLUCZ,0))),"")</f>
        <v>Lat pulldown s/a</v>
      </c>
      <c r="DC16" s="5" t="str">
        <f t="array" ref="DC16">IFERROR(IF('T1'!$J16="",INDEX(LISTA_EX,105),INDEX(LISTA_EX,MATCH('T1'!$J16&amp;"|"&amp;105,LISTA_KLUCZ,0))),"")</f>
        <v>Lateral raise s/a</v>
      </c>
      <c r="DD16" s="5" t="str">
        <f t="array" ref="DD16">IFERROR(IF('T1'!$J16="",INDEX(LISTA_EX,106),INDEX(LISTA_EX,MATCH('T1'!$J16&amp;"|"&amp;106,LISTA_KLUCZ,0))),"")</f>
        <v>Lateral raises</v>
      </c>
      <c r="DE16" s="5" t="str">
        <f t="array" ref="DE16">IFERROR(IF('T1'!$J16="",INDEX(LISTA_EX,107),INDEX(LISTA_EX,MATCH('T1'!$J16&amp;"|"&amp;107,LISTA_KLUCZ,0))),"")</f>
        <v>Lateral raises 2</v>
      </c>
      <c r="DF16" s="5" t="str">
        <f t="array" ref="DF16">IFERROR(IF('T1'!$J16="",INDEX(LISTA_EX,108),INDEX(LISTA_EX,MATCH('T1'!$J16&amp;"|"&amp;108,LISTA_KLUCZ,0))),"")</f>
        <v>Lateral raises full ROM</v>
      </c>
      <c r="DG16" s="5" t="str">
        <f t="array" ref="DG16">IFERROR(IF('T1'!$J16="",INDEX(LISTA_EX,109),INDEX(LISTA_EX,MATCH('T1'!$J16&amp;"|"&amp;109,LISTA_KLUCZ,0))),"")</f>
        <v>Lateral raises hinged</v>
      </c>
      <c r="DH16" s="5" t="str">
        <f t="array" ref="DH16">IFERROR(IF('T1'!$J16="",INDEX(LISTA_EX,110),INDEX(LISTA_EX,MATCH('T1'!$J16&amp;"|"&amp;110,LISTA_KLUCZ,0))),"")</f>
        <v>Lateral raises incline s/a</v>
      </c>
      <c r="DI16" s="5" t="str">
        <f t="array" ref="DI16">IFERROR(IF('T1'!$J16="",INDEX(LISTA_EX,111),INDEX(LISTA_EX,MATCH('T1'!$J16&amp;"|"&amp;111,LISTA_KLUCZ,0))),"")</f>
        <v>Leg curl</v>
      </c>
      <c r="DJ16" s="5" t="str">
        <f t="array" ref="DJ16">IFERROR(IF('T1'!$J16="",INDEX(LISTA_EX,112),INDEX(LISTA_EX,MATCH('T1'!$J16&amp;"|"&amp;112,LISTA_KLUCZ,0))),"")</f>
        <v>Machine row</v>
      </c>
      <c r="DK16" s="5" t="str">
        <f t="array" ref="DK16">IFERROR(IF('T1'!$J16="",INDEX(LISTA_EX,113),INDEX(LISTA_EX,MATCH('T1'!$J16&amp;"|"&amp;113,LISTA_KLUCZ,0))),"")</f>
        <v>Machine row s/a</v>
      </c>
      <c r="DL16" s="5" t="str">
        <f t="array" ref="DL16">IFERROR(IF('T1'!$J16="",INDEX(LISTA_EX,114),INDEX(LISTA_EX,MATCH('T1'!$J16&amp;"|"&amp;114,LISTA_KLUCZ,0))),"")</f>
        <v>Meadows row</v>
      </c>
      <c r="DM16" s="5" t="str">
        <f t="array" ref="DM16">IFERROR(IF('T1'!$J16="",INDEX(LISTA_EX,115),INDEX(LISTA_EX,MATCH('T1'!$J16&amp;"|"&amp;115,LISTA_KLUCZ,0))),"")</f>
        <v>Med ball slam</v>
      </c>
      <c r="DN16" s="5" t="str">
        <f t="array" ref="DN16">IFERROR(IF('T1'!$J16="",INDEX(LISTA_EX,116),INDEX(LISTA_EX,MATCH('T1'!$J16&amp;"|"&amp;116,LISTA_KLUCZ,0))),"")</f>
        <v>OH skullcrushers</v>
      </c>
      <c r="DO16" s="5" t="str">
        <f t="array" ref="DO16">IFERROR(IF('T1'!$J16="",INDEX(LISTA_EX,117),INDEX(LISTA_EX,MATCH('T1'!$J16&amp;"|"&amp;117,LISTA_KLUCZ,0))),"")</f>
        <v>OHP barbell squat 15kg</v>
      </c>
      <c r="DP16" s="5" t="str">
        <f t="array" ref="DP16">IFERROR(IF('T1'!$J16="",INDEX(LISTA_EX,118),INDEX(LISTA_EX,MATCH('T1'!$J16&amp;"|"&amp;118,LISTA_KLUCZ,0))),"")</f>
        <v>Pistol squat eccentric</v>
      </c>
      <c r="DQ16" s="5" t="str">
        <f t="array" ref="DQ16">IFERROR(IF('T1'!$J16="",INDEX(LISTA_EX,119),INDEX(LISTA_EX,MATCH('T1'!$J16&amp;"|"&amp;119,LISTA_KLUCZ,0))),"")</f>
        <v>Plank contralateral</v>
      </c>
      <c r="DR16" s="5" t="str">
        <f t="array" ref="DR16">IFERROR(IF('T1'!$J16="",INDEX(LISTA_EX,120),INDEX(LISTA_EX,MATCH('T1'!$J16&amp;"|"&amp;120,LISTA_KLUCZ,0))),"")</f>
        <v>Plank dumbbell rotation</v>
      </c>
      <c r="DS16" s="5" t="str">
        <f t="array" ref="DS16">IFERROR(IF('T1'!$J16="",INDEX(LISTA_EX,121),INDEX(LISTA_EX,MATCH('T1'!$J16&amp;"|"&amp;121,LISTA_KLUCZ,0))),"")</f>
        <v>Plank leg raises</v>
      </c>
      <c r="DT16" s="5" t="str">
        <f t="array" ref="DT16">IFERROR(IF('T1'!$J16="",INDEX(LISTA_EX,122),INDEX(LISTA_EX,MATCH('T1'!$J16&amp;"|"&amp;122,LISTA_KLUCZ,0))),"")</f>
        <v>Poliquin step up</v>
      </c>
      <c r="DU16" s="5" t="str">
        <f t="array" ref="DU16">IFERROR(IF('T1'!$J16="",INDEX(LISTA_EX,123),INDEX(LISTA_EX,MATCH('T1'!$J16&amp;"|"&amp;123,LISTA_KLUCZ,0))),"")</f>
        <v>Poliquin step up paused 3sec</v>
      </c>
      <c r="DV16" s="5" t="str">
        <f t="array" ref="DV16">IFERROR(IF('T1'!$J16="",INDEX(LISTA_EX,124),INDEX(LISTA_EX,MATCH('T1'!$J16&amp;"|"&amp;124,LISTA_KLUCZ,0))),"")</f>
        <v>Pronation/Supination</v>
      </c>
      <c r="DW16" s="5" t="str">
        <f t="array" ref="DW16">IFERROR(IF('T1'!$J16="",INDEX(LISTA_EX,125),INDEX(LISTA_EX,MATCH('T1'!$J16&amp;"|"&amp;125,LISTA_KLUCZ,0))),"")</f>
        <v>Pull up</v>
      </c>
      <c r="DX16" s="5" t="str">
        <f t="array" ref="DX16">IFERROR(IF('T1'!$J16="",INDEX(LISTA_EX,126),INDEX(LISTA_EX,MATCH('T1'!$J16&amp;"|"&amp;126,LISTA_KLUCZ,0))),"")</f>
        <v>Pull up eccentric weighted</v>
      </c>
      <c r="DY16" s="5" t="str">
        <f t="array" ref="DY16">IFERROR(IF('T1'!$J16="",INDEX(LISTA_EX,127),INDEX(LISTA_EX,MATCH('T1'!$J16&amp;"|"&amp;127,LISTA_KLUCZ,0))),"")</f>
        <v>Pull up eccentric weighted (5 sek w dół)</v>
      </c>
      <c r="DZ16" s="5" t="str">
        <f t="array" ref="DZ16">IFERROR(IF('T1'!$J16="",INDEX(LISTA_EX,128),INDEX(LISTA_EX,MATCH('T1'!$J16&amp;"|"&amp;128,LISTA_KLUCZ,0))),"")</f>
        <v>Pull up weighted</v>
      </c>
      <c r="EA16" s="5" t="str">
        <f t="array" ref="EA16">IFERROR(IF('T1'!$J16="",INDEX(LISTA_EX,129),INDEX(LISTA_EX,MATCH('T1'!$J16&amp;"|"&amp;129,LISTA_KLUCZ,0))),"")</f>
        <v>Pull ups (paused)</v>
      </c>
      <c r="EB16" s="5" t="str">
        <f t="array" ref="EB16">IFERROR(IF('T1'!$J16="",INDEX(LISTA_EX,130),INDEX(LISTA_EX,MATCH('T1'!$J16&amp;"|"&amp;130,LISTA_KLUCZ,0))),"")</f>
        <v>Push press barbell</v>
      </c>
      <c r="EC16" s="5" t="str">
        <f t="array" ref="EC16">IFERROR(IF('T1'!$J16="",INDEX(LISTA_EX,131),INDEX(LISTA_EX,MATCH('T1'!$J16&amp;"|"&amp;131,LISTA_KLUCZ,0))),"")</f>
        <v>Push up</v>
      </c>
      <c r="ED16" s="5" t="str">
        <f t="array" ref="ED16">IFERROR(IF('T1'!$J16="",INDEX(LISTA_EX,132),INDEX(LISTA_EX,MATCH('T1'!$J16&amp;"|"&amp;132,LISTA_KLUCZ,0))),"")</f>
        <v>Raised bird dog</v>
      </c>
      <c r="EE16" s="5" t="str">
        <f t="array" ref="EE16">IFERROR(IF('T1'!$J16="",INDEX(LISTA_EX,133),INDEX(LISTA_EX,MATCH('T1'!$J16&amp;"|"&amp;133,LISTA_KLUCZ,0))),"")</f>
        <v>RDL</v>
      </c>
      <c r="EF16" s="5" t="str">
        <f t="array" ref="EF16">IFERROR(IF('T1'!$J16="",INDEX(LISTA_EX,134),INDEX(LISTA_EX,MATCH('T1'!$J16&amp;"|"&amp;134,LISTA_KLUCZ,0))),"")</f>
        <v>Reverse Nordic</v>
      </c>
      <c r="EG16" s="5" t="str">
        <f t="array" ref="EG16">IFERROR(IF('T1'!$J16="",INDEX(LISTA_EX,135),INDEX(LISTA_EX,MATCH('T1'!$J16&amp;"|"&amp;135,LISTA_KLUCZ,0))),"")</f>
        <v>Rope pushdown</v>
      </c>
      <c r="EH16" s="5" t="str">
        <f t="array" ref="EH16">IFERROR(IF('T1'!$J16="",INDEX(LISTA_EX,136),INDEX(LISTA_EX,MATCH('T1'!$J16&amp;"|"&amp;136,LISTA_KLUCZ,0))),"")</f>
        <v>Rope pushdown OH</v>
      </c>
      <c r="EI16" s="5" t="str">
        <f t="array" ref="EI16">IFERROR(IF('T1'!$J16="",INDEX(LISTA_EX,137),INDEX(LISTA_EX,MATCH('T1'!$J16&amp;"|"&amp;137,LISTA_KLUCZ,0))),"")</f>
        <v>S/a cable pulldown incline bench</v>
      </c>
      <c r="EJ16" s="5" t="str">
        <f t="array" ref="EJ16">IFERROR(IF('T1'!$J16="",INDEX(LISTA_EX,138),INDEX(LISTA_EX,MATCH('T1'!$J16&amp;"|"&amp;138,LISTA_KLUCZ,0))),"")</f>
        <v>S/a lat pulldown incline bench</v>
      </c>
      <c r="EK16" s="5" t="str">
        <f t="array" ref="EK16">IFERROR(IF('T1'!$J16="",INDEX(LISTA_EX,139),INDEX(LISTA_EX,MATCH('T1'!$J16&amp;"|"&amp;139,LISTA_KLUCZ,0))),"")</f>
        <v>S/l dragonflag eccentric</v>
      </c>
      <c r="EL16" s="5" t="str">
        <f t="array" ref="EL16">IFERROR(IF('T1'!$J16="",INDEX(LISTA_EX,140),INDEX(LISTA_EX,MATCH('T1'!$J16&amp;"|"&amp;140,LISTA_KLUCZ,0))),"")</f>
        <v>S/l hip thrust</v>
      </c>
      <c r="EM16" s="5" t="str">
        <f t="array" ref="EM16">IFERROR(IF('T1'!$J16="",INDEX(LISTA_EX,141),INDEX(LISTA_EX,MATCH('T1'!$J16&amp;"|"&amp;141,LISTA_KLUCZ,0))),"")</f>
        <v>Seated broad jump</v>
      </c>
      <c r="EN16" s="5" t="str">
        <f t="array" ref="EN16">IFERROR(IF('T1'!$J16="",INDEX(LISTA_EX,142),INDEX(LISTA_EX,MATCH('T1'!$J16&amp;"|"&amp;142,LISTA_KLUCZ,0))),"")</f>
        <v>Seated cable facepull</v>
      </c>
      <c r="EO16" s="5" t="str">
        <f t="array" ref="EO16">IFERROR(IF('T1'!$J16="",INDEX(LISTA_EX,143),INDEX(LISTA_EX,MATCH('T1'!$J16&amp;"|"&amp;143,LISTA_KLUCZ,0))),"")</f>
        <v>Seated seesaw press (nogi proste)</v>
      </c>
      <c r="EP16" s="5" t="str">
        <f t="array" ref="EP16">IFERROR(IF('T1'!$J16="",INDEX(LISTA_EX,144),INDEX(LISTA_EX,MATCH('T1'!$J16&amp;"|"&amp;144,LISTA_KLUCZ,0))),"")</f>
        <v>Seesaw press</v>
      </c>
      <c r="EQ16" s="5" t="str">
        <f t="array" ref="EQ16">IFERROR(IF('T1'!$J16="",INDEX(LISTA_EX,145),INDEX(LISTA_EX,MATCH('T1'!$J16&amp;"|"&amp;145,LISTA_KLUCZ,0))),"")</f>
        <v>Side crunches</v>
      </c>
      <c r="ER16" s="5" t="str">
        <f t="array" ref="ER16">IFERROR(IF('T1'!$J16="",INDEX(LISTA_EX,146),INDEX(LISTA_EX,MATCH('T1'!$J16&amp;"|"&amp;146,LISTA_KLUCZ,0))),"")</f>
        <v>Side plank hip drop</v>
      </c>
      <c r="ES16" s="5" t="str">
        <f t="array" ref="ES16">IFERROR(IF('T1'!$J16="",INDEX(LISTA_EX,147),INDEX(LISTA_EX,MATCH('T1'!$J16&amp;"|"&amp;147,LISTA_KLUCZ,0))),"")</f>
        <v>Side plank rotations</v>
      </c>
      <c r="ET16" s="5" t="str">
        <f t="array" ref="ET16">IFERROR(IF('T1'!$J16="",INDEX(LISTA_EX,148),INDEX(LISTA_EX,MATCH('T1'!$J16&amp;"|"&amp;148,LISTA_KLUCZ,0))),"")</f>
        <v>SLDL balance</v>
      </c>
      <c r="EU16" s="5" t="str">
        <f t="array" ref="EU16">IFERROR(IF('T1'!$J16="",INDEX(LISTA_EX,149),INDEX(LISTA_EX,MATCH('T1'!$J16&amp;"|"&amp;149,LISTA_KLUCZ,0))),"")</f>
        <v>Split squat</v>
      </c>
      <c r="EV16" s="5" t="str">
        <f t="array" ref="EV16">IFERROR(IF('T1'!$J16="",INDEX(LISTA_EX,150),INDEX(LISTA_EX,MATCH('T1'!$J16&amp;"|"&amp;150,LISTA_KLUCZ,0))),"")</f>
        <v>Split stance SLDL</v>
      </c>
      <c r="EW16" s="5" t="str">
        <f t="array" ref="EW16">IFERROR(IF('T1'!$J16="",INDEX(LISTA_EX,151),INDEX(LISTA_EX,MATCH('T1'!$J16&amp;"|"&amp;151,LISTA_KLUCZ,0))),"")</f>
        <v>Squat izo (15 sek)</v>
      </c>
      <c r="EX16" s="5" t="str">
        <f t="array" ref="EX16">IFERROR(IF('T1'!$J16="",INDEX(LISTA_EX,152),INDEX(LISTA_EX,MATCH('T1'!$J16&amp;"|"&amp;152,LISTA_KLUCZ,0))),"")</f>
        <v>Standing landmine press</v>
      </c>
      <c r="EY16" s="5" t="str">
        <f t="array" ref="EY16">IFERROR(IF('T1'!$J16="",INDEX(LISTA_EX,153),INDEX(LISTA_EX,MATCH('T1'!$J16&amp;"|"&amp;153,LISTA_KLUCZ,0))),"")</f>
        <v>Suitcase carry</v>
      </c>
      <c r="EZ16" s="5" t="str">
        <f t="array" ref="EZ16">IFERROR(IF('T1'!$J16="",INDEX(LISTA_EX,154),INDEX(LISTA_EX,MATCH('T1'!$J16&amp;"|"&amp;154,LISTA_KLUCZ,0))),"")</f>
        <v>Supine pigeon abs</v>
      </c>
      <c r="FA16" s="5" t="str">
        <f t="array" ref="FA16">IFERROR(IF('T1'!$J16="",INDEX(LISTA_EX,155),INDEX(LISTA_EX,MATCH('T1'!$J16&amp;"|"&amp;155,LISTA_KLUCZ,0))),"")</f>
        <v>Swiss ball leg curl</v>
      </c>
      <c r="FB16" s="5" t="str">
        <f t="array" ref="FB16">IFERROR(IF('T1'!$J16="",INDEX(LISTA_EX,156),INDEX(LISTA_EX,MATCH('T1'!$J16&amp;"|"&amp;156,LISTA_KLUCZ,0))),"")</f>
        <v>Toes to bar</v>
      </c>
      <c r="FC16" s="5" t="str">
        <f t="array" ref="FC16">IFERROR(IF('T1'!$J16="",INDEX(LISTA_EX,157),INDEX(LISTA_EX,MATCH('T1'!$J16&amp;"|"&amp;157,LISTA_KLUCZ,0))),"")</f>
        <v>Trap bar deadlift</v>
      </c>
      <c r="FD16" s="5" t="str">
        <f t="array" ref="FD16">IFERROR(IF('T1'!$J16="",INDEX(LISTA_EX,158),INDEX(LISTA_EX,MATCH('T1'!$J16&amp;"|"&amp;158,LISTA_KLUCZ,0))),"")</f>
        <v>Tricep cable pushdown</v>
      </c>
      <c r="FE16" s="5" t="str">
        <f t="array" ref="FE16">IFERROR(IF('T1'!$J16="",INDEX(LISTA_EX,159),INDEX(LISTA_EX,MATCH('T1'!$J16&amp;"|"&amp;159,LISTA_KLUCZ,0))),"")</f>
        <v>Tricep JM press</v>
      </c>
      <c r="FF16" s="5" t="str">
        <f t="array" ref="FF16">IFERROR(IF('T1'!$J16="",INDEX(LISTA_EX,160),INDEX(LISTA_EX,MATCH('T1'!$J16&amp;"|"&amp;160,LISTA_KLUCZ,0))),"")</f>
        <v>Tricep OH cable</v>
      </c>
      <c r="FG16" s="5" t="str">
        <f t="array" ref="FG16">IFERROR(IF('T1'!$J16="",INDEX(LISTA_EX,161),INDEX(LISTA_EX,MATCH('T1'!$J16&amp;"|"&amp;161,LISTA_KLUCZ,0))),"")</f>
        <v>Tricep OH ez bar</v>
      </c>
      <c r="FH16" s="5" t="str">
        <f t="array" ref="FH16">IFERROR(IF('T1'!$J16="",INDEX(LISTA_EX,162),INDEX(LISTA_EX,MATCH('T1'!$J16&amp;"|"&amp;162,LISTA_KLUCZ,0))),"")</f>
        <v>Walking lunges</v>
      </c>
      <c r="FI16" s="5" t="str">
        <f t="array" ref="FI16">IFERROR(IF('T1'!$J16="",INDEX(LISTA_EX,163),INDEX(LISTA_EX,MATCH('T1'!$J16&amp;"|"&amp;163,LISTA_KLUCZ,0))),"")</f>
        <v>Wipers kettle</v>
      </c>
      <c r="FJ16" s="5" t="str">
        <f t="array" ref="FJ16">IFERROR(IF('T1'!$J16="",INDEX(LISTA_EX,164),INDEX(LISTA_EX,MATCH('T1'!$J16&amp;"|"&amp;164,LISTA_KLUCZ,0))),"")</f>
        <v>Zercher jumps</v>
      </c>
      <c r="FK16" s="5" t="str">
        <f t="array" ref="FK16">IFERROR(IF('T1'!$J16="",INDEX(LISTA_EX,165),INDEX(LISTA_EX,MATCH('T1'!$J16&amp;"|"&amp;165,LISTA_KLUCZ,0))),"")</f>
        <v/>
      </c>
      <c r="FL16" s="5" t="str">
        <f t="array" ref="FL16">IFERROR(IF('T1'!$J16="",INDEX(LISTA_EX,166),INDEX(LISTA_EX,MATCH('T1'!$J16&amp;"|"&amp;166,LISTA_KLUCZ,0))),"")</f>
        <v/>
      </c>
      <c r="FM16" s="5" t="str">
        <f t="array" ref="FM16">IFERROR(IF('T1'!$J16="",INDEX(LISTA_EX,167),INDEX(LISTA_EX,MATCH('T1'!$J16&amp;"|"&amp;167,LISTA_KLUCZ,0))),"")</f>
        <v/>
      </c>
      <c r="FN16" s="5" t="str">
        <f t="array" ref="FN16">IFERROR(IF('T1'!$J16="",INDEX(LISTA_EX,168),INDEX(LISTA_EX,MATCH('T1'!$J16&amp;"|"&amp;168,LISTA_KLUCZ,0))),"")</f>
        <v/>
      </c>
      <c r="FO16" s="5" t="str">
        <f t="array" ref="FO16">IFERROR(IF('T1'!$J16="",INDEX(LISTA_EX,169),INDEX(LISTA_EX,MATCH('T1'!$J16&amp;"|"&amp;169,LISTA_KLUCZ,0))),"")</f>
        <v/>
      </c>
      <c r="FP16" s="5" t="str">
        <f t="array" ref="FP16">IFERROR(IF('T1'!$J16="",INDEX(LISTA_EX,170),INDEX(LISTA_EX,MATCH('T1'!$J16&amp;"|"&amp;170,LISTA_KLUCZ,0))),"")</f>
        <v/>
      </c>
      <c r="FQ16" s="5" t="str">
        <f t="array" ref="FQ16">IFERROR(IF('T1'!$J16="",INDEX(LISTA_EX,171),INDEX(LISTA_EX,MATCH('T1'!$J16&amp;"|"&amp;171,LISTA_KLUCZ,0))),"")</f>
        <v/>
      </c>
      <c r="FR16" s="5" t="str">
        <f t="array" ref="FR16">IFERROR(IF('T1'!$J16="",INDEX(LISTA_EX,172),INDEX(LISTA_EX,MATCH('T1'!$J16&amp;"|"&amp;172,LISTA_KLUCZ,0))),"")</f>
        <v/>
      </c>
      <c r="FS16" s="5" t="str">
        <f t="array" ref="FS16">IFERROR(IF('T1'!$J16="",INDEX(LISTA_EX,173),INDEX(LISTA_EX,MATCH('T1'!$J16&amp;"|"&amp;173,LISTA_KLUCZ,0))),"")</f>
        <v/>
      </c>
      <c r="FT16" s="5" t="str">
        <f t="array" ref="FT16">IFERROR(IF('T1'!$J16="",INDEX(LISTA_EX,174),INDEX(LISTA_EX,MATCH('T1'!$J16&amp;"|"&amp;174,LISTA_KLUCZ,0))),"")</f>
        <v/>
      </c>
      <c r="FU16" s="5" t="str">
        <f t="array" ref="FU16">IFERROR(IF('T1'!$J16="",INDEX(LISTA_EX,175),INDEX(LISTA_EX,MATCH('T1'!$J16&amp;"|"&amp;175,LISTA_KLUCZ,0))),"")</f>
        <v/>
      </c>
      <c r="FV16" s="5" t="str">
        <f t="array" ref="FV16">IFERROR(IF('T1'!$J16="",INDEX(LISTA_EX,176),INDEX(LISTA_EX,MATCH('T1'!$J16&amp;"|"&amp;176,LISTA_KLUCZ,0))),"")</f>
        <v/>
      </c>
      <c r="FW16" s="5" t="str">
        <f t="array" ref="FW16">IFERROR(IF('T1'!$J16="",INDEX(LISTA_EX,177),INDEX(LISTA_EX,MATCH('T1'!$J16&amp;"|"&amp;177,LISTA_KLUCZ,0))),"")</f>
        <v/>
      </c>
      <c r="FX16" s="5" t="str">
        <f t="array" ref="FX16">IFERROR(IF('T1'!$J16="",INDEX(LISTA_EX,178),INDEX(LISTA_EX,MATCH('T1'!$J16&amp;"|"&amp;178,LISTA_KLUCZ,0))),"")</f>
        <v/>
      </c>
      <c r="FY16" s="5" t="str">
        <f t="array" ref="FY16">IFERROR(IF('T1'!$J16="",INDEX(LISTA_EX,179),INDEX(LISTA_EX,MATCH('T1'!$J16&amp;"|"&amp;179,LISTA_KLUCZ,0))),"")</f>
        <v/>
      </c>
      <c r="FZ16" s="5" t="str">
        <f t="array" ref="FZ16">IFERROR(IF('T1'!$J16="",INDEX(LISTA_EX,180),INDEX(LISTA_EX,MATCH('T1'!$J16&amp;"|"&amp;180,LISTA_KLUCZ,0))),"")</f>
        <v/>
      </c>
      <c r="GA16" s="5" t="str">
        <f t="array" ref="GA16">IFERROR(IF('T1'!$J16="",INDEX(LISTA_EX,181),INDEX(LISTA_EX,MATCH('T1'!$J16&amp;"|"&amp;181,LISTA_KLUCZ,0))),"")</f>
        <v/>
      </c>
      <c r="GB16" s="5" t="str">
        <f t="array" ref="GB16">IFERROR(IF('T1'!$J16="",INDEX(LISTA_EX,182),INDEX(LISTA_EX,MATCH('T1'!$J16&amp;"|"&amp;182,LISTA_KLUCZ,0))),"")</f>
        <v/>
      </c>
      <c r="GC16" s="5" t="str">
        <f t="array" ref="GC16">IFERROR(IF('T1'!$J16="",INDEX(LISTA_EX,183),INDEX(LISTA_EX,MATCH('T1'!$J16&amp;"|"&amp;183,LISTA_KLUCZ,0))),"")</f>
        <v/>
      </c>
      <c r="GD16" s="5" t="str">
        <f t="array" ref="GD16">IFERROR(IF('T1'!$J16="",INDEX(LISTA_EX,184),INDEX(LISTA_EX,MATCH('T1'!$J16&amp;"|"&amp;184,LISTA_KLUCZ,0))),"")</f>
        <v/>
      </c>
      <c r="GE16" s="5" t="str">
        <f t="array" ref="GE16">IFERROR(IF('T1'!$J16="",INDEX(LISTA_EX,185),INDEX(LISTA_EX,MATCH('T1'!$J16&amp;"|"&amp;185,LISTA_KLUCZ,0))),"")</f>
        <v/>
      </c>
      <c r="GF16" s="5" t="str">
        <f t="array" ref="GF16">IFERROR(IF('T1'!$J16="",INDEX(LISTA_EX,186),INDEX(LISTA_EX,MATCH('T1'!$J16&amp;"|"&amp;186,LISTA_KLUCZ,0))),"")</f>
        <v/>
      </c>
      <c r="GG16" s="5" t="str">
        <f t="array" ref="GG16">IFERROR(IF('T1'!$J16="",INDEX(LISTA_EX,187),INDEX(LISTA_EX,MATCH('T1'!$J16&amp;"|"&amp;187,LISTA_KLUCZ,0))),"")</f>
        <v/>
      </c>
      <c r="GH16" s="5" t="str">
        <f t="array" ref="GH16">IFERROR(IF('T1'!$J16="",INDEX(LISTA_EX,188),INDEX(LISTA_EX,MATCH('T1'!$J16&amp;"|"&amp;188,LISTA_KLUCZ,0))),"")</f>
        <v/>
      </c>
      <c r="GI16" s="5" t="str">
        <f t="array" ref="GI16">IFERROR(IF('T1'!$J16="",INDEX(LISTA_EX,189),INDEX(LISTA_EX,MATCH('T1'!$J16&amp;"|"&amp;189,LISTA_KLUCZ,0))),"")</f>
        <v/>
      </c>
      <c r="GJ16" s="5" t="str">
        <f t="array" ref="GJ16">IFERROR(IF('T1'!$J16="",INDEX(LISTA_EX,190),INDEX(LISTA_EX,MATCH('T1'!$J16&amp;"|"&amp;190,LISTA_KLUCZ,0))),"")</f>
        <v/>
      </c>
      <c r="GK16" s="5" t="str">
        <f t="array" ref="GK16">IFERROR(IF('T1'!$J16="",INDEX(LISTA_EX,191),INDEX(LISTA_EX,MATCH('T1'!$J16&amp;"|"&amp;191,LISTA_KLUCZ,0))),"")</f>
        <v/>
      </c>
      <c r="GL16" s="5" t="str">
        <f t="array" ref="GL16">IFERROR(IF('T1'!$J16="",INDEX(LISTA_EX,192),INDEX(LISTA_EX,MATCH('T1'!$J16&amp;"|"&amp;192,LISTA_KLUCZ,0))),"")</f>
        <v/>
      </c>
      <c r="GM16" s="5" t="str">
        <f t="array" ref="GM16">IFERROR(IF('T1'!$J16="",INDEX(LISTA_EX,193),INDEX(LISTA_EX,MATCH('T1'!$J16&amp;"|"&amp;193,LISTA_KLUCZ,0))),"")</f>
        <v/>
      </c>
      <c r="GN16" s="5" t="str">
        <f t="array" ref="GN16">IFERROR(IF('T1'!$J16="",INDEX(LISTA_EX,194),INDEX(LISTA_EX,MATCH('T1'!$J16&amp;"|"&amp;194,LISTA_KLUCZ,0))),"")</f>
        <v/>
      </c>
      <c r="GO16" s="5" t="str">
        <f t="array" ref="GO16">IFERROR(IF('T1'!$J16="",INDEX(LISTA_EX,195),INDEX(LISTA_EX,MATCH('T1'!$J16&amp;"|"&amp;195,LISTA_KLUCZ,0))),"")</f>
        <v/>
      </c>
      <c r="GP16" s="5" t="str">
        <f t="array" ref="GP16">IFERROR(IF('T1'!$J16="",INDEX(LISTA_EX,196),INDEX(LISTA_EX,MATCH('T1'!$J16&amp;"|"&amp;196,LISTA_KLUCZ,0))),"")</f>
        <v/>
      </c>
      <c r="GQ16" s="5" t="str">
        <f t="array" ref="GQ16">IFERROR(IF('T1'!$J16="",INDEX(LISTA_EX,197),INDEX(LISTA_EX,MATCH('T1'!$J16&amp;"|"&amp;197,LISTA_KLUCZ,0))),"")</f>
        <v/>
      </c>
      <c r="GR16" s="5" t="str">
        <f t="array" ref="GR16">IFERROR(IF('T1'!$J16="",INDEX(LISTA_EX,198),INDEX(LISTA_EX,MATCH('T1'!$J16&amp;"|"&amp;198,LISTA_KLUCZ,0))),"")</f>
        <v/>
      </c>
      <c r="GS16" s="5" t="str">
        <f t="array" ref="GS16">IFERROR(IF('T1'!$J16="",INDEX(LISTA_EX,199),INDEX(LISTA_EX,MATCH('T1'!$J16&amp;"|"&amp;199,LISTA_KLUCZ,0))),"")</f>
        <v/>
      </c>
      <c r="GT16" s="5" t="str">
        <f t="array" ref="GT16">IFERROR(IF('T1'!$J16="",INDEX(LISTA_EX,200),INDEX(LISTA_EX,MATCH('T1'!$J16&amp;"|"&amp;200,LISTA_KLUCZ,0))),"")</f>
        <v/>
      </c>
      <c r="GV16" s="5" t="str">
        <f>IF(BAZA!$A16="","",BAZA!$A16)</f>
        <v>Barbell OHP</v>
      </c>
      <c r="GW16" s="5" t="str">
        <f>IF(BAZA!$B16="","",BAZA!$B16&amp;"|"&amp;COUNTIF(BAZA!$B$3:$B16,BAZA!$B16))</f>
        <v>Upper push vertical|3</v>
      </c>
    </row>
    <row r="17" ht="15.0" customHeight="1">
      <c r="A17" s="5" t="str">
        <f>IF('T1'!$K17="","",'T1'!$K17)</f>
        <v>D1-S11</v>
      </c>
      <c r="B17" s="5" t="str">
        <f>IF('T1'!$J17="","(wszystkie)",'T1'!$J17)</f>
        <v>(wszystkie)</v>
      </c>
      <c r="C17" s="5" t="str">
        <f t="array" ref="C17">IFERROR(IF('T1'!$J17="",INDEX(LISTA_EX,1),INDEX(LISTA_EX,MATCH('T1'!$J17&amp;"|"&amp;1,LISTA_KLUCZ,0))),"")</f>
        <v>Abduction machine</v>
      </c>
      <c r="D17" s="5" t="str">
        <f t="array" ref="D17">IFERROR(IF('T1'!$J17="",INDEX(LISTA_EX,2),INDEX(LISTA_EX,MATCH('T1'!$J17&amp;"|"&amp;2,LISTA_KLUCZ,0))),"")</f>
        <v>Adduction machine</v>
      </c>
      <c r="E17" s="5" t="str">
        <f t="array" ref="E17">IFERROR(IF('T1'!$J17="",INDEX(LISTA_EX,3),INDEX(LISTA_EX,MATCH('T1'!$J17&amp;"|"&amp;3,LISTA_KLUCZ,0))),"")</f>
        <v>Allah</v>
      </c>
      <c r="F17" s="5" t="str">
        <f t="array" ref="F17">IFERROR(IF('T1'!$J17="",INDEX(LISTA_EX,4),INDEX(LISTA_EX,MATCH('T1'!$J17&amp;"|"&amp;4,LISTA_KLUCZ,0))),"")</f>
        <v>Arnold press</v>
      </c>
      <c r="G17" s="5" t="str">
        <f t="array" ref="G17">IFERROR(IF('T1'!$J17="",INDEX(LISTA_EX,5),INDEX(LISTA_EX,MATCH('T1'!$J17&amp;"|"&amp;5,LISTA_KLUCZ,0))),"")</f>
        <v>Arnold press alternating</v>
      </c>
      <c r="H17" s="5" t="str">
        <f t="array" ref="H17">IFERROR(IF('T1'!$J17="",INDEX(LISTA_EX,6),INDEX(LISTA_EX,MATCH('T1'!$J17&amp;"|"&amp;6,LISTA_KLUCZ,0))),"")</f>
        <v>B/l dragonflag eccentric</v>
      </c>
      <c r="I17" s="5" t="str">
        <f t="array" ref="I17">IFERROR(IF('T1'!$J17="",INDEX(LISTA_EX,7),INDEX(LISTA_EX,MATCH('T1'!$J17&amp;"|"&amp;7,LISTA_KLUCZ,0))),"")</f>
        <v>Back extension</v>
      </c>
      <c r="J17" s="5" t="str">
        <f t="array" ref="J17">IFERROR(IF('T1'!$J17="",INDEX(LISTA_EX,8),INDEX(LISTA_EX,MATCH('T1'!$J17&amp;"|"&amp;8,LISTA_KLUCZ,0))),"")</f>
        <v>Banded pistol squat</v>
      </c>
      <c r="K17" s="5" t="str">
        <f t="array" ref="K17">IFERROR(IF('T1'!$J17="",INDEX(LISTA_EX,9),INDEX(LISTA_EX,MATCH('T1'!$J17&amp;"|"&amp;9,LISTA_KLUCZ,0))),"")</f>
        <v>Banded pull ups</v>
      </c>
      <c r="L17" s="5" t="str">
        <f t="array" ref="L17">IFERROR(IF('T1'!$J17="",INDEX(LISTA_EX,10),INDEX(LISTA_EX,MATCH('T1'!$J17&amp;"|"&amp;10,LISTA_KLUCZ,0))),"")</f>
        <v>Barbell back squat</v>
      </c>
      <c r="M17" s="5" t="str">
        <f t="array" ref="M17">IFERROR(IF('T1'!$J17="",INDEX(LISTA_EX,11),INDEX(LISTA_EX,MATCH('T1'!$J17&amp;"|"&amp;11,LISTA_KLUCZ,0))),"")</f>
        <v>Barbell bench press</v>
      </c>
      <c r="N17" s="5" t="str">
        <f t="array" ref="N17">IFERROR(IF('T1'!$J17="",INDEX(LISTA_EX,12),INDEX(LISTA_EX,MATCH('T1'!$J17&amp;"|"&amp;12,LISTA_KLUCZ,0))),"")</f>
        <v>Barbell curl</v>
      </c>
      <c r="O17" s="5" t="str">
        <f t="array" ref="O17">IFERROR(IF('T1'!$J17="",INDEX(LISTA_EX,13),INDEX(LISTA_EX,MATCH('T1'!$J17&amp;"|"&amp;13,LISTA_KLUCZ,0))),"")</f>
        <v>Barbell low bar squat</v>
      </c>
      <c r="P17" s="5" t="str">
        <f t="array" ref="P17">IFERROR(IF('T1'!$J17="",INDEX(LISTA_EX,14),INDEX(LISTA_EX,MATCH('T1'!$J17&amp;"|"&amp;14,LISTA_KLUCZ,0))),"")</f>
        <v>Barbell OHP</v>
      </c>
      <c r="Q17" s="5" t="str">
        <f t="array" ref="Q17">IFERROR(IF('T1'!$J17="",INDEX(LISTA_EX,15),INDEX(LISTA_EX,MATCH('T1'!$J17&amp;"|"&amp;15,LISTA_KLUCZ,0))),"")</f>
        <v>Barbell oscilation</v>
      </c>
      <c r="R17" s="5" t="str">
        <f t="array" ref="R17">IFERROR(IF('T1'!$J17="",INDEX(LISTA_EX,16),INDEX(LISTA_EX,MATCH('T1'!$J17&amp;"|"&amp;16,LISTA_KLUCZ,0))),"")</f>
        <v>Barbell row</v>
      </c>
      <c r="S17" s="5" t="str">
        <f t="array" ref="S17">IFERROR(IF('T1'!$J17="",INDEX(LISTA_EX,17),INDEX(LISTA_EX,MATCH('T1'!$J17&amp;"|"&amp;17,LISTA_KLUCZ,0))),"")</f>
        <v>Barbell row dead stop pins</v>
      </c>
      <c r="T17" s="5" t="str">
        <f t="array" ref="T17">IFERROR(IF('T1'!$J17="",INDEX(LISTA_EX,18),INDEX(LISTA_EX,MATCH('T1'!$J17&amp;"|"&amp;18,LISTA_KLUCZ,0))),"")</f>
        <v>Barbell SLDL</v>
      </c>
      <c r="U17" s="5" t="str">
        <f t="array" ref="U17">IFERROR(IF('T1'!$J17="",INDEX(LISTA_EX,19),INDEX(LISTA_EX,MATCH('T1'!$J17&amp;"|"&amp;19,LISTA_KLUCZ,0))),"")</f>
        <v>Bayesian curl</v>
      </c>
      <c r="V17" s="5" t="str">
        <f t="array" ref="V17">IFERROR(IF('T1'!$J17="",INDEX(LISTA_EX,20),INDEX(LISTA_EX,MATCH('T1'!$J17&amp;"|"&amp;20,LISTA_KLUCZ,0))),"")</f>
        <v>Bear renegade row</v>
      </c>
      <c r="W17" s="5" t="str">
        <f t="array" ref="W17">IFERROR(IF('T1'!$J17="",INDEX(LISTA_EX,21),INDEX(LISTA_EX,MATCH('T1'!$J17&amp;"|"&amp;21,LISTA_KLUCZ,0))),"")</f>
        <v>Bench press paused 3sec</v>
      </c>
      <c r="X17" s="5" t="str">
        <f t="array" ref="X17">IFERROR(IF('T1'!$J17="",INDEX(LISTA_EX,22),INDEX(LISTA_EX,MATCH('T1'!$J17&amp;"|"&amp;22,LISTA_KLUCZ,0))),"")</f>
        <v>Bicep hammer curl</v>
      </c>
      <c r="Y17" s="5" t="str">
        <f t="array" ref="Y17">IFERROR(IF('T1'!$J17="",INDEX(LISTA_EX,23),INDEX(LISTA_EX,MATCH('T1'!$J17&amp;"|"&amp;23,LISTA_KLUCZ,0))),"")</f>
        <v>Bicep squat cable curl</v>
      </c>
      <c r="Z17" s="5" t="str">
        <f t="array" ref="Z17">IFERROR(IF('T1'!$J17="",INDEX(LISTA_EX,24),INDEX(LISTA_EX,MATCH('T1'!$J17&amp;"|"&amp;24,LISTA_KLUCZ,0))),"")</f>
        <v>Bird dog row</v>
      </c>
      <c r="AA17" s="5" t="str">
        <f t="array" ref="AA17">IFERROR(IF('T1'!$J17="",INDEX(LISTA_EX,25),INDEX(LISTA_EX,MATCH('T1'!$J17&amp;"|"&amp;25,LISTA_KLUCZ,0))),"")</f>
        <v>Box jump</v>
      </c>
      <c r="AB17" s="5" t="str">
        <f t="array" ref="AB17">IFERROR(IF('T1'!$J17="",INDEX(LISTA_EX,26),INDEX(LISTA_EX,MATCH('T1'!$J17&amp;"|"&amp;26,LISTA_KLUCZ,0))),"")</f>
        <v>Bulgarian clean plyo</v>
      </c>
      <c r="AC17" s="5" t="str">
        <f t="array" ref="AC17">IFERROR(IF('T1'!$J17="",INDEX(LISTA_EX,27),INDEX(LISTA_EX,MATCH('T1'!$J17&amp;"|"&amp;27,LISTA_KLUCZ,0))),"")</f>
        <v>Bulgarian squat assisted</v>
      </c>
      <c r="AD17" s="5" t="str">
        <f t="array" ref="AD17">IFERROR(IF('T1'!$J17="",INDEX(LISTA_EX,28),INDEX(LISTA_EX,MATCH('T1'!$J17&amp;"|"&amp;28,LISTA_KLUCZ,0))),"")</f>
        <v>Cable biceps curl</v>
      </c>
      <c r="AE17" s="5" t="str">
        <f t="array" ref="AE17">IFERROR(IF('T1'!$J17="",INDEX(LISTA_EX,29),INDEX(LISTA_EX,MATCH('T1'!$J17&amp;"|"&amp;29,LISTA_KLUCZ,0))),"")</f>
        <v>Cable fly</v>
      </c>
      <c r="AF17" s="5" t="str">
        <f t="array" ref="AF17">IFERROR(IF('T1'!$J17="",INDEX(LISTA_EX,30),INDEX(LISTA_EX,MATCH('T1'!$J17&amp;"|"&amp;30,LISTA_KLUCZ,0))),"")</f>
        <v>Cable lateral raise s/a</v>
      </c>
      <c r="AG17" s="5" t="str">
        <f t="array" ref="AG17">IFERROR(IF('T1'!$J17="",INDEX(LISTA_EX,31),INDEX(LISTA_EX,MATCH('T1'!$J17&amp;"|"&amp;31,LISTA_KLUCZ,0))),"")</f>
        <v>Cable row</v>
      </c>
      <c r="AH17" s="5" t="str">
        <f t="array" ref="AH17">IFERROR(IF('T1'!$J17="",INDEX(LISTA_EX,32),INDEX(LISTA_EX,MATCH('T1'!$J17&amp;"|"&amp;32,LISTA_KLUCZ,0))),"")</f>
        <v>Cable row s/a</v>
      </c>
      <c r="AI17" s="5" t="str">
        <f t="array" ref="AI17">IFERROR(IF('T1'!$J17="",INDEX(LISTA_EX,33),INDEX(LISTA_EX,MATCH('T1'!$J17&amp;"|"&amp;33,LISTA_KLUCZ,0))),"")</f>
        <v>Calf raises</v>
      </c>
      <c r="AJ17" s="5" t="str">
        <f t="array" ref="AJ17">IFERROR(IF('T1'!$J17="",INDEX(LISTA_EX,34),INDEX(LISTA_EX,MATCH('T1'!$J17&amp;"|"&amp;34,LISTA_KLUCZ,0))),"")</f>
        <v>Chest fly machine</v>
      </c>
      <c r="AK17" s="5" t="str">
        <f t="array" ref="AK17">IFERROR(IF('T1'!$J17="",INDEX(LISTA_EX,35),INDEX(LISTA_EX,MATCH('T1'!$J17&amp;"|"&amp;35,LISTA_KLUCZ,0))),"")</f>
        <v>Clean</v>
      </c>
      <c r="AL17" s="5" t="str">
        <f t="array" ref="AL17">IFERROR(IF('T1'!$J17="",INDEX(LISTA_EX,36),INDEX(LISTA_EX,MATCH('T1'!$J17&amp;"|"&amp;36,LISTA_KLUCZ,0))),"")</f>
        <v>Clean pins</v>
      </c>
      <c r="AM17" s="5" t="str">
        <f t="array" ref="AM17">IFERROR(IF('T1'!$J17="",INDEX(LISTA_EX,37),INDEX(LISTA_EX,MATCH('T1'!$J17&amp;"|"&amp;37,LISTA_KLUCZ,0))),"")</f>
        <v>Copenhagen plank</v>
      </c>
      <c r="AN17" s="5" t="str">
        <f t="array" ref="AN17">IFERROR(IF('T1'!$J17="",INDEX(LISTA_EX,38),INDEX(LISTA_EX,MATCH('T1'!$J17&amp;"|"&amp;38,LISTA_KLUCZ,0))),"")</f>
        <v>Dead bug izo + OH</v>
      </c>
      <c r="AO17" s="5" t="str">
        <f t="array" ref="AO17">IFERROR(IF('T1'!$J17="",INDEX(LISTA_EX,39),INDEX(LISTA_EX,MATCH('T1'!$J17&amp;"|"&amp;39,LISTA_KLUCZ,0))),"")</f>
        <v>Dead bug straight legs</v>
      </c>
      <c r="AP17" s="5" t="str">
        <f t="array" ref="AP17">IFERROR(IF('T1'!$J17="",INDEX(LISTA_EX,40),INDEX(LISTA_EX,MATCH('T1'!$J17&amp;"|"&amp;40,LISTA_KLUCZ,0))),"")</f>
        <v>Dead stop barbell row</v>
      </c>
      <c r="AQ17" s="5" t="str">
        <f t="array" ref="AQ17">IFERROR(IF('T1'!$J17="",INDEX(LISTA_EX,41),INDEX(LISTA_EX,MATCH('T1'!$J17&amp;"|"&amp;41,LISTA_KLUCZ,0))),"")</f>
        <v>Deadbug OH</v>
      </c>
      <c r="AR17" s="5" t="str">
        <f t="array" ref="AR17">IFERROR(IF('T1'!$J17="",INDEX(LISTA_EX,42),INDEX(LISTA_EX,MATCH('T1'!$J17&amp;"|"&amp;42,LISTA_KLUCZ,0))),"")</f>
        <v>Deadlift</v>
      </c>
      <c r="AS17" s="5" t="str">
        <f t="array" ref="AS17">IFERROR(IF('T1'!$J17="",INDEX(LISTA_EX,43),INDEX(LISTA_EX,MATCH('T1'!$J17&amp;"|"&amp;43,LISTA_KLUCZ,0))),"")</f>
        <v>Deficit push up</v>
      </c>
      <c r="AT17" s="5" t="str">
        <f t="array" ref="AT17">IFERROR(IF('T1'!$J17="",INDEX(LISTA_EX,44),INDEX(LISTA_EX,MATCH('T1'!$J17&amp;"|"&amp;44,LISTA_KLUCZ,0))),"")</f>
        <v>Deficit reverse lunge</v>
      </c>
      <c r="AU17" s="5" t="str">
        <f t="array" ref="AU17">IFERROR(IF('T1'!$J17="",INDEX(LISTA_EX,45),INDEX(LISTA_EX,MATCH('T1'!$J17&amp;"|"&amp;45,LISTA_KLUCZ,0))),"")</f>
        <v>Dips</v>
      </c>
      <c r="AV17" s="5" t="str">
        <f t="array" ref="AV17">IFERROR(IF('T1'!$J17="",INDEX(LISTA_EX,46),INDEX(LISTA_EX,MATCH('T1'!$J17&amp;"|"&amp;46,LISTA_KLUCZ,0))),"")</f>
        <v>Dips weighted</v>
      </c>
      <c r="AW17" s="5" t="str">
        <f t="array" ref="AW17">IFERROR(IF('T1'!$J17="",INDEX(LISTA_EX,47),INDEX(LISTA_EX,MATCH('T1'!$J17&amp;"|"&amp;47,LISTA_KLUCZ,0))),"")</f>
        <v>Dumbbell bench press</v>
      </c>
      <c r="AX17" s="5" t="str">
        <f t="array" ref="AX17">IFERROR(IF('T1'!$J17="",INDEX(LISTA_EX,48),INDEX(LISTA_EX,MATCH('T1'!$J17&amp;"|"&amp;48,LISTA_KLUCZ,0))),"")</f>
        <v>Dumbbell bench press alternating</v>
      </c>
      <c r="AY17" s="5" t="str">
        <f t="array" ref="AY17">IFERROR(IF('T1'!$J17="",INDEX(LISTA_EX,49),INDEX(LISTA_EX,MATCH('T1'!$J17&amp;"|"&amp;49,LISTA_KLUCZ,0))),"")</f>
        <v>Dumbbell curl</v>
      </c>
      <c r="AZ17" s="5" t="str">
        <f t="array" ref="AZ17">IFERROR(IF('T1'!$J17="",INDEX(LISTA_EX,50),INDEX(LISTA_EX,MATCH('T1'!$J17&amp;"|"&amp;50,LISTA_KLUCZ,0))),"")</f>
        <v>Dumbbell external rotation</v>
      </c>
      <c r="BA17" s="5" t="str">
        <f t="array" ref="BA17">IFERROR(IF('T1'!$J17="",INDEX(LISTA_EX,51),INDEX(LISTA_EX,MATCH('T1'!$J17&amp;"|"&amp;51,LISTA_KLUCZ,0))),"")</f>
        <v>Dumbbell face down curl</v>
      </c>
      <c r="BB17" s="5" t="str">
        <f t="array" ref="BB17">IFERROR(IF('T1'!$J17="",INDEX(LISTA_EX,52),INDEX(LISTA_EX,MATCH('T1'!$J17&amp;"|"&amp;52,LISTA_KLUCZ,0))),"")</f>
        <v>Dumbbell fly</v>
      </c>
      <c r="BC17" s="5" t="str">
        <f t="array" ref="BC17">IFERROR(IF('T1'!$J17="",INDEX(LISTA_EX,53),INDEX(LISTA_EX,MATCH('T1'!$J17&amp;"|"&amp;53,LISTA_KLUCZ,0))),"")</f>
        <v>Dumbbell french press</v>
      </c>
      <c r="BD17" s="5" t="str">
        <f t="array" ref="BD17">IFERROR(IF('T1'!$J17="",INDEX(LISTA_EX,54),INDEX(LISTA_EX,MATCH('T1'!$J17&amp;"|"&amp;54,LISTA_KLUCZ,0))),"")</f>
        <v>Dumbbell lateral raise</v>
      </c>
      <c r="BE17" s="5" t="str">
        <f t="array" ref="BE17">IFERROR(IF('T1'!$J17="",INDEX(LISTA_EX,55),INDEX(LISTA_EX,MATCH('T1'!$J17&amp;"|"&amp;55,LISTA_KLUCZ,0))),"")</f>
        <v>Dumbbell lunges</v>
      </c>
      <c r="BF17" s="5" t="str">
        <f t="array" ref="BF17">IFERROR(IF('T1'!$J17="",INDEX(LISTA_EX,56),INDEX(LISTA_EX,MATCH('T1'!$J17&amp;"|"&amp;56,LISTA_KLUCZ,0))),"")</f>
        <v>Dumbbell OH press</v>
      </c>
      <c r="BG17" s="5" t="str">
        <f t="array" ref="BG17">IFERROR(IF('T1'!$J17="",INDEX(LISTA_EX,57),INDEX(LISTA_EX,MATCH('T1'!$J17&amp;"|"&amp;57,LISTA_KLUCZ,0))),"")</f>
        <v>Dumbbell over head press</v>
      </c>
      <c r="BH17" s="5" t="str">
        <f t="array" ref="BH17">IFERROR(IF('T1'!$J17="",INDEX(LISTA_EX,58),INDEX(LISTA_EX,MATCH('T1'!$J17&amp;"|"&amp;58,LISTA_KLUCZ,0))),"")</f>
        <v>Dumbbell over head press alternating</v>
      </c>
      <c r="BI17" s="5" t="str">
        <f t="array" ref="BI17">IFERROR(IF('T1'!$J17="",INDEX(LISTA_EX,59),INDEX(LISTA_EX,MATCH('T1'!$J17&amp;"|"&amp;59,LISTA_KLUCZ,0))),"")</f>
        <v>Dumbbell row</v>
      </c>
      <c r="BJ17" s="5" t="str">
        <f t="array" ref="BJ17">IFERROR(IF('T1'!$J17="",INDEX(LISTA_EX,60),INDEX(LISTA_EX,MATCH('T1'!$J17&amp;"|"&amp;60,LISTA_KLUCZ,0))),"")</f>
        <v>Dumbbell s/a Arnold press</v>
      </c>
      <c r="BK17" s="5" t="str">
        <f t="array" ref="BK17">IFERROR(IF('T1'!$J17="",INDEX(LISTA_EX,61),INDEX(LISTA_EX,MATCH('T1'!$J17&amp;"|"&amp;61,LISTA_KLUCZ,0))),"")</f>
        <v>Dumbbell s/a row</v>
      </c>
      <c r="BL17" s="5" t="str">
        <f t="array" ref="BL17">IFERROR(IF('T1'!$J17="",INDEX(LISTA_EX,62),INDEX(LISTA_EX,MATCH('T1'!$J17&amp;"|"&amp;62,LISTA_KLUCZ,0))),"")</f>
        <v>Dumbbell seal row</v>
      </c>
      <c r="BM17" s="5" t="str">
        <f t="array" ref="BM17">IFERROR(IF('T1'!$J17="",INDEX(LISTA_EX,63),INDEX(LISTA_EX,MATCH('T1'!$J17&amp;"|"&amp;63,LISTA_KLUCZ,0))),"")</f>
        <v>Dumbbells jumps</v>
      </c>
      <c r="BN17" s="5" t="str">
        <f t="array" ref="BN17">IFERROR(IF('T1'!$J17="",INDEX(LISTA_EX,64),INDEX(LISTA_EX,MATCH('T1'!$J17&amp;"|"&amp;64,LISTA_KLUCZ,0))),"")</f>
        <v>Eccentric pull up</v>
      </c>
      <c r="BO17" s="5" t="str">
        <f t="array" ref="BO17">IFERROR(IF('T1'!$J17="",INDEX(LISTA_EX,65),INDEX(LISTA_EX,MATCH('T1'!$J17&amp;"|"&amp;65,LISTA_KLUCZ,0))),"")</f>
        <v>Eccentric push up (5 sek w dół)</v>
      </c>
      <c r="BP17" s="5" t="str">
        <f t="array" ref="BP17">IFERROR(IF('T1'!$J17="",INDEX(LISTA_EX,66),INDEX(LISTA_EX,MATCH('T1'!$J17&amp;"|"&amp;66,LISTA_KLUCZ,0))),"")</f>
        <v>Extensive plyo jumps s/l</v>
      </c>
      <c r="BQ17" s="5" t="str">
        <f t="array" ref="BQ17">IFERROR(IF('T1'!$J17="",INDEX(LISTA_EX,67),INDEX(LISTA_EX,MATCH('T1'!$J17&amp;"|"&amp;67,LISTA_KLUCZ,0))),"")</f>
        <v>Ez bar curl</v>
      </c>
      <c r="BR17" s="5" t="str">
        <f t="array" ref="BR17">IFERROR(IF('T1'!$J17="",INDEX(LISTA_EX,68),INDEX(LISTA_EX,MATCH('T1'!$J17&amp;"|"&amp;68,LISTA_KLUCZ,0))),"")</f>
        <v>Facepull chest supported</v>
      </c>
      <c r="BS17" s="5" t="str">
        <f t="array" ref="BS17">IFERROR(IF('T1'!$J17="",INDEX(LISTA_EX,69),INDEX(LISTA_EX,MATCH('T1'!$J17&amp;"|"&amp;69,LISTA_KLUCZ,0))),"")</f>
        <v>Front foot elevated split squat</v>
      </c>
      <c r="BT17" s="5" t="str">
        <f t="array" ref="BT17">IFERROR(IF('T1'!$J17="",INDEX(LISTA_EX,70),INDEX(LISTA_EX,MATCH('T1'!$J17&amp;"|"&amp;70,LISTA_KLUCZ,0))),"")</f>
        <v>Front squat</v>
      </c>
      <c r="BU17" s="5" t="str">
        <f t="array" ref="BU17">IFERROR(IF('T1'!$J17="",INDEX(LISTA_EX,71),INDEX(LISTA_EX,MATCH('T1'!$J17&amp;"|"&amp;71,LISTA_KLUCZ,0))),"")</f>
        <v>GHD flexion</v>
      </c>
      <c r="BV17" s="5" t="str">
        <f t="array" ref="BV17">IFERROR(IF('T1'!$J17="",INDEX(LISTA_EX,72),INDEX(LISTA_EX,MATCH('T1'!$J17&amp;"|"&amp;72,LISTA_KLUCZ,0))),"")</f>
        <v>Glute bridge hamstrings izo + OH</v>
      </c>
      <c r="BW17" s="5" t="str">
        <f t="array" ref="BW17">IFERROR(IF('T1'!$J17="",INDEX(LISTA_EX,73),INDEX(LISTA_EX,MATCH('T1'!$J17&amp;"|"&amp;73,LISTA_KLUCZ,0))),"")</f>
        <v>Glute crusher</v>
      </c>
      <c r="BX17" s="5" t="str">
        <f t="array" ref="BX17">IFERROR(IF('T1'!$J17="",INDEX(LISTA_EX,74),INDEX(LISTA_EX,MATCH('T1'!$J17&amp;"|"&amp;74,LISTA_KLUCZ,0))),"")</f>
        <v>Gorilla row</v>
      </c>
      <c r="BY17" s="5" t="str">
        <f t="array" ref="BY17">IFERROR(IF('T1'!$J17="",INDEX(LISTA_EX,75),INDEX(LISTA_EX,MATCH('T1'!$J17&amp;"|"&amp;75,LISTA_KLUCZ,0))),"")</f>
        <v>Halfkneeling s/a cable pull</v>
      </c>
      <c r="BZ17" s="5" t="str">
        <f t="array" ref="BZ17">IFERROR(IF('T1'!$J17="",INDEX(LISTA_EX,76),INDEX(LISTA_EX,MATCH('T1'!$J17&amp;"|"&amp;76,LISTA_KLUCZ,0))),"")</f>
        <v>Halfkneeling wood chopper</v>
      </c>
      <c r="CA17" s="5" t="str">
        <f t="array" ref="CA17">IFERROR(IF('T1'!$J17="",INDEX(LISTA_EX,77),INDEX(LISTA_EX,MATCH('T1'!$J17&amp;"|"&amp;77,LISTA_KLUCZ,0))),"")</f>
        <v>Hinged dumbbell row</v>
      </c>
      <c r="CB17" s="5" t="str">
        <f t="array" ref="CB17">IFERROR(IF('T1'!$J17="",INDEX(LISTA_EX,78),INDEX(LISTA_EX,MATCH('T1'!$J17&amp;"|"&amp;78,LISTA_KLUCZ,0))),"")</f>
        <v>Hip aeroplane</v>
      </c>
      <c r="CC17" s="5" t="str">
        <f t="array" ref="CC17">IFERROR(IF('T1'!$J17="",INDEX(LISTA_EX,79),INDEX(LISTA_EX,MATCH('T1'!$J17&amp;"|"&amp;79,LISTA_KLUCZ,0))),"")</f>
        <v>Hip flexors cable</v>
      </c>
      <c r="CD17" s="5" t="str">
        <f t="array" ref="CD17">IFERROR(IF('T1'!$J17="",INDEX(LISTA_EX,80),INDEX(LISTA_EX,MATCH('T1'!$J17&amp;"|"&amp;80,LISTA_KLUCZ,0))),"")</f>
        <v>Hip thrust barbell</v>
      </c>
      <c r="CE17" s="5" t="str">
        <f t="array" ref="CE17">IFERROR(IF('T1'!$J17="",INDEX(LISTA_EX,81),INDEX(LISTA_EX,MATCH('T1'!$J17&amp;"|"&amp;81,LISTA_KLUCZ,0))),"")</f>
        <v>Hollow body + OH</v>
      </c>
      <c r="CF17" s="5" t="str">
        <f t="array" ref="CF17">IFERROR(IF('T1'!$J17="",INDEX(LISTA_EX,82),INDEX(LISTA_EX,MATCH('T1'!$J17&amp;"|"&amp;82,LISTA_KLUCZ,0))),"")</f>
        <v>Horizontal jump</v>
      </c>
      <c r="CG17" s="5" t="str">
        <f t="array" ref="CG17">IFERROR(IF('T1'!$J17="",INDEX(LISTA_EX,83),INDEX(LISTA_EX,MATCH('T1'!$J17&amp;"|"&amp;83,LISTA_KLUCZ,0))),"")</f>
        <v>Incline bench lateral raise s/a</v>
      </c>
      <c r="CH17" s="5" t="str">
        <f t="array" ref="CH17">IFERROR(IF('T1'!$J17="",INDEX(LISTA_EX,84),INDEX(LISTA_EX,MATCH('T1'!$J17&amp;"|"&amp;84,LISTA_KLUCZ,0))),"")</f>
        <v>Incline curl + OHP</v>
      </c>
      <c r="CI17" s="5" t="str">
        <f t="array" ref="CI17">IFERROR(IF('T1'!$J17="",INDEX(LISTA_EX,85),INDEX(LISTA_EX,MATCH('T1'!$J17&amp;"|"&amp;85,LISTA_KLUCZ,0))),"")</f>
        <v>Incline dumbbell curl</v>
      </c>
      <c r="CJ17" s="5" t="str">
        <f t="array" ref="CJ17">IFERROR(IF('T1'!$J17="",INDEX(LISTA_EX,86),INDEX(LISTA_EX,MATCH('T1'!$J17&amp;"|"&amp;86,LISTA_KLUCZ,0))),"")</f>
        <v>Incline dumbbell curl (back)</v>
      </c>
      <c r="CK17" s="5" t="str">
        <f t="array" ref="CK17">IFERROR(IF('T1'!$J17="",INDEX(LISTA_EX,87),INDEX(LISTA_EX,MATCH('T1'!$J17&amp;"|"&amp;87,LISTA_KLUCZ,0))),"")</f>
        <v>Incline dumbbell curl (front)</v>
      </c>
      <c r="CL17" s="5" t="str">
        <f t="array" ref="CL17">IFERROR(IF('T1'!$J17="",INDEX(LISTA_EX,88),INDEX(LISTA_EX,MATCH('T1'!$J17&amp;"|"&amp;88,LISTA_KLUCZ,0))),"")</f>
        <v>Incline dumbbell fly</v>
      </c>
      <c r="CM17" s="5" t="str">
        <f t="array" ref="CM17">IFERROR(IF('T1'!$J17="",INDEX(LISTA_EX,89),INDEX(LISTA_EX,MATCH('T1'!$J17&amp;"|"&amp;89,LISTA_KLUCZ,0))),"")</f>
        <v>Incline dumbbell press</v>
      </c>
      <c r="CN17" s="5" t="str">
        <f t="array" ref="CN17">IFERROR(IF('T1'!$J17="",INDEX(LISTA_EX,90),INDEX(LISTA_EX,MATCH('T1'!$J17&amp;"|"&amp;90,LISTA_KLUCZ,0))),"")</f>
        <v>Incline dumbbell press alternating</v>
      </c>
      <c r="CO17" s="5" t="str">
        <f t="array" ref="CO17">IFERROR(IF('T1'!$J17="",INDEX(LISTA_EX,91),INDEX(LISTA_EX,MATCH('T1'!$J17&amp;"|"&amp;91,LISTA_KLUCZ,0))),"")</f>
        <v>Incline sit-ups</v>
      </c>
      <c r="CP17" s="5" t="str">
        <f t="array" ref="CP17">IFERROR(IF('T1'!$J17="",INDEX(LISTA_EX,92),INDEX(LISTA_EX,MATCH('T1'!$J17&amp;"|"&amp;92,LISTA_KLUCZ,0))),"")</f>
        <v>Jefferson cable</v>
      </c>
      <c r="CQ17" s="5" t="str">
        <f t="array" ref="CQ17">IFERROR(IF('T1'!$J17="",INDEX(LISTA_EX,93),INDEX(LISTA_EX,MATCH('T1'!$J17&amp;"|"&amp;93,LISTA_KLUCZ,0))),"")</f>
        <v>Kettlebell march</v>
      </c>
      <c r="CR17" s="5" t="str">
        <f t="array" ref="CR17">IFERROR(IF('T1'!$J17="",INDEX(LISTA_EX,94),INDEX(LISTA_EX,MATCH('T1'!$J17&amp;"|"&amp;94,LISTA_KLUCZ,0))),"")</f>
        <v>Kickbacks</v>
      </c>
      <c r="CS17" s="5" t="str">
        <f t="array" ref="CS17">IFERROR(IF('T1'!$J17="",INDEX(LISTA_EX,95),INDEX(LISTA_EX,MATCH('T1'!$J17&amp;"|"&amp;95,LISTA_KLUCZ,0))),"")</f>
        <v>Knee extension machine</v>
      </c>
      <c r="CT17" s="5" t="str">
        <f t="array" ref="CT17">IFERROR(IF('T1'!$J17="",INDEX(LISTA_EX,96),INDEX(LISTA_EX,MATCH('T1'!$J17&amp;"|"&amp;96,LISTA_KLUCZ,0))),"")</f>
        <v>Knee flexion machine</v>
      </c>
      <c r="CU17" s="5" t="str">
        <f t="array" ref="CU17">IFERROR(IF('T1'!$J17="",INDEX(LISTA_EX,97),INDEX(LISTA_EX,MATCH('T1'!$J17&amp;"|"&amp;97,LISTA_KLUCZ,0))),"")</f>
        <v>Knee raises</v>
      </c>
      <c r="CV17" s="5" t="str">
        <f t="array" ref="CV17">IFERROR(IF('T1'!$J17="",INDEX(LISTA_EX,98),INDEX(LISTA_EX,MATCH('T1'!$J17&amp;"|"&amp;98,LISTA_KLUCZ,0))),"")</f>
        <v>Landmine core</v>
      </c>
      <c r="CW17" s="5" t="str">
        <f t="array" ref="CW17">IFERROR(IF('T1'!$J17="",INDEX(LISTA_EX,99),INDEX(LISTA_EX,MATCH('T1'!$J17&amp;"|"&amp;99,LISTA_KLUCZ,0))),"")</f>
        <v>Landmine press</v>
      </c>
      <c r="CX17" s="5" t="str">
        <f t="array" ref="CX17">IFERROR(IF('T1'!$J17="",INDEX(LISTA_EX,100),INDEX(LISTA_EX,MATCH('T1'!$J17&amp;"|"&amp;100,LISTA_KLUCZ,0))),"")</f>
        <v>Landmine rotations (powtórzenia x2)</v>
      </c>
      <c r="CY17" s="5" t="str">
        <f t="array" ref="CY17">IFERROR(IF('T1'!$J17="",INDEX(LISTA_EX,101),INDEX(LISTA_EX,MATCH('T1'!$J17&amp;"|"&amp;101,LISTA_KLUCZ,0))),"")</f>
        <v>Landmine SLDL</v>
      </c>
      <c r="CZ17" s="5" t="str">
        <f t="array" ref="CZ17">IFERROR(IF('T1'!$J17="",INDEX(LISTA_EX,102),INDEX(LISTA_EX,MATCH('T1'!$J17&amp;"|"&amp;102,LISTA_KLUCZ,0))),"")</f>
        <v>Lat pulldown</v>
      </c>
      <c r="DA17" s="5" t="str">
        <f t="array" ref="DA17">IFERROR(IF('T1'!$J17="",INDEX(LISTA_EX,103),INDEX(LISTA_EX,MATCH('T1'!$J17&amp;"|"&amp;103,LISTA_KLUCZ,0))),"")</f>
        <v>Lat pulldown behind the head</v>
      </c>
      <c r="DB17" s="5" t="str">
        <f t="array" ref="DB17">IFERROR(IF('T1'!$J17="",INDEX(LISTA_EX,104),INDEX(LISTA_EX,MATCH('T1'!$J17&amp;"|"&amp;104,LISTA_KLUCZ,0))),"")</f>
        <v>Lat pulldown s/a</v>
      </c>
      <c r="DC17" s="5" t="str">
        <f t="array" ref="DC17">IFERROR(IF('T1'!$J17="",INDEX(LISTA_EX,105),INDEX(LISTA_EX,MATCH('T1'!$J17&amp;"|"&amp;105,LISTA_KLUCZ,0))),"")</f>
        <v>Lateral raise s/a</v>
      </c>
      <c r="DD17" s="5" t="str">
        <f t="array" ref="DD17">IFERROR(IF('T1'!$J17="",INDEX(LISTA_EX,106),INDEX(LISTA_EX,MATCH('T1'!$J17&amp;"|"&amp;106,LISTA_KLUCZ,0))),"")</f>
        <v>Lateral raises</v>
      </c>
      <c r="DE17" s="5" t="str">
        <f t="array" ref="DE17">IFERROR(IF('T1'!$J17="",INDEX(LISTA_EX,107),INDEX(LISTA_EX,MATCH('T1'!$J17&amp;"|"&amp;107,LISTA_KLUCZ,0))),"")</f>
        <v>Lateral raises 2</v>
      </c>
      <c r="DF17" s="5" t="str">
        <f t="array" ref="DF17">IFERROR(IF('T1'!$J17="",INDEX(LISTA_EX,108),INDEX(LISTA_EX,MATCH('T1'!$J17&amp;"|"&amp;108,LISTA_KLUCZ,0))),"")</f>
        <v>Lateral raises full ROM</v>
      </c>
      <c r="DG17" s="5" t="str">
        <f t="array" ref="DG17">IFERROR(IF('T1'!$J17="",INDEX(LISTA_EX,109),INDEX(LISTA_EX,MATCH('T1'!$J17&amp;"|"&amp;109,LISTA_KLUCZ,0))),"")</f>
        <v>Lateral raises hinged</v>
      </c>
      <c r="DH17" s="5" t="str">
        <f t="array" ref="DH17">IFERROR(IF('T1'!$J17="",INDEX(LISTA_EX,110),INDEX(LISTA_EX,MATCH('T1'!$J17&amp;"|"&amp;110,LISTA_KLUCZ,0))),"")</f>
        <v>Lateral raises incline s/a</v>
      </c>
      <c r="DI17" s="5" t="str">
        <f t="array" ref="DI17">IFERROR(IF('T1'!$J17="",INDEX(LISTA_EX,111),INDEX(LISTA_EX,MATCH('T1'!$J17&amp;"|"&amp;111,LISTA_KLUCZ,0))),"")</f>
        <v>Leg curl</v>
      </c>
      <c r="DJ17" s="5" t="str">
        <f t="array" ref="DJ17">IFERROR(IF('T1'!$J17="",INDEX(LISTA_EX,112),INDEX(LISTA_EX,MATCH('T1'!$J17&amp;"|"&amp;112,LISTA_KLUCZ,0))),"")</f>
        <v>Machine row</v>
      </c>
      <c r="DK17" s="5" t="str">
        <f t="array" ref="DK17">IFERROR(IF('T1'!$J17="",INDEX(LISTA_EX,113),INDEX(LISTA_EX,MATCH('T1'!$J17&amp;"|"&amp;113,LISTA_KLUCZ,0))),"")</f>
        <v>Machine row s/a</v>
      </c>
      <c r="DL17" s="5" t="str">
        <f t="array" ref="DL17">IFERROR(IF('T1'!$J17="",INDEX(LISTA_EX,114),INDEX(LISTA_EX,MATCH('T1'!$J17&amp;"|"&amp;114,LISTA_KLUCZ,0))),"")</f>
        <v>Meadows row</v>
      </c>
      <c r="DM17" s="5" t="str">
        <f t="array" ref="DM17">IFERROR(IF('T1'!$J17="",INDEX(LISTA_EX,115),INDEX(LISTA_EX,MATCH('T1'!$J17&amp;"|"&amp;115,LISTA_KLUCZ,0))),"")</f>
        <v>Med ball slam</v>
      </c>
      <c r="DN17" s="5" t="str">
        <f t="array" ref="DN17">IFERROR(IF('T1'!$J17="",INDEX(LISTA_EX,116),INDEX(LISTA_EX,MATCH('T1'!$J17&amp;"|"&amp;116,LISTA_KLUCZ,0))),"")</f>
        <v>OH skullcrushers</v>
      </c>
      <c r="DO17" s="5" t="str">
        <f t="array" ref="DO17">IFERROR(IF('T1'!$J17="",INDEX(LISTA_EX,117),INDEX(LISTA_EX,MATCH('T1'!$J17&amp;"|"&amp;117,LISTA_KLUCZ,0))),"")</f>
        <v>OHP barbell squat 15kg</v>
      </c>
      <c r="DP17" s="5" t="str">
        <f t="array" ref="DP17">IFERROR(IF('T1'!$J17="",INDEX(LISTA_EX,118),INDEX(LISTA_EX,MATCH('T1'!$J17&amp;"|"&amp;118,LISTA_KLUCZ,0))),"")</f>
        <v>Pistol squat eccentric</v>
      </c>
      <c r="DQ17" s="5" t="str">
        <f t="array" ref="DQ17">IFERROR(IF('T1'!$J17="",INDEX(LISTA_EX,119),INDEX(LISTA_EX,MATCH('T1'!$J17&amp;"|"&amp;119,LISTA_KLUCZ,0))),"")</f>
        <v>Plank contralateral</v>
      </c>
      <c r="DR17" s="5" t="str">
        <f t="array" ref="DR17">IFERROR(IF('T1'!$J17="",INDEX(LISTA_EX,120),INDEX(LISTA_EX,MATCH('T1'!$J17&amp;"|"&amp;120,LISTA_KLUCZ,0))),"")</f>
        <v>Plank dumbbell rotation</v>
      </c>
      <c r="DS17" s="5" t="str">
        <f t="array" ref="DS17">IFERROR(IF('T1'!$J17="",INDEX(LISTA_EX,121),INDEX(LISTA_EX,MATCH('T1'!$J17&amp;"|"&amp;121,LISTA_KLUCZ,0))),"")</f>
        <v>Plank leg raises</v>
      </c>
      <c r="DT17" s="5" t="str">
        <f t="array" ref="DT17">IFERROR(IF('T1'!$J17="",INDEX(LISTA_EX,122),INDEX(LISTA_EX,MATCH('T1'!$J17&amp;"|"&amp;122,LISTA_KLUCZ,0))),"")</f>
        <v>Poliquin step up</v>
      </c>
      <c r="DU17" s="5" t="str">
        <f t="array" ref="DU17">IFERROR(IF('T1'!$J17="",INDEX(LISTA_EX,123),INDEX(LISTA_EX,MATCH('T1'!$J17&amp;"|"&amp;123,LISTA_KLUCZ,0))),"")</f>
        <v>Poliquin step up paused 3sec</v>
      </c>
      <c r="DV17" s="5" t="str">
        <f t="array" ref="DV17">IFERROR(IF('T1'!$J17="",INDEX(LISTA_EX,124),INDEX(LISTA_EX,MATCH('T1'!$J17&amp;"|"&amp;124,LISTA_KLUCZ,0))),"")</f>
        <v>Pronation/Supination</v>
      </c>
      <c r="DW17" s="5" t="str">
        <f t="array" ref="DW17">IFERROR(IF('T1'!$J17="",INDEX(LISTA_EX,125),INDEX(LISTA_EX,MATCH('T1'!$J17&amp;"|"&amp;125,LISTA_KLUCZ,0))),"")</f>
        <v>Pull up</v>
      </c>
      <c r="DX17" s="5" t="str">
        <f t="array" ref="DX17">IFERROR(IF('T1'!$J17="",INDEX(LISTA_EX,126),INDEX(LISTA_EX,MATCH('T1'!$J17&amp;"|"&amp;126,LISTA_KLUCZ,0))),"")</f>
        <v>Pull up eccentric weighted</v>
      </c>
      <c r="DY17" s="5" t="str">
        <f t="array" ref="DY17">IFERROR(IF('T1'!$J17="",INDEX(LISTA_EX,127),INDEX(LISTA_EX,MATCH('T1'!$J17&amp;"|"&amp;127,LISTA_KLUCZ,0))),"")</f>
        <v>Pull up eccentric weighted (5 sek w dół)</v>
      </c>
      <c r="DZ17" s="5" t="str">
        <f t="array" ref="DZ17">IFERROR(IF('T1'!$J17="",INDEX(LISTA_EX,128),INDEX(LISTA_EX,MATCH('T1'!$J17&amp;"|"&amp;128,LISTA_KLUCZ,0))),"")</f>
        <v>Pull up weighted</v>
      </c>
      <c r="EA17" s="5" t="str">
        <f t="array" ref="EA17">IFERROR(IF('T1'!$J17="",INDEX(LISTA_EX,129),INDEX(LISTA_EX,MATCH('T1'!$J17&amp;"|"&amp;129,LISTA_KLUCZ,0))),"")</f>
        <v>Pull ups (paused)</v>
      </c>
      <c r="EB17" s="5" t="str">
        <f t="array" ref="EB17">IFERROR(IF('T1'!$J17="",INDEX(LISTA_EX,130),INDEX(LISTA_EX,MATCH('T1'!$J17&amp;"|"&amp;130,LISTA_KLUCZ,0))),"")</f>
        <v>Push press barbell</v>
      </c>
      <c r="EC17" s="5" t="str">
        <f t="array" ref="EC17">IFERROR(IF('T1'!$J17="",INDEX(LISTA_EX,131),INDEX(LISTA_EX,MATCH('T1'!$J17&amp;"|"&amp;131,LISTA_KLUCZ,0))),"")</f>
        <v>Push up</v>
      </c>
      <c r="ED17" s="5" t="str">
        <f t="array" ref="ED17">IFERROR(IF('T1'!$J17="",INDEX(LISTA_EX,132),INDEX(LISTA_EX,MATCH('T1'!$J17&amp;"|"&amp;132,LISTA_KLUCZ,0))),"")</f>
        <v>Raised bird dog</v>
      </c>
      <c r="EE17" s="5" t="str">
        <f t="array" ref="EE17">IFERROR(IF('T1'!$J17="",INDEX(LISTA_EX,133),INDEX(LISTA_EX,MATCH('T1'!$J17&amp;"|"&amp;133,LISTA_KLUCZ,0))),"")</f>
        <v>RDL</v>
      </c>
      <c r="EF17" s="5" t="str">
        <f t="array" ref="EF17">IFERROR(IF('T1'!$J17="",INDEX(LISTA_EX,134),INDEX(LISTA_EX,MATCH('T1'!$J17&amp;"|"&amp;134,LISTA_KLUCZ,0))),"")</f>
        <v>Reverse Nordic</v>
      </c>
      <c r="EG17" s="5" t="str">
        <f t="array" ref="EG17">IFERROR(IF('T1'!$J17="",INDEX(LISTA_EX,135),INDEX(LISTA_EX,MATCH('T1'!$J17&amp;"|"&amp;135,LISTA_KLUCZ,0))),"")</f>
        <v>Rope pushdown</v>
      </c>
      <c r="EH17" s="5" t="str">
        <f t="array" ref="EH17">IFERROR(IF('T1'!$J17="",INDEX(LISTA_EX,136),INDEX(LISTA_EX,MATCH('T1'!$J17&amp;"|"&amp;136,LISTA_KLUCZ,0))),"")</f>
        <v>Rope pushdown OH</v>
      </c>
      <c r="EI17" s="5" t="str">
        <f t="array" ref="EI17">IFERROR(IF('T1'!$J17="",INDEX(LISTA_EX,137),INDEX(LISTA_EX,MATCH('T1'!$J17&amp;"|"&amp;137,LISTA_KLUCZ,0))),"")</f>
        <v>S/a cable pulldown incline bench</v>
      </c>
      <c r="EJ17" s="5" t="str">
        <f t="array" ref="EJ17">IFERROR(IF('T1'!$J17="",INDEX(LISTA_EX,138),INDEX(LISTA_EX,MATCH('T1'!$J17&amp;"|"&amp;138,LISTA_KLUCZ,0))),"")</f>
        <v>S/a lat pulldown incline bench</v>
      </c>
      <c r="EK17" s="5" t="str">
        <f t="array" ref="EK17">IFERROR(IF('T1'!$J17="",INDEX(LISTA_EX,139),INDEX(LISTA_EX,MATCH('T1'!$J17&amp;"|"&amp;139,LISTA_KLUCZ,0))),"")</f>
        <v>S/l dragonflag eccentric</v>
      </c>
      <c r="EL17" s="5" t="str">
        <f t="array" ref="EL17">IFERROR(IF('T1'!$J17="",INDEX(LISTA_EX,140),INDEX(LISTA_EX,MATCH('T1'!$J17&amp;"|"&amp;140,LISTA_KLUCZ,0))),"")</f>
        <v>S/l hip thrust</v>
      </c>
      <c r="EM17" s="5" t="str">
        <f t="array" ref="EM17">IFERROR(IF('T1'!$J17="",INDEX(LISTA_EX,141),INDEX(LISTA_EX,MATCH('T1'!$J17&amp;"|"&amp;141,LISTA_KLUCZ,0))),"")</f>
        <v>Seated broad jump</v>
      </c>
      <c r="EN17" s="5" t="str">
        <f t="array" ref="EN17">IFERROR(IF('T1'!$J17="",INDEX(LISTA_EX,142),INDEX(LISTA_EX,MATCH('T1'!$J17&amp;"|"&amp;142,LISTA_KLUCZ,0))),"")</f>
        <v>Seated cable facepull</v>
      </c>
      <c r="EO17" s="5" t="str">
        <f t="array" ref="EO17">IFERROR(IF('T1'!$J17="",INDEX(LISTA_EX,143),INDEX(LISTA_EX,MATCH('T1'!$J17&amp;"|"&amp;143,LISTA_KLUCZ,0))),"")</f>
        <v>Seated seesaw press (nogi proste)</v>
      </c>
      <c r="EP17" s="5" t="str">
        <f t="array" ref="EP17">IFERROR(IF('T1'!$J17="",INDEX(LISTA_EX,144),INDEX(LISTA_EX,MATCH('T1'!$J17&amp;"|"&amp;144,LISTA_KLUCZ,0))),"")</f>
        <v>Seesaw press</v>
      </c>
      <c r="EQ17" s="5" t="str">
        <f t="array" ref="EQ17">IFERROR(IF('T1'!$J17="",INDEX(LISTA_EX,145),INDEX(LISTA_EX,MATCH('T1'!$J17&amp;"|"&amp;145,LISTA_KLUCZ,0))),"")</f>
        <v>Side crunches</v>
      </c>
      <c r="ER17" s="5" t="str">
        <f t="array" ref="ER17">IFERROR(IF('T1'!$J17="",INDEX(LISTA_EX,146),INDEX(LISTA_EX,MATCH('T1'!$J17&amp;"|"&amp;146,LISTA_KLUCZ,0))),"")</f>
        <v>Side plank hip drop</v>
      </c>
      <c r="ES17" s="5" t="str">
        <f t="array" ref="ES17">IFERROR(IF('T1'!$J17="",INDEX(LISTA_EX,147),INDEX(LISTA_EX,MATCH('T1'!$J17&amp;"|"&amp;147,LISTA_KLUCZ,0))),"")</f>
        <v>Side plank rotations</v>
      </c>
      <c r="ET17" s="5" t="str">
        <f t="array" ref="ET17">IFERROR(IF('T1'!$J17="",INDEX(LISTA_EX,148),INDEX(LISTA_EX,MATCH('T1'!$J17&amp;"|"&amp;148,LISTA_KLUCZ,0))),"")</f>
        <v>SLDL balance</v>
      </c>
      <c r="EU17" s="5" t="str">
        <f t="array" ref="EU17">IFERROR(IF('T1'!$J17="",INDEX(LISTA_EX,149),INDEX(LISTA_EX,MATCH('T1'!$J17&amp;"|"&amp;149,LISTA_KLUCZ,0))),"")</f>
        <v>Split squat</v>
      </c>
      <c r="EV17" s="5" t="str">
        <f t="array" ref="EV17">IFERROR(IF('T1'!$J17="",INDEX(LISTA_EX,150),INDEX(LISTA_EX,MATCH('T1'!$J17&amp;"|"&amp;150,LISTA_KLUCZ,0))),"")</f>
        <v>Split stance SLDL</v>
      </c>
      <c r="EW17" s="5" t="str">
        <f t="array" ref="EW17">IFERROR(IF('T1'!$J17="",INDEX(LISTA_EX,151),INDEX(LISTA_EX,MATCH('T1'!$J17&amp;"|"&amp;151,LISTA_KLUCZ,0))),"")</f>
        <v>Squat izo (15 sek)</v>
      </c>
      <c r="EX17" s="5" t="str">
        <f t="array" ref="EX17">IFERROR(IF('T1'!$J17="",INDEX(LISTA_EX,152),INDEX(LISTA_EX,MATCH('T1'!$J17&amp;"|"&amp;152,LISTA_KLUCZ,0))),"")</f>
        <v>Standing landmine press</v>
      </c>
      <c r="EY17" s="5" t="str">
        <f t="array" ref="EY17">IFERROR(IF('T1'!$J17="",INDEX(LISTA_EX,153),INDEX(LISTA_EX,MATCH('T1'!$J17&amp;"|"&amp;153,LISTA_KLUCZ,0))),"")</f>
        <v>Suitcase carry</v>
      </c>
      <c r="EZ17" s="5" t="str">
        <f t="array" ref="EZ17">IFERROR(IF('T1'!$J17="",INDEX(LISTA_EX,154),INDEX(LISTA_EX,MATCH('T1'!$J17&amp;"|"&amp;154,LISTA_KLUCZ,0))),"")</f>
        <v>Supine pigeon abs</v>
      </c>
      <c r="FA17" s="5" t="str">
        <f t="array" ref="FA17">IFERROR(IF('T1'!$J17="",INDEX(LISTA_EX,155),INDEX(LISTA_EX,MATCH('T1'!$J17&amp;"|"&amp;155,LISTA_KLUCZ,0))),"")</f>
        <v>Swiss ball leg curl</v>
      </c>
      <c r="FB17" s="5" t="str">
        <f t="array" ref="FB17">IFERROR(IF('T1'!$J17="",INDEX(LISTA_EX,156),INDEX(LISTA_EX,MATCH('T1'!$J17&amp;"|"&amp;156,LISTA_KLUCZ,0))),"")</f>
        <v>Toes to bar</v>
      </c>
      <c r="FC17" s="5" t="str">
        <f t="array" ref="FC17">IFERROR(IF('T1'!$J17="",INDEX(LISTA_EX,157),INDEX(LISTA_EX,MATCH('T1'!$J17&amp;"|"&amp;157,LISTA_KLUCZ,0))),"")</f>
        <v>Trap bar deadlift</v>
      </c>
      <c r="FD17" s="5" t="str">
        <f t="array" ref="FD17">IFERROR(IF('T1'!$J17="",INDEX(LISTA_EX,158),INDEX(LISTA_EX,MATCH('T1'!$J17&amp;"|"&amp;158,LISTA_KLUCZ,0))),"")</f>
        <v>Tricep cable pushdown</v>
      </c>
      <c r="FE17" s="5" t="str">
        <f t="array" ref="FE17">IFERROR(IF('T1'!$J17="",INDEX(LISTA_EX,159),INDEX(LISTA_EX,MATCH('T1'!$J17&amp;"|"&amp;159,LISTA_KLUCZ,0))),"")</f>
        <v>Tricep JM press</v>
      </c>
      <c r="FF17" s="5" t="str">
        <f t="array" ref="FF17">IFERROR(IF('T1'!$J17="",INDEX(LISTA_EX,160),INDEX(LISTA_EX,MATCH('T1'!$J17&amp;"|"&amp;160,LISTA_KLUCZ,0))),"")</f>
        <v>Tricep OH cable</v>
      </c>
      <c r="FG17" s="5" t="str">
        <f t="array" ref="FG17">IFERROR(IF('T1'!$J17="",INDEX(LISTA_EX,161),INDEX(LISTA_EX,MATCH('T1'!$J17&amp;"|"&amp;161,LISTA_KLUCZ,0))),"")</f>
        <v>Tricep OH ez bar</v>
      </c>
      <c r="FH17" s="5" t="str">
        <f t="array" ref="FH17">IFERROR(IF('T1'!$J17="",INDEX(LISTA_EX,162),INDEX(LISTA_EX,MATCH('T1'!$J17&amp;"|"&amp;162,LISTA_KLUCZ,0))),"")</f>
        <v>Walking lunges</v>
      </c>
      <c r="FI17" s="5" t="str">
        <f t="array" ref="FI17">IFERROR(IF('T1'!$J17="",INDEX(LISTA_EX,163),INDEX(LISTA_EX,MATCH('T1'!$J17&amp;"|"&amp;163,LISTA_KLUCZ,0))),"")</f>
        <v>Wipers kettle</v>
      </c>
      <c r="FJ17" s="5" t="str">
        <f t="array" ref="FJ17">IFERROR(IF('T1'!$J17="",INDEX(LISTA_EX,164),INDEX(LISTA_EX,MATCH('T1'!$J17&amp;"|"&amp;164,LISTA_KLUCZ,0))),"")</f>
        <v>Zercher jumps</v>
      </c>
      <c r="FK17" s="5" t="str">
        <f t="array" ref="FK17">IFERROR(IF('T1'!$J17="",INDEX(LISTA_EX,165),INDEX(LISTA_EX,MATCH('T1'!$J17&amp;"|"&amp;165,LISTA_KLUCZ,0))),"")</f>
        <v/>
      </c>
      <c r="FL17" s="5" t="str">
        <f t="array" ref="FL17">IFERROR(IF('T1'!$J17="",INDEX(LISTA_EX,166),INDEX(LISTA_EX,MATCH('T1'!$J17&amp;"|"&amp;166,LISTA_KLUCZ,0))),"")</f>
        <v/>
      </c>
      <c r="FM17" s="5" t="str">
        <f t="array" ref="FM17">IFERROR(IF('T1'!$J17="",INDEX(LISTA_EX,167),INDEX(LISTA_EX,MATCH('T1'!$J17&amp;"|"&amp;167,LISTA_KLUCZ,0))),"")</f>
        <v/>
      </c>
      <c r="FN17" s="5" t="str">
        <f t="array" ref="FN17">IFERROR(IF('T1'!$J17="",INDEX(LISTA_EX,168),INDEX(LISTA_EX,MATCH('T1'!$J17&amp;"|"&amp;168,LISTA_KLUCZ,0))),"")</f>
        <v/>
      </c>
      <c r="FO17" s="5" t="str">
        <f t="array" ref="FO17">IFERROR(IF('T1'!$J17="",INDEX(LISTA_EX,169),INDEX(LISTA_EX,MATCH('T1'!$J17&amp;"|"&amp;169,LISTA_KLUCZ,0))),"")</f>
        <v/>
      </c>
      <c r="FP17" s="5" t="str">
        <f t="array" ref="FP17">IFERROR(IF('T1'!$J17="",INDEX(LISTA_EX,170),INDEX(LISTA_EX,MATCH('T1'!$J17&amp;"|"&amp;170,LISTA_KLUCZ,0))),"")</f>
        <v/>
      </c>
      <c r="FQ17" s="5" t="str">
        <f t="array" ref="FQ17">IFERROR(IF('T1'!$J17="",INDEX(LISTA_EX,171),INDEX(LISTA_EX,MATCH('T1'!$J17&amp;"|"&amp;171,LISTA_KLUCZ,0))),"")</f>
        <v/>
      </c>
      <c r="FR17" s="5" t="str">
        <f t="array" ref="FR17">IFERROR(IF('T1'!$J17="",INDEX(LISTA_EX,172),INDEX(LISTA_EX,MATCH('T1'!$J17&amp;"|"&amp;172,LISTA_KLUCZ,0))),"")</f>
        <v/>
      </c>
      <c r="FS17" s="5" t="str">
        <f t="array" ref="FS17">IFERROR(IF('T1'!$J17="",INDEX(LISTA_EX,173),INDEX(LISTA_EX,MATCH('T1'!$J17&amp;"|"&amp;173,LISTA_KLUCZ,0))),"")</f>
        <v/>
      </c>
      <c r="FT17" s="5" t="str">
        <f t="array" ref="FT17">IFERROR(IF('T1'!$J17="",INDEX(LISTA_EX,174),INDEX(LISTA_EX,MATCH('T1'!$J17&amp;"|"&amp;174,LISTA_KLUCZ,0))),"")</f>
        <v/>
      </c>
      <c r="FU17" s="5" t="str">
        <f t="array" ref="FU17">IFERROR(IF('T1'!$J17="",INDEX(LISTA_EX,175),INDEX(LISTA_EX,MATCH('T1'!$J17&amp;"|"&amp;175,LISTA_KLUCZ,0))),"")</f>
        <v/>
      </c>
      <c r="FV17" s="5" t="str">
        <f t="array" ref="FV17">IFERROR(IF('T1'!$J17="",INDEX(LISTA_EX,176),INDEX(LISTA_EX,MATCH('T1'!$J17&amp;"|"&amp;176,LISTA_KLUCZ,0))),"")</f>
        <v/>
      </c>
      <c r="FW17" s="5" t="str">
        <f t="array" ref="FW17">IFERROR(IF('T1'!$J17="",INDEX(LISTA_EX,177),INDEX(LISTA_EX,MATCH('T1'!$J17&amp;"|"&amp;177,LISTA_KLUCZ,0))),"")</f>
        <v/>
      </c>
      <c r="FX17" s="5" t="str">
        <f t="array" ref="FX17">IFERROR(IF('T1'!$J17="",INDEX(LISTA_EX,178),INDEX(LISTA_EX,MATCH('T1'!$J17&amp;"|"&amp;178,LISTA_KLUCZ,0))),"")</f>
        <v/>
      </c>
      <c r="FY17" s="5" t="str">
        <f t="array" ref="FY17">IFERROR(IF('T1'!$J17="",INDEX(LISTA_EX,179),INDEX(LISTA_EX,MATCH('T1'!$J17&amp;"|"&amp;179,LISTA_KLUCZ,0))),"")</f>
        <v/>
      </c>
      <c r="FZ17" s="5" t="str">
        <f t="array" ref="FZ17">IFERROR(IF('T1'!$J17="",INDEX(LISTA_EX,180),INDEX(LISTA_EX,MATCH('T1'!$J17&amp;"|"&amp;180,LISTA_KLUCZ,0))),"")</f>
        <v/>
      </c>
      <c r="GA17" s="5" t="str">
        <f t="array" ref="GA17">IFERROR(IF('T1'!$J17="",INDEX(LISTA_EX,181),INDEX(LISTA_EX,MATCH('T1'!$J17&amp;"|"&amp;181,LISTA_KLUCZ,0))),"")</f>
        <v/>
      </c>
      <c r="GB17" s="5" t="str">
        <f t="array" ref="GB17">IFERROR(IF('T1'!$J17="",INDEX(LISTA_EX,182),INDEX(LISTA_EX,MATCH('T1'!$J17&amp;"|"&amp;182,LISTA_KLUCZ,0))),"")</f>
        <v/>
      </c>
      <c r="GC17" s="5" t="str">
        <f t="array" ref="GC17">IFERROR(IF('T1'!$J17="",INDEX(LISTA_EX,183),INDEX(LISTA_EX,MATCH('T1'!$J17&amp;"|"&amp;183,LISTA_KLUCZ,0))),"")</f>
        <v/>
      </c>
      <c r="GD17" s="5" t="str">
        <f t="array" ref="GD17">IFERROR(IF('T1'!$J17="",INDEX(LISTA_EX,184),INDEX(LISTA_EX,MATCH('T1'!$J17&amp;"|"&amp;184,LISTA_KLUCZ,0))),"")</f>
        <v/>
      </c>
      <c r="GE17" s="5" t="str">
        <f t="array" ref="GE17">IFERROR(IF('T1'!$J17="",INDEX(LISTA_EX,185),INDEX(LISTA_EX,MATCH('T1'!$J17&amp;"|"&amp;185,LISTA_KLUCZ,0))),"")</f>
        <v/>
      </c>
      <c r="GF17" s="5" t="str">
        <f t="array" ref="GF17">IFERROR(IF('T1'!$J17="",INDEX(LISTA_EX,186),INDEX(LISTA_EX,MATCH('T1'!$J17&amp;"|"&amp;186,LISTA_KLUCZ,0))),"")</f>
        <v/>
      </c>
      <c r="GG17" s="5" t="str">
        <f t="array" ref="GG17">IFERROR(IF('T1'!$J17="",INDEX(LISTA_EX,187),INDEX(LISTA_EX,MATCH('T1'!$J17&amp;"|"&amp;187,LISTA_KLUCZ,0))),"")</f>
        <v/>
      </c>
      <c r="GH17" s="5" t="str">
        <f t="array" ref="GH17">IFERROR(IF('T1'!$J17="",INDEX(LISTA_EX,188),INDEX(LISTA_EX,MATCH('T1'!$J17&amp;"|"&amp;188,LISTA_KLUCZ,0))),"")</f>
        <v/>
      </c>
      <c r="GI17" s="5" t="str">
        <f t="array" ref="GI17">IFERROR(IF('T1'!$J17="",INDEX(LISTA_EX,189),INDEX(LISTA_EX,MATCH('T1'!$J17&amp;"|"&amp;189,LISTA_KLUCZ,0))),"")</f>
        <v/>
      </c>
      <c r="GJ17" s="5" t="str">
        <f t="array" ref="GJ17">IFERROR(IF('T1'!$J17="",INDEX(LISTA_EX,190),INDEX(LISTA_EX,MATCH('T1'!$J17&amp;"|"&amp;190,LISTA_KLUCZ,0))),"")</f>
        <v/>
      </c>
      <c r="GK17" s="5" t="str">
        <f t="array" ref="GK17">IFERROR(IF('T1'!$J17="",INDEX(LISTA_EX,191),INDEX(LISTA_EX,MATCH('T1'!$J17&amp;"|"&amp;191,LISTA_KLUCZ,0))),"")</f>
        <v/>
      </c>
      <c r="GL17" s="5" t="str">
        <f t="array" ref="GL17">IFERROR(IF('T1'!$J17="",INDEX(LISTA_EX,192),INDEX(LISTA_EX,MATCH('T1'!$J17&amp;"|"&amp;192,LISTA_KLUCZ,0))),"")</f>
        <v/>
      </c>
      <c r="GM17" s="5" t="str">
        <f t="array" ref="GM17">IFERROR(IF('T1'!$J17="",INDEX(LISTA_EX,193),INDEX(LISTA_EX,MATCH('T1'!$J17&amp;"|"&amp;193,LISTA_KLUCZ,0))),"")</f>
        <v/>
      </c>
      <c r="GN17" s="5" t="str">
        <f t="array" ref="GN17">IFERROR(IF('T1'!$J17="",INDEX(LISTA_EX,194),INDEX(LISTA_EX,MATCH('T1'!$J17&amp;"|"&amp;194,LISTA_KLUCZ,0))),"")</f>
        <v/>
      </c>
      <c r="GO17" s="5" t="str">
        <f t="array" ref="GO17">IFERROR(IF('T1'!$J17="",INDEX(LISTA_EX,195),INDEX(LISTA_EX,MATCH('T1'!$J17&amp;"|"&amp;195,LISTA_KLUCZ,0))),"")</f>
        <v/>
      </c>
      <c r="GP17" s="5" t="str">
        <f t="array" ref="GP17">IFERROR(IF('T1'!$J17="",INDEX(LISTA_EX,196),INDEX(LISTA_EX,MATCH('T1'!$J17&amp;"|"&amp;196,LISTA_KLUCZ,0))),"")</f>
        <v/>
      </c>
      <c r="GQ17" s="5" t="str">
        <f t="array" ref="GQ17">IFERROR(IF('T1'!$J17="",INDEX(LISTA_EX,197),INDEX(LISTA_EX,MATCH('T1'!$J17&amp;"|"&amp;197,LISTA_KLUCZ,0))),"")</f>
        <v/>
      </c>
      <c r="GR17" s="5" t="str">
        <f t="array" ref="GR17">IFERROR(IF('T1'!$J17="",INDEX(LISTA_EX,198),INDEX(LISTA_EX,MATCH('T1'!$J17&amp;"|"&amp;198,LISTA_KLUCZ,0))),"")</f>
        <v/>
      </c>
      <c r="GS17" s="5" t="str">
        <f t="array" ref="GS17">IFERROR(IF('T1'!$J17="",INDEX(LISTA_EX,199),INDEX(LISTA_EX,MATCH('T1'!$J17&amp;"|"&amp;199,LISTA_KLUCZ,0))),"")</f>
        <v/>
      </c>
      <c r="GT17" s="5" t="str">
        <f t="array" ref="GT17">IFERROR(IF('T1'!$J17="",INDEX(LISTA_EX,200),INDEX(LISTA_EX,MATCH('T1'!$J17&amp;"|"&amp;200,LISTA_KLUCZ,0))),"")</f>
        <v/>
      </c>
      <c r="GV17" s="5" t="str">
        <f>IF(BAZA!$A17="","",BAZA!$A17)</f>
        <v>Barbell oscilation</v>
      </c>
      <c r="GW17" s="5" t="str">
        <f>IF(BAZA!$B17="","",BAZA!$B17&amp;"|"&amp;COUNTIF(BAZA!$B$3:$B17,BAZA!$B17))</f>
        <v>Core|3</v>
      </c>
    </row>
    <row r="18" ht="15.0" customHeight="1">
      <c r="A18" s="5" t="str">
        <f>IF('T1'!$K18="","",'T1'!$K18)</f>
        <v>D1-S12</v>
      </c>
      <c r="B18" s="5" t="str">
        <f>IF('T1'!$J18="","(wszystkie)",'T1'!$J18)</f>
        <v>(wszystkie)</v>
      </c>
      <c r="C18" s="5" t="str">
        <f t="array" ref="C18">IFERROR(IF('T1'!$J18="",INDEX(LISTA_EX,1),INDEX(LISTA_EX,MATCH('T1'!$J18&amp;"|"&amp;1,LISTA_KLUCZ,0))),"")</f>
        <v>Abduction machine</v>
      </c>
      <c r="D18" s="5" t="str">
        <f t="array" ref="D18">IFERROR(IF('T1'!$J18="",INDEX(LISTA_EX,2),INDEX(LISTA_EX,MATCH('T1'!$J18&amp;"|"&amp;2,LISTA_KLUCZ,0))),"")</f>
        <v>Adduction machine</v>
      </c>
      <c r="E18" s="5" t="str">
        <f t="array" ref="E18">IFERROR(IF('T1'!$J18="",INDEX(LISTA_EX,3),INDEX(LISTA_EX,MATCH('T1'!$J18&amp;"|"&amp;3,LISTA_KLUCZ,0))),"")</f>
        <v>Allah</v>
      </c>
      <c r="F18" s="5" t="str">
        <f t="array" ref="F18">IFERROR(IF('T1'!$J18="",INDEX(LISTA_EX,4),INDEX(LISTA_EX,MATCH('T1'!$J18&amp;"|"&amp;4,LISTA_KLUCZ,0))),"")</f>
        <v>Arnold press</v>
      </c>
      <c r="G18" s="5" t="str">
        <f t="array" ref="G18">IFERROR(IF('T1'!$J18="",INDEX(LISTA_EX,5),INDEX(LISTA_EX,MATCH('T1'!$J18&amp;"|"&amp;5,LISTA_KLUCZ,0))),"")</f>
        <v>Arnold press alternating</v>
      </c>
      <c r="H18" s="5" t="str">
        <f t="array" ref="H18">IFERROR(IF('T1'!$J18="",INDEX(LISTA_EX,6),INDEX(LISTA_EX,MATCH('T1'!$J18&amp;"|"&amp;6,LISTA_KLUCZ,0))),"")</f>
        <v>B/l dragonflag eccentric</v>
      </c>
      <c r="I18" s="5" t="str">
        <f t="array" ref="I18">IFERROR(IF('T1'!$J18="",INDEX(LISTA_EX,7),INDEX(LISTA_EX,MATCH('T1'!$J18&amp;"|"&amp;7,LISTA_KLUCZ,0))),"")</f>
        <v>Back extension</v>
      </c>
      <c r="J18" s="5" t="str">
        <f t="array" ref="J18">IFERROR(IF('T1'!$J18="",INDEX(LISTA_EX,8),INDEX(LISTA_EX,MATCH('T1'!$J18&amp;"|"&amp;8,LISTA_KLUCZ,0))),"")</f>
        <v>Banded pistol squat</v>
      </c>
      <c r="K18" s="5" t="str">
        <f t="array" ref="K18">IFERROR(IF('T1'!$J18="",INDEX(LISTA_EX,9),INDEX(LISTA_EX,MATCH('T1'!$J18&amp;"|"&amp;9,LISTA_KLUCZ,0))),"")</f>
        <v>Banded pull ups</v>
      </c>
      <c r="L18" s="5" t="str">
        <f t="array" ref="L18">IFERROR(IF('T1'!$J18="",INDEX(LISTA_EX,10),INDEX(LISTA_EX,MATCH('T1'!$J18&amp;"|"&amp;10,LISTA_KLUCZ,0))),"")</f>
        <v>Barbell back squat</v>
      </c>
      <c r="M18" s="5" t="str">
        <f t="array" ref="M18">IFERROR(IF('T1'!$J18="",INDEX(LISTA_EX,11),INDEX(LISTA_EX,MATCH('T1'!$J18&amp;"|"&amp;11,LISTA_KLUCZ,0))),"")</f>
        <v>Barbell bench press</v>
      </c>
      <c r="N18" s="5" t="str">
        <f t="array" ref="N18">IFERROR(IF('T1'!$J18="",INDEX(LISTA_EX,12),INDEX(LISTA_EX,MATCH('T1'!$J18&amp;"|"&amp;12,LISTA_KLUCZ,0))),"")</f>
        <v>Barbell curl</v>
      </c>
      <c r="O18" s="5" t="str">
        <f t="array" ref="O18">IFERROR(IF('T1'!$J18="",INDEX(LISTA_EX,13),INDEX(LISTA_EX,MATCH('T1'!$J18&amp;"|"&amp;13,LISTA_KLUCZ,0))),"")</f>
        <v>Barbell low bar squat</v>
      </c>
      <c r="P18" s="5" t="str">
        <f t="array" ref="P18">IFERROR(IF('T1'!$J18="",INDEX(LISTA_EX,14),INDEX(LISTA_EX,MATCH('T1'!$J18&amp;"|"&amp;14,LISTA_KLUCZ,0))),"")</f>
        <v>Barbell OHP</v>
      </c>
      <c r="Q18" s="5" t="str">
        <f t="array" ref="Q18">IFERROR(IF('T1'!$J18="",INDEX(LISTA_EX,15),INDEX(LISTA_EX,MATCH('T1'!$J18&amp;"|"&amp;15,LISTA_KLUCZ,0))),"")</f>
        <v>Barbell oscilation</v>
      </c>
      <c r="R18" s="5" t="str">
        <f t="array" ref="R18">IFERROR(IF('T1'!$J18="",INDEX(LISTA_EX,16),INDEX(LISTA_EX,MATCH('T1'!$J18&amp;"|"&amp;16,LISTA_KLUCZ,0))),"")</f>
        <v>Barbell row</v>
      </c>
      <c r="S18" s="5" t="str">
        <f t="array" ref="S18">IFERROR(IF('T1'!$J18="",INDEX(LISTA_EX,17),INDEX(LISTA_EX,MATCH('T1'!$J18&amp;"|"&amp;17,LISTA_KLUCZ,0))),"")</f>
        <v>Barbell row dead stop pins</v>
      </c>
      <c r="T18" s="5" t="str">
        <f t="array" ref="T18">IFERROR(IF('T1'!$J18="",INDEX(LISTA_EX,18),INDEX(LISTA_EX,MATCH('T1'!$J18&amp;"|"&amp;18,LISTA_KLUCZ,0))),"")</f>
        <v>Barbell SLDL</v>
      </c>
      <c r="U18" s="5" t="str">
        <f t="array" ref="U18">IFERROR(IF('T1'!$J18="",INDEX(LISTA_EX,19),INDEX(LISTA_EX,MATCH('T1'!$J18&amp;"|"&amp;19,LISTA_KLUCZ,0))),"")</f>
        <v>Bayesian curl</v>
      </c>
      <c r="V18" s="5" t="str">
        <f t="array" ref="V18">IFERROR(IF('T1'!$J18="",INDEX(LISTA_EX,20),INDEX(LISTA_EX,MATCH('T1'!$J18&amp;"|"&amp;20,LISTA_KLUCZ,0))),"")</f>
        <v>Bear renegade row</v>
      </c>
      <c r="W18" s="5" t="str">
        <f t="array" ref="W18">IFERROR(IF('T1'!$J18="",INDEX(LISTA_EX,21),INDEX(LISTA_EX,MATCH('T1'!$J18&amp;"|"&amp;21,LISTA_KLUCZ,0))),"")</f>
        <v>Bench press paused 3sec</v>
      </c>
      <c r="X18" s="5" t="str">
        <f t="array" ref="X18">IFERROR(IF('T1'!$J18="",INDEX(LISTA_EX,22),INDEX(LISTA_EX,MATCH('T1'!$J18&amp;"|"&amp;22,LISTA_KLUCZ,0))),"")</f>
        <v>Bicep hammer curl</v>
      </c>
      <c r="Y18" s="5" t="str">
        <f t="array" ref="Y18">IFERROR(IF('T1'!$J18="",INDEX(LISTA_EX,23),INDEX(LISTA_EX,MATCH('T1'!$J18&amp;"|"&amp;23,LISTA_KLUCZ,0))),"")</f>
        <v>Bicep squat cable curl</v>
      </c>
      <c r="Z18" s="5" t="str">
        <f t="array" ref="Z18">IFERROR(IF('T1'!$J18="",INDEX(LISTA_EX,24),INDEX(LISTA_EX,MATCH('T1'!$J18&amp;"|"&amp;24,LISTA_KLUCZ,0))),"")</f>
        <v>Bird dog row</v>
      </c>
      <c r="AA18" s="5" t="str">
        <f t="array" ref="AA18">IFERROR(IF('T1'!$J18="",INDEX(LISTA_EX,25),INDEX(LISTA_EX,MATCH('T1'!$J18&amp;"|"&amp;25,LISTA_KLUCZ,0))),"")</f>
        <v>Box jump</v>
      </c>
      <c r="AB18" s="5" t="str">
        <f t="array" ref="AB18">IFERROR(IF('T1'!$J18="",INDEX(LISTA_EX,26),INDEX(LISTA_EX,MATCH('T1'!$J18&amp;"|"&amp;26,LISTA_KLUCZ,0))),"")</f>
        <v>Bulgarian clean plyo</v>
      </c>
      <c r="AC18" s="5" t="str">
        <f t="array" ref="AC18">IFERROR(IF('T1'!$J18="",INDEX(LISTA_EX,27),INDEX(LISTA_EX,MATCH('T1'!$J18&amp;"|"&amp;27,LISTA_KLUCZ,0))),"")</f>
        <v>Bulgarian squat assisted</v>
      </c>
      <c r="AD18" s="5" t="str">
        <f t="array" ref="AD18">IFERROR(IF('T1'!$J18="",INDEX(LISTA_EX,28),INDEX(LISTA_EX,MATCH('T1'!$J18&amp;"|"&amp;28,LISTA_KLUCZ,0))),"")</f>
        <v>Cable biceps curl</v>
      </c>
      <c r="AE18" s="5" t="str">
        <f t="array" ref="AE18">IFERROR(IF('T1'!$J18="",INDEX(LISTA_EX,29),INDEX(LISTA_EX,MATCH('T1'!$J18&amp;"|"&amp;29,LISTA_KLUCZ,0))),"")</f>
        <v>Cable fly</v>
      </c>
      <c r="AF18" s="5" t="str">
        <f t="array" ref="AF18">IFERROR(IF('T1'!$J18="",INDEX(LISTA_EX,30),INDEX(LISTA_EX,MATCH('T1'!$J18&amp;"|"&amp;30,LISTA_KLUCZ,0))),"")</f>
        <v>Cable lateral raise s/a</v>
      </c>
      <c r="AG18" s="5" t="str">
        <f t="array" ref="AG18">IFERROR(IF('T1'!$J18="",INDEX(LISTA_EX,31),INDEX(LISTA_EX,MATCH('T1'!$J18&amp;"|"&amp;31,LISTA_KLUCZ,0))),"")</f>
        <v>Cable row</v>
      </c>
      <c r="AH18" s="5" t="str">
        <f t="array" ref="AH18">IFERROR(IF('T1'!$J18="",INDEX(LISTA_EX,32),INDEX(LISTA_EX,MATCH('T1'!$J18&amp;"|"&amp;32,LISTA_KLUCZ,0))),"")</f>
        <v>Cable row s/a</v>
      </c>
      <c r="AI18" s="5" t="str">
        <f t="array" ref="AI18">IFERROR(IF('T1'!$J18="",INDEX(LISTA_EX,33),INDEX(LISTA_EX,MATCH('T1'!$J18&amp;"|"&amp;33,LISTA_KLUCZ,0))),"")</f>
        <v>Calf raises</v>
      </c>
      <c r="AJ18" s="5" t="str">
        <f t="array" ref="AJ18">IFERROR(IF('T1'!$J18="",INDEX(LISTA_EX,34),INDEX(LISTA_EX,MATCH('T1'!$J18&amp;"|"&amp;34,LISTA_KLUCZ,0))),"")</f>
        <v>Chest fly machine</v>
      </c>
      <c r="AK18" s="5" t="str">
        <f t="array" ref="AK18">IFERROR(IF('T1'!$J18="",INDEX(LISTA_EX,35),INDEX(LISTA_EX,MATCH('T1'!$J18&amp;"|"&amp;35,LISTA_KLUCZ,0))),"")</f>
        <v>Clean</v>
      </c>
      <c r="AL18" s="5" t="str">
        <f t="array" ref="AL18">IFERROR(IF('T1'!$J18="",INDEX(LISTA_EX,36),INDEX(LISTA_EX,MATCH('T1'!$J18&amp;"|"&amp;36,LISTA_KLUCZ,0))),"")</f>
        <v>Clean pins</v>
      </c>
      <c r="AM18" s="5" t="str">
        <f t="array" ref="AM18">IFERROR(IF('T1'!$J18="",INDEX(LISTA_EX,37),INDEX(LISTA_EX,MATCH('T1'!$J18&amp;"|"&amp;37,LISTA_KLUCZ,0))),"")</f>
        <v>Copenhagen plank</v>
      </c>
      <c r="AN18" s="5" t="str">
        <f t="array" ref="AN18">IFERROR(IF('T1'!$J18="",INDEX(LISTA_EX,38),INDEX(LISTA_EX,MATCH('T1'!$J18&amp;"|"&amp;38,LISTA_KLUCZ,0))),"")</f>
        <v>Dead bug izo + OH</v>
      </c>
      <c r="AO18" s="5" t="str">
        <f t="array" ref="AO18">IFERROR(IF('T1'!$J18="",INDEX(LISTA_EX,39),INDEX(LISTA_EX,MATCH('T1'!$J18&amp;"|"&amp;39,LISTA_KLUCZ,0))),"")</f>
        <v>Dead bug straight legs</v>
      </c>
      <c r="AP18" s="5" t="str">
        <f t="array" ref="AP18">IFERROR(IF('T1'!$J18="",INDEX(LISTA_EX,40),INDEX(LISTA_EX,MATCH('T1'!$J18&amp;"|"&amp;40,LISTA_KLUCZ,0))),"")</f>
        <v>Dead stop barbell row</v>
      </c>
      <c r="AQ18" s="5" t="str">
        <f t="array" ref="AQ18">IFERROR(IF('T1'!$J18="",INDEX(LISTA_EX,41),INDEX(LISTA_EX,MATCH('T1'!$J18&amp;"|"&amp;41,LISTA_KLUCZ,0))),"")</f>
        <v>Deadbug OH</v>
      </c>
      <c r="AR18" s="5" t="str">
        <f t="array" ref="AR18">IFERROR(IF('T1'!$J18="",INDEX(LISTA_EX,42),INDEX(LISTA_EX,MATCH('T1'!$J18&amp;"|"&amp;42,LISTA_KLUCZ,0))),"")</f>
        <v>Deadlift</v>
      </c>
      <c r="AS18" s="5" t="str">
        <f t="array" ref="AS18">IFERROR(IF('T1'!$J18="",INDEX(LISTA_EX,43),INDEX(LISTA_EX,MATCH('T1'!$J18&amp;"|"&amp;43,LISTA_KLUCZ,0))),"")</f>
        <v>Deficit push up</v>
      </c>
      <c r="AT18" s="5" t="str">
        <f t="array" ref="AT18">IFERROR(IF('T1'!$J18="",INDEX(LISTA_EX,44),INDEX(LISTA_EX,MATCH('T1'!$J18&amp;"|"&amp;44,LISTA_KLUCZ,0))),"")</f>
        <v>Deficit reverse lunge</v>
      </c>
      <c r="AU18" s="5" t="str">
        <f t="array" ref="AU18">IFERROR(IF('T1'!$J18="",INDEX(LISTA_EX,45),INDEX(LISTA_EX,MATCH('T1'!$J18&amp;"|"&amp;45,LISTA_KLUCZ,0))),"")</f>
        <v>Dips</v>
      </c>
      <c r="AV18" s="5" t="str">
        <f t="array" ref="AV18">IFERROR(IF('T1'!$J18="",INDEX(LISTA_EX,46),INDEX(LISTA_EX,MATCH('T1'!$J18&amp;"|"&amp;46,LISTA_KLUCZ,0))),"")</f>
        <v>Dips weighted</v>
      </c>
      <c r="AW18" s="5" t="str">
        <f t="array" ref="AW18">IFERROR(IF('T1'!$J18="",INDEX(LISTA_EX,47),INDEX(LISTA_EX,MATCH('T1'!$J18&amp;"|"&amp;47,LISTA_KLUCZ,0))),"")</f>
        <v>Dumbbell bench press</v>
      </c>
      <c r="AX18" s="5" t="str">
        <f t="array" ref="AX18">IFERROR(IF('T1'!$J18="",INDEX(LISTA_EX,48),INDEX(LISTA_EX,MATCH('T1'!$J18&amp;"|"&amp;48,LISTA_KLUCZ,0))),"")</f>
        <v>Dumbbell bench press alternating</v>
      </c>
      <c r="AY18" s="5" t="str">
        <f t="array" ref="AY18">IFERROR(IF('T1'!$J18="",INDEX(LISTA_EX,49),INDEX(LISTA_EX,MATCH('T1'!$J18&amp;"|"&amp;49,LISTA_KLUCZ,0))),"")</f>
        <v>Dumbbell curl</v>
      </c>
      <c r="AZ18" s="5" t="str">
        <f t="array" ref="AZ18">IFERROR(IF('T1'!$J18="",INDEX(LISTA_EX,50),INDEX(LISTA_EX,MATCH('T1'!$J18&amp;"|"&amp;50,LISTA_KLUCZ,0))),"")</f>
        <v>Dumbbell external rotation</v>
      </c>
      <c r="BA18" s="5" t="str">
        <f t="array" ref="BA18">IFERROR(IF('T1'!$J18="",INDEX(LISTA_EX,51),INDEX(LISTA_EX,MATCH('T1'!$J18&amp;"|"&amp;51,LISTA_KLUCZ,0))),"")</f>
        <v>Dumbbell face down curl</v>
      </c>
      <c r="BB18" s="5" t="str">
        <f t="array" ref="BB18">IFERROR(IF('T1'!$J18="",INDEX(LISTA_EX,52),INDEX(LISTA_EX,MATCH('T1'!$J18&amp;"|"&amp;52,LISTA_KLUCZ,0))),"")</f>
        <v>Dumbbell fly</v>
      </c>
      <c r="BC18" s="5" t="str">
        <f t="array" ref="BC18">IFERROR(IF('T1'!$J18="",INDEX(LISTA_EX,53),INDEX(LISTA_EX,MATCH('T1'!$J18&amp;"|"&amp;53,LISTA_KLUCZ,0))),"")</f>
        <v>Dumbbell french press</v>
      </c>
      <c r="BD18" s="5" t="str">
        <f t="array" ref="BD18">IFERROR(IF('T1'!$J18="",INDEX(LISTA_EX,54),INDEX(LISTA_EX,MATCH('T1'!$J18&amp;"|"&amp;54,LISTA_KLUCZ,0))),"")</f>
        <v>Dumbbell lateral raise</v>
      </c>
      <c r="BE18" s="5" t="str">
        <f t="array" ref="BE18">IFERROR(IF('T1'!$J18="",INDEX(LISTA_EX,55),INDEX(LISTA_EX,MATCH('T1'!$J18&amp;"|"&amp;55,LISTA_KLUCZ,0))),"")</f>
        <v>Dumbbell lunges</v>
      </c>
      <c r="BF18" s="5" t="str">
        <f t="array" ref="BF18">IFERROR(IF('T1'!$J18="",INDEX(LISTA_EX,56),INDEX(LISTA_EX,MATCH('T1'!$J18&amp;"|"&amp;56,LISTA_KLUCZ,0))),"")</f>
        <v>Dumbbell OH press</v>
      </c>
      <c r="BG18" s="5" t="str">
        <f t="array" ref="BG18">IFERROR(IF('T1'!$J18="",INDEX(LISTA_EX,57),INDEX(LISTA_EX,MATCH('T1'!$J18&amp;"|"&amp;57,LISTA_KLUCZ,0))),"")</f>
        <v>Dumbbell over head press</v>
      </c>
      <c r="BH18" s="5" t="str">
        <f t="array" ref="BH18">IFERROR(IF('T1'!$J18="",INDEX(LISTA_EX,58),INDEX(LISTA_EX,MATCH('T1'!$J18&amp;"|"&amp;58,LISTA_KLUCZ,0))),"")</f>
        <v>Dumbbell over head press alternating</v>
      </c>
      <c r="BI18" s="5" t="str">
        <f t="array" ref="BI18">IFERROR(IF('T1'!$J18="",INDEX(LISTA_EX,59),INDEX(LISTA_EX,MATCH('T1'!$J18&amp;"|"&amp;59,LISTA_KLUCZ,0))),"")</f>
        <v>Dumbbell row</v>
      </c>
      <c r="BJ18" s="5" t="str">
        <f t="array" ref="BJ18">IFERROR(IF('T1'!$J18="",INDEX(LISTA_EX,60),INDEX(LISTA_EX,MATCH('T1'!$J18&amp;"|"&amp;60,LISTA_KLUCZ,0))),"")</f>
        <v>Dumbbell s/a Arnold press</v>
      </c>
      <c r="BK18" s="5" t="str">
        <f t="array" ref="BK18">IFERROR(IF('T1'!$J18="",INDEX(LISTA_EX,61),INDEX(LISTA_EX,MATCH('T1'!$J18&amp;"|"&amp;61,LISTA_KLUCZ,0))),"")</f>
        <v>Dumbbell s/a row</v>
      </c>
      <c r="BL18" s="5" t="str">
        <f t="array" ref="BL18">IFERROR(IF('T1'!$J18="",INDEX(LISTA_EX,62),INDEX(LISTA_EX,MATCH('T1'!$J18&amp;"|"&amp;62,LISTA_KLUCZ,0))),"")</f>
        <v>Dumbbell seal row</v>
      </c>
      <c r="BM18" s="5" t="str">
        <f t="array" ref="BM18">IFERROR(IF('T1'!$J18="",INDEX(LISTA_EX,63),INDEX(LISTA_EX,MATCH('T1'!$J18&amp;"|"&amp;63,LISTA_KLUCZ,0))),"")</f>
        <v>Dumbbells jumps</v>
      </c>
      <c r="BN18" s="5" t="str">
        <f t="array" ref="BN18">IFERROR(IF('T1'!$J18="",INDEX(LISTA_EX,64),INDEX(LISTA_EX,MATCH('T1'!$J18&amp;"|"&amp;64,LISTA_KLUCZ,0))),"")</f>
        <v>Eccentric pull up</v>
      </c>
      <c r="BO18" s="5" t="str">
        <f t="array" ref="BO18">IFERROR(IF('T1'!$J18="",INDEX(LISTA_EX,65),INDEX(LISTA_EX,MATCH('T1'!$J18&amp;"|"&amp;65,LISTA_KLUCZ,0))),"")</f>
        <v>Eccentric push up (5 sek w dół)</v>
      </c>
      <c r="BP18" s="5" t="str">
        <f t="array" ref="BP18">IFERROR(IF('T1'!$J18="",INDEX(LISTA_EX,66),INDEX(LISTA_EX,MATCH('T1'!$J18&amp;"|"&amp;66,LISTA_KLUCZ,0))),"")</f>
        <v>Extensive plyo jumps s/l</v>
      </c>
      <c r="BQ18" s="5" t="str">
        <f t="array" ref="BQ18">IFERROR(IF('T1'!$J18="",INDEX(LISTA_EX,67),INDEX(LISTA_EX,MATCH('T1'!$J18&amp;"|"&amp;67,LISTA_KLUCZ,0))),"")</f>
        <v>Ez bar curl</v>
      </c>
      <c r="BR18" s="5" t="str">
        <f t="array" ref="BR18">IFERROR(IF('T1'!$J18="",INDEX(LISTA_EX,68),INDEX(LISTA_EX,MATCH('T1'!$J18&amp;"|"&amp;68,LISTA_KLUCZ,0))),"")</f>
        <v>Facepull chest supported</v>
      </c>
      <c r="BS18" s="5" t="str">
        <f t="array" ref="BS18">IFERROR(IF('T1'!$J18="",INDEX(LISTA_EX,69),INDEX(LISTA_EX,MATCH('T1'!$J18&amp;"|"&amp;69,LISTA_KLUCZ,0))),"")</f>
        <v>Front foot elevated split squat</v>
      </c>
      <c r="BT18" s="5" t="str">
        <f t="array" ref="BT18">IFERROR(IF('T1'!$J18="",INDEX(LISTA_EX,70),INDEX(LISTA_EX,MATCH('T1'!$J18&amp;"|"&amp;70,LISTA_KLUCZ,0))),"")</f>
        <v>Front squat</v>
      </c>
      <c r="BU18" s="5" t="str">
        <f t="array" ref="BU18">IFERROR(IF('T1'!$J18="",INDEX(LISTA_EX,71),INDEX(LISTA_EX,MATCH('T1'!$J18&amp;"|"&amp;71,LISTA_KLUCZ,0))),"")</f>
        <v>GHD flexion</v>
      </c>
      <c r="BV18" s="5" t="str">
        <f t="array" ref="BV18">IFERROR(IF('T1'!$J18="",INDEX(LISTA_EX,72),INDEX(LISTA_EX,MATCH('T1'!$J18&amp;"|"&amp;72,LISTA_KLUCZ,0))),"")</f>
        <v>Glute bridge hamstrings izo + OH</v>
      </c>
      <c r="BW18" s="5" t="str">
        <f t="array" ref="BW18">IFERROR(IF('T1'!$J18="",INDEX(LISTA_EX,73),INDEX(LISTA_EX,MATCH('T1'!$J18&amp;"|"&amp;73,LISTA_KLUCZ,0))),"")</f>
        <v>Glute crusher</v>
      </c>
      <c r="BX18" s="5" t="str">
        <f t="array" ref="BX18">IFERROR(IF('T1'!$J18="",INDEX(LISTA_EX,74),INDEX(LISTA_EX,MATCH('T1'!$J18&amp;"|"&amp;74,LISTA_KLUCZ,0))),"")</f>
        <v>Gorilla row</v>
      </c>
      <c r="BY18" s="5" t="str">
        <f t="array" ref="BY18">IFERROR(IF('T1'!$J18="",INDEX(LISTA_EX,75),INDEX(LISTA_EX,MATCH('T1'!$J18&amp;"|"&amp;75,LISTA_KLUCZ,0))),"")</f>
        <v>Halfkneeling s/a cable pull</v>
      </c>
      <c r="BZ18" s="5" t="str">
        <f t="array" ref="BZ18">IFERROR(IF('T1'!$J18="",INDEX(LISTA_EX,76),INDEX(LISTA_EX,MATCH('T1'!$J18&amp;"|"&amp;76,LISTA_KLUCZ,0))),"")</f>
        <v>Halfkneeling wood chopper</v>
      </c>
      <c r="CA18" s="5" t="str">
        <f t="array" ref="CA18">IFERROR(IF('T1'!$J18="",INDEX(LISTA_EX,77),INDEX(LISTA_EX,MATCH('T1'!$J18&amp;"|"&amp;77,LISTA_KLUCZ,0))),"")</f>
        <v>Hinged dumbbell row</v>
      </c>
      <c r="CB18" s="5" t="str">
        <f t="array" ref="CB18">IFERROR(IF('T1'!$J18="",INDEX(LISTA_EX,78),INDEX(LISTA_EX,MATCH('T1'!$J18&amp;"|"&amp;78,LISTA_KLUCZ,0))),"")</f>
        <v>Hip aeroplane</v>
      </c>
      <c r="CC18" s="5" t="str">
        <f t="array" ref="CC18">IFERROR(IF('T1'!$J18="",INDEX(LISTA_EX,79),INDEX(LISTA_EX,MATCH('T1'!$J18&amp;"|"&amp;79,LISTA_KLUCZ,0))),"")</f>
        <v>Hip flexors cable</v>
      </c>
      <c r="CD18" s="5" t="str">
        <f t="array" ref="CD18">IFERROR(IF('T1'!$J18="",INDEX(LISTA_EX,80),INDEX(LISTA_EX,MATCH('T1'!$J18&amp;"|"&amp;80,LISTA_KLUCZ,0))),"")</f>
        <v>Hip thrust barbell</v>
      </c>
      <c r="CE18" s="5" t="str">
        <f t="array" ref="CE18">IFERROR(IF('T1'!$J18="",INDEX(LISTA_EX,81),INDEX(LISTA_EX,MATCH('T1'!$J18&amp;"|"&amp;81,LISTA_KLUCZ,0))),"")</f>
        <v>Hollow body + OH</v>
      </c>
      <c r="CF18" s="5" t="str">
        <f t="array" ref="CF18">IFERROR(IF('T1'!$J18="",INDEX(LISTA_EX,82),INDEX(LISTA_EX,MATCH('T1'!$J18&amp;"|"&amp;82,LISTA_KLUCZ,0))),"")</f>
        <v>Horizontal jump</v>
      </c>
      <c r="CG18" s="5" t="str">
        <f t="array" ref="CG18">IFERROR(IF('T1'!$J18="",INDEX(LISTA_EX,83),INDEX(LISTA_EX,MATCH('T1'!$J18&amp;"|"&amp;83,LISTA_KLUCZ,0))),"")</f>
        <v>Incline bench lateral raise s/a</v>
      </c>
      <c r="CH18" s="5" t="str">
        <f t="array" ref="CH18">IFERROR(IF('T1'!$J18="",INDEX(LISTA_EX,84),INDEX(LISTA_EX,MATCH('T1'!$J18&amp;"|"&amp;84,LISTA_KLUCZ,0))),"")</f>
        <v>Incline curl + OHP</v>
      </c>
      <c r="CI18" s="5" t="str">
        <f t="array" ref="CI18">IFERROR(IF('T1'!$J18="",INDEX(LISTA_EX,85),INDEX(LISTA_EX,MATCH('T1'!$J18&amp;"|"&amp;85,LISTA_KLUCZ,0))),"")</f>
        <v>Incline dumbbell curl</v>
      </c>
      <c r="CJ18" s="5" t="str">
        <f t="array" ref="CJ18">IFERROR(IF('T1'!$J18="",INDEX(LISTA_EX,86),INDEX(LISTA_EX,MATCH('T1'!$J18&amp;"|"&amp;86,LISTA_KLUCZ,0))),"")</f>
        <v>Incline dumbbell curl (back)</v>
      </c>
      <c r="CK18" s="5" t="str">
        <f t="array" ref="CK18">IFERROR(IF('T1'!$J18="",INDEX(LISTA_EX,87),INDEX(LISTA_EX,MATCH('T1'!$J18&amp;"|"&amp;87,LISTA_KLUCZ,0))),"")</f>
        <v>Incline dumbbell curl (front)</v>
      </c>
      <c r="CL18" s="5" t="str">
        <f t="array" ref="CL18">IFERROR(IF('T1'!$J18="",INDEX(LISTA_EX,88),INDEX(LISTA_EX,MATCH('T1'!$J18&amp;"|"&amp;88,LISTA_KLUCZ,0))),"")</f>
        <v>Incline dumbbell fly</v>
      </c>
      <c r="CM18" s="5" t="str">
        <f t="array" ref="CM18">IFERROR(IF('T1'!$J18="",INDEX(LISTA_EX,89),INDEX(LISTA_EX,MATCH('T1'!$J18&amp;"|"&amp;89,LISTA_KLUCZ,0))),"")</f>
        <v>Incline dumbbell press</v>
      </c>
      <c r="CN18" s="5" t="str">
        <f t="array" ref="CN18">IFERROR(IF('T1'!$J18="",INDEX(LISTA_EX,90),INDEX(LISTA_EX,MATCH('T1'!$J18&amp;"|"&amp;90,LISTA_KLUCZ,0))),"")</f>
        <v>Incline dumbbell press alternating</v>
      </c>
      <c r="CO18" s="5" t="str">
        <f t="array" ref="CO18">IFERROR(IF('T1'!$J18="",INDEX(LISTA_EX,91),INDEX(LISTA_EX,MATCH('T1'!$J18&amp;"|"&amp;91,LISTA_KLUCZ,0))),"")</f>
        <v>Incline sit-ups</v>
      </c>
      <c r="CP18" s="5" t="str">
        <f t="array" ref="CP18">IFERROR(IF('T1'!$J18="",INDEX(LISTA_EX,92),INDEX(LISTA_EX,MATCH('T1'!$J18&amp;"|"&amp;92,LISTA_KLUCZ,0))),"")</f>
        <v>Jefferson cable</v>
      </c>
      <c r="CQ18" s="5" t="str">
        <f t="array" ref="CQ18">IFERROR(IF('T1'!$J18="",INDEX(LISTA_EX,93),INDEX(LISTA_EX,MATCH('T1'!$J18&amp;"|"&amp;93,LISTA_KLUCZ,0))),"")</f>
        <v>Kettlebell march</v>
      </c>
      <c r="CR18" s="5" t="str">
        <f t="array" ref="CR18">IFERROR(IF('T1'!$J18="",INDEX(LISTA_EX,94),INDEX(LISTA_EX,MATCH('T1'!$J18&amp;"|"&amp;94,LISTA_KLUCZ,0))),"")</f>
        <v>Kickbacks</v>
      </c>
      <c r="CS18" s="5" t="str">
        <f t="array" ref="CS18">IFERROR(IF('T1'!$J18="",INDEX(LISTA_EX,95),INDEX(LISTA_EX,MATCH('T1'!$J18&amp;"|"&amp;95,LISTA_KLUCZ,0))),"")</f>
        <v>Knee extension machine</v>
      </c>
      <c r="CT18" s="5" t="str">
        <f t="array" ref="CT18">IFERROR(IF('T1'!$J18="",INDEX(LISTA_EX,96),INDEX(LISTA_EX,MATCH('T1'!$J18&amp;"|"&amp;96,LISTA_KLUCZ,0))),"")</f>
        <v>Knee flexion machine</v>
      </c>
      <c r="CU18" s="5" t="str">
        <f t="array" ref="CU18">IFERROR(IF('T1'!$J18="",INDEX(LISTA_EX,97),INDEX(LISTA_EX,MATCH('T1'!$J18&amp;"|"&amp;97,LISTA_KLUCZ,0))),"")</f>
        <v>Knee raises</v>
      </c>
      <c r="CV18" s="5" t="str">
        <f t="array" ref="CV18">IFERROR(IF('T1'!$J18="",INDEX(LISTA_EX,98),INDEX(LISTA_EX,MATCH('T1'!$J18&amp;"|"&amp;98,LISTA_KLUCZ,0))),"")</f>
        <v>Landmine core</v>
      </c>
      <c r="CW18" s="5" t="str">
        <f t="array" ref="CW18">IFERROR(IF('T1'!$J18="",INDEX(LISTA_EX,99),INDEX(LISTA_EX,MATCH('T1'!$J18&amp;"|"&amp;99,LISTA_KLUCZ,0))),"")</f>
        <v>Landmine press</v>
      </c>
      <c r="CX18" s="5" t="str">
        <f t="array" ref="CX18">IFERROR(IF('T1'!$J18="",INDEX(LISTA_EX,100),INDEX(LISTA_EX,MATCH('T1'!$J18&amp;"|"&amp;100,LISTA_KLUCZ,0))),"")</f>
        <v>Landmine rotations (powtórzenia x2)</v>
      </c>
      <c r="CY18" s="5" t="str">
        <f t="array" ref="CY18">IFERROR(IF('T1'!$J18="",INDEX(LISTA_EX,101),INDEX(LISTA_EX,MATCH('T1'!$J18&amp;"|"&amp;101,LISTA_KLUCZ,0))),"")</f>
        <v>Landmine SLDL</v>
      </c>
      <c r="CZ18" s="5" t="str">
        <f t="array" ref="CZ18">IFERROR(IF('T1'!$J18="",INDEX(LISTA_EX,102),INDEX(LISTA_EX,MATCH('T1'!$J18&amp;"|"&amp;102,LISTA_KLUCZ,0))),"")</f>
        <v>Lat pulldown</v>
      </c>
      <c r="DA18" s="5" t="str">
        <f t="array" ref="DA18">IFERROR(IF('T1'!$J18="",INDEX(LISTA_EX,103),INDEX(LISTA_EX,MATCH('T1'!$J18&amp;"|"&amp;103,LISTA_KLUCZ,0))),"")</f>
        <v>Lat pulldown behind the head</v>
      </c>
      <c r="DB18" s="5" t="str">
        <f t="array" ref="DB18">IFERROR(IF('T1'!$J18="",INDEX(LISTA_EX,104),INDEX(LISTA_EX,MATCH('T1'!$J18&amp;"|"&amp;104,LISTA_KLUCZ,0))),"")</f>
        <v>Lat pulldown s/a</v>
      </c>
      <c r="DC18" s="5" t="str">
        <f t="array" ref="DC18">IFERROR(IF('T1'!$J18="",INDEX(LISTA_EX,105),INDEX(LISTA_EX,MATCH('T1'!$J18&amp;"|"&amp;105,LISTA_KLUCZ,0))),"")</f>
        <v>Lateral raise s/a</v>
      </c>
      <c r="DD18" s="5" t="str">
        <f t="array" ref="DD18">IFERROR(IF('T1'!$J18="",INDEX(LISTA_EX,106),INDEX(LISTA_EX,MATCH('T1'!$J18&amp;"|"&amp;106,LISTA_KLUCZ,0))),"")</f>
        <v>Lateral raises</v>
      </c>
      <c r="DE18" s="5" t="str">
        <f t="array" ref="DE18">IFERROR(IF('T1'!$J18="",INDEX(LISTA_EX,107),INDEX(LISTA_EX,MATCH('T1'!$J18&amp;"|"&amp;107,LISTA_KLUCZ,0))),"")</f>
        <v>Lateral raises 2</v>
      </c>
      <c r="DF18" s="5" t="str">
        <f t="array" ref="DF18">IFERROR(IF('T1'!$J18="",INDEX(LISTA_EX,108),INDEX(LISTA_EX,MATCH('T1'!$J18&amp;"|"&amp;108,LISTA_KLUCZ,0))),"")</f>
        <v>Lateral raises full ROM</v>
      </c>
      <c r="DG18" s="5" t="str">
        <f t="array" ref="DG18">IFERROR(IF('T1'!$J18="",INDEX(LISTA_EX,109),INDEX(LISTA_EX,MATCH('T1'!$J18&amp;"|"&amp;109,LISTA_KLUCZ,0))),"")</f>
        <v>Lateral raises hinged</v>
      </c>
      <c r="DH18" s="5" t="str">
        <f t="array" ref="DH18">IFERROR(IF('T1'!$J18="",INDEX(LISTA_EX,110),INDEX(LISTA_EX,MATCH('T1'!$J18&amp;"|"&amp;110,LISTA_KLUCZ,0))),"")</f>
        <v>Lateral raises incline s/a</v>
      </c>
      <c r="DI18" s="5" t="str">
        <f t="array" ref="DI18">IFERROR(IF('T1'!$J18="",INDEX(LISTA_EX,111),INDEX(LISTA_EX,MATCH('T1'!$J18&amp;"|"&amp;111,LISTA_KLUCZ,0))),"")</f>
        <v>Leg curl</v>
      </c>
      <c r="DJ18" s="5" t="str">
        <f t="array" ref="DJ18">IFERROR(IF('T1'!$J18="",INDEX(LISTA_EX,112),INDEX(LISTA_EX,MATCH('T1'!$J18&amp;"|"&amp;112,LISTA_KLUCZ,0))),"")</f>
        <v>Machine row</v>
      </c>
      <c r="DK18" s="5" t="str">
        <f t="array" ref="DK18">IFERROR(IF('T1'!$J18="",INDEX(LISTA_EX,113),INDEX(LISTA_EX,MATCH('T1'!$J18&amp;"|"&amp;113,LISTA_KLUCZ,0))),"")</f>
        <v>Machine row s/a</v>
      </c>
      <c r="DL18" s="5" t="str">
        <f t="array" ref="DL18">IFERROR(IF('T1'!$J18="",INDEX(LISTA_EX,114),INDEX(LISTA_EX,MATCH('T1'!$J18&amp;"|"&amp;114,LISTA_KLUCZ,0))),"")</f>
        <v>Meadows row</v>
      </c>
      <c r="DM18" s="5" t="str">
        <f t="array" ref="DM18">IFERROR(IF('T1'!$J18="",INDEX(LISTA_EX,115),INDEX(LISTA_EX,MATCH('T1'!$J18&amp;"|"&amp;115,LISTA_KLUCZ,0))),"")</f>
        <v>Med ball slam</v>
      </c>
      <c r="DN18" s="5" t="str">
        <f t="array" ref="DN18">IFERROR(IF('T1'!$J18="",INDEX(LISTA_EX,116),INDEX(LISTA_EX,MATCH('T1'!$J18&amp;"|"&amp;116,LISTA_KLUCZ,0))),"")</f>
        <v>OH skullcrushers</v>
      </c>
      <c r="DO18" s="5" t="str">
        <f t="array" ref="DO18">IFERROR(IF('T1'!$J18="",INDEX(LISTA_EX,117),INDEX(LISTA_EX,MATCH('T1'!$J18&amp;"|"&amp;117,LISTA_KLUCZ,0))),"")</f>
        <v>OHP barbell squat 15kg</v>
      </c>
      <c r="DP18" s="5" t="str">
        <f t="array" ref="DP18">IFERROR(IF('T1'!$J18="",INDEX(LISTA_EX,118),INDEX(LISTA_EX,MATCH('T1'!$J18&amp;"|"&amp;118,LISTA_KLUCZ,0))),"")</f>
        <v>Pistol squat eccentric</v>
      </c>
      <c r="DQ18" s="5" t="str">
        <f t="array" ref="DQ18">IFERROR(IF('T1'!$J18="",INDEX(LISTA_EX,119),INDEX(LISTA_EX,MATCH('T1'!$J18&amp;"|"&amp;119,LISTA_KLUCZ,0))),"")</f>
        <v>Plank contralateral</v>
      </c>
      <c r="DR18" s="5" t="str">
        <f t="array" ref="DR18">IFERROR(IF('T1'!$J18="",INDEX(LISTA_EX,120),INDEX(LISTA_EX,MATCH('T1'!$J18&amp;"|"&amp;120,LISTA_KLUCZ,0))),"")</f>
        <v>Plank dumbbell rotation</v>
      </c>
      <c r="DS18" s="5" t="str">
        <f t="array" ref="DS18">IFERROR(IF('T1'!$J18="",INDEX(LISTA_EX,121),INDEX(LISTA_EX,MATCH('T1'!$J18&amp;"|"&amp;121,LISTA_KLUCZ,0))),"")</f>
        <v>Plank leg raises</v>
      </c>
      <c r="DT18" s="5" t="str">
        <f t="array" ref="DT18">IFERROR(IF('T1'!$J18="",INDEX(LISTA_EX,122),INDEX(LISTA_EX,MATCH('T1'!$J18&amp;"|"&amp;122,LISTA_KLUCZ,0))),"")</f>
        <v>Poliquin step up</v>
      </c>
      <c r="DU18" s="5" t="str">
        <f t="array" ref="DU18">IFERROR(IF('T1'!$J18="",INDEX(LISTA_EX,123),INDEX(LISTA_EX,MATCH('T1'!$J18&amp;"|"&amp;123,LISTA_KLUCZ,0))),"")</f>
        <v>Poliquin step up paused 3sec</v>
      </c>
      <c r="DV18" s="5" t="str">
        <f t="array" ref="DV18">IFERROR(IF('T1'!$J18="",INDEX(LISTA_EX,124),INDEX(LISTA_EX,MATCH('T1'!$J18&amp;"|"&amp;124,LISTA_KLUCZ,0))),"")</f>
        <v>Pronation/Supination</v>
      </c>
      <c r="DW18" s="5" t="str">
        <f t="array" ref="DW18">IFERROR(IF('T1'!$J18="",INDEX(LISTA_EX,125),INDEX(LISTA_EX,MATCH('T1'!$J18&amp;"|"&amp;125,LISTA_KLUCZ,0))),"")</f>
        <v>Pull up</v>
      </c>
      <c r="DX18" s="5" t="str">
        <f t="array" ref="DX18">IFERROR(IF('T1'!$J18="",INDEX(LISTA_EX,126),INDEX(LISTA_EX,MATCH('T1'!$J18&amp;"|"&amp;126,LISTA_KLUCZ,0))),"")</f>
        <v>Pull up eccentric weighted</v>
      </c>
      <c r="DY18" s="5" t="str">
        <f t="array" ref="DY18">IFERROR(IF('T1'!$J18="",INDEX(LISTA_EX,127),INDEX(LISTA_EX,MATCH('T1'!$J18&amp;"|"&amp;127,LISTA_KLUCZ,0))),"")</f>
        <v>Pull up eccentric weighted (5 sek w dół)</v>
      </c>
      <c r="DZ18" s="5" t="str">
        <f t="array" ref="DZ18">IFERROR(IF('T1'!$J18="",INDEX(LISTA_EX,128),INDEX(LISTA_EX,MATCH('T1'!$J18&amp;"|"&amp;128,LISTA_KLUCZ,0))),"")</f>
        <v>Pull up weighted</v>
      </c>
      <c r="EA18" s="5" t="str">
        <f t="array" ref="EA18">IFERROR(IF('T1'!$J18="",INDEX(LISTA_EX,129),INDEX(LISTA_EX,MATCH('T1'!$J18&amp;"|"&amp;129,LISTA_KLUCZ,0))),"")</f>
        <v>Pull ups (paused)</v>
      </c>
      <c r="EB18" s="5" t="str">
        <f t="array" ref="EB18">IFERROR(IF('T1'!$J18="",INDEX(LISTA_EX,130),INDEX(LISTA_EX,MATCH('T1'!$J18&amp;"|"&amp;130,LISTA_KLUCZ,0))),"")</f>
        <v>Push press barbell</v>
      </c>
      <c r="EC18" s="5" t="str">
        <f t="array" ref="EC18">IFERROR(IF('T1'!$J18="",INDEX(LISTA_EX,131),INDEX(LISTA_EX,MATCH('T1'!$J18&amp;"|"&amp;131,LISTA_KLUCZ,0))),"")</f>
        <v>Push up</v>
      </c>
      <c r="ED18" s="5" t="str">
        <f t="array" ref="ED18">IFERROR(IF('T1'!$J18="",INDEX(LISTA_EX,132),INDEX(LISTA_EX,MATCH('T1'!$J18&amp;"|"&amp;132,LISTA_KLUCZ,0))),"")</f>
        <v>Raised bird dog</v>
      </c>
      <c r="EE18" s="5" t="str">
        <f t="array" ref="EE18">IFERROR(IF('T1'!$J18="",INDEX(LISTA_EX,133),INDEX(LISTA_EX,MATCH('T1'!$J18&amp;"|"&amp;133,LISTA_KLUCZ,0))),"")</f>
        <v>RDL</v>
      </c>
      <c r="EF18" s="5" t="str">
        <f t="array" ref="EF18">IFERROR(IF('T1'!$J18="",INDEX(LISTA_EX,134),INDEX(LISTA_EX,MATCH('T1'!$J18&amp;"|"&amp;134,LISTA_KLUCZ,0))),"")</f>
        <v>Reverse Nordic</v>
      </c>
      <c r="EG18" s="5" t="str">
        <f t="array" ref="EG18">IFERROR(IF('T1'!$J18="",INDEX(LISTA_EX,135),INDEX(LISTA_EX,MATCH('T1'!$J18&amp;"|"&amp;135,LISTA_KLUCZ,0))),"")</f>
        <v>Rope pushdown</v>
      </c>
      <c r="EH18" s="5" t="str">
        <f t="array" ref="EH18">IFERROR(IF('T1'!$J18="",INDEX(LISTA_EX,136),INDEX(LISTA_EX,MATCH('T1'!$J18&amp;"|"&amp;136,LISTA_KLUCZ,0))),"")</f>
        <v>Rope pushdown OH</v>
      </c>
      <c r="EI18" s="5" t="str">
        <f t="array" ref="EI18">IFERROR(IF('T1'!$J18="",INDEX(LISTA_EX,137),INDEX(LISTA_EX,MATCH('T1'!$J18&amp;"|"&amp;137,LISTA_KLUCZ,0))),"")</f>
        <v>S/a cable pulldown incline bench</v>
      </c>
      <c r="EJ18" s="5" t="str">
        <f t="array" ref="EJ18">IFERROR(IF('T1'!$J18="",INDEX(LISTA_EX,138),INDEX(LISTA_EX,MATCH('T1'!$J18&amp;"|"&amp;138,LISTA_KLUCZ,0))),"")</f>
        <v>S/a lat pulldown incline bench</v>
      </c>
      <c r="EK18" s="5" t="str">
        <f t="array" ref="EK18">IFERROR(IF('T1'!$J18="",INDEX(LISTA_EX,139),INDEX(LISTA_EX,MATCH('T1'!$J18&amp;"|"&amp;139,LISTA_KLUCZ,0))),"")</f>
        <v>S/l dragonflag eccentric</v>
      </c>
      <c r="EL18" s="5" t="str">
        <f t="array" ref="EL18">IFERROR(IF('T1'!$J18="",INDEX(LISTA_EX,140),INDEX(LISTA_EX,MATCH('T1'!$J18&amp;"|"&amp;140,LISTA_KLUCZ,0))),"")</f>
        <v>S/l hip thrust</v>
      </c>
      <c r="EM18" s="5" t="str">
        <f t="array" ref="EM18">IFERROR(IF('T1'!$J18="",INDEX(LISTA_EX,141),INDEX(LISTA_EX,MATCH('T1'!$J18&amp;"|"&amp;141,LISTA_KLUCZ,0))),"")</f>
        <v>Seated broad jump</v>
      </c>
      <c r="EN18" s="5" t="str">
        <f t="array" ref="EN18">IFERROR(IF('T1'!$J18="",INDEX(LISTA_EX,142),INDEX(LISTA_EX,MATCH('T1'!$J18&amp;"|"&amp;142,LISTA_KLUCZ,0))),"")</f>
        <v>Seated cable facepull</v>
      </c>
      <c r="EO18" s="5" t="str">
        <f t="array" ref="EO18">IFERROR(IF('T1'!$J18="",INDEX(LISTA_EX,143),INDEX(LISTA_EX,MATCH('T1'!$J18&amp;"|"&amp;143,LISTA_KLUCZ,0))),"")</f>
        <v>Seated seesaw press (nogi proste)</v>
      </c>
      <c r="EP18" s="5" t="str">
        <f t="array" ref="EP18">IFERROR(IF('T1'!$J18="",INDEX(LISTA_EX,144),INDEX(LISTA_EX,MATCH('T1'!$J18&amp;"|"&amp;144,LISTA_KLUCZ,0))),"")</f>
        <v>Seesaw press</v>
      </c>
      <c r="EQ18" s="5" t="str">
        <f t="array" ref="EQ18">IFERROR(IF('T1'!$J18="",INDEX(LISTA_EX,145),INDEX(LISTA_EX,MATCH('T1'!$J18&amp;"|"&amp;145,LISTA_KLUCZ,0))),"")</f>
        <v>Side crunches</v>
      </c>
      <c r="ER18" s="5" t="str">
        <f t="array" ref="ER18">IFERROR(IF('T1'!$J18="",INDEX(LISTA_EX,146),INDEX(LISTA_EX,MATCH('T1'!$J18&amp;"|"&amp;146,LISTA_KLUCZ,0))),"")</f>
        <v>Side plank hip drop</v>
      </c>
      <c r="ES18" s="5" t="str">
        <f t="array" ref="ES18">IFERROR(IF('T1'!$J18="",INDEX(LISTA_EX,147),INDEX(LISTA_EX,MATCH('T1'!$J18&amp;"|"&amp;147,LISTA_KLUCZ,0))),"")</f>
        <v>Side plank rotations</v>
      </c>
      <c r="ET18" s="5" t="str">
        <f t="array" ref="ET18">IFERROR(IF('T1'!$J18="",INDEX(LISTA_EX,148),INDEX(LISTA_EX,MATCH('T1'!$J18&amp;"|"&amp;148,LISTA_KLUCZ,0))),"")</f>
        <v>SLDL balance</v>
      </c>
      <c r="EU18" s="5" t="str">
        <f t="array" ref="EU18">IFERROR(IF('T1'!$J18="",INDEX(LISTA_EX,149),INDEX(LISTA_EX,MATCH('T1'!$J18&amp;"|"&amp;149,LISTA_KLUCZ,0))),"")</f>
        <v>Split squat</v>
      </c>
      <c r="EV18" s="5" t="str">
        <f t="array" ref="EV18">IFERROR(IF('T1'!$J18="",INDEX(LISTA_EX,150),INDEX(LISTA_EX,MATCH('T1'!$J18&amp;"|"&amp;150,LISTA_KLUCZ,0))),"")</f>
        <v>Split stance SLDL</v>
      </c>
      <c r="EW18" s="5" t="str">
        <f t="array" ref="EW18">IFERROR(IF('T1'!$J18="",INDEX(LISTA_EX,151),INDEX(LISTA_EX,MATCH('T1'!$J18&amp;"|"&amp;151,LISTA_KLUCZ,0))),"")</f>
        <v>Squat izo (15 sek)</v>
      </c>
      <c r="EX18" s="5" t="str">
        <f t="array" ref="EX18">IFERROR(IF('T1'!$J18="",INDEX(LISTA_EX,152),INDEX(LISTA_EX,MATCH('T1'!$J18&amp;"|"&amp;152,LISTA_KLUCZ,0))),"")</f>
        <v>Standing landmine press</v>
      </c>
      <c r="EY18" s="5" t="str">
        <f t="array" ref="EY18">IFERROR(IF('T1'!$J18="",INDEX(LISTA_EX,153),INDEX(LISTA_EX,MATCH('T1'!$J18&amp;"|"&amp;153,LISTA_KLUCZ,0))),"")</f>
        <v>Suitcase carry</v>
      </c>
      <c r="EZ18" s="5" t="str">
        <f t="array" ref="EZ18">IFERROR(IF('T1'!$J18="",INDEX(LISTA_EX,154),INDEX(LISTA_EX,MATCH('T1'!$J18&amp;"|"&amp;154,LISTA_KLUCZ,0))),"")</f>
        <v>Supine pigeon abs</v>
      </c>
      <c r="FA18" s="5" t="str">
        <f t="array" ref="FA18">IFERROR(IF('T1'!$J18="",INDEX(LISTA_EX,155),INDEX(LISTA_EX,MATCH('T1'!$J18&amp;"|"&amp;155,LISTA_KLUCZ,0))),"")</f>
        <v>Swiss ball leg curl</v>
      </c>
      <c r="FB18" s="5" t="str">
        <f t="array" ref="FB18">IFERROR(IF('T1'!$J18="",INDEX(LISTA_EX,156),INDEX(LISTA_EX,MATCH('T1'!$J18&amp;"|"&amp;156,LISTA_KLUCZ,0))),"")</f>
        <v>Toes to bar</v>
      </c>
      <c r="FC18" s="5" t="str">
        <f t="array" ref="FC18">IFERROR(IF('T1'!$J18="",INDEX(LISTA_EX,157),INDEX(LISTA_EX,MATCH('T1'!$J18&amp;"|"&amp;157,LISTA_KLUCZ,0))),"")</f>
        <v>Trap bar deadlift</v>
      </c>
      <c r="FD18" s="5" t="str">
        <f t="array" ref="FD18">IFERROR(IF('T1'!$J18="",INDEX(LISTA_EX,158),INDEX(LISTA_EX,MATCH('T1'!$J18&amp;"|"&amp;158,LISTA_KLUCZ,0))),"")</f>
        <v>Tricep cable pushdown</v>
      </c>
      <c r="FE18" s="5" t="str">
        <f t="array" ref="FE18">IFERROR(IF('T1'!$J18="",INDEX(LISTA_EX,159),INDEX(LISTA_EX,MATCH('T1'!$J18&amp;"|"&amp;159,LISTA_KLUCZ,0))),"")</f>
        <v>Tricep JM press</v>
      </c>
      <c r="FF18" s="5" t="str">
        <f t="array" ref="FF18">IFERROR(IF('T1'!$J18="",INDEX(LISTA_EX,160),INDEX(LISTA_EX,MATCH('T1'!$J18&amp;"|"&amp;160,LISTA_KLUCZ,0))),"")</f>
        <v>Tricep OH cable</v>
      </c>
      <c r="FG18" s="5" t="str">
        <f t="array" ref="FG18">IFERROR(IF('T1'!$J18="",INDEX(LISTA_EX,161),INDEX(LISTA_EX,MATCH('T1'!$J18&amp;"|"&amp;161,LISTA_KLUCZ,0))),"")</f>
        <v>Tricep OH ez bar</v>
      </c>
      <c r="FH18" s="5" t="str">
        <f t="array" ref="FH18">IFERROR(IF('T1'!$J18="",INDEX(LISTA_EX,162),INDEX(LISTA_EX,MATCH('T1'!$J18&amp;"|"&amp;162,LISTA_KLUCZ,0))),"")</f>
        <v>Walking lunges</v>
      </c>
      <c r="FI18" s="5" t="str">
        <f t="array" ref="FI18">IFERROR(IF('T1'!$J18="",INDEX(LISTA_EX,163),INDEX(LISTA_EX,MATCH('T1'!$J18&amp;"|"&amp;163,LISTA_KLUCZ,0))),"")</f>
        <v>Wipers kettle</v>
      </c>
      <c r="FJ18" s="5" t="str">
        <f t="array" ref="FJ18">IFERROR(IF('T1'!$J18="",INDEX(LISTA_EX,164),INDEX(LISTA_EX,MATCH('T1'!$J18&amp;"|"&amp;164,LISTA_KLUCZ,0))),"")</f>
        <v>Zercher jumps</v>
      </c>
      <c r="FK18" s="5" t="str">
        <f t="array" ref="FK18">IFERROR(IF('T1'!$J18="",INDEX(LISTA_EX,165),INDEX(LISTA_EX,MATCH('T1'!$J18&amp;"|"&amp;165,LISTA_KLUCZ,0))),"")</f>
        <v/>
      </c>
      <c r="FL18" s="5" t="str">
        <f t="array" ref="FL18">IFERROR(IF('T1'!$J18="",INDEX(LISTA_EX,166),INDEX(LISTA_EX,MATCH('T1'!$J18&amp;"|"&amp;166,LISTA_KLUCZ,0))),"")</f>
        <v/>
      </c>
      <c r="FM18" s="5" t="str">
        <f t="array" ref="FM18">IFERROR(IF('T1'!$J18="",INDEX(LISTA_EX,167),INDEX(LISTA_EX,MATCH('T1'!$J18&amp;"|"&amp;167,LISTA_KLUCZ,0))),"")</f>
        <v/>
      </c>
      <c r="FN18" s="5" t="str">
        <f t="array" ref="FN18">IFERROR(IF('T1'!$J18="",INDEX(LISTA_EX,168),INDEX(LISTA_EX,MATCH('T1'!$J18&amp;"|"&amp;168,LISTA_KLUCZ,0))),"")</f>
        <v/>
      </c>
      <c r="FO18" s="5" t="str">
        <f t="array" ref="FO18">IFERROR(IF('T1'!$J18="",INDEX(LISTA_EX,169),INDEX(LISTA_EX,MATCH('T1'!$J18&amp;"|"&amp;169,LISTA_KLUCZ,0))),"")</f>
        <v/>
      </c>
      <c r="FP18" s="5" t="str">
        <f t="array" ref="FP18">IFERROR(IF('T1'!$J18="",INDEX(LISTA_EX,170),INDEX(LISTA_EX,MATCH('T1'!$J18&amp;"|"&amp;170,LISTA_KLUCZ,0))),"")</f>
        <v/>
      </c>
      <c r="FQ18" s="5" t="str">
        <f t="array" ref="FQ18">IFERROR(IF('T1'!$J18="",INDEX(LISTA_EX,171),INDEX(LISTA_EX,MATCH('T1'!$J18&amp;"|"&amp;171,LISTA_KLUCZ,0))),"")</f>
        <v/>
      </c>
      <c r="FR18" s="5" t="str">
        <f t="array" ref="FR18">IFERROR(IF('T1'!$J18="",INDEX(LISTA_EX,172),INDEX(LISTA_EX,MATCH('T1'!$J18&amp;"|"&amp;172,LISTA_KLUCZ,0))),"")</f>
        <v/>
      </c>
      <c r="FS18" s="5" t="str">
        <f t="array" ref="FS18">IFERROR(IF('T1'!$J18="",INDEX(LISTA_EX,173),INDEX(LISTA_EX,MATCH('T1'!$J18&amp;"|"&amp;173,LISTA_KLUCZ,0))),"")</f>
        <v/>
      </c>
      <c r="FT18" s="5" t="str">
        <f t="array" ref="FT18">IFERROR(IF('T1'!$J18="",INDEX(LISTA_EX,174),INDEX(LISTA_EX,MATCH('T1'!$J18&amp;"|"&amp;174,LISTA_KLUCZ,0))),"")</f>
        <v/>
      </c>
      <c r="FU18" s="5" t="str">
        <f t="array" ref="FU18">IFERROR(IF('T1'!$J18="",INDEX(LISTA_EX,175),INDEX(LISTA_EX,MATCH('T1'!$J18&amp;"|"&amp;175,LISTA_KLUCZ,0))),"")</f>
        <v/>
      </c>
      <c r="FV18" s="5" t="str">
        <f t="array" ref="FV18">IFERROR(IF('T1'!$J18="",INDEX(LISTA_EX,176),INDEX(LISTA_EX,MATCH('T1'!$J18&amp;"|"&amp;176,LISTA_KLUCZ,0))),"")</f>
        <v/>
      </c>
      <c r="FW18" s="5" t="str">
        <f t="array" ref="FW18">IFERROR(IF('T1'!$J18="",INDEX(LISTA_EX,177),INDEX(LISTA_EX,MATCH('T1'!$J18&amp;"|"&amp;177,LISTA_KLUCZ,0))),"")</f>
        <v/>
      </c>
      <c r="FX18" s="5" t="str">
        <f t="array" ref="FX18">IFERROR(IF('T1'!$J18="",INDEX(LISTA_EX,178),INDEX(LISTA_EX,MATCH('T1'!$J18&amp;"|"&amp;178,LISTA_KLUCZ,0))),"")</f>
        <v/>
      </c>
      <c r="FY18" s="5" t="str">
        <f t="array" ref="FY18">IFERROR(IF('T1'!$J18="",INDEX(LISTA_EX,179),INDEX(LISTA_EX,MATCH('T1'!$J18&amp;"|"&amp;179,LISTA_KLUCZ,0))),"")</f>
        <v/>
      </c>
      <c r="FZ18" s="5" t="str">
        <f t="array" ref="FZ18">IFERROR(IF('T1'!$J18="",INDEX(LISTA_EX,180),INDEX(LISTA_EX,MATCH('T1'!$J18&amp;"|"&amp;180,LISTA_KLUCZ,0))),"")</f>
        <v/>
      </c>
      <c r="GA18" s="5" t="str">
        <f t="array" ref="GA18">IFERROR(IF('T1'!$J18="",INDEX(LISTA_EX,181),INDEX(LISTA_EX,MATCH('T1'!$J18&amp;"|"&amp;181,LISTA_KLUCZ,0))),"")</f>
        <v/>
      </c>
      <c r="GB18" s="5" t="str">
        <f t="array" ref="GB18">IFERROR(IF('T1'!$J18="",INDEX(LISTA_EX,182),INDEX(LISTA_EX,MATCH('T1'!$J18&amp;"|"&amp;182,LISTA_KLUCZ,0))),"")</f>
        <v/>
      </c>
      <c r="GC18" s="5" t="str">
        <f t="array" ref="GC18">IFERROR(IF('T1'!$J18="",INDEX(LISTA_EX,183),INDEX(LISTA_EX,MATCH('T1'!$J18&amp;"|"&amp;183,LISTA_KLUCZ,0))),"")</f>
        <v/>
      </c>
      <c r="GD18" s="5" t="str">
        <f t="array" ref="GD18">IFERROR(IF('T1'!$J18="",INDEX(LISTA_EX,184),INDEX(LISTA_EX,MATCH('T1'!$J18&amp;"|"&amp;184,LISTA_KLUCZ,0))),"")</f>
        <v/>
      </c>
      <c r="GE18" s="5" t="str">
        <f t="array" ref="GE18">IFERROR(IF('T1'!$J18="",INDEX(LISTA_EX,185),INDEX(LISTA_EX,MATCH('T1'!$J18&amp;"|"&amp;185,LISTA_KLUCZ,0))),"")</f>
        <v/>
      </c>
      <c r="GF18" s="5" t="str">
        <f t="array" ref="GF18">IFERROR(IF('T1'!$J18="",INDEX(LISTA_EX,186),INDEX(LISTA_EX,MATCH('T1'!$J18&amp;"|"&amp;186,LISTA_KLUCZ,0))),"")</f>
        <v/>
      </c>
      <c r="GG18" s="5" t="str">
        <f t="array" ref="GG18">IFERROR(IF('T1'!$J18="",INDEX(LISTA_EX,187),INDEX(LISTA_EX,MATCH('T1'!$J18&amp;"|"&amp;187,LISTA_KLUCZ,0))),"")</f>
        <v/>
      </c>
      <c r="GH18" s="5" t="str">
        <f t="array" ref="GH18">IFERROR(IF('T1'!$J18="",INDEX(LISTA_EX,188),INDEX(LISTA_EX,MATCH('T1'!$J18&amp;"|"&amp;188,LISTA_KLUCZ,0))),"")</f>
        <v/>
      </c>
      <c r="GI18" s="5" t="str">
        <f t="array" ref="GI18">IFERROR(IF('T1'!$J18="",INDEX(LISTA_EX,189),INDEX(LISTA_EX,MATCH('T1'!$J18&amp;"|"&amp;189,LISTA_KLUCZ,0))),"")</f>
        <v/>
      </c>
      <c r="GJ18" s="5" t="str">
        <f t="array" ref="GJ18">IFERROR(IF('T1'!$J18="",INDEX(LISTA_EX,190),INDEX(LISTA_EX,MATCH('T1'!$J18&amp;"|"&amp;190,LISTA_KLUCZ,0))),"")</f>
        <v/>
      </c>
      <c r="GK18" s="5" t="str">
        <f t="array" ref="GK18">IFERROR(IF('T1'!$J18="",INDEX(LISTA_EX,191),INDEX(LISTA_EX,MATCH('T1'!$J18&amp;"|"&amp;191,LISTA_KLUCZ,0))),"")</f>
        <v/>
      </c>
      <c r="GL18" s="5" t="str">
        <f t="array" ref="GL18">IFERROR(IF('T1'!$J18="",INDEX(LISTA_EX,192),INDEX(LISTA_EX,MATCH('T1'!$J18&amp;"|"&amp;192,LISTA_KLUCZ,0))),"")</f>
        <v/>
      </c>
      <c r="GM18" s="5" t="str">
        <f t="array" ref="GM18">IFERROR(IF('T1'!$J18="",INDEX(LISTA_EX,193),INDEX(LISTA_EX,MATCH('T1'!$J18&amp;"|"&amp;193,LISTA_KLUCZ,0))),"")</f>
        <v/>
      </c>
      <c r="GN18" s="5" t="str">
        <f t="array" ref="GN18">IFERROR(IF('T1'!$J18="",INDEX(LISTA_EX,194),INDEX(LISTA_EX,MATCH('T1'!$J18&amp;"|"&amp;194,LISTA_KLUCZ,0))),"")</f>
        <v/>
      </c>
      <c r="GO18" s="5" t="str">
        <f t="array" ref="GO18">IFERROR(IF('T1'!$J18="",INDEX(LISTA_EX,195),INDEX(LISTA_EX,MATCH('T1'!$J18&amp;"|"&amp;195,LISTA_KLUCZ,0))),"")</f>
        <v/>
      </c>
      <c r="GP18" s="5" t="str">
        <f t="array" ref="GP18">IFERROR(IF('T1'!$J18="",INDEX(LISTA_EX,196),INDEX(LISTA_EX,MATCH('T1'!$J18&amp;"|"&amp;196,LISTA_KLUCZ,0))),"")</f>
        <v/>
      </c>
      <c r="GQ18" s="5" t="str">
        <f t="array" ref="GQ18">IFERROR(IF('T1'!$J18="",INDEX(LISTA_EX,197),INDEX(LISTA_EX,MATCH('T1'!$J18&amp;"|"&amp;197,LISTA_KLUCZ,0))),"")</f>
        <v/>
      </c>
      <c r="GR18" s="5" t="str">
        <f t="array" ref="GR18">IFERROR(IF('T1'!$J18="",INDEX(LISTA_EX,198),INDEX(LISTA_EX,MATCH('T1'!$J18&amp;"|"&amp;198,LISTA_KLUCZ,0))),"")</f>
        <v/>
      </c>
      <c r="GS18" s="5" t="str">
        <f t="array" ref="GS18">IFERROR(IF('T1'!$J18="",INDEX(LISTA_EX,199),INDEX(LISTA_EX,MATCH('T1'!$J18&amp;"|"&amp;199,LISTA_KLUCZ,0))),"")</f>
        <v/>
      </c>
      <c r="GT18" s="5" t="str">
        <f t="array" ref="GT18">IFERROR(IF('T1'!$J18="",INDEX(LISTA_EX,200),INDEX(LISTA_EX,MATCH('T1'!$J18&amp;"|"&amp;200,LISTA_KLUCZ,0))),"")</f>
        <v/>
      </c>
      <c r="GV18" s="5" t="str">
        <f>IF(BAZA!$A18="","",BAZA!$A18)</f>
        <v>Barbell row</v>
      </c>
      <c r="GW18" s="5" t="str">
        <f>IF(BAZA!$B18="","",BAZA!$B18&amp;"|"&amp;COUNTIF(BAZA!$B$3:$B18,BAZA!$B18))</f>
        <v>Upper pull horizontal|1</v>
      </c>
    </row>
    <row r="19" ht="15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L19" s="5"/>
      <c r="FM19" s="5"/>
      <c r="GV19" s="5" t="str">
        <f>IF(BAZA!$A19="","",BAZA!$A19)</f>
        <v>Barbell row dead stop pins</v>
      </c>
      <c r="GW19" s="5" t="str">
        <f>IF(BAZA!$B19="","",BAZA!$B19&amp;"|"&amp;COUNTIF(BAZA!$B$3:$B19,BAZA!$B19))</f>
        <v>Upper pull horizontal|2</v>
      </c>
    </row>
    <row r="20" ht="15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L20" s="5"/>
      <c r="FM20" s="5"/>
      <c r="GV20" s="5" t="str">
        <f>IF(BAZA!$A20="","",BAZA!$A20)</f>
        <v>Barbell SLDL</v>
      </c>
      <c r="GW20" s="5" t="str">
        <f>IF(BAZA!$B20="","",BAZA!$B20&amp;"|"&amp;COUNTIF(BAZA!$B$3:$B20,BAZA!$B20))</f>
        <v>Lower pull|3</v>
      </c>
    </row>
    <row r="21" ht="15.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L21" s="5"/>
      <c r="FM21" s="5"/>
      <c r="GV21" s="5" t="str">
        <f>IF(BAZA!$A21="","",BAZA!$A21)</f>
        <v>Bayesian curl</v>
      </c>
      <c r="GW21" s="5" t="str">
        <f>IF(BAZA!$B21="","",BAZA!$B21&amp;"|"&amp;COUNTIF(BAZA!$B$3:$B21,BAZA!$B21))</f>
        <v>Bicep|2</v>
      </c>
    </row>
    <row r="22" ht="15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L22" s="5"/>
      <c r="FM22" s="5"/>
      <c r="GV22" s="5" t="str">
        <f>IF(BAZA!$A22="","",BAZA!$A22)</f>
        <v>Bear renegade row</v>
      </c>
      <c r="GW22" s="5" t="str">
        <f>IF(BAZA!$B22="","",BAZA!$B22&amp;"|"&amp;COUNTIF(BAZA!$B$3:$B22,BAZA!$B22))</f>
        <v>Core|4</v>
      </c>
    </row>
    <row r="23" ht="15.0" customHeight="1">
      <c r="A23" s="5" t="str">
        <f>IF('T1'!$K23="","",'T1'!$K23)</f>
        <v>D2-S01</v>
      </c>
      <c r="B23" s="5" t="str">
        <f>IF('T1'!$J23="","(wszystkie)",'T1'!$J23)</f>
        <v>(wszystkie)</v>
      </c>
      <c r="C23" s="5" t="str">
        <f t="array" ref="C23">IFERROR(IF('T1'!$J23="",INDEX(LISTA_EX,1),INDEX(LISTA_EX,MATCH('T1'!$J23&amp;"|"&amp;1,LISTA_KLUCZ,0))),"")</f>
        <v>Abduction machine</v>
      </c>
      <c r="D23" s="5" t="str">
        <f t="array" ref="D23">IFERROR(IF('T1'!$J23="",INDEX(LISTA_EX,2),INDEX(LISTA_EX,MATCH('T1'!$J23&amp;"|"&amp;2,LISTA_KLUCZ,0))),"")</f>
        <v>Adduction machine</v>
      </c>
      <c r="E23" s="5" t="str">
        <f t="array" ref="E23">IFERROR(IF('T1'!$J23="",INDEX(LISTA_EX,3),INDEX(LISTA_EX,MATCH('T1'!$J23&amp;"|"&amp;3,LISTA_KLUCZ,0))),"")</f>
        <v>Allah</v>
      </c>
      <c r="F23" s="5" t="str">
        <f t="array" ref="F23">IFERROR(IF('T1'!$J23="",INDEX(LISTA_EX,4),INDEX(LISTA_EX,MATCH('T1'!$J23&amp;"|"&amp;4,LISTA_KLUCZ,0))),"")</f>
        <v>Arnold press</v>
      </c>
      <c r="G23" s="5" t="str">
        <f t="array" ref="G23">IFERROR(IF('T1'!$J23="",INDEX(LISTA_EX,5),INDEX(LISTA_EX,MATCH('T1'!$J23&amp;"|"&amp;5,LISTA_KLUCZ,0))),"")</f>
        <v>Arnold press alternating</v>
      </c>
      <c r="H23" s="5" t="str">
        <f t="array" ref="H23">IFERROR(IF('T1'!$J23="",INDEX(LISTA_EX,6),INDEX(LISTA_EX,MATCH('T1'!$J23&amp;"|"&amp;6,LISTA_KLUCZ,0))),"")</f>
        <v>B/l dragonflag eccentric</v>
      </c>
      <c r="I23" s="5" t="str">
        <f t="array" ref="I23">IFERROR(IF('T1'!$J23="",INDEX(LISTA_EX,7),INDEX(LISTA_EX,MATCH('T1'!$J23&amp;"|"&amp;7,LISTA_KLUCZ,0))),"")</f>
        <v>Back extension</v>
      </c>
      <c r="J23" s="5" t="str">
        <f t="array" ref="J23">IFERROR(IF('T1'!$J23="",INDEX(LISTA_EX,8),INDEX(LISTA_EX,MATCH('T1'!$J23&amp;"|"&amp;8,LISTA_KLUCZ,0))),"")</f>
        <v>Banded pistol squat</v>
      </c>
      <c r="K23" s="5" t="str">
        <f t="array" ref="K23">IFERROR(IF('T1'!$J23="",INDEX(LISTA_EX,9),INDEX(LISTA_EX,MATCH('T1'!$J23&amp;"|"&amp;9,LISTA_KLUCZ,0))),"")</f>
        <v>Banded pull ups</v>
      </c>
      <c r="L23" s="5" t="str">
        <f t="array" ref="L23">IFERROR(IF('T1'!$J23="",INDEX(LISTA_EX,10),INDEX(LISTA_EX,MATCH('T1'!$J23&amp;"|"&amp;10,LISTA_KLUCZ,0))),"")</f>
        <v>Barbell back squat</v>
      </c>
      <c r="M23" s="5" t="str">
        <f t="array" ref="M23">IFERROR(IF('T1'!$J23="",INDEX(LISTA_EX,11),INDEX(LISTA_EX,MATCH('T1'!$J23&amp;"|"&amp;11,LISTA_KLUCZ,0))),"")</f>
        <v>Barbell bench press</v>
      </c>
      <c r="N23" s="5" t="str">
        <f t="array" ref="N23">IFERROR(IF('T1'!$J23="",INDEX(LISTA_EX,12),INDEX(LISTA_EX,MATCH('T1'!$J23&amp;"|"&amp;12,LISTA_KLUCZ,0))),"")</f>
        <v>Barbell curl</v>
      </c>
      <c r="O23" s="5" t="str">
        <f t="array" ref="O23">IFERROR(IF('T1'!$J23="",INDEX(LISTA_EX,13),INDEX(LISTA_EX,MATCH('T1'!$J23&amp;"|"&amp;13,LISTA_KLUCZ,0))),"")</f>
        <v>Barbell low bar squat</v>
      </c>
      <c r="P23" s="5" t="str">
        <f t="array" ref="P23">IFERROR(IF('T1'!$J23="",INDEX(LISTA_EX,14),INDEX(LISTA_EX,MATCH('T1'!$J23&amp;"|"&amp;14,LISTA_KLUCZ,0))),"")</f>
        <v>Barbell OHP</v>
      </c>
      <c r="Q23" s="5" t="str">
        <f t="array" ref="Q23">IFERROR(IF('T1'!$J23="",INDEX(LISTA_EX,15),INDEX(LISTA_EX,MATCH('T1'!$J23&amp;"|"&amp;15,LISTA_KLUCZ,0))),"")</f>
        <v>Barbell oscilation</v>
      </c>
      <c r="R23" s="5" t="str">
        <f t="array" ref="R23">IFERROR(IF('T1'!$J23="",INDEX(LISTA_EX,16),INDEX(LISTA_EX,MATCH('T1'!$J23&amp;"|"&amp;16,LISTA_KLUCZ,0))),"")</f>
        <v>Barbell row</v>
      </c>
      <c r="S23" s="5" t="str">
        <f t="array" ref="S23">IFERROR(IF('T1'!$J23="",INDEX(LISTA_EX,17),INDEX(LISTA_EX,MATCH('T1'!$J23&amp;"|"&amp;17,LISTA_KLUCZ,0))),"")</f>
        <v>Barbell row dead stop pins</v>
      </c>
      <c r="T23" s="5" t="str">
        <f t="array" ref="T23">IFERROR(IF('T1'!$J23="",INDEX(LISTA_EX,18),INDEX(LISTA_EX,MATCH('T1'!$J23&amp;"|"&amp;18,LISTA_KLUCZ,0))),"")</f>
        <v>Barbell SLDL</v>
      </c>
      <c r="U23" s="5" t="str">
        <f t="array" ref="U23">IFERROR(IF('T1'!$J23="",INDEX(LISTA_EX,19),INDEX(LISTA_EX,MATCH('T1'!$J23&amp;"|"&amp;19,LISTA_KLUCZ,0))),"")</f>
        <v>Bayesian curl</v>
      </c>
      <c r="V23" s="5" t="str">
        <f t="array" ref="V23">IFERROR(IF('T1'!$J23="",INDEX(LISTA_EX,20),INDEX(LISTA_EX,MATCH('T1'!$J23&amp;"|"&amp;20,LISTA_KLUCZ,0))),"")</f>
        <v>Bear renegade row</v>
      </c>
      <c r="W23" s="5" t="str">
        <f t="array" ref="W23">IFERROR(IF('T1'!$J23="",INDEX(LISTA_EX,21),INDEX(LISTA_EX,MATCH('T1'!$J23&amp;"|"&amp;21,LISTA_KLUCZ,0))),"")</f>
        <v>Bench press paused 3sec</v>
      </c>
      <c r="X23" s="5" t="str">
        <f t="array" ref="X23">IFERROR(IF('T1'!$J23="",INDEX(LISTA_EX,22),INDEX(LISTA_EX,MATCH('T1'!$J23&amp;"|"&amp;22,LISTA_KLUCZ,0))),"")</f>
        <v>Bicep hammer curl</v>
      </c>
      <c r="Y23" s="5" t="str">
        <f t="array" ref="Y23">IFERROR(IF('T1'!$J23="",INDEX(LISTA_EX,23),INDEX(LISTA_EX,MATCH('T1'!$J23&amp;"|"&amp;23,LISTA_KLUCZ,0))),"")</f>
        <v>Bicep squat cable curl</v>
      </c>
      <c r="Z23" s="5" t="str">
        <f t="array" ref="Z23">IFERROR(IF('T1'!$J23="",INDEX(LISTA_EX,24),INDEX(LISTA_EX,MATCH('T1'!$J23&amp;"|"&amp;24,LISTA_KLUCZ,0))),"")</f>
        <v>Bird dog row</v>
      </c>
      <c r="AA23" s="5" t="str">
        <f t="array" ref="AA23">IFERROR(IF('T1'!$J23="",INDEX(LISTA_EX,25),INDEX(LISTA_EX,MATCH('T1'!$J23&amp;"|"&amp;25,LISTA_KLUCZ,0))),"")</f>
        <v>Box jump</v>
      </c>
      <c r="AB23" s="5" t="str">
        <f t="array" ref="AB23">IFERROR(IF('T1'!$J23="",INDEX(LISTA_EX,26),INDEX(LISTA_EX,MATCH('T1'!$J23&amp;"|"&amp;26,LISTA_KLUCZ,0))),"")</f>
        <v>Bulgarian clean plyo</v>
      </c>
      <c r="AC23" s="5" t="str">
        <f t="array" ref="AC23">IFERROR(IF('T1'!$J23="",INDEX(LISTA_EX,27),INDEX(LISTA_EX,MATCH('T1'!$J23&amp;"|"&amp;27,LISTA_KLUCZ,0))),"")</f>
        <v>Bulgarian squat assisted</v>
      </c>
      <c r="AD23" s="5" t="str">
        <f t="array" ref="AD23">IFERROR(IF('T1'!$J23="",INDEX(LISTA_EX,28),INDEX(LISTA_EX,MATCH('T1'!$J23&amp;"|"&amp;28,LISTA_KLUCZ,0))),"")</f>
        <v>Cable biceps curl</v>
      </c>
      <c r="AE23" s="5" t="str">
        <f t="array" ref="AE23">IFERROR(IF('T1'!$J23="",INDEX(LISTA_EX,29),INDEX(LISTA_EX,MATCH('T1'!$J23&amp;"|"&amp;29,LISTA_KLUCZ,0))),"")</f>
        <v>Cable fly</v>
      </c>
      <c r="AF23" s="5" t="str">
        <f t="array" ref="AF23">IFERROR(IF('T1'!$J23="",INDEX(LISTA_EX,30),INDEX(LISTA_EX,MATCH('T1'!$J23&amp;"|"&amp;30,LISTA_KLUCZ,0))),"")</f>
        <v>Cable lateral raise s/a</v>
      </c>
      <c r="AG23" s="5" t="str">
        <f t="array" ref="AG23">IFERROR(IF('T1'!$J23="",INDEX(LISTA_EX,31),INDEX(LISTA_EX,MATCH('T1'!$J23&amp;"|"&amp;31,LISTA_KLUCZ,0))),"")</f>
        <v>Cable row</v>
      </c>
      <c r="AH23" s="5" t="str">
        <f t="array" ref="AH23">IFERROR(IF('T1'!$J23="",INDEX(LISTA_EX,32),INDEX(LISTA_EX,MATCH('T1'!$J23&amp;"|"&amp;32,LISTA_KLUCZ,0))),"")</f>
        <v>Cable row s/a</v>
      </c>
      <c r="AI23" s="5" t="str">
        <f t="array" ref="AI23">IFERROR(IF('T1'!$J23="",INDEX(LISTA_EX,33),INDEX(LISTA_EX,MATCH('T1'!$J23&amp;"|"&amp;33,LISTA_KLUCZ,0))),"")</f>
        <v>Calf raises</v>
      </c>
      <c r="AJ23" s="5" t="str">
        <f t="array" ref="AJ23">IFERROR(IF('T1'!$J23="",INDEX(LISTA_EX,34),INDEX(LISTA_EX,MATCH('T1'!$J23&amp;"|"&amp;34,LISTA_KLUCZ,0))),"")</f>
        <v>Chest fly machine</v>
      </c>
      <c r="AK23" s="5" t="str">
        <f t="array" ref="AK23">IFERROR(IF('T1'!$J23="",INDEX(LISTA_EX,35),INDEX(LISTA_EX,MATCH('T1'!$J23&amp;"|"&amp;35,LISTA_KLUCZ,0))),"")</f>
        <v>Clean</v>
      </c>
      <c r="AL23" s="5" t="str">
        <f t="array" ref="AL23">IFERROR(IF('T1'!$J23="",INDEX(LISTA_EX,36),INDEX(LISTA_EX,MATCH('T1'!$J23&amp;"|"&amp;36,LISTA_KLUCZ,0))),"")</f>
        <v>Clean pins</v>
      </c>
      <c r="AM23" s="5" t="str">
        <f t="array" ref="AM23">IFERROR(IF('T1'!$J23="",INDEX(LISTA_EX,37),INDEX(LISTA_EX,MATCH('T1'!$J23&amp;"|"&amp;37,LISTA_KLUCZ,0))),"")</f>
        <v>Copenhagen plank</v>
      </c>
      <c r="AN23" s="5" t="str">
        <f t="array" ref="AN23">IFERROR(IF('T1'!$J23="",INDEX(LISTA_EX,38),INDEX(LISTA_EX,MATCH('T1'!$J23&amp;"|"&amp;38,LISTA_KLUCZ,0))),"")</f>
        <v>Dead bug izo + OH</v>
      </c>
      <c r="AO23" s="5" t="str">
        <f t="array" ref="AO23">IFERROR(IF('T1'!$J23="",INDEX(LISTA_EX,39),INDEX(LISTA_EX,MATCH('T1'!$J23&amp;"|"&amp;39,LISTA_KLUCZ,0))),"")</f>
        <v>Dead bug straight legs</v>
      </c>
      <c r="AP23" s="5" t="str">
        <f t="array" ref="AP23">IFERROR(IF('T1'!$J23="",INDEX(LISTA_EX,40),INDEX(LISTA_EX,MATCH('T1'!$J23&amp;"|"&amp;40,LISTA_KLUCZ,0))),"")</f>
        <v>Dead stop barbell row</v>
      </c>
      <c r="AQ23" s="5" t="str">
        <f t="array" ref="AQ23">IFERROR(IF('T1'!$J23="",INDEX(LISTA_EX,41),INDEX(LISTA_EX,MATCH('T1'!$J23&amp;"|"&amp;41,LISTA_KLUCZ,0))),"")</f>
        <v>Deadbug OH</v>
      </c>
      <c r="AR23" s="5" t="str">
        <f t="array" ref="AR23">IFERROR(IF('T1'!$J23="",INDEX(LISTA_EX,42),INDEX(LISTA_EX,MATCH('T1'!$J23&amp;"|"&amp;42,LISTA_KLUCZ,0))),"")</f>
        <v>Deadlift</v>
      </c>
      <c r="AS23" s="5" t="str">
        <f t="array" ref="AS23">IFERROR(IF('T1'!$J23="",INDEX(LISTA_EX,43),INDEX(LISTA_EX,MATCH('T1'!$J23&amp;"|"&amp;43,LISTA_KLUCZ,0))),"")</f>
        <v>Deficit push up</v>
      </c>
      <c r="AT23" s="5" t="str">
        <f t="array" ref="AT23">IFERROR(IF('T1'!$J23="",INDEX(LISTA_EX,44),INDEX(LISTA_EX,MATCH('T1'!$J23&amp;"|"&amp;44,LISTA_KLUCZ,0))),"")</f>
        <v>Deficit reverse lunge</v>
      </c>
      <c r="AU23" s="5" t="str">
        <f t="array" ref="AU23">IFERROR(IF('T1'!$J23="",INDEX(LISTA_EX,45),INDEX(LISTA_EX,MATCH('T1'!$J23&amp;"|"&amp;45,LISTA_KLUCZ,0))),"")</f>
        <v>Dips</v>
      </c>
      <c r="AV23" s="5" t="str">
        <f t="array" ref="AV23">IFERROR(IF('T1'!$J23="",INDEX(LISTA_EX,46),INDEX(LISTA_EX,MATCH('T1'!$J23&amp;"|"&amp;46,LISTA_KLUCZ,0))),"")</f>
        <v>Dips weighted</v>
      </c>
      <c r="AW23" s="5" t="str">
        <f t="array" ref="AW23">IFERROR(IF('T1'!$J23="",INDEX(LISTA_EX,47),INDEX(LISTA_EX,MATCH('T1'!$J23&amp;"|"&amp;47,LISTA_KLUCZ,0))),"")</f>
        <v>Dumbbell bench press</v>
      </c>
      <c r="AX23" s="5" t="str">
        <f t="array" ref="AX23">IFERROR(IF('T1'!$J23="",INDEX(LISTA_EX,48),INDEX(LISTA_EX,MATCH('T1'!$J23&amp;"|"&amp;48,LISTA_KLUCZ,0))),"")</f>
        <v>Dumbbell bench press alternating</v>
      </c>
      <c r="AY23" s="5" t="str">
        <f t="array" ref="AY23">IFERROR(IF('T1'!$J23="",INDEX(LISTA_EX,49),INDEX(LISTA_EX,MATCH('T1'!$J23&amp;"|"&amp;49,LISTA_KLUCZ,0))),"")</f>
        <v>Dumbbell curl</v>
      </c>
      <c r="AZ23" s="5" t="str">
        <f t="array" ref="AZ23">IFERROR(IF('T1'!$J23="",INDEX(LISTA_EX,50),INDEX(LISTA_EX,MATCH('T1'!$J23&amp;"|"&amp;50,LISTA_KLUCZ,0))),"")</f>
        <v>Dumbbell external rotation</v>
      </c>
      <c r="BA23" s="5" t="str">
        <f t="array" ref="BA23">IFERROR(IF('T1'!$J23="",INDEX(LISTA_EX,51),INDEX(LISTA_EX,MATCH('T1'!$J23&amp;"|"&amp;51,LISTA_KLUCZ,0))),"")</f>
        <v>Dumbbell face down curl</v>
      </c>
      <c r="BB23" s="5" t="str">
        <f t="array" ref="BB23">IFERROR(IF('T1'!$J23="",INDEX(LISTA_EX,52),INDEX(LISTA_EX,MATCH('T1'!$J23&amp;"|"&amp;52,LISTA_KLUCZ,0))),"")</f>
        <v>Dumbbell fly</v>
      </c>
      <c r="BC23" s="5" t="str">
        <f t="array" ref="BC23">IFERROR(IF('T1'!$J23="",INDEX(LISTA_EX,53),INDEX(LISTA_EX,MATCH('T1'!$J23&amp;"|"&amp;53,LISTA_KLUCZ,0))),"")</f>
        <v>Dumbbell french press</v>
      </c>
      <c r="BD23" s="5" t="str">
        <f t="array" ref="BD23">IFERROR(IF('T1'!$J23="",INDEX(LISTA_EX,54),INDEX(LISTA_EX,MATCH('T1'!$J23&amp;"|"&amp;54,LISTA_KLUCZ,0))),"")</f>
        <v>Dumbbell lateral raise</v>
      </c>
      <c r="BE23" s="5" t="str">
        <f t="array" ref="BE23">IFERROR(IF('T1'!$J23="",INDEX(LISTA_EX,55),INDEX(LISTA_EX,MATCH('T1'!$J23&amp;"|"&amp;55,LISTA_KLUCZ,0))),"")</f>
        <v>Dumbbell lunges</v>
      </c>
      <c r="BF23" s="5" t="str">
        <f t="array" ref="BF23">IFERROR(IF('T1'!$J23="",INDEX(LISTA_EX,56),INDEX(LISTA_EX,MATCH('T1'!$J23&amp;"|"&amp;56,LISTA_KLUCZ,0))),"")</f>
        <v>Dumbbell OH press</v>
      </c>
      <c r="BG23" s="5" t="str">
        <f t="array" ref="BG23">IFERROR(IF('T1'!$J23="",INDEX(LISTA_EX,57),INDEX(LISTA_EX,MATCH('T1'!$J23&amp;"|"&amp;57,LISTA_KLUCZ,0))),"")</f>
        <v>Dumbbell over head press</v>
      </c>
      <c r="BH23" s="5" t="str">
        <f t="array" ref="BH23">IFERROR(IF('T1'!$J23="",INDEX(LISTA_EX,58),INDEX(LISTA_EX,MATCH('T1'!$J23&amp;"|"&amp;58,LISTA_KLUCZ,0))),"")</f>
        <v>Dumbbell over head press alternating</v>
      </c>
      <c r="BI23" s="5" t="str">
        <f t="array" ref="BI23">IFERROR(IF('T1'!$J23="",INDEX(LISTA_EX,59),INDEX(LISTA_EX,MATCH('T1'!$J23&amp;"|"&amp;59,LISTA_KLUCZ,0))),"")</f>
        <v>Dumbbell row</v>
      </c>
      <c r="BJ23" s="5" t="str">
        <f t="array" ref="BJ23">IFERROR(IF('T1'!$J23="",INDEX(LISTA_EX,60),INDEX(LISTA_EX,MATCH('T1'!$J23&amp;"|"&amp;60,LISTA_KLUCZ,0))),"")</f>
        <v>Dumbbell s/a Arnold press</v>
      </c>
      <c r="BK23" s="5" t="str">
        <f t="array" ref="BK23">IFERROR(IF('T1'!$J23="",INDEX(LISTA_EX,61),INDEX(LISTA_EX,MATCH('T1'!$J23&amp;"|"&amp;61,LISTA_KLUCZ,0))),"")</f>
        <v>Dumbbell s/a row</v>
      </c>
      <c r="BL23" s="5" t="str">
        <f t="array" ref="BL23">IFERROR(IF('T1'!$J23="",INDEX(LISTA_EX,62),INDEX(LISTA_EX,MATCH('T1'!$J23&amp;"|"&amp;62,LISTA_KLUCZ,0))),"")</f>
        <v>Dumbbell seal row</v>
      </c>
      <c r="BM23" s="5" t="str">
        <f t="array" ref="BM23">IFERROR(IF('T1'!$J23="",INDEX(LISTA_EX,63),INDEX(LISTA_EX,MATCH('T1'!$J23&amp;"|"&amp;63,LISTA_KLUCZ,0))),"")</f>
        <v>Dumbbells jumps</v>
      </c>
      <c r="BN23" s="5" t="str">
        <f t="array" ref="BN23">IFERROR(IF('T1'!$J23="",INDEX(LISTA_EX,64),INDEX(LISTA_EX,MATCH('T1'!$J23&amp;"|"&amp;64,LISTA_KLUCZ,0))),"")</f>
        <v>Eccentric pull up</v>
      </c>
      <c r="BO23" s="5" t="str">
        <f t="array" ref="BO23">IFERROR(IF('T1'!$J23="",INDEX(LISTA_EX,65),INDEX(LISTA_EX,MATCH('T1'!$J23&amp;"|"&amp;65,LISTA_KLUCZ,0))),"")</f>
        <v>Eccentric push up (5 sek w dół)</v>
      </c>
      <c r="BP23" s="5" t="str">
        <f t="array" ref="BP23">IFERROR(IF('T1'!$J23="",INDEX(LISTA_EX,66),INDEX(LISTA_EX,MATCH('T1'!$J23&amp;"|"&amp;66,LISTA_KLUCZ,0))),"")</f>
        <v>Extensive plyo jumps s/l</v>
      </c>
      <c r="BQ23" s="5" t="str">
        <f t="array" ref="BQ23">IFERROR(IF('T1'!$J23="",INDEX(LISTA_EX,67),INDEX(LISTA_EX,MATCH('T1'!$J23&amp;"|"&amp;67,LISTA_KLUCZ,0))),"")</f>
        <v>Ez bar curl</v>
      </c>
      <c r="BR23" s="5" t="str">
        <f t="array" ref="BR23">IFERROR(IF('T1'!$J23="",INDEX(LISTA_EX,68),INDEX(LISTA_EX,MATCH('T1'!$J23&amp;"|"&amp;68,LISTA_KLUCZ,0))),"")</f>
        <v>Facepull chest supported</v>
      </c>
      <c r="BS23" s="5" t="str">
        <f t="array" ref="BS23">IFERROR(IF('T1'!$J23="",INDEX(LISTA_EX,69),INDEX(LISTA_EX,MATCH('T1'!$J23&amp;"|"&amp;69,LISTA_KLUCZ,0))),"")</f>
        <v>Front foot elevated split squat</v>
      </c>
      <c r="BT23" s="5" t="str">
        <f t="array" ref="BT23">IFERROR(IF('T1'!$J23="",INDEX(LISTA_EX,70),INDEX(LISTA_EX,MATCH('T1'!$J23&amp;"|"&amp;70,LISTA_KLUCZ,0))),"")</f>
        <v>Front squat</v>
      </c>
      <c r="BU23" s="5" t="str">
        <f t="array" ref="BU23">IFERROR(IF('T1'!$J23="",INDEX(LISTA_EX,71),INDEX(LISTA_EX,MATCH('T1'!$J23&amp;"|"&amp;71,LISTA_KLUCZ,0))),"")</f>
        <v>GHD flexion</v>
      </c>
      <c r="BV23" s="5" t="str">
        <f t="array" ref="BV23">IFERROR(IF('T1'!$J23="",INDEX(LISTA_EX,72),INDEX(LISTA_EX,MATCH('T1'!$J23&amp;"|"&amp;72,LISTA_KLUCZ,0))),"")</f>
        <v>Glute bridge hamstrings izo + OH</v>
      </c>
      <c r="BW23" s="5" t="str">
        <f t="array" ref="BW23">IFERROR(IF('T1'!$J23="",INDEX(LISTA_EX,73),INDEX(LISTA_EX,MATCH('T1'!$J23&amp;"|"&amp;73,LISTA_KLUCZ,0))),"")</f>
        <v>Glute crusher</v>
      </c>
      <c r="BX23" s="5" t="str">
        <f t="array" ref="BX23">IFERROR(IF('T1'!$J23="",INDEX(LISTA_EX,74),INDEX(LISTA_EX,MATCH('T1'!$J23&amp;"|"&amp;74,LISTA_KLUCZ,0))),"")</f>
        <v>Gorilla row</v>
      </c>
      <c r="BY23" s="5" t="str">
        <f t="array" ref="BY23">IFERROR(IF('T1'!$J23="",INDEX(LISTA_EX,75),INDEX(LISTA_EX,MATCH('T1'!$J23&amp;"|"&amp;75,LISTA_KLUCZ,0))),"")</f>
        <v>Halfkneeling s/a cable pull</v>
      </c>
      <c r="BZ23" s="5" t="str">
        <f t="array" ref="BZ23">IFERROR(IF('T1'!$J23="",INDEX(LISTA_EX,76),INDEX(LISTA_EX,MATCH('T1'!$J23&amp;"|"&amp;76,LISTA_KLUCZ,0))),"")</f>
        <v>Halfkneeling wood chopper</v>
      </c>
      <c r="CA23" s="5" t="str">
        <f t="array" ref="CA23">IFERROR(IF('T1'!$J23="",INDEX(LISTA_EX,77),INDEX(LISTA_EX,MATCH('T1'!$J23&amp;"|"&amp;77,LISTA_KLUCZ,0))),"")</f>
        <v>Hinged dumbbell row</v>
      </c>
      <c r="CB23" s="5" t="str">
        <f t="array" ref="CB23">IFERROR(IF('T1'!$J23="",INDEX(LISTA_EX,78),INDEX(LISTA_EX,MATCH('T1'!$J23&amp;"|"&amp;78,LISTA_KLUCZ,0))),"")</f>
        <v>Hip aeroplane</v>
      </c>
      <c r="CC23" s="5" t="str">
        <f t="array" ref="CC23">IFERROR(IF('T1'!$J23="",INDEX(LISTA_EX,79),INDEX(LISTA_EX,MATCH('T1'!$J23&amp;"|"&amp;79,LISTA_KLUCZ,0))),"")</f>
        <v>Hip flexors cable</v>
      </c>
      <c r="CD23" s="5" t="str">
        <f t="array" ref="CD23">IFERROR(IF('T1'!$J23="",INDEX(LISTA_EX,80),INDEX(LISTA_EX,MATCH('T1'!$J23&amp;"|"&amp;80,LISTA_KLUCZ,0))),"")</f>
        <v>Hip thrust barbell</v>
      </c>
      <c r="CE23" s="5" t="str">
        <f t="array" ref="CE23">IFERROR(IF('T1'!$J23="",INDEX(LISTA_EX,81),INDEX(LISTA_EX,MATCH('T1'!$J23&amp;"|"&amp;81,LISTA_KLUCZ,0))),"")</f>
        <v>Hollow body + OH</v>
      </c>
      <c r="CF23" s="5" t="str">
        <f t="array" ref="CF23">IFERROR(IF('T1'!$J23="",INDEX(LISTA_EX,82),INDEX(LISTA_EX,MATCH('T1'!$J23&amp;"|"&amp;82,LISTA_KLUCZ,0))),"")</f>
        <v>Horizontal jump</v>
      </c>
      <c r="CG23" s="5" t="str">
        <f t="array" ref="CG23">IFERROR(IF('T1'!$J23="",INDEX(LISTA_EX,83),INDEX(LISTA_EX,MATCH('T1'!$J23&amp;"|"&amp;83,LISTA_KLUCZ,0))),"")</f>
        <v>Incline bench lateral raise s/a</v>
      </c>
      <c r="CH23" s="5" t="str">
        <f t="array" ref="CH23">IFERROR(IF('T1'!$J23="",INDEX(LISTA_EX,84),INDEX(LISTA_EX,MATCH('T1'!$J23&amp;"|"&amp;84,LISTA_KLUCZ,0))),"")</f>
        <v>Incline curl + OHP</v>
      </c>
      <c r="CI23" s="5" t="str">
        <f t="array" ref="CI23">IFERROR(IF('T1'!$J23="",INDEX(LISTA_EX,85),INDEX(LISTA_EX,MATCH('T1'!$J23&amp;"|"&amp;85,LISTA_KLUCZ,0))),"")</f>
        <v>Incline dumbbell curl</v>
      </c>
      <c r="CJ23" s="5" t="str">
        <f t="array" ref="CJ23">IFERROR(IF('T1'!$J23="",INDEX(LISTA_EX,86),INDEX(LISTA_EX,MATCH('T1'!$J23&amp;"|"&amp;86,LISTA_KLUCZ,0))),"")</f>
        <v>Incline dumbbell curl (back)</v>
      </c>
      <c r="CK23" s="5" t="str">
        <f t="array" ref="CK23">IFERROR(IF('T1'!$J23="",INDEX(LISTA_EX,87),INDEX(LISTA_EX,MATCH('T1'!$J23&amp;"|"&amp;87,LISTA_KLUCZ,0))),"")</f>
        <v>Incline dumbbell curl (front)</v>
      </c>
      <c r="CL23" s="5" t="str">
        <f t="array" ref="CL23">IFERROR(IF('T1'!$J23="",INDEX(LISTA_EX,88),INDEX(LISTA_EX,MATCH('T1'!$J23&amp;"|"&amp;88,LISTA_KLUCZ,0))),"")</f>
        <v>Incline dumbbell fly</v>
      </c>
      <c r="CM23" s="5" t="str">
        <f t="array" ref="CM23">IFERROR(IF('T1'!$J23="",INDEX(LISTA_EX,89),INDEX(LISTA_EX,MATCH('T1'!$J23&amp;"|"&amp;89,LISTA_KLUCZ,0))),"")</f>
        <v>Incline dumbbell press</v>
      </c>
      <c r="CN23" s="5" t="str">
        <f t="array" ref="CN23">IFERROR(IF('T1'!$J23="",INDEX(LISTA_EX,90),INDEX(LISTA_EX,MATCH('T1'!$J23&amp;"|"&amp;90,LISTA_KLUCZ,0))),"")</f>
        <v>Incline dumbbell press alternating</v>
      </c>
      <c r="CO23" s="5" t="str">
        <f t="array" ref="CO23">IFERROR(IF('T1'!$J23="",INDEX(LISTA_EX,91),INDEX(LISTA_EX,MATCH('T1'!$J23&amp;"|"&amp;91,LISTA_KLUCZ,0))),"")</f>
        <v>Incline sit-ups</v>
      </c>
      <c r="CP23" s="5" t="str">
        <f t="array" ref="CP23">IFERROR(IF('T1'!$J23="",INDEX(LISTA_EX,92),INDEX(LISTA_EX,MATCH('T1'!$J23&amp;"|"&amp;92,LISTA_KLUCZ,0))),"")</f>
        <v>Jefferson cable</v>
      </c>
      <c r="CQ23" s="5" t="str">
        <f t="array" ref="CQ23">IFERROR(IF('T1'!$J23="",INDEX(LISTA_EX,93),INDEX(LISTA_EX,MATCH('T1'!$J23&amp;"|"&amp;93,LISTA_KLUCZ,0))),"")</f>
        <v>Kettlebell march</v>
      </c>
      <c r="CR23" s="5" t="str">
        <f t="array" ref="CR23">IFERROR(IF('T1'!$J23="",INDEX(LISTA_EX,94),INDEX(LISTA_EX,MATCH('T1'!$J23&amp;"|"&amp;94,LISTA_KLUCZ,0))),"")</f>
        <v>Kickbacks</v>
      </c>
      <c r="CS23" s="5" t="str">
        <f t="array" ref="CS23">IFERROR(IF('T1'!$J23="",INDEX(LISTA_EX,95),INDEX(LISTA_EX,MATCH('T1'!$J23&amp;"|"&amp;95,LISTA_KLUCZ,0))),"")</f>
        <v>Knee extension machine</v>
      </c>
      <c r="CT23" s="5" t="str">
        <f t="array" ref="CT23">IFERROR(IF('T1'!$J23="",INDEX(LISTA_EX,96),INDEX(LISTA_EX,MATCH('T1'!$J23&amp;"|"&amp;96,LISTA_KLUCZ,0))),"")</f>
        <v>Knee flexion machine</v>
      </c>
      <c r="CU23" s="5" t="str">
        <f t="array" ref="CU23">IFERROR(IF('T1'!$J23="",INDEX(LISTA_EX,97),INDEX(LISTA_EX,MATCH('T1'!$J23&amp;"|"&amp;97,LISTA_KLUCZ,0))),"")</f>
        <v>Knee raises</v>
      </c>
      <c r="CV23" s="5" t="str">
        <f t="array" ref="CV23">IFERROR(IF('T1'!$J23="",INDEX(LISTA_EX,98),INDEX(LISTA_EX,MATCH('T1'!$J23&amp;"|"&amp;98,LISTA_KLUCZ,0))),"")</f>
        <v>Landmine core</v>
      </c>
      <c r="CW23" s="5" t="str">
        <f t="array" ref="CW23">IFERROR(IF('T1'!$J23="",INDEX(LISTA_EX,99),INDEX(LISTA_EX,MATCH('T1'!$J23&amp;"|"&amp;99,LISTA_KLUCZ,0))),"")</f>
        <v>Landmine press</v>
      </c>
      <c r="CX23" s="5" t="str">
        <f t="array" ref="CX23">IFERROR(IF('T1'!$J23="",INDEX(LISTA_EX,100),INDEX(LISTA_EX,MATCH('T1'!$J23&amp;"|"&amp;100,LISTA_KLUCZ,0))),"")</f>
        <v>Landmine rotations (powtórzenia x2)</v>
      </c>
      <c r="CY23" s="5" t="str">
        <f t="array" ref="CY23">IFERROR(IF('T1'!$J23="",INDEX(LISTA_EX,101),INDEX(LISTA_EX,MATCH('T1'!$J23&amp;"|"&amp;101,LISTA_KLUCZ,0))),"")</f>
        <v>Landmine SLDL</v>
      </c>
      <c r="CZ23" s="5" t="str">
        <f t="array" ref="CZ23">IFERROR(IF('T1'!$J23="",INDEX(LISTA_EX,102),INDEX(LISTA_EX,MATCH('T1'!$J23&amp;"|"&amp;102,LISTA_KLUCZ,0))),"")</f>
        <v>Lat pulldown</v>
      </c>
      <c r="DA23" s="5" t="str">
        <f t="array" ref="DA23">IFERROR(IF('T1'!$J23="",INDEX(LISTA_EX,103),INDEX(LISTA_EX,MATCH('T1'!$J23&amp;"|"&amp;103,LISTA_KLUCZ,0))),"")</f>
        <v>Lat pulldown behind the head</v>
      </c>
      <c r="DB23" s="5" t="str">
        <f t="array" ref="DB23">IFERROR(IF('T1'!$J23="",INDEX(LISTA_EX,104),INDEX(LISTA_EX,MATCH('T1'!$J23&amp;"|"&amp;104,LISTA_KLUCZ,0))),"")</f>
        <v>Lat pulldown s/a</v>
      </c>
      <c r="DC23" s="5" t="str">
        <f t="array" ref="DC23">IFERROR(IF('T1'!$J23="",INDEX(LISTA_EX,105),INDEX(LISTA_EX,MATCH('T1'!$J23&amp;"|"&amp;105,LISTA_KLUCZ,0))),"")</f>
        <v>Lateral raise s/a</v>
      </c>
      <c r="DD23" s="5" t="str">
        <f t="array" ref="DD23">IFERROR(IF('T1'!$J23="",INDEX(LISTA_EX,106),INDEX(LISTA_EX,MATCH('T1'!$J23&amp;"|"&amp;106,LISTA_KLUCZ,0))),"")</f>
        <v>Lateral raises</v>
      </c>
      <c r="DE23" s="5" t="str">
        <f t="array" ref="DE23">IFERROR(IF('T1'!$J23="",INDEX(LISTA_EX,107),INDEX(LISTA_EX,MATCH('T1'!$J23&amp;"|"&amp;107,LISTA_KLUCZ,0))),"")</f>
        <v>Lateral raises 2</v>
      </c>
      <c r="DF23" s="5" t="str">
        <f t="array" ref="DF23">IFERROR(IF('T1'!$J23="",INDEX(LISTA_EX,108),INDEX(LISTA_EX,MATCH('T1'!$J23&amp;"|"&amp;108,LISTA_KLUCZ,0))),"")</f>
        <v>Lateral raises full ROM</v>
      </c>
      <c r="DG23" s="5" t="str">
        <f t="array" ref="DG23">IFERROR(IF('T1'!$J23="",INDEX(LISTA_EX,109),INDEX(LISTA_EX,MATCH('T1'!$J23&amp;"|"&amp;109,LISTA_KLUCZ,0))),"")</f>
        <v>Lateral raises hinged</v>
      </c>
      <c r="DH23" s="5" t="str">
        <f t="array" ref="DH23">IFERROR(IF('T1'!$J23="",INDEX(LISTA_EX,110),INDEX(LISTA_EX,MATCH('T1'!$J23&amp;"|"&amp;110,LISTA_KLUCZ,0))),"")</f>
        <v>Lateral raises incline s/a</v>
      </c>
      <c r="DI23" s="5" t="str">
        <f t="array" ref="DI23">IFERROR(IF('T1'!$J23="",INDEX(LISTA_EX,111),INDEX(LISTA_EX,MATCH('T1'!$J23&amp;"|"&amp;111,LISTA_KLUCZ,0))),"")</f>
        <v>Leg curl</v>
      </c>
      <c r="DJ23" s="5" t="str">
        <f t="array" ref="DJ23">IFERROR(IF('T1'!$J23="",INDEX(LISTA_EX,112),INDEX(LISTA_EX,MATCH('T1'!$J23&amp;"|"&amp;112,LISTA_KLUCZ,0))),"")</f>
        <v>Machine row</v>
      </c>
      <c r="DK23" s="5" t="str">
        <f t="array" ref="DK23">IFERROR(IF('T1'!$J23="",INDEX(LISTA_EX,113),INDEX(LISTA_EX,MATCH('T1'!$J23&amp;"|"&amp;113,LISTA_KLUCZ,0))),"")</f>
        <v>Machine row s/a</v>
      </c>
      <c r="DL23" s="5" t="str">
        <f t="array" ref="DL23">IFERROR(IF('T1'!$J23="",INDEX(LISTA_EX,114),INDEX(LISTA_EX,MATCH('T1'!$J23&amp;"|"&amp;114,LISTA_KLUCZ,0))),"")</f>
        <v>Meadows row</v>
      </c>
      <c r="DM23" s="5" t="str">
        <f t="array" ref="DM23">IFERROR(IF('T1'!$J23="",INDEX(LISTA_EX,115),INDEX(LISTA_EX,MATCH('T1'!$J23&amp;"|"&amp;115,LISTA_KLUCZ,0))),"")</f>
        <v>Med ball slam</v>
      </c>
      <c r="DN23" s="5" t="str">
        <f t="array" ref="DN23">IFERROR(IF('T1'!$J23="",INDEX(LISTA_EX,116),INDEX(LISTA_EX,MATCH('T1'!$J23&amp;"|"&amp;116,LISTA_KLUCZ,0))),"")</f>
        <v>OH skullcrushers</v>
      </c>
      <c r="DO23" s="5" t="str">
        <f t="array" ref="DO23">IFERROR(IF('T1'!$J23="",INDEX(LISTA_EX,117),INDEX(LISTA_EX,MATCH('T1'!$J23&amp;"|"&amp;117,LISTA_KLUCZ,0))),"")</f>
        <v>OHP barbell squat 15kg</v>
      </c>
      <c r="DP23" s="5" t="str">
        <f t="array" ref="DP23">IFERROR(IF('T1'!$J23="",INDEX(LISTA_EX,118),INDEX(LISTA_EX,MATCH('T1'!$J23&amp;"|"&amp;118,LISTA_KLUCZ,0))),"")</f>
        <v>Pistol squat eccentric</v>
      </c>
      <c r="DQ23" s="5" t="str">
        <f t="array" ref="DQ23">IFERROR(IF('T1'!$J23="",INDEX(LISTA_EX,119),INDEX(LISTA_EX,MATCH('T1'!$J23&amp;"|"&amp;119,LISTA_KLUCZ,0))),"")</f>
        <v>Plank contralateral</v>
      </c>
      <c r="DR23" s="5" t="str">
        <f t="array" ref="DR23">IFERROR(IF('T1'!$J23="",INDEX(LISTA_EX,120),INDEX(LISTA_EX,MATCH('T1'!$J23&amp;"|"&amp;120,LISTA_KLUCZ,0))),"")</f>
        <v>Plank dumbbell rotation</v>
      </c>
      <c r="DS23" s="5" t="str">
        <f t="array" ref="DS23">IFERROR(IF('T1'!$J23="",INDEX(LISTA_EX,121),INDEX(LISTA_EX,MATCH('T1'!$J23&amp;"|"&amp;121,LISTA_KLUCZ,0))),"")</f>
        <v>Plank leg raises</v>
      </c>
      <c r="DT23" s="5" t="str">
        <f t="array" ref="DT23">IFERROR(IF('T1'!$J23="",INDEX(LISTA_EX,122),INDEX(LISTA_EX,MATCH('T1'!$J23&amp;"|"&amp;122,LISTA_KLUCZ,0))),"")</f>
        <v>Poliquin step up</v>
      </c>
      <c r="DU23" s="5" t="str">
        <f t="array" ref="DU23">IFERROR(IF('T1'!$J23="",INDEX(LISTA_EX,123),INDEX(LISTA_EX,MATCH('T1'!$J23&amp;"|"&amp;123,LISTA_KLUCZ,0))),"")</f>
        <v>Poliquin step up paused 3sec</v>
      </c>
      <c r="DV23" s="5" t="str">
        <f t="array" ref="DV23">IFERROR(IF('T1'!$J23="",INDEX(LISTA_EX,124),INDEX(LISTA_EX,MATCH('T1'!$J23&amp;"|"&amp;124,LISTA_KLUCZ,0))),"")</f>
        <v>Pronation/Supination</v>
      </c>
      <c r="DW23" s="5" t="str">
        <f t="array" ref="DW23">IFERROR(IF('T1'!$J23="",INDEX(LISTA_EX,125),INDEX(LISTA_EX,MATCH('T1'!$J23&amp;"|"&amp;125,LISTA_KLUCZ,0))),"")</f>
        <v>Pull up</v>
      </c>
      <c r="DX23" s="5" t="str">
        <f t="array" ref="DX23">IFERROR(IF('T1'!$J23="",INDEX(LISTA_EX,126),INDEX(LISTA_EX,MATCH('T1'!$J23&amp;"|"&amp;126,LISTA_KLUCZ,0))),"")</f>
        <v>Pull up eccentric weighted</v>
      </c>
      <c r="DY23" s="5" t="str">
        <f t="array" ref="DY23">IFERROR(IF('T1'!$J23="",INDEX(LISTA_EX,127),INDEX(LISTA_EX,MATCH('T1'!$J23&amp;"|"&amp;127,LISTA_KLUCZ,0))),"")</f>
        <v>Pull up eccentric weighted (5 sek w dół)</v>
      </c>
      <c r="DZ23" s="5" t="str">
        <f t="array" ref="DZ23">IFERROR(IF('T1'!$J23="",INDEX(LISTA_EX,128),INDEX(LISTA_EX,MATCH('T1'!$J23&amp;"|"&amp;128,LISTA_KLUCZ,0))),"")</f>
        <v>Pull up weighted</v>
      </c>
      <c r="EA23" s="5" t="str">
        <f t="array" ref="EA23">IFERROR(IF('T1'!$J23="",INDEX(LISTA_EX,129),INDEX(LISTA_EX,MATCH('T1'!$J23&amp;"|"&amp;129,LISTA_KLUCZ,0))),"")</f>
        <v>Pull ups (paused)</v>
      </c>
      <c r="EB23" s="5" t="str">
        <f t="array" ref="EB23">IFERROR(IF('T1'!$J23="",INDEX(LISTA_EX,130),INDEX(LISTA_EX,MATCH('T1'!$J23&amp;"|"&amp;130,LISTA_KLUCZ,0))),"")</f>
        <v>Push press barbell</v>
      </c>
      <c r="EC23" s="5" t="str">
        <f t="array" ref="EC23">IFERROR(IF('T1'!$J23="",INDEX(LISTA_EX,131),INDEX(LISTA_EX,MATCH('T1'!$J23&amp;"|"&amp;131,LISTA_KLUCZ,0))),"")</f>
        <v>Push up</v>
      </c>
      <c r="ED23" s="5" t="str">
        <f t="array" ref="ED23">IFERROR(IF('T1'!$J23="",INDEX(LISTA_EX,132),INDEX(LISTA_EX,MATCH('T1'!$J23&amp;"|"&amp;132,LISTA_KLUCZ,0))),"")</f>
        <v>Raised bird dog</v>
      </c>
      <c r="EE23" s="5" t="str">
        <f t="array" ref="EE23">IFERROR(IF('T1'!$J23="",INDEX(LISTA_EX,133),INDEX(LISTA_EX,MATCH('T1'!$J23&amp;"|"&amp;133,LISTA_KLUCZ,0))),"")</f>
        <v>RDL</v>
      </c>
      <c r="EF23" s="5" t="str">
        <f t="array" ref="EF23">IFERROR(IF('T1'!$J23="",INDEX(LISTA_EX,134),INDEX(LISTA_EX,MATCH('T1'!$J23&amp;"|"&amp;134,LISTA_KLUCZ,0))),"")</f>
        <v>Reverse Nordic</v>
      </c>
      <c r="EG23" s="5" t="str">
        <f t="array" ref="EG23">IFERROR(IF('T1'!$J23="",INDEX(LISTA_EX,135),INDEX(LISTA_EX,MATCH('T1'!$J23&amp;"|"&amp;135,LISTA_KLUCZ,0))),"")</f>
        <v>Rope pushdown</v>
      </c>
      <c r="EH23" s="5" t="str">
        <f t="array" ref="EH23">IFERROR(IF('T1'!$J23="",INDEX(LISTA_EX,136),INDEX(LISTA_EX,MATCH('T1'!$J23&amp;"|"&amp;136,LISTA_KLUCZ,0))),"")</f>
        <v>Rope pushdown OH</v>
      </c>
      <c r="EI23" s="5" t="str">
        <f t="array" ref="EI23">IFERROR(IF('T1'!$J23="",INDEX(LISTA_EX,137),INDEX(LISTA_EX,MATCH('T1'!$J23&amp;"|"&amp;137,LISTA_KLUCZ,0))),"")</f>
        <v>S/a cable pulldown incline bench</v>
      </c>
      <c r="EJ23" s="5" t="str">
        <f t="array" ref="EJ23">IFERROR(IF('T1'!$J23="",INDEX(LISTA_EX,138),INDEX(LISTA_EX,MATCH('T1'!$J23&amp;"|"&amp;138,LISTA_KLUCZ,0))),"")</f>
        <v>S/a lat pulldown incline bench</v>
      </c>
      <c r="EK23" s="5" t="str">
        <f t="array" ref="EK23">IFERROR(IF('T1'!$J23="",INDEX(LISTA_EX,139),INDEX(LISTA_EX,MATCH('T1'!$J23&amp;"|"&amp;139,LISTA_KLUCZ,0))),"")</f>
        <v>S/l dragonflag eccentric</v>
      </c>
      <c r="EL23" s="5" t="str">
        <f t="array" ref="EL23">IFERROR(IF('T1'!$J23="",INDEX(LISTA_EX,140),INDEX(LISTA_EX,MATCH('T1'!$J23&amp;"|"&amp;140,LISTA_KLUCZ,0))),"")</f>
        <v>S/l hip thrust</v>
      </c>
      <c r="EM23" s="5" t="str">
        <f t="array" ref="EM23">IFERROR(IF('T1'!$J23="",INDEX(LISTA_EX,141),INDEX(LISTA_EX,MATCH('T1'!$J23&amp;"|"&amp;141,LISTA_KLUCZ,0))),"")</f>
        <v>Seated broad jump</v>
      </c>
      <c r="EN23" s="5" t="str">
        <f t="array" ref="EN23">IFERROR(IF('T1'!$J23="",INDEX(LISTA_EX,142),INDEX(LISTA_EX,MATCH('T1'!$J23&amp;"|"&amp;142,LISTA_KLUCZ,0))),"")</f>
        <v>Seated cable facepull</v>
      </c>
      <c r="EO23" s="5" t="str">
        <f t="array" ref="EO23">IFERROR(IF('T1'!$J23="",INDEX(LISTA_EX,143),INDEX(LISTA_EX,MATCH('T1'!$J23&amp;"|"&amp;143,LISTA_KLUCZ,0))),"")</f>
        <v>Seated seesaw press (nogi proste)</v>
      </c>
      <c r="EP23" s="5" t="str">
        <f t="array" ref="EP23">IFERROR(IF('T1'!$J23="",INDEX(LISTA_EX,144),INDEX(LISTA_EX,MATCH('T1'!$J23&amp;"|"&amp;144,LISTA_KLUCZ,0))),"")</f>
        <v>Seesaw press</v>
      </c>
      <c r="EQ23" s="5" t="str">
        <f t="array" ref="EQ23">IFERROR(IF('T1'!$J23="",INDEX(LISTA_EX,145),INDEX(LISTA_EX,MATCH('T1'!$J23&amp;"|"&amp;145,LISTA_KLUCZ,0))),"")</f>
        <v>Side crunches</v>
      </c>
      <c r="ER23" s="5" t="str">
        <f t="array" ref="ER23">IFERROR(IF('T1'!$J23="",INDEX(LISTA_EX,146),INDEX(LISTA_EX,MATCH('T1'!$J23&amp;"|"&amp;146,LISTA_KLUCZ,0))),"")</f>
        <v>Side plank hip drop</v>
      </c>
      <c r="ES23" s="5" t="str">
        <f t="array" ref="ES23">IFERROR(IF('T1'!$J23="",INDEX(LISTA_EX,147),INDEX(LISTA_EX,MATCH('T1'!$J23&amp;"|"&amp;147,LISTA_KLUCZ,0))),"")</f>
        <v>Side plank rotations</v>
      </c>
      <c r="ET23" s="5" t="str">
        <f t="array" ref="ET23">IFERROR(IF('T1'!$J23="",INDEX(LISTA_EX,148),INDEX(LISTA_EX,MATCH('T1'!$J23&amp;"|"&amp;148,LISTA_KLUCZ,0))),"")</f>
        <v>SLDL balance</v>
      </c>
      <c r="EU23" s="5" t="str">
        <f t="array" ref="EU23">IFERROR(IF('T1'!$J23="",INDEX(LISTA_EX,149),INDEX(LISTA_EX,MATCH('T1'!$J23&amp;"|"&amp;149,LISTA_KLUCZ,0))),"")</f>
        <v>Split squat</v>
      </c>
      <c r="EV23" s="5" t="str">
        <f t="array" ref="EV23">IFERROR(IF('T1'!$J23="",INDEX(LISTA_EX,150),INDEX(LISTA_EX,MATCH('T1'!$J23&amp;"|"&amp;150,LISTA_KLUCZ,0))),"")</f>
        <v>Split stance SLDL</v>
      </c>
      <c r="EW23" s="5" t="str">
        <f t="array" ref="EW23">IFERROR(IF('T1'!$J23="",INDEX(LISTA_EX,151),INDEX(LISTA_EX,MATCH('T1'!$J23&amp;"|"&amp;151,LISTA_KLUCZ,0))),"")</f>
        <v>Squat izo (15 sek)</v>
      </c>
      <c r="EX23" s="5" t="str">
        <f t="array" ref="EX23">IFERROR(IF('T1'!$J23="",INDEX(LISTA_EX,152),INDEX(LISTA_EX,MATCH('T1'!$J23&amp;"|"&amp;152,LISTA_KLUCZ,0))),"")</f>
        <v>Standing landmine press</v>
      </c>
      <c r="EY23" s="5" t="str">
        <f t="array" ref="EY23">IFERROR(IF('T1'!$J23="",INDEX(LISTA_EX,153),INDEX(LISTA_EX,MATCH('T1'!$J23&amp;"|"&amp;153,LISTA_KLUCZ,0))),"")</f>
        <v>Suitcase carry</v>
      </c>
      <c r="EZ23" s="5" t="str">
        <f t="array" ref="EZ23">IFERROR(IF('T1'!$J23="",INDEX(LISTA_EX,154),INDEX(LISTA_EX,MATCH('T1'!$J23&amp;"|"&amp;154,LISTA_KLUCZ,0))),"")</f>
        <v>Supine pigeon abs</v>
      </c>
      <c r="FA23" s="5" t="str">
        <f t="array" ref="FA23">IFERROR(IF('T1'!$J23="",INDEX(LISTA_EX,155),INDEX(LISTA_EX,MATCH('T1'!$J23&amp;"|"&amp;155,LISTA_KLUCZ,0))),"")</f>
        <v>Swiss ball leg curl</v>
      </c>
      <c r="FB23" s="5" t="str">
        <f t="array" ref="FB23">IFERROR(IF('T1'!$J23="",INDEX(LISTA_EX,156),INDEX(LISTA_EX,MATCH('T1'!$J23&amp;"|"&amp;156,LISTA_KLUCZ,0))),"")</f>
        <v>Toes to bar</v>
      </c>
      <c r="FC23" s="5" t="str">
        <f t="array" ref="FC23">IFERROR(IF('T1'!$J23="",INDEX(LISTA_EX,157),INDEX(LISTA_EX,MATCH('T1'!$J23&amp;"|"&amp;157,LISTA_KLUCZ,0))),"")</f>
        <v>Trap bar deadlift</v>
      </c>
      <c r="FD23" s="5" t="str">
        <f t="array" ref="FD23">IFERROR(IF('T1'!$J23="",INDEX(LISTA_EX,158),INDEX(LISTA_EX,MATCH('T1'!$J23&amp;"|"&amp;158,LISTA_KLUCZ,0))),"")</f>
        <v>Tricep cable pushdown</v>
      </c>
      <c r="FE23" s="5" t="str">
        <f t="array" ref="FE23">IFERROR(IF('T1'!$J23="",INDEX(LISTA_EX,159),INDEX(LISTA_EX,MATCH('T1'!$J23&amp;"|"&amp;159,LISTA_KLUCZ,0))),"")</f>
        <v>Tricep JM press</v>
      </c>
      <c r="FF23" s="5" t="str">
        <f t="array" ref="FF23">IFERROR(IF('T1'!$J23="",INDEX(LISTA_EX,160),INDEX(LISTA_EX,MATCH('T1'!$J23&amp;"|"&amp;160,LISTA_KLUCZ,0))),"")</f>
        <v>Tricep OH cable</v>
      </c>
      <c r="FG23" s="5" t="str">
        <f t="array" ref="FG23">IFERROR(IF('T1'!$J23="",INDEX(LISTA_EX,161),INDEX(LISTA_EX,MATCH('T1'!$J23&amp;"|"&amp;161,LISTA_KLUCZ,0))),"")</f>
        <v>Tricep OH ez bar</v>
      </c>
      <c r="FH23" s="5" t="str">
        <f t="array" ref="FH23">IFERROR(IF('T1'!$J23="",INDEX(LISTA_EX,162),INDEX(LISTA_EX,MATCH('T1'!$J23&amp;"|"&amp;162,LISTA_KLUCZ,0))),"")</f>
        <v>Walking lunges</v>
      </c>
      <c r="FI23" s="5" t="str">
        <f t="array" ref="FI23">IFERROR(IF('T1'!$J23="",INDEX(LISTA_EX,163),INDEX(LISTA_EX,MATCH('T1'!$J23&amp;"|"&amp;163,LISTA_KLUCZ,0))),"")</f>
        <v>Wipers kettle</v>
      </c>
      <c r="FJ23" s="5" t="str">
        <f t="array" ref="FJ23">IFERROR(IF('T1'!$J23="",INDEX(LISTA_EX,164),INDEX(LISTA_EX,MATCH('T1'!$J23&amp;"|"&amp;164,LISTA_KLUCZ,0))),"")</f>
        <v>Zercher jumps</v>
      </c>
      <c r="FK23" s="5" t="str">
        <f t="array" ref="FK23">IFERROR(IF('T1'!$J23="",INDEX(LISTA_EX,165),INDEX(LISTA_EX,MATCH('T1'!$J23&amp;"|"&amp;165,LISTA_KLUCZ,0))),"")</f>
        <v/>
      </c>
      <c r="FL23" s="5" t="str">
        <f t="array" ref="FL23">IFERROR(IF('T1'!$J23="",INDEX(LISTA_EX,166),INDEX(LISTA_EX,MATCH('T1'!$J23&amp;"|"&amp;166,LISTA_KLUCZ,0))),"")</f>
        <v/>
      </c>
      <c r="FM23" s="5" t="str">
        <f t="array" ref="FM23">IFERROR(IF('T1'!$J23="",INDEX(LISTA_EX,167),INDEX(LISTA_EX,MATCH('T1'!$J23&amp;"|"&amp;167,LISTA_KLUCZ,0))),"")</f>
        <v/>
      </c>
      <c r="FN23" s="5" t="str">
        <f t="array" ref="FN23">IFERROR(IF('T1'!$J23="",INDEX(LISTA_EX,168),INDEX(LISTA_EX,MATCH('T1'!$J23&amp;"|"&amp;168,LISTA_KLUCZ,0))),"")</f>
        <v/>
      </c>
      <c r="FO23" s="5" t="str">
        <f t="array" ref="FO23">IFERROR(IF('T1'!$J23="",INDEX(LISTA_EX,169),INDEX(LISTA_EX,MATCH('T1'!$J23&amp;"|"&amp;169,LISTA_KLUCZ,0))),"")</f>
        <v/>
      </c>
      <c r="FP23" s="5" t="str">
        <f t="array" ref="FP23">IFERROR(IF('T1'!$J23="",INDEX(LISTA_EX,170),INDEX(LISTA_EX,MATCH('T1'!$J23&amp;"|"&amp;170,LISTA_KLUCZ,0))),"")</f>
        <v/>
      </c>
      <c r="FQ23" s="5" t="str">
        <f t="array" ref="FQ23">IFERROR(IF('T1'!$J23="",INDEX(LISTA_EX,171),INDEX(LISTA_EX,MATCH('T1'!$J23&amp;"|"&amp;171,LISTA_KLUCZ,0))),"")</f>
        <v/>
      </c>
      <c r="FR23" s="5" t="str">
        <f t="array" ref="FR23">IFERROR(IF('T1'!$J23="",INDEX(LISTA_EX,172),INDEX(LISTA_EX,MATCH('T1'!$J23&amp;"|"&amp;172,LISTA_KLUCZ,0))),"")</f>
        <v/>
      </c>
      <c r="FS23" s="5" t="str">
        <f t="array" ref="FS23">IFERROR(IF('T1'!$J23="",INDEX(LISTA_EX,173),INDEX(LISTA_EX,MATCH('T1'!$J23&amp;"|"&amp;173,LISTA_KLUCZ,0))),"")</f>
        <v/>
      </c>
      <c r="FT23" s="5" t="str">
        <f t="array" ref="FT23">IFERROR(IF('T1'!$J23="",INDEX(LISTA_EX,174),INDEX(LISTA_EX,MATCH('T1'!$J23&amp;"|"&amp;174,LISTA_KLUCZ,0))),"")</f>
        <v/>
      </c>
      <c r="FU23" s="5" t="str">
        <f t="array" ref="FU23">IFERROR(IF('T1'!$J23="",INDEX(LISTA_EX,175),INDEX(LISTA_EX,MATCH('T1'!$J23&amp;"|"&amp;175,LISTA_KLUCZ,0))),"")</f>
        <v/>
      </c>
      <c r="FV23" s="5" t="str">
        <f t="array" ref="FV23">IFERROR(IF('T1'!$J23="",INDEX(LISTA_EX,176),INDEX(LISTA_EX,MATCH('T1'!$J23&amp;"|"&amp;176,LISTA_KLUCZ,0))),"")</f>
        <v/>
      </c>
      <c r="FW23" s="5" t="str">
        <f t="array" ref="FW23">IFERROR(IF('T1'!$J23="",INDEX(LISTA_EX,177),INDEX(LISTA_EX,MATCH('T1'!$J23&amp;"|"&amp;177,LISTA_KLUCZ,0))),"")</f>
        <v/>
      </c>
      <c r="FX23" s="5" t="str">
        <f t="array" ref="FX23">IFERROR(IF('T1'!$J23="",INDEX(LISTA_EX,178),INDEX(LISTA_EX,MATCH('T1'!$J23&amp;"|"&amp;178,LISTA_KLUCZ,0))),"")</f>
        <v/>
      </c>
      <c r="FY23" s="5" t="str">
        <f t="array" ref="FY23">IFERROR(IF('T1'!$J23="",INDEX(LISTA_EX,179),INDEX(LISTA_EX,MATCH('T1'!$J23&amp;"|"&amp;179,LISTA_KLUCZ,0))),"")</f>
        <v/>
      </c>
      <c r="FZ23" s="5" t="str">
        <f t="array" ref="FZ23">IFERROR(IF('T1'!$J23="",INDEX(LISTA_EX,180),INDEX(LISTA_EX,MATCH('T1'!$J23&amp;"|"&amp;180,LISTA_KLUCZ,0))),"")</f>
        <v/>
      </c>
      <c r="GA23" s="5" t="str">
        <f t="array" ref="GA23">IFERROR(IF('T1'!$J23="",INDEX(LISTA_EX,181),INDEX(LISTA_EX,MATCH('T1'!$J23&amp;"|"&amp;181,LISTA_KLUCZ,0))),"")</f>
        <v/>
      </c>
      <c r="GB23" s="5" t="str">
        <f t="array" ref="GB23">IFERROR(IF('T1'!$J23="",INDEX(LISTA_EX,182),INDEX(LISTA_EX,MATCH('T1'!$J23&amp;"|"&amp;182,LISTA_KLUCZ,0))),"")</f>
        <v/>
      </c>
      <c r="GC23" s="5" t="str">
        <f t="array" ref="GC23">IFERROR(IF('T1'!$J23="",INDEX(LISTA_EX,183),INDEX(LISTA_EX,MATCH('T1'!$J23&amp;"|"&amp;183,LISTA_KLUCZ,0))),"")</f>
        <v/>
      </c>
      <c r="GD23" s="5" t="str">
        <f t="array" ref="GD23">IFERROR(IF('T1'!$J23="",INDEX(LISTA_EX,184),INDEX(LISTA_EX,MATCH('T1'!$J23&amp;"|"&amp;184,LISTA_KLUCZ,0))),"")</f>
        <v/>
      </c>
      <c r="GE23" s="5" t="str">
        <f t="array" ref="GE23">IFERROR(IF('T1'!$J23="",INDEX(LISTA_EX,185),INDEX(LISTA_EX,MATCH('T1'!$J23&amp;"|"&amp;185,LISTA_KLUCZ,0))),"")</f>
        <v/>
      </c>
      <c r="GF23" s="5" t="str">
        <f t="array" ref="GF23">IFERROR(IF('T1'!$J23="",INDEX(LISTA_EX,186),INDEX(LISTA_EX,MATCH('T1'!$J23&amp;"|"&amp;186,LISTA_KLUCZ,0))),"")</f>
        <v/>
      </c>
      <c r="GG23" s="5" t="str">
        <f t="array" ref="GG23">IFERROR(IF('T1'!$J23="",INDEX(LISTA_EX,187),INDEX(LISTA_EX,MATCH('T1'!$J23&amp;"|"&amp;187,LISTA_KLUCZ,0))),"")</f>
        <v/>
      </c>
      <c r="GH23" s="5" t="str">
        <f t="array" ref="GH23">IFERROR(IF('T1'!$J23="",INDEX(LISTA_EX,188),INDEX(LISTA_EX,MATCH('T1'!$J23&amp;"|"&amp;188,LISTA_KLUCZ,0))),"")</f>
        <v/>
      </c>
      <c r="GI23" s="5" t="str">
        <f t="array" ref="GI23">IFERROR(IF('T1'!$J23="",INDEX(LISTA_EX,189),INDEX(LISTA_EX,MATCH('T1'!$J23&amp;"|"&amp;189,LISTA_KLUCZ,0))),"")</f>
        <v/>
      </c>
      <c r="GJ23" s="5" t="str">
        <f t="array" ref="GJ23">IFERROR(IF('T1'!$J23="",INDEX(LISTA_EX,190),INDEX(LISTA_EX,MATCH('T1'!$J23&amp;"|"&amp;190,LISTA_KLUCZ,0))),"")</f>
        <v/>
      </c>
      <c r="GK23" s="5" t="str">
        <f t="array" ref="GK23">IFERROR(IF('T1'!$J23="",INDEX(LISTA_EX,191),INDEX(LISTA_EX,MATCH('T1'!$J23&amp;"|"&amp;191,LISTA_KLUCZ,0))),"")</f>
        <v/>
      </c>
      <c r="GL23" s="5" t="str">
        <f t="array" ref="GL23">IFERROR(IF('T1'!$J23="",INDEX(LISTA_EX,192),INDEX(LISTA_EX,MATCH('T1'!$J23&amp;"|"&amp;192,LISTA_KLUCZ,0))),"")</f>
        <v/>
      </c>
      <c r="GM23" s="5" t="str">
        <f t="array" ref="GM23">IFERROR(IF('T1'!$J23="",INDEX(LISTA_EX,193),INDEX(LISTA_EX,MATCH('T1'!$J23&amp;"|"&amp;193,LISTA_KLUCZ,0))),"")</f>
        <v/>
      </c>
      <c r="GN23" s="5" t="str">
        <f t="array" ref="GN23">IFERROR(IF('T1'!$J23="",INDEX(LISTA_EX,194),INDEX(LISTA_EX,MATCH('T1'!$J23&amp;"|"&amp;194,LISTA_KLUCZ,0))),"")</f>
        <v/>
      </c>
      <c r="GO23" s="5" t="str">
        <f t="array" ref="GO23">IFERROR(IF('T1'!$J23="",INDEX(LISTA_EX,195),INDEX(LISTA_EX,MATCH('T1'!$J23&amp;"|"&amp;195,LISTA_KLUCZ,0))),"")</f>
        <v/>
      </c>
      <c r="GP23" s="5" t="str">
        <f t="array" ref="GP23">IFERROR(IF('T1'!$J23="",INDEX(LISTA_EX,196),INDEX(LISTA_EX,MATCH('T1'!$J23&amp;"|"&amp;196,LISTA_KLUCZ,0))),"")</f>
        <v/>
      </c>
      <c r="GQ23" s="5" t="str">
        <f t="array" ref="GQ23">IFERROR(IF('T1'!$J23="",INDEX(LISTA_EX,197),INDEX(LISTA_EX,MATCH('T1'!$J23&amp;"|"&amp;197,LISTA_KLUCZ,0))),"")</f>
        <v/>
      </c>
      <c r="GR23" s="5" t="str">
        <f t="array" ref="GR23">IFERROR(IF('T1'!$J23="",INDEX(LISTA_EX,198),INDEX(LISTA_EX,MATCH('T1'!$J23&amp;"|"&amp;198,LISTA_KLUCZ,0))),"")</f>
        <v/>
      </c>
      <c r="GS23" s="5" t="str">
        <f t="array" ref="GS23">IFERROR(IF('T1'!$J23="",INDEX(LISTA_EX,199),INDEX(LISTA_EX,MATCH('T1'!$J23&amp;"|"&amp;199,LISTA_KLUCZ,0))),"")</f>
        <v/>
      </c>
      <c r="GT23" s="5" t="str">
        <f t="array" ref="GT23">IFERROR(IF('T1'!$J23="",INDEX(LISTA_EX,200),INDEX(LISTA_EX,MATCH('T1'!$J23&amp;"|"&amp;200,LISTA_KLUCZ,0))),"")</f>
        <v/>
      </c>
      <c r="GV23" s="5" t="str">
        <f>IF(BAZA!$A23="","",BAZA!$A23)</f>
        <v>Bench press paused 3sec</v>
      </c>
      <c r="GW23" s="5" t="str">
        <f>IF(BAZA!$B23="","",BAZA!$B23&amp;"|"&amp;COUNTIF(BAZA!$B$3:$B23,BAZA!$B23))</f>
        <v>Upper push horizontal|2</v>
      </c>
    </row>
    <row r="24" ht="15.0" customHeight="1">
      <c r="A24" s="5" t="str">
        <f>IF('T1'!$K24="","",'T1'!$K24)</f>
        <v>D2-S02</v>
      </c>
      <c r="B24" s="5" t="str">
        <f>IF('T1'!$J24="","(wszystkie)",'T1'!$J24)</f>
        <v>(wszystkie)</v>
      </c>
      <c r="C24" s="5" t="str">
        <f t="array" ref="C24">IFERROR(IF('T1'!$J24="",INDEX(LISTA_EX,1),INDEX(LISTA_EX,MATCH('T1'!$J24&amp;"|"&amp;1,LISTA_KLUCZ,0))),"")</f>
        <v>Abduction machine</v>
      </c>
      <c r="D24" s="5" t="str">
        <f t="array" ref="D24">IFERROR(IF('T1'!$J24="",INDEX(LISTA_EX,2),INDEX(LISTA_EX,MATCH('T1'!$J24&amp;"|"&amp;2,LISTA_KLUCZ,0))),"")</f>
        <v>Adduction machine</v>
      </c>
      <c r="E24" s="5" t="str">
        <f t="array" ref="E24">IFERROR(IF('T1'!$J24="",INDEX(LISTA_EX,3),INDEX(LISTA_EX,MATCH('T1'!$J24&amp;"|"&amp;3,LISTA_KLUCZ,0))),"")</f>
        <v>Allah</v>
      </c>
      <c r="F24" s="5" t="str">
        <f t="array" ref="F24">IFERROR(IF('T1'!$J24="",INDEX(LISTA_EX,4),INDEX(LISTA_EX,MATCH('T1'!$J24&amp;"|"&amp;4,LISTA_KLUCZ,0))),"")</f>
        <v>Arnold press</v>
      </c>
      <c r="G24" s="5" t="str">
        <f t="array" ref="G24">IFERROR(IF('T1'!$J24="",INDEX(LISTA_EX,5),INDEX(LISTA_EX,MATCH('T1'!$J24&amp;"|"&amp;5,LISTA_KLUCZ,0))),"")</f>
        <v>Arnold press alternating</v>
      </c>
      <c r="H24" s="5" t="str">
        <f t="array" ref="H24">IFERROR(IF('T1'!$J24="",INDEX(LISTA_EX,6),INDEX(LISTA_EX,MATCH('T1'!$J24&amp;"|"&amp;6,LISTA_KLUCZ,0))),"")</f>
        <v>B/l dragonflag eccentric</v>
      </c>
      <c r="I24" s="5" t="str">
        <f t="array" ref="I24">IFERROR(IF('T1'!$J24="",INDEX(LISTA_EX,7),INDEX(LISTA_EX,MATCH('T1'!$J24&amp;"|"&amp;7,LISTA_KLUCZ,0))),"")</f>
        <v>Back extension</v>
      </c>
      <c r="J24" s="5" t="str">
        <f t="array" ref="J24">IFERROR(IF('T1'!$J24="",INDEX(LISTA_EX,8),INDEX(LISTA_EX,MATCH('T1'!$J24&amp;"|"&amp;8,LISTA_KLUCZ,0))),"")</f>
        <v>Banded pistol squat</v>
      </c>
      <c r="K24" s="5" t="str">
        <f t="array" ref="K24">IFERROR(IF('T1'!$J24="",INDEX(LISTA_EX,9),INDEX(LISTA_EX,MATCH('T1'!$J24&amp;"|"&amp;9,LISTA_KLUCZ,0))),"")</f>
        <v>Banded pull ups</v>
      </c>
      <c r="L24" s="5" t="str">
        <f t="array" ref="L24">IFERROR(IF('T1'!$J24="",INDEX(LISTA_EX,10),INDEX(LISTA_EX,MATCH('T1'!$J24&amp;"|"&amp;10,LISTA_KLUCZ,0))),"")</f>
        <v>Barbell back squat</v>
      </c>
      <c r="M24" s="5" t="str">
        <f t="array" ref="M24">IFERROR(IF('T1'!$J24="",INDEX(LISTA_EX,11),INDEX(LISTA_EX,MATCH('T1'!$J24&amp;"|"&amp;11,LISTA_KLUCZ,0))),"")</f>
        <v>Barbell bench press</v>
      </c>
      <c r="N24" s="5" t="str">
        <f t="array" ref="N24">IFERROR(IF('T1'!$J24="",INDEX(LISTA_EX,12),INDEX(LISTA_EX,MATCH('T1'!$J24&amp;"|"&amp;12,LISTA_KLUCZ,0))),"")</f>
        <v>Barbell curl</v>
      </c>
      <c r="O24" s="5" t="str">
        <f t="array" ref="O24">IFERROR(IF('T1'!$J24="",INDEX(LISTA_EX,13),INDEX(LISTA_EX,MATCH('T1'!$J24&amp;"|"&amp;13,LISTA_KLUCZ,0))),"")</f>
        <v>Barbell low bar squat</v>
      </c>
      <c r="P24" s="5" t="str">
        <f t="array" ref="P24">IFERROR(IF('T1'!$J24="",INDEX(LISTA_EX,14),INDEX(LISTA_EX,MATCH('T1'!$J24&amp;"|"&amp;14,LISTA_KLUCZ,0))),"")</f>
        <v>Barbell OHP</v>
      </c>
      <c r="Q24" s="5" t="str">
        <f t="array" ref="Q24">IFERROR(IF('T1'!$J24="",INDEX(LISTA_EX,15),INDEX(LISTA_EX,MATCH('T1'!$J24&amp;"|"&amp;15,LISTA_KLUCZ,0))),"")</f>
        <v>Barbell oscilation</v>
      </c>
      <c r="R24" s="5" t="str">
        <f t="array" ref="R24">IFERROR(IF('T1'!$J24="",INDEX(LISTA_EX,16),INDEX(LISTA_EX,MATCH('T1'!$J24&amp;"|"&amp;16,LISTA_KLUCZ,0))),"")</f>
        <v>Barbell row</v>
      </c>
      <c r="S24" s="5" t="str">
        <f t="array" ref="S24">IFERROR(IF('T1'!$J24="",INDEX(LISTA_EX,17),INDEX(LISTA_EX,MATCH('T1'!$J24&amp;"|"&amp;17,LISTA_KLUCZ,0))),"")</f>
        <v>Barbell row dead stop pins</v>
      </c>
      <c r="T24" s="5" t="str">
        <f t="array" ref="T24">IFERROR(IF('T1'!$J24="",INDEX(LISTA_EX,18),INDEX(LISTA_EX,MATCH('T1'!$J24&amp;"|"&amp;18,LISTA_KLUCZ,0))),"")</f>
        <v>Barbell SLDL</v>
      </c>
      <c r="U24" s="5" t="str">
        <f t="array" ref="U24">IFERROR(IF('T1'!$J24="",INDEX(LISTA_EX,19),INDEX(LISTA_EX,MATCH('T1'!$J24&amp;"|"&amp;19,LISTA_KLUCZ,0))),"")</f>
        <v>Bayesian curl</v>
      </c>
      <c r="V24" s="5" t="str">
        <f t="array" ref="V24">IFERROR(IF('T1'!$J24="",INDEX(LISTA_EX,20),INDEX(LISTA_EX,MATCH('T1'!$J24&amp;"|"&amp;20,LISTA_KLUCZ,0))),"")</f>
        <v>Bear renegade row</v>
      </c>
      <c r="W24" s="5" t="str">
        <f t="array" ref="W24">IFERROR(IF('T1'!$J24="",INDEX(LISTA_EX,21),INDEX(LISTA_EX,MATCH('T1'!$J24&amp;"|"&amp;21,LISTA_KLUCZ,0))),"")</f>
        <v>Bench press paused 3sec</v>
      </c>
      <c r="X24" s="5" t="str">
        <f t="array" ref="X24">IFERROR(IF('T1'!$J24="",INDEX(LISTA_EX,22),INDEX(LISTA_EX,MATCH('T1'!$J24&amp;"|"&amp;22,LISTA_KLUCZ,0))),"")</f>
        <v>Bicep hammer curl</v>
      </c>
      <c r="Y24" s="5" t="str">
        <f t="array" ref="Y24">IFERROR(IF('T1'!$J24="",INDEX(LISTA_EX,23),INDEX(LISTA_EX,MATCH('T1'!$J24&amp;"|"&amp;23,LISTA_KLUCZ,0))),"")</f>
        <v>Bicep squat cable curl</v>
      </c>
      <c r="Z24" s="5" t="str">
        <f t="array" ref="Z24">IFERROR(IF('T1'!$J24="",INDEX(LISTA_EX,24),INDEX(LISTA_EX,MATCH('T1'!$J24&amp;"|"&amp;24,LISTA_KLUCZ,0))),"")</f>
        <v>Bird dog row</v>
      </c>
      <c r="AA24" s="5" t="str">
        <f t="array" ref="AA24">IFERROR(IF('T1'!$J24="",INDEX(LISTA_EX,25),INDEX(LISTA_EX,MATCH('T1'!$J24&amp;"|"&amp;25,LISTA_KLUCZ,0))),"")</f>
        <v>Box jump</v>
      </c>
      <c r="AB24" s="5" t="str">
        <f t="array" ref="AB24">IFERROR(IF('T1'!$J24="",INDEX(LISTA_EX,26),INDEX(LISTA_EX,MATCH('T1'!$J24&amp;"|"&amp;26,LISTA_KLUCZ,0))),"")</f>
        <v>Bulgarian clean plyo</v>
      </c>
      <c r="AC24" s="5" t="str">
        <f t="array" ref="AC24">IFERROR(IF('T1'!$J24="",INDEX(LISTA_EX,27),INDEX(LISTA_EX,MATCH('T1'!$J24&amp;"|"&amp;27,LISTA_KLUCZ,0))),"")</f>
        <v>Bulgarian squat assisted</v>
      </c>
      <c r="AD24" s="5" t="str">
        <f t="array" ref="AD24">IFERROR(IF('T1'!$J24="",INDEX(LISTA_EX,28),INDEX(LISTA_EX,MATCH('T1'!$J24&amp;"|"&amp;28,LISTA_KLUCZ,0))),"")</f>
        <v>Cable biceps curl</v>
      </c>
      <c r="AE24" s="5" t="str">
        <f t="array" ref="AE24">IFERROR(IF('T1'!$J24="",INDEX(LISTA_EX,29),INDEX(LISTA_EX,MATCH('T1'!$J24&amp;"|"&amp;29,LISTA_KLUCZ,0))),"")</f>
        <v>Cable fly</v>
      </c>
      <c r="AF24" s="5" t="str">
        <f t="array" ref="AF24">IFERROR(IF('T1'!$J24="",INDEX(LISTA_EX,30),INDEX(LISTA_EX,MATCH('T1'!$J24&amp;"|"&amp;30,LISTA_KLUCZ,0))),"")</f>
        <v>Cable lateral raise s/a</v>
      </c>
      <c r="AG24" s="5" t="str">
        <f t="array" ref="AG24">IFERROR(IF('T1'!$J24="",INDEX(LISTA_EX,31),INDEX(LISTA_EX,MATCH('T1'!$J24&amp;"|"&amp;31,LISTA_KLUCZ,0))),"")</f>
        <v>Cable row</v>
      </c>
      <c r="AH24" s="5" t="str">
        <f t="array" ref="AH24">IFERROR(IF('T1'!$J24="",INDEX(LISTA_EX,32),INDEX(LISTA_EX,MATCH('T1'!$J24&amp;"|"&amp;32,LISTA_KLUCZ,0))),"")</f>
        <v>Cable row s/a</v>
      </c>
      <c r="AI24" s="5" t="str">
        <f t="array" ref="AI24">IFERROR(IF('T1'!$J24="",INDEX(LISTA_EX,33),INDEX(LISTA_EX,MATCH('T1'!$J24&amp;"|"&amp;33,LISTA_KLUCZ,0))),"")</f>
        <v>Calf raises</v>
      </c>
      <c r="AJ24" s="5" t="str">
        <f t="array" ref="AJ24">IFERROR(IF('T1'!$J24="",INDEX(LISTA_EX,34),INDEX(LISTA_EX,MATCH('T1'!$J24&amp;"|"&amp;34,LISTA_KLUCZ,0))),"")</f>
        <v>Chest fly machine</v>
      </c>
      <c r="AK24" s="5" t="str">
        <f t="array" ref="AK24">IFERROR(IF('T1'!$J24="",INDEX(LISTA_EX,35),INDEX(LISTA_EX,MATCH('T1'!$J24&amp;"|"&amp;35,LISTA_KLUCZ,0))),"")</f>
        <v>Clean</v>
      </c>
      <c r="AL24" s="5" t="str">
        <f t="array" ref="AL24">IFERROR(IF('T1'!$J24="",INDEX(LISTA_EX,36),INDEX(LISTA_EX,MATCH('T1'!$J24&amp;"|"&amp;36,LISTA_KLUCZ,0))),"")</f>
        <v>Clean pins</v>
      </c>
      <c r="AM24" s="5" t="str">
        <f t="array" ref="AM24">IFERROR(IF('T1'!$J24="",INDEX(LISTA_EX,37),INDEX(LISTA_EX,MATCH('T1'!$J24&amp;"|"&amp;37,LISTA_KLUCZ,0))),"")</f>
        <v>Copenhagen plank</v>
      </c>
      <c r="AN24" s="5" t="str">
        <f t="array" ref="AN24">IFERROR(IF('T1'!$J24="",INDEX(LISTA_EX,38),INDEX(LISTA_EX,MATCH('T1'!$J24&amp;"|"&amp;38,LISTA_KLUCZ,0))),"")</f>
        <v>Dead bug izo + OH</v>
      </c>
      <c r="AO24" s="5" t="str">
        <f t="array" ref="AO24">IFERROR(IF('T1'!$J24="",INDEX(LISTA_EX,39),INDEX(LISTA_EX,MATCH('T1'!$J24&amp;"|"&amp;39,LISTA_KLUCZ,0))),"")</f>
        <v>Dead bug straight legs</v>
      </c>
      <c r="AP24" s="5" t="str">
        <f t="array" ref="AP24">IFERROR(IF('T1'!$J24="",INDEX(LISTA_EX,40),INDEX(LISTA_EX,MATCH('T1'!$J24&amp;"|"&amp;40,LISTA_KLUCZ,0))),"")</f>
        <v>Dead stop barbell row</v>
      </c>
      <c r="AQ24" s="5" t="str">
        <f t="array" ref="AQ24">IFERROR(IF('T1'!$J24="",INDEX(LISTA_EX,41),INDEX(LISTA_EX,MATCH('T1'!$J24&amp;"|"&amp;41,LISTA_KLUCZ,0))),"")</f>
        <v>Deadbug OH</v>
      </c>
      <c r="AR24" s="5" t="str">
        <f t="array" ref="AR24">IFERROR(IF('T1'!$J24="",INDEX(LISTA_EX,42),INDEX(LISTA_EX,MATCH('T1'!$J24&amp;"|"&amp;42,LISTA_KLUCZ,0))),"")</f>
        <v>Deadlift</v>
      </c>
      <c r="AS24" s="5" t="str">
        <f t="array" ref="AS24">IFERROR(IF('T1'!$J24="",INDEX(LISTA_EX,43),INDEX(LISTA_EX,MATCH('T1'!$J24&amp;"|"&amp;43,LISTA_KLUCZ,0))),"")</f>
        <v>Deficit push up</v>
      </c>
      <c r="AT24" s="5" t="str">
        <f t="array" ref="AT24">IFERROR(IF('T1'!$J24="",INDEX(LISTA_EX,44),INDEX(LISTA_EX,MATCH('T1'!$J24&amp;"|"&amp;44,LISTA_KLUCZ,0))),"")</f>
        <v>Deficit reverse lunge</v>
      </c>
      <c r="AU24" s="5" t="str">
        <f t="array" ref="AU24">IFERROR(IF('T1'!$J24="",INDEX(LISTA_EX,45),INDEX(LISTA_EX,MATCH('T1'!$J24&amp;"|"&amp;45,LISTA_KLUCZ,0))),"")</f>
        <v>Dips</v>
      </c>
      <c r="AV24" s="5" t="str">
        <f t="array" ref="AV24">IFERROR(IF('T1'!$J24="",INDEX(LISTA_EX,46),INDEX(LISTA_EX,MATCH('T1'!$J24&amp;"|"&amp;46,LISTA_KLUCZ,0))),"")</f>
        <v>Dips weighted</v>
      </c>
      <c r="AW24" s="5" t="str">
        <f t="array" ref="AW24">IFERROR(IF('T1'!$J24="",INDEX(LISTA_EX,47),INDEX(LISTA_EX,MATCH('T1'!$J24&amp;"|"&amp;47,LISTA_KLUCZ,0))),"")</f>
        <v>Dumbbell bench press</v>
      </c>
      <c r="AX24" s="5" t="str">
        <f t="array" ref="AX24">IFERROR(IF('T1'!$J24="",INDEX(LISTA_EX,48),INDEX(LISTA_EX,MATCH('T1'!$J24&amp;"|"&amp;48,LISTA_KLUCZ,0))),"")</f>
        <v>Dumbbell bench press alternating</v>
      </c>
      <c r="AY24" s="5" t="str">
        <f t="array" ref="AY24">IFERROR(IF('T1'!$J24="",INDEX(LISTA_EX,49),INDEX(LISTA_EX,MATCH('T1'!$J24&amp;"|"&amp;49,LISTA_KLUCZ,0))),"")</f>
        <v>Dumbbell curl</v>
      </c>
      <c r="AZ24" s="5" t="str">
        <f t="array" ref="AZ24">IFERROR(IF('T1'!$J24="",INDEX(LISTA_EX,50),INDEX(LISTA_EX,MATCH('T1'!$J24&amp;"|"&amp;50,LISTA_KLUCZ,0))),"")</f>
        <v>Dumbbell external rotation</v>
      </c>
      <c r="BA24" s="5" t="str">
        <f t="array" ref="BA24">IFERROR(IF('T1'!$J24="",INDEX(LISTA_EX,51),INDEX(LISTA_EX,MATCH('T1'!$J24&amp;"|"&amp;51,LISTA_KLUCZ,0))),"")</f>
        <v>Dumbbell face down curl</v>
      </c>
      <c r="BB24" s="5" t="str">
        <f t="array" ref="BB24">IFERROR(IF('T1'!$J24="",INDEX(LISTA_EX,52),INDEX(LISTA_EX,MATCH('T1'!$J24&amp;"|"&amp;52,LISTA_KLUCZ,0))),"")</f>
        <v>Dumbbell fly</v>
      </c>
      <c r="BC24" s="5" t="str">
        <f t="array" ref="BC24">IFERROR(IF('T1'!$J24="",INDEX(LISTA_EX,53),INDEX(LISTA_EX,MATCH('T1'!$J24&amp;"|"&amp;53,LISTA_KLUCZ,0))),"")</f>
        <v>Dumbbell french press</v>
      </c>
      <c r="BD24" s="5" t="str">
        <f t="array" ref="BD24">IFERROR(IF('T1'!$J24="",INDEX(LISTA_EX,54),INDEX(LISTA_EX,MATCH('T1'!$J24&amp;"|"&amp;54,LISTA_KLUCZ,0))),"")</f>
        <v>Dumbbell lateral raise</v>
      </c>
      <c r="BE24" s="5" t="str">
        <f t="array" ref="BE24">IFERROR(IF('T1'!$J24="",INDEX(LISTA_EX,55),INDEX(LISTA_EX,MATCH('T1'!$J24&amp;"|"&amp;55,LISTA_KLUCZ,0))),"")</f>
        <v>Dumbbell lunges</v>
      </c>
      <c r="BF24" s="5" t="str">
        <f t="array" ref="BF24">IFERROR(IF('T1'!$J24="",INDEX(LISTA_EX,56),INDEX(LISTA_EX,MATCH('T1'!$J24&amp;"|"&amp;56,LISTA_KLUCZ,0))),"")</f>
        <v>Dumbbell OH press</v>
      </c>
      <c r="BG24" s="5" t="str">
        <f t="array" ref="BG24">IFERROR(IF('T1'!$J24="",INDEX(LISTA_EX,57),INDEX(LISTA_EX,MATCH('T1'!$J24&amp;"|"&amp;57,LISTA_KLUCZ,0))),"")</f>
        <v>Dumbbell over head press</v>
      </c>
      <c r="BH24" s="5" t="str">
        <f t="array" ref="BH24">IFERROR(IF('T1'!$J24="",INDEX(LISTA_EX,58),INDEX(LISTA_EX,MATCH('T1'!$J24&amp;"|"&amp;58,LISTA_KLUCZ,0))),"")</f>
        <v>Dumbbell over head press alternating</v>
      </c>
      <c r="BI24" s="5" t="str">
        <f t="array" ref="BI24">IFERROR(IF('T1'!$J24="",INDEX(LISTA_EX,59),INDEX(LISTA_EX,MATCH('T1'!$J24&amp;"|"&amp;59,LISTA_KLUCZ,0))),"")</f>
        <v>Dumbbell row</v>
      </c>
      <c r="BJ24" s="5" t="str">
        <f t="array" ref="BJ24">IFERROR(IF('T1'!$J24="",INDEX(LISTA_EX,60),INDEX(LISTA_EX,MATCH('T1'!$J24&amp;"|"&amp;60,LISTA_KLUCZ,0))),"")</f>
        <v>Dumbbell s/a Arnold press</v>
      </c>
      <c r="BK24" s="5" t="str">
        <f t="array" ref="BK24">IFERROR(IF('T1'!$J24="",INDEX(LISTA_EX,61),INDEX(LISTA_EX,MATCH('T1'!$J24&amp;"|"&amp;61,LISTA_KLUCZ,0))),"")</f>
        <v>Dumbbell s/a row</v>
      </c>
      <c r="BL24" s="5" t="str">
        <f t="array" ref="BL24">IFERROR(IF('T1'!$J24="",INDEX(LISTA_EX,62),INDEX(LISTA_EX,MATCH('T1'!$J24&amp;"|"&amp;62,LISTA_KLUCZ,0))),"")</f>
        <v>Dumbbell seal row</v>
      </c>
      <c r="BM24" s="5" t="str">
        <f t="array" ref="BM24">IFERROR(IF('T1'!$J24="",INDEX(LISTA_EX,63),INDEX(LISTA_EX,MATCH('T1'!$J24&amp;"|"&amp;63,LISTA_KLUCZ,0))),"")</f>
        <v>Dumbbells jumps</v>
      </c>
      <c r="BN24" s="5" t="str">
        <f t="array" ref="BN24">IFERROR(IF('T1'!$J24="",INDEX(LISTA_EX,64),INDEX(LISTA_EX,MATCH('T1'!$J24&amp;"|"&amp;64,LISTA_KLUCZ,0))),"")</f>
        <v>Eccentric pull up</v>
      </c>
      <c r="BO24" s="5" t="str">
        <f t="array" ref="BO24">IFERROR(IF('T1'!$J24="",INDEX(LISTA_EX,65),INDEX(LISTA_EX,MATCH('T1'!$J24&amp;"|"&amp;65,LISTA_KLUCZ,0))),"")</f>
        <v>Eccentric push up (5 sek w dół)</v>
      </c>
      <c r="BP24" s="5" t="str">
        <f t="array" ref="BP24">IFERROR(IF('T1'!$J24="",INDEX(LISTA_EX,66),INDEX(LISTA_EX,MATCH('T1'!$J24&amp;"|"&amp;66,LISTA_KLUCZ,0))),"")</f>
        <v>Extensive plyo jumps s/l</v>
      </c>
      <c r="BQ24" s="5" t="str">
        <f t="array" ref="BQ24">IFERROR(IF('T1'!$J24="",INDEX(LISTA_EX,67),INDEX(LISTA_EX,MATCH('T1'!$J24&amp;"|"&amp;67,LISTA_KLUCZ,0))),"")</f>
        <v>Ez bar curl</v>
      </c>
      <c r="BR24" s="5" t="str">
        <f t="array" ref="BR24">IFERROR(IF('T1'!$J24="",INDEX(LISTA_EX,68),INDEX(LISTA_EX,MATCH('T1'!$J24&amp;"|"&amp;68,LISTA_KLUCZ,0))),"")</f>
        <v>Facepull chest supported</v>
      </c>
      <c r="BS24" s="5" t="str">
        <f t="array" ref="BS24">IFERROR(IF('T1'!$J24="",INDEX(LISTA_EX,69),INDEX(LISTA_EX,MATCH('T1'!$J24&amp;"|"&amp;69,LISTA_KLUCZ,0))),"")</f>
        <v>Front foot elevated split squat</v>
      </c>
      <c r="BT24" s="5" t="str">
        <f t="array" ref="BT24">IFERROR(IF('T1'!$J24="",INDEX(LISTA_EX,70),INDEX(LISTA_EX,MATCH('T1'!$J24&amp;"|"&amp;70,LISTA_KLUCZ,0))),"")</f>
        <v>Front squat</v>
      </c>
      <c r="BU24" s="5" t="str">
        <f t="array" ref="BU24">IFERROR(IF('T1'!$J24="",INDEX(LISTA_EX,71),INDEX(LISTA_EX,MATCH('T1'!$J24&amp;"|"&amp;71,LISTA_KLUCZ,0))),"")</f>
        <v>GHD flexion</v>
      </c>
      <c r="BV24" s="5" t="str">
        <f t="array" ref="BV24">IFERROR(IF('T1'!$J24="",INDEX(LISTA_EX,72),INDEX(LISTA_EX,MATCH('T1'!$J24&amp;"|"&amp;72,LISTA_KLUCZ,0))),"")</f>
        <v>Glute bridge hamstrings izo + OH</v>
      </c>
      <c r="BW24" s="5" t="str">
        <f t="array" ref="BW24">IFERROR(IF('T1'!$J24="",INDEX(LISTA_EX,73),INDEX(LISTA_EX,MATCH('T1'!$J24&amp;"|"&amp;73,LISTA_KLUCZ,0))),"")</f>
        <v>Glute crusher</v>
      </c>
      <c r="BX24" s="5" t="str">
        <f t="array" ref="BX24">IFERROR(IF('T1'!$J24="",INDEX(LISTA_EX,74),INDEX(LISTA_EX,MATCH('T1'!$J24&amp;"|"&amp;74,LISTA_KLUCZ,0))),"")</f>
        <v>Gorilla row</v>
      </c>
      <c r="BY24" s="5" t="str">
        <f t="array" ref="BY24">IFERROR(IF('T1'!$J24="",INDEX(LISTA_EX,75),INDEX(LISTA_EX,MATCH('T1'!$J24&amp;"|"&amp;75,LISTA_KLUCZ,0))),"")</f>
        <v>Halfkneeling s/a cable pull</v>
      </c>
      <c r="BZ24" s="5" t="str">
        <f t="array" ref="BZ24">IFERROR(IF('T1'!$J24="",INDEX(LISTA_EX,76),INDEX(LISTA_EX,MATCH('T1'!$J24&amp;"|"&amp;76,LISTA_KLUCZ,0))),"")</f>
        <v>Halfkneeling wood chopper</v>
      </c>
      <c r="CA24" s="5" t="str">
        <f t="array" ref="CA24">IFERROR(IF('T1'!$J24="",INDEX(LISTA_EX,77),INDEX(LISTA_EX,MATCH('T1'!$J24&amp;"|"&amp;77,LISTA_KLUCZ,0))),"")</f>
        <v>Hinged dumbbell row</v>
      </c>
      <c r="CB24" s="5" t="str">
        <f t="array" ref="CB24">IFERROR(IF('T1'!$J24="",INDEX(LISTA_EX,78),INDEX(LISTA_EX,MATCH('T1'!$J24&amp;"|"&amp;78,LISTA_KLUCZ,0))),"")</f>
        <v>Hip aeroplane</v>
      </c>
      <c r="CC24" s="5" t="str">
        <f t="array" ref="CC24">IFERROR(IF('T1'!$J24="",INDEX(LISTA_EX,79),INDEX(LISTA_EX,MATCH('T1'!$J24&amp;"|"&amp;79,LISTA_KLUCZ,0))),"")</f>
        <v>Hip flexors cable</v>
      </c>
      <c r="CD24" s="5" t="str">
        <f t="array" ref="CD24">IFERROR(IF('T1'!$J24="",INDEX(LISTA_EX,80),INDEX(LISTA_EX,MATCH('T1'!$J24&amp;"|"&amp;80,LISTA_KLUCZ,0))),"")</f>
        <v>Hip thrust barbell</v>
      </c>
      <c r="CE24" s="5" t="str">
        <f t="array" ref="CE24">IFERROR(IF('T1'!$J24="",INDEX(LISTA_EX,81),INDEX(LISTA_EX,MATCH('T1'!$J24&amp;"|"&amp;81,LISTA_KLUCZ,0))),"")</f>
        <v>Hollow body + OH</v>
      </c>
      <c r="CF24" s="5" t="str">
        <f t="array" ref="CF24">IFERROR(IF('T1'!$J24="",INDEX(LISTA_EX,82),INDEX(LISTA_EX,MATCH('T1'!$J24&amp;"|"&amp;82,LISTA_KLUCZ,0))),"")</f>
        <v>Horizontal jump</v>
      </c>
      <c r="CG24" s="5" t="str">
        <f t="array" ref="CG24">IFERROR(IF('T1'!$J24="",INDEX(LISTA_EX,83),INDEX(LISTA_EX,MATCH('T1'!$J24&amp;"|"&amp;83,LISTA_KLUCZ,0))),"")</f>
        <v>Incline bench lateral raise s/a</v>
      </c>
      <c r="CH24" s="5" t="str">
        <f t="array" ref="CH24">IFERROR(IF('T1'!$J24="",INDEX(LISTA_EX,84),INDEX(LISTA_EX,MATCH('T1'!$J24&amp;"|"&amp;84,LISTA_KLUCZ,0))),"")</f>
        <v>Incline curl + OHP</v>
      </c>
      <c r="CI24" s="5" t="str">
        <f t="array" ref="CI24">IFERROR(IF('T1'!$J24="",INDEX(LISTA_EX,85),INDEX(LISTA_EX,MATCH('T1'!$J24&amp;"|"&amp;85,LISTA_KLUCZ,0))),"")</f>
        <v>Incline dumbbell curl</v>
      </c>
      <c r="CJ24" s="5" t="str">
        <f t="array" ref="CJ24">IFERROR(IF('T1'!$J24="",INDEX(LISTA_EX,86),INDEX(LISTA_EX,MATCH('T1'!$J24&amp;"|"&amp;86,LISTA_KLUCZ,0))),"")</f>
        <v>Incline dumbbell curl (back)</v>
      </c>
      <c r="CK24" s="5" t="str">
        <f t="array" ref="CK24">IFERROR(IF('T1'!$J24="",INDEX(LISTA_EX,87),INDEX(LISTA_EX,MATCH('T1'!$J24&amp;"|"&amp;87,LISTA_KLUCZ,0))),"")</f>
        <v>Incline dumbbell curl (front)</v>
      </c>
      <c r="CL24" s="5" t="str">
        <f t="array" ref="CL24">IFERROR(IF('T1'!$J24="",INDEX(LISTA_EX,88),INDEX(LISTA_EX,MATCH('T1'!$J24&amp;"|"&amp;88,LISTA_KLUCZ,0))),"")</f>
        <v>Incline dumbbell fly</v>
      </c>
      <c r="CM24" s="5" t="str">
        <f t="array" ref="CM24">IFERROR(IF('T1'!$J24="",INDEX(LISTA_EX,89),INDEX(LISTA_EX,MATCH('T1'!$J24&amp;"|"&amp;89,LISTA_KLUCZ,0))),"")</f>
        <v>Incline dumbbell press</v>
      </c>
      <c r="CN24" s="5" t="str">
        <f t="array" ref="CN24">IFERROR(IF('T1'!$J24="",INDEX(LISTA_EX,90),INDEX(LISTA_EX,MATCH('T1'!$J24&amp;"|"&amp;90,LISTA_KLUCZ,0))),"")</f>
        <v>Incline dumbbell press alternating</v>
      </c>
      <c r="CO24" s="5" t="str">
        <f t="array" ref="CO24">IFERROR(IF('T1'!$J24="",INDEX(LISTA_EX,91),INDEX(LISTA_EX,MATCH('T1'!$J24&amp;"|"&amp;91,LISTA_KLUCZ,0))),"")</f>
        <v>Incline sit-ups</v>
      </c>
      <c r="CP24" s="5" t="str">
        <f t="array" ref="CP24">IFERROR(IF('T1'!$J24="",INDEX(LISTA_EX,92),INDEX(LISTA_EX,MATCH('T1'!$J24&amp;"|"&amp;92,LISTA_KLUCZ,0))),"")</f>
        <v>Jefferson cable</v>
      </c>
      <c r="CQ24" s="5" t="str">
        <f t="array" ref="CQ24">IFERROR(IF('T1'!$J24="",INDEX(LISTA_EX,93),INDEX(LISTA_EX,MATCH('T1'!$J24&amp;"|"&amp;93,LISTA_KLUCZ,0))),"")</f>
        <v>Kettlebell march</v>
      </c>
      <c r="CR24" s="5" t="str">
        <f t="array" ref="CR24">IFERROR(IF('T1'!$J24="",INDEX(LISTA_EX,94),INDEX(LISTA_EX,MATCH('T1'!$J24&amp;"|"&amp;94,LISTA_KLUCZ,0))),"")</f>
        <v>Kickbacks</v>
      </c>
      <c r="CS24" s="5" t="str">
        <f t="array" ref="CS24">IFERROR(IF('T1'!$J24="",INDEX(LISTA_EX,95),INDEX(LISTA_EX,MATCH('T1'!$J24&amp;"|"&amp;95,LISTA_KLUCZ,0))),"")</f>
        <v>Knee extension machine</v>
      </c>
      <c r="CT24" s="5" t="str">
        <f t="array" ref="CT24">IFERROR(IF('T1'!$J24="",INDEX(LISTA_EX,96),INDEX(LISTA_EX,MATCH('T1'!$J24&amp;"|"&amp;96,LISTA_KLUCZ,0))),"")</f>
        <v>Knee flexion machine</v>
      </c>
      <c r="CU24" s="5" t="str">
        <f t="array" ref="CU24">IFERROR(IF('T1'!$J24="",INDEX(LISTA_EX,97),INDEX(LISTA_EX,MATCH('T1'!$J24&amp;"|"&amp;97,LISTA_KLUCZ,0))),"")</f>
        <v>Knee raises</v>
      </c>
      <c r="CV24" s="5" t="str">
        <f t="array" ref="CV24">IFERROR(IF('T1'!$J24="",INDEX(LISTA_EX,98),INDEX(LISTA_EX,MATCH('T1'!$J24&amp;"|"&amp;98,LISTA_KLUCZ,0))),"")</f>
        <v>Landmine core</v>
      </c>
      <c r="CW24" s="5" t="str">
        <f t="array" ref="CW24">IFERROR(IF('T1'!$J24="",INDEX(LISTA_EX,99),INDEX(LISTA_EX,MATCH('T1'!$J24&amp;"|"&amp;99,LISTA_KLUCZ,0))),"")</f>
        <v>Landmine press</v>
      </c>
      <c r="CX24" s="5" t="str">
        <f t="array" ref="CX24">IFERROR(IF('T1'!$J24="",INDEX(LISTA_EX,100),INDEX(LISTA_EX,MATCH('T1'!$J24&amp;"|"&amp;100,LISTA_KLUCZ,0))),"")</f>
        <v>Landmine rotations (powtórzenia x2)</v>
      </c>
      <c r="CY24" s="5" t="str">
        <f t="array" ref="CY24">IFERROR(IF('T1'!$J24="",INDEX(LISTA_EX,101),INDEX(LISTA_EX,MATCH('T1'!$J24&amp;"|"&amp;101,LISTA_KLUCZ,0))),"")</f>
        <v>Landmine SLDL</v>
      </c>
      <c r="CZ24" s="5" t="str">
        <f t="array" ref="CZ24">IFERROR(IF('T1'!$J24="",INDEX(LISTA_EX,102),INDEX(LISTA_EX,MATCH('T1'!$J24&amp;"|"&amp;102,LISTA_KLUCZ,0))),"")</f>
        <v>Lat pulldown</v>
      </c>
      <c r="DA24" s="5" t="str">
        <f t="array" ref="DA24">IFERROR(IF('T1'!$J24="",INDEX(LISTA_EX,103),INDEX(LISTA_EX,MATCH('T1'!$J24&amp;"|"&amp;103,LISTA_KLUCZ,0))),"")</f>
        <v>Lat pulldown behind the head</v>
      </c>
      <c r="DB24" s="5" t="str">
        <f t="array" ref="DB24">IFERROR(IF('T1'!$J24="",INDEX(LISTA_EX,104),INDEX(LISTA_EX,MATCH('T1'!$J24&amp;"|"&amp;104,LISTA_KLUCZ,0))),"")</f>
        <v>Lat pulldown s/a</v>
      </c>
      <c r="DC24" s="5" t="str">
        <f t="array" ref="DC24">IFERROR(IF('T1'!$J24="",INDEX(LISTA_EX,105),INDEX(LISTA_EX,MATCH('T1'!$J24&amp;"|"&amp;105,LISTA_KLUCZ,0))),"")</f>
        <v>Lateral raise s/a</v>
      </c>
      <c r="DD24" s="5" t="str">
        <f t="array" ref="DD24">IFERROR(IF('T1'!$J24="",INDEX(LISTA_EX,106),INDEX(LISTA_EX,MATCH('T1'!$J24&amp;"|"&amp;106,LISTA_KLUCZ,0))),"")</f>
        <v>Lateral raises</v>
      </c>
      <c r="DE24" s="5" t="str">
        <f t="array" ref="DE24">IFERROR(IF('T1'!$J24="",INDEX(LISTA_EX,107),INDEX(LISTA_EX,MATCH('T1'!$J24&amp;"|"&amp;107,LISTA_KLUCZ,0))),"")</f>
        <v>Lateral raises 2</v>
      </c>
      <c r="DF24" s="5" t="str">
        <f t="array" ref="DF24">IFERROR(IF('T1'!$J24="",INDEX(LISTA_EX,108),INDEX(LISTA_EX,MATCH('T1'!$J24&amp;"|"&amp;108,LISTA_KLUCZ,0))),"")</f>
        <v>Lateral raises full ROM</v>
      </c>
      <c r="DG24" s="5" t="str">
        <f t="array" ref="DG24">IFERROR(IF('T1'!$J24="",INDEX(LISTA_EX,109),INDEX(LISTA_EX,MATCH('T1'!$J24&amp;"|"&amp;109,LISTA_KLUCZ,0))),"")</f>
        <v>Lateral raises hinged</v>
      </c>
      <c r="DH24" s="5" t="str">
        <f t="array" ref="DH24">IFERROR(IF('T1'!$J24="",INDEX(LISTA_EX,110),INDEX(LISTA_EX,MATCH('T1'!$J24&amp;"|"&amp;110,LISTA_KLUCZ,0))),"")</f>
        <v>Lateral raises incline s/a</v>
      </c>
      <c r="DI24" s="5" t="str">
        <f t="array" ref="DI24">IFERROR(IF('T1'!$J24="",INDEX(LISTA_EX,111),INDEX(LISTA_EX,MATCH('T1'!$J24&amp;"|"&amp;111,LISTA_KLUCZ,0))),"")</f>
        <v>Leg curl</v>
      </c>
      <c r="DJ24" s="5" t="str">
        <f t="array" ref="DJ24">IFERROR(IF('T1'!$J24="",INDEX(LISTA_EX,112),INDEX(LISTA_EX,MATCH('T1'!$J24&amp;"|"&amp;112,LISTA_KLUCZ,0))),"")</f>
        <v>Machine row</v>
      </c>
      <c r="DK24" s="5" t="str">
        <f t="array" ref="DK24">IFERROR(IF('T1'!$J24="",INDEX(LISTA_EX,113),INDEX(LISTA_EX,MATCH('T1'!$J24&amp;"|"&amp;113,LISTA_KLUCZ,0))),"")</f>
        <v>Machine row s/a</v>
      </c>
      <c r="DL24" s="5" t="str">
        <f t="array" ref="DL24">IFERROR(IF('T1'!$J24="",INDEX(LISTA_EX,114),INDEX(LISTA_EX,MATCH('T1'!$J24&amp;"|"&amp;114,LISTA_KLUCZ,0))),"")</f>
        <v>Meadows row</v>
      </c>
      <c r="DM24" s="5" t="str">
        <f t="array" ref="DM24">IFERROR(IF('T1'!$J24="",INDEX(LISTA_EX,115),INDEX(LISTA_EX,MATCH('T1'!$J24&amp;"|"&amp;115,LISTA_KLUCZ,0))),"")</f>
        <v>Med ball slam</v>
      </c>
      <c r="DN24" s="5" t="str">
        <f t="array" ref="DN24">IFERROR(IF('T1'!$J24="",INDEX(LISTA_EX,116),INDEX(LISTA_EX,MATCH('T1'!$J24&amp;"|"&amp;116,LISTA_KLUCZ,0))),"")</f>
        <v>OH skullcrushers</v>
      </c>
      <c r="DO24" s="5" t="str">
        <f t="array" ref="DO24">IFERROR(IF('T1'!$J24="",INDEX(LISTA_EX,117),INDEX(LISTA_EX,MATCH('T1'!$J24&amp;"|"&amp;117,LISTA_KLUCZ,0))),"")</f>
        <v>OHP barbell squat 15kg</v>
      </c>
      <c r="DP24" s="5" t="str">
        <f t="array" ref="DP24">IFERROR(IF('T1'!$J24="",INDEX(LISTA_EX,118),INDEX(LISTA_EX,MATCH('T1'!$J24&amp;"|"&amp;118,LISTA_KLUCZ,0))),"")</f>
        <v>Pistol squat eccentric</v>
      </c>
      <c r="DQ24" s="5" t="str">
        <f t="array" ref="DQ24">IFERROR(IF('T1'!$J24="",INDEX(LISTA_EX,119),INDEX(LISTA_EX,MATCH('T1'!$J24&amp;"|"&amp;119,LISTA_KLUCZ,0))),"")</f>
        <v>Plank contralateral</v>
      </c>
      <c r="DR24" s="5" t="str">
        <f t="array" ref="DR24">IFERROR(IF('T1'!$J24="",INDEX(LISTA_EX,120),INDEX(LISTA_EX,MATCH('T1'!$J24&amp;"|"&amp;120,LISTA_KLUCZ,0))),"")</f>
        <v>Plank dumbbell rotation</v>
      </c>
      <c r="DS24" s="5" t="str">
        <f t="array" ref="DS24">IFERROR(IF('T1'!$J24="",INDEX(LISTA_EX,121),INDEX(LISTA_EX,MATCH('T1'!$J24&amp;"|"&amp;121,LISTA_KLUCZ,0))),"")</f>
        <v>Plank leg raises</v>
      </c>
      <c r="DT24" s="5" t="str">
        <f t="array" ref="DT24">IFERROR(IF('T1'!$J24="",INDEX(LISTA_EX,122),INDEX(LISTA_EX,MATCH('T1'!$J24&amp;"|"&amp;122,LISTA_KLUCZ,0))),"")</f>
        <v>Poliquin step up</v>
      </c>
      <c r="DU24" s="5" t="str">
        <f t="array" ref="DU24">IFERROR(IF('T1'!$J24="",INDEX(LISTA_EX,123),INDEX(LISTA_EX,MATCH('T1'!$J24&amp;"|"&amp;123,LISTA_KLUCZ,0))),"")</f>
        <v>Poliquin step up paused 3sec</v>
      </c>
      <c r="DV24" s="5" t="str">
        <f t="array" ref="DV24">IFERROR(IF('T1'!$J24="",INDEX(LISTA_EX,124),INDEX(LISTA_EX,MATCH('T1'!$J24&amp;"|"&amp;124,LISTA_KLUCZ,0))),"")</f>
        <v>Pronation/Supination</v>
      </c>
      <c r="DW24" s="5" t="str">
        <f t="array" ref="DW24">IFERROR(IF('T1'!$J24="",INDEX(LISTA_EX,125),INDEX(LISTA_EX,MATCH('T1'!$J24&amp;"|"&amp;125,LISTA_KLUCZ,0))),"")</f>
        <v>Pull up</v>
      </c>
      <c r="DX24" s="5" t="str">
        <f t="array" ref="DX24">IFERROR(IF('T1'!$J24="",INDEX(LISTA_EX,126),INDEX(LISTA_EX,MATCH('T1'!$J24&amp;"|"&amp;126,LISTA_KLUCZ,0))),"")</f>
        <v>Pull up eccentric weighted</v>
      </c>
      <c r="DY24" s="5" t="str">
        <f t="array" ref="DY24">IFERROR(IF('T1'!$J24="",INDEX(LISTA_EX,127),INDEX(LISTA_EX,MATCH('T1'!$J24&amp;"|"&amp;127,LISTA_KLUCZ,0))),"")</f>
        <v>Pull up eccentric weighted (5 sek w dół)</v>
      </c>
      <c r="DZ24" s="5" t="str">
        <f t="array" ref="DZ24">IFERROR(IF('T1'!$J24="",INDEX(LISTA_EX,128),INDEX(LISTA_EX,MATCH('T1'!$J24&amp;"|"&amp;128,LISTA_KLUCZ,0))),"")</f>
        <v>Pull up weighted</v>
      </c>
      <c r="EA24" s="5" t="str">
        <f t="array" ref="EA24">IFERROR(IF('T1'!$J24="",INDEX(LISTA_EX,129),INDEX(LISTA_EX,MATCH('T1'!$J24&amp;"|"&amp;129,LISTA_KLUCZ,0))),"")</f>
        <v>Pull ups (paused)</v>
      </c>
      <c r="EB24" s="5" t="str">
        <f t="array" ref="EB24">IFERROR(IF('T1'!$J24="",INDEX(LISTA_EX,130),INDEX(LISTA_EX,MATCH('T1'!$J24&amp;"|"&amp;130,LISTA_KLUCZ,0))),"")</f>
        <v>Push press barbell</v>
      </c>
      <c r="EC24" s="5" t="str">
        <f t="array" ref="EC24">IFERROR(IF('T1'!$J24="",INDEX(LISTA_EX,131),INDEX(LISTA_EX,MATCH('T1'!$J24&amp;"|"&amp;131,LISTA_KLUCZ,0))),"")</f>
        <v>Push up</v>
      </c>
      <c r="ED24" s="5" t="str">
        <f t="array" ref="ED24">IFERROR(IF('T1'!$J24="",INDEX(LISTA_EX,132),INDEX(LISTA_EX,MATCH('T1'!$J24&amp;"|"&amp;132,LISTA_KLUCZ,0))),"")</f>
        <v>Raised bird dog</v>
      </c>
      <c r="EE24" s="5" t="str">
        <f t="array" ref="EE24">IFERROR(IF('T1'!$J24="",INDEX(LISTA_EX,133),INDEX(LISTA_EX,MATCH('T1'!$J24&amp;"|"&amp;133,LISTA_KLUCZ,0))),"")</f>
        <v>RDL</v>
      </c>
      <c r="EF24" s="5" t="str">
        <f t="array" ref="EF24">IFERROR(IF('T1'!$J24="",INDEX(LISTA_EX,134),INDEX(LISTA_EX,MATCH('T1'!$J24&amp;"|"&amp;134,LISTA_KLUCZ,0))),"")</f>
        <v>Reverse Nordic</v>
      </c>
      <c r="EG24" s="5" t="str">
        <f t="array" ref="EG24">IFERROR(IF('T1'!$J24="",INDEX(LISTA_EX,135),INDEX(LISTA_EX,MATCH('T1'!$J24&amp;"|"&amp;135,LISTA_KLUCZ,0))),"")</f>
        <v>Rope pushdown</v>
      </c>
      <c r="EH24" s="5" t="str">
        <f t="array" ref="EH24">IFERROR(IF('T1'!$J24="",INDEX(LISTA_EX,136),INDEX(LISTA_EX,MATCH('T1'!$J24&amp;"|"&amp;136,LISTA_KLUCZ,0))),"")</f>
        <v>Rope pushdown OH</v>
      </c>
      <c r="EI24" s="5" t="str">
        <f t="array" ref="EI24">IFERROR(IF('T1'!$J24="",INDEX(LISTA_EX,137),INDEX(LISTA_EX,MATCH('T1'!$J24&amp;"|"&amp;137,LISTA_KLUCZ,0))),"")</f>
        <v>S/a cable pulldown incline bench</v>
      </c>
      <c r="EJ24" s="5" t="str">
        <f t="array" ref="EJ24">IFERROR(IF('T1'!$J24="",INDEX(LISTA_EX,138),INDEX(LISTA_EX,MATCH('T1'!$J24&amp;"|"&amp;138,LISTA_KLUCZ,0))),"")</f>
        <v>S/a lat pulldown incline bench</v>
      </c>
      <c r="EK24" s="5" t="str">
        <f t="array" ref="EK24">IFERROR(IF('T1'!$J24="",INDEX(LISTA_EX,139),INDEX(LISTA_EX,MATCH('T1'!$J24&amp;"|"&amp;139,LISTA_KLUCZ,0))),"")</f>
        <v>S/l dragonflag eccentric</v>
      </c>
      <c r="EL24" s="5" t="str">
        <f t="array" ref="EL24">IFERROR(IF('T1'!$J24="",INDEX(LISTA_EX,140),INDEX(LISTA_EX,MATCH('T1'!$J24&amp;"|"&amp;140,LISTA_KLUCZ,0))),"")</f>
        <v>S/l hip thrust</v>
      </c>
      <c r="EM24" s="5" t="str">
        <f t="array" ref="EM24">IFERROR(IF('T1'!$J24="",INDEX(LISTA_EX,141),INDEX(LISTA_EX,MATCH('T1'!$J24&amp;"|"&amp;141,LISTA_KLUCZ,0))),"")</f>
        <v>Seated broad jump</v>
      </c>
      <c r="EN24" s="5" t="str">
        <f t="array" ref="EN24">IFERROR(IF('T1'!$J24="",INDEX(LISTA_EX,142),INDEX(LISTA_EX,MATCH('T1'!$J24&amp;"|"&amp;142,LISTA_KLUCZ,0))),"")</f>
        <v>Seated cable facepull</v>
      </c>
      <c r="EO24" s="5" t="str">
        <f t="array" ref="EO24">IFERROR(IF('T1'!$J24="",INDEX(LISTA_EX,143),INDEX(LISTA_EX,MATCH('T1'!$J24&amp;"|"&amp;143,LISTA_KLUCZ,0))),"")</f>
        <v>Seated seesaw press (nogi proste)</v>
      </c>
      <c r="EP24" s="5" t="str">
        <f t="array" ref="EP24">IFERROR(IF('T1'!$J24="",INDEX(LISTA_EX,144),INDEX(LISTA_EX,MATCH('T1'!$J24&amp;"|"&amp;144,LISTA_KLUCZ,0))),"")</f>
        <v>Seesaw press</v>
      </c>
      <c r="EQ24" s="5" t="str">
        <f t="array" ref="EQ24">IFERROR(IF('T1'!$J24="",INDEX(LISTA_EX,145),INDEX(LISTA_EX,MATCH('T1'!$J24&amp;"|"&amp;145,LISTA_KLUCZ,0))),"")</f>
        <v>Side crunches</v>
      </c>
      <c r="ER24" s="5" t="str">
        <f t="array" ref="ER24">IFERROR(IF('T1'!$J24="",INDEX(LISTA_EX,146),INDEX(LISTA_EX,MATCH('T1'!$J24&amp;"|"&amp;146,LISTA_KLUCZ,0))),"")</f>
        <v>Side plank hip drop</v>
      </c>
      <c r="ES24" s="5" t="str">
        <f t="array" ref="ES24">IFERROR(IF('T1'!$J24="",INDEX(LISTA_EX,147),INDEX(LISTA_EX,MATCH('T1'!$J24&amp;"|"&amp;147,LISTA_KLUCZ,0))),"")</f>
        <v>Side plank rotations</v>
      </c>
      <c r="ET24" s="5" t="str">
        <f t="array" ref="ET24">IFERROR(IF('T1'!$J24="",INDEX(LISTA_EX,148),INDEX(LISTA_EX,MATCH('T1'!$J24&amp;"|"&amp;148,LISTA_KLUCZ,0))),"")</f>
        <v>SLDL balance</v>
      </c>
      <c r="EU24" s="5" t="str">
        <f t="array" ref="EU24">IFERROR(IF('T1'!$J24="",INDEX(LISTA_EX,149),INDEX(LISTA_EX,MATCH('T1'!$J24&amp;"|"&amp;149,LISTA_KLUCZ,0))),"")</f>
        <v>Split squat</v>
      </c>
      <c r="EV24" s="5" t="str">
        <f t="array" ref="EV24">IFERROR(IF('T1'!$J24="",INDEX(LISTA_EX,150),INDEX(LISTA_EX,MATCH('T1'!$J24&amp;"|"&amp;150,LISTA_KLUCZ,0))),"")</f>
        <v>Split stance SLDL</v>
      </c>
      <c r="EW24" s="5" t="str">
        <f t="array" ref="EW24">IFERROR(IF('T1'!$J24="",INDEX(LISTA_EX,151),INDEX(LISTA_EX,MATCH('T1'!$J24&amp;"|"&amp;151,LISTA_KLUCZ,0))),"")</f>
        <v>Squat izo (15 sek)</v>
      </c>
      <c r="EX24" s="5" t="str">
        <f t="array" ref="EX24">IFERROR(IF('T1'!$J24="",INDEX(LISTA_EX,152),INDEX(LISTA_EX,MATCH('T1'!$J24&amp;"|"&amp;152,LISTA_KLUCZ,0))),"")</f>
        <v>Standing landmine press</v>
      </c>
      <c r="EY24" s="5" t="str">
        <f t="array" ref="EY24">IFERROR(IF('T1'!$J24="",INDEX(LISTA_EX,153),INDEX(LISTA_EX,MATCH('T1'!$J24&amp;"|"&amp;153,LISTA_KLUCZ,0))),"")</f>
        <v>Suitcase carry</v>
      </c>
      <c r="EZ24" s="5" t="str">
        <f t="array" ref="EZ24">IFERROR(IF('T1'!$J24="",INDEX(LISTA_EX,154),INDEX(LISTA_EX,MATCH('T1'!$J24&amp;"|"&amp;154,LISTA_KLUCZ,0))),"")</f>
        <v>Supine pigeon abs</v>
      </c>
      <c r="FA24" s="5" t="str">
        <f t="array" ref="FA24">IFERROR(IF('T1'!$J24="",INDEX(LISTA_EX,155),INDEX(LISTA_EX,MATCH('T1'!$J24&amp;"|"&amp;155,LISTA_KLUCZ,0))),"")</f>
        <v>Swiss ball leg curl</v>
      </c>
      <c r="FB24" s="5" t="str">
        <f t="array" ref="FB24">IFERROR(IF('T1'!$J24="",INDEX(LISTA_EX,156),INDEX(LISTA_EX,MATCH('T1'!$J24&amp;"|"&amp;156,LISTA_KLUCZ,0))),"")</f>
        <v>Toes to bar</v>
      </c>
      <c r="FC24" s="5" t="str">
        <f t="array" ref="FC24">IFERROR(IF('T1'!$J24="",INDEX(LISTA_EX,157),INDEX(LISTA_EX,MATCH('T1'!$J24&amp;"|"&amp;157,LISTA_KLUCZ,0))),"")</f>
        <v>Trap bar deadlift</v>
      </c>
      <c r="FD24" s="5" t="str">
        <f t="array" ref="FD24">IFERROR(IF('T1'!$J24="",INDEX(LISTA_EX,158),INDEX(LISTA_EX,MATCH('T1'!$J24&amp;"|"&amp;158,LISTA_KLUCZ,0))),"")</f>
        <v>Tricep cable pushdown</v>
      </c>
      <c r="FE24" s="5" t="str">
        <f t="array" ref="FE24">IFERROR(IF('T1'!$J24="",INDEX(LISTA_EX,159),INDEX(LISTA_EX,MATCH('T1'!$J24&amp;"|"&amp;159,LISTA_KLUCZ,0))),"")</f>
        <v>Tricep JM press</v>
      </c>
      <c r="FF24" s="5" t="str">
        <f t="array" ref="FF24">IFERROR(IF('T1'!$J24="",INDEX(LISTA_EX,160),INDEX(LISTA_EX,MATCH('T1'!$J24&amp;"|"&amp;160,LISTA_KLUCZ,0))),"")</f>
        <v>Tricep OH cable</v>
      </c>
      <c r="FG24" s="5" t="str">
        <f t="array" ref="FG24">IFERROR(IF('T1'!$J24="",INDEX(LISTA_EX,161),INDEX(LISTA_EX,MATCH('T1'!$J24&amp;"|"&amp;161,LISTA_KLUCZ,0))),"")</f>
        <v>Tricep OH ez bar</v>
      </c>
      <c r="FH24" s="5" t="str">
        <f t="array" ref="FH24">IFERROR(IF('T1'!$J24="",INDEX(LISTA_EX,162),INDEX(LISTA_EX,MATCH('T1'!$J24&amp;"|"&amp;162,LISTA_KLUCZ,0))),"")</f>
        <v>Walking lunges</v>
      </c>
      <c r="FI24" s="5" t="str">
        <f t="array" ref="FI24">IFERROR(IF('T1'!$J24="",INDEX(LISTA_EX,163),INDEX(LISTA_EX,MATCH('T1'!$J24&amp;"|"&amp;163,LISTA_KLUCZ,0))),"")</f>
        <v>Wipers kettle</v>
      </c>
      <c r="FJ24" s="5" t="str">
        <f t="array" ref="FJ24">IFERROR(IF('T1'!$J24="",INDEX(LISTA_EX,164),INDEX(LISTA_EX,MATCH('T1'!$J24&amp;"|"&amp;164,LISTA_KLUCZ,0))),"")</f>
        <v>Zercher jumps</v>
      </c>
      <c r="FK24" s="5" t="str">
        <f t="array" ref="FK24">IFERROR(IF('T1'!$J24="",INDEX(LISTA_EX,165),INDEX(LISTA_EX,MATCH('T1'!$J24&amp;"|"&amp;165,LISTA_KLUCZ,0))),"")</f>
        <v/>
      </c>
      <c r="FL24" s="5" t="str">
        <f t="array" ref="FL24">IFERROR(IF('T1'!$J24="",INDEX(LISTA_EX,166),INDEX(LISTA_EX,MATCH('T1'!$J24&amp;"|"&amp;166,LISTA_KLUCZ,0))),"")</f>
        <v/>
      </c>
      <c r="FM24" s="5" t="str">
        <f t="array" ref="FM24">IFERROR(IF('T1'!$J24="",INDEX(LISTA_EX,167),INDEX(LISTA_EX,MATCH('T1'!$J24&amp;"|"&amp;167,LISTA_KLUCZ,0))),"")</f>
        <v/>
      </c>
      <c r="FN24" s="5" t="str">
        <f t="array" ref="FN24">IFERROR(IF('T1'!$J24="",INDEX(LISTA_EX,168),INDEX(LISTA_EX,MATCH('T1'!$J24&amp;"|"&amp;168,LISTA_KLUCZ,0))),"")</f>
        <v/>
      </c>
      <c r="FO24" s="5" t="str">
        <f t="array" ref="FO24">IFERROR(IF('T1'!$J24="",INDEX(LISTA_EX,169),INDEX(LISTA_EX,MATCH('T1'!$J24&amp;"|"&amp;169,LISTA_KLUCZ,0))),"")</f>
        <v/>
      </c>
      <c r="FP24" s="5" t="str">
        <f t="array" ref="FP24">IFERROR(IF('T1'!$J24="",INDEX(LISTA_EX,170),INDEX(LISTA_EX,MATCH('T1'!$J24&amp;"|"&amp;170,LISTA_KLUCZ,0))),"")</f>
        <v/>
      </c>
      <c r="FQ24" s="5" t="str">
        <f t="array" ref="FQ24">IFERROR(IF('T1'!$J24="",INDEX(LISTA_EX,171),INDEX(LISTA_EX,MATCH('T1'!$J24&amp;"|"&amp;171,LISTA_KLUCZ,0))),"")</f>
        <v/>
      </c>
      <c r="FR24" s="5" t="str">
        <f t="array" ref="FR24">IFERROR(IF('T1'!$J24="",INDEX(LISTA_EX,172),INDEX(LISTA_EX,MATCH('T1'!$J24&amp;"|"&amp;172,LISTA_KLUCZ,0))),"")</f>
        <v/>
      </c>
      <c r="FS24" s="5" t="str">
        <f t="array" ref="FS24">IFERROR(IF('T1'!$J24="",INDEX(LISTA_EX,173),INDEX(LISTA_EX,MATCH('T1'!$J24&amp;"|"&amp;173,LISTA_KLUCZ,0))),"")</f>
        <v/>
      </c>
      <c r="FT24" s="5" t="str">
        <f t="array" ref="FT24">IFERROR(IF('T1'!$J24="",INDEX(LISTA_EX,174),INDEX(LISTA_EX,MATCH('T1'!$J24&amp;"|"&amp;174,LISTA_KLUCZ,0))),"")</f>
        <v/>
      </c>
      <c r="FU24" s="5" t="str">
        <f t="array" ref="FU24">IFERROR(IF('T1'!$J24="",INDEX(LISTA_EX,175),INDEX(LISTA_EX,MATCH('T1'!$J24&amp;"|"&amp;175,LISTA_KLUCZ,0))),"")</f>
        <v/>
      </c>
      <c r="FV24" s="5" t="str">
        <f t="array" ref="FV24">IFERROR(IF('T1'!$J24="",INDEX(LISTA_EX,176),INDEX(LISTA_EX,MATCH('T1'!$J24&amp;"|"&amp;176,LISTA_KLUCZ,0))),"")</f>
        <v/>
      </c>
      <c r="FW24" s="5" t="str">
        <f t="array" ref="FW24">IFERROR(IF('T1'!$J24="",INDEX(LISTA_EX,177),INDEX(LISTA_EX,MATCH('T1'!$J24&amp;"|"&amp;177,LISTA_KLUCZ,0))),"")</f>
        <v/>
      </c>
      <c r="FX24" s="5" t="str">
        <f t="array" ref="FX24">IFERROR(IF('T1'!$J24="",INDEX(LISTA_EX,178),INDEX(LISTA_EX,MATCH('T1'!$J24&amp;"|"&amp;178,LISTA_KLUCZ,0))),"")</f>
        <v/>
      </c>
      <c r="FY24" s="5" t="str">
        <f t="array" ref="FY24">IFERROR(IF('T1'!$J24="",INDEX(LISTA_EX,179),INDEX(LISTA_EX,MATCH('T1'!$J24&amp;"|"&amp;179,LISTA_KLUCZ,0))),"")</f>
        <v/>
      </c>
      <c r="FZ24" s="5" t="str">
        <f t="array" ref="FZ24">IFERROR(IF('T1'!$J24="",INDEX(LISTA_EX,180),INDEX(LISTA_EX,MATCH('T1'!$J24&amp;"|"&amp;180,LISTA_KLUCZ,0))),"")</f>
        <v/>
      </c>
      <c r="GA24" s="5" t="str">
        <f t="array" ref="GA24">IFERROR(IF('T1'!$J24="",INDEX(LISTA_EX,181),INDEX(LISTA_EX,MATCH('T1'!$J24&amp;"|"&amp;181,LISTA_KLUCZ,0))),"")</f>
        <v/>
      </c>
      <c r="GB24" s="5" t="str">
        <f t="array" ref="GB24">IFERROR(IF('T1'!$J24="",INDEX(LISTA_EX,182),INDEX(LISTA_EX,MATCH('T1'!$J24&amp;"|"&amp;182,LISTA_KLUCZ,0))),"")</f>
        <v/>
      </c>
      <c r="GC24" s="5" t="str">
        <f t="array" ref="GC24">IFERROR(IF('T1'!$J24="",INDEX(LISTA_EX,183),INDEX(LISTA_EX,MATCH('T1'!$J24&amp;"|"&amp;183,LISTA_KLUCZ,0))),"")</f>
        <v/>
      </c>
      <c r="GD24" s="5" t="str">
        <f t="array" ref="GD24">IFERROR(IF('T1'!$J24="",INDEX(LISTA_EX,184),INDEX(LISTA_EX,MATCH('T1'!$J24&amp;"|"&amp;184,LISTA_KLUCZ,0))),"")</f>
        <v/>
      </c>
      <c r="GE24" s="5" t="str">
        <f t="array" ref="GE24">IFERROR(IF('T1'!$J24="",INDEX(LISTA_EX,185),INDEX(LISTA_EX,MATCH('T1'!$J24&amp;"|"&amp;185,LISTA_KLUCZ,0))),"")</f>
        <v/>
      </c>
      <c r="GF24" s="5" t="str">
        <f t="array" ref="GF24">IFERROR(IF('T1'!$J24="",INDEX(LISTA_EX,186),INDEX(LISTA_EX,MATCH('T1'!$J24&amp;"|"&amp;186,LISTA_KLUCZ,0))),"")</f>
        <v/>
      </c>
      <c r="GG24" s="5" t="str">
        <f t="array" ref="GG24">IFERROR(IF('T1'!$J24="",INDEX(LISTA_EX,187),INDEX(LISTA_EX,MATCH('T1'!$J24&amp;"|"&amp;187,LISTA_KLUCZ,0))),"")</f>
        <v/>
      </c>
      <c r="GH24" s="5" t="str">
        <f t="array" ref="GH24">IFERROR(IF('T1'!$J24="",INDEX(LISTA_EX,188),INDEX(LISTA_EX,MATCH('T1'!$J24&amp;"|"&amp;188,LISTA_KLUCZ,0))),"")</f>
        <v/>
      </c>
      <c r="GI24" s="5" t="str">
        <f t="array" ref="GI24">IFERROR(IF('T1'!$J24="",INDEX(LISTA_EX,189),INDEX(LISTA_EX,MATCH('T1'!$J24&amp;"|"&amp;189,LISTA_KLUCZ,0))),"")</f>
        <v/>
      </c>
      <c r="GJ24" s="5" t="str">
        <f t="array" ref="GJ24">IFERROR(IF('T1'!$J24="",INDEX(LISTA_EX,190),INDEX(LISTA_EX,MATCH('T1'!$J24&amp;"|"&amp;190,LISTA_KLUCZ,0))),"")</f>
        <v/>
      </c>
      <c r="GK24" s="5" t="str">
        <f t="array" ref="GK24">IFERROR(IF('T1'!$J24="",INDEX(LISTA_EX,191),INDEX(LISTA_EX,MATCH('T1'!$J24&amp;"|"&amp;191,LISTA_KLUCZ,0))),"")</f>
        <v/>
      </c>
      <c r="GL24" s="5" t="str">
        <f t="array" ref="GL24">IFERROR(IF('T1'!$J24="",INDEX(LISTA_EX,192),INDEX(LISTA_EX,MATCH('T1'!$J24&amp;"|"&amp;192,LISTA_KLUCZ,0))),"")</f>
        <v/>
      </c>
      <c r="GM24" s="5" t="str">
        <f t="array" ref="GM24">IFERROR(IF('T1'!$J24="",INDEX(LISTA_EX,193),INDEX(LISTA_EX,MATCH('T1'!$J24&amp;"|"&amp;193,LISTA_KLUCZ,0))),"")</f>
        <v/>
      </c>
      <c r="GN24" s="5" t="str">
        <f t="array" ref="GN24">IFERROR(IF('T1'!$J24="",INDEX(LISTA_EX,194),INDEX(LISTA_EX,MATCH('T1'!$J24&amp;"|"&amp;194,LISTA_KLUCZ,0))),"")</f>
        <v/>
      </c>
      <c r="GO24" s="5" t="str">
        <f t="array" ref="GO24">IFERROR(IF('T1'!$J24="",INDEX(LISTA_EX,195),INDEX(LISTA_EX,MATCH('T1'!$J24&amp;"|"&amp;195,LISTA_KLUCZ,0))),"")</f>
        <v/>
      </c>
      <c r="GP24" s="5" t="str">
        <f t="array" ref="GP24">IFERROR(IF('T1'!$J24="",INDEX(LISTA_EX,196),INDEX(LISTA_EX,MATCH('T1'!$J24&amp;"|"&amp;196,LISTA_KLUCZ,0))),"")</f>
        <v/>
      </c>
      <c r="GQ24" s="5" t="str">
        <f t="array" ref="GQ24">IFERROR(IF('T1'!$J24="",INDEX(LISTA_EX,197),INDEX(LISTA_EX,MATCH('T1'!$J24&amp;"|"&amp;197,LISTA_KLUCZ,0))),"")</f>
        <v/>
      </c>
      <c r="GR24" s="5" t="str">
        <f t="array" ref="GR24">IFERROR(IF('T1'!$J24="",INDEX(LISTA_EX,198),INDEX(LISTA_EX,MATCH('T1'!$J24&amp;"|"&amp;198,LISTA_KLUCZ,0))),"")</f>
        <v/>
      </c>
      <c r="GS24" s="5" t="str">
        <f t="array" ref="GS24">IFERROR(IF('T1'!$J24="",INDEX(LISTA_EX,199),INDEX(LISTA_EX,MATCH('T1'!$J24&amp;"|"&amp;199,LISTA_KLUCZ,0))),"")</f>
        <v/>
      </c>
      <c r="GT24" s="5" t="str">
        <f t="array" ref="GT24">IFERROR(IF('T1'!$J24="",INDEX(LISTA_EX,200),INDEX(LISTA_EX,MATCH('T1'!$J24&amp;"|"&amp;200,LISTA_KLUCZ,0))),"")</f>
        <v/>
      </c>
      <c r="GV24" s="5" t="str">
        <f>IF(BAZA!$A24="","",BAZA!$A24)</f>
        <v>Bicep hammer curl</v>
      </c>
      <c r="GW24" s="5" t="str">
        <f>IF(BAZA!$B24="","",BAZA!$B24&amp;"|"&amp;COUNTIF(BAZA!$B$3:$B24,BAZA!$B24))</f>
        <v>Bicep|3</v>
      </c>
    </row>
    <row r="25" ht="15.0" customHeight="1">
      <c r="A25" s="5" t="str">
        <f>IF('T1'!$K25="","",'T1'!$K25)</f>
        <v>D2-S03</v>
      </c>
      <c r="B25" s="5" t="str">
        <f>IF('T1'!$J25="","(wszystkie)",'T1'!$J25)</f>
        <v>(wszystkie)</v>
      </c>
      <c r="C25" s="5" t="str">
        <f t="array" ref="C25">IFERROR(IF('T1'!$J25="",INDEX(LISTA_EX,1),INDEX(LISTA_EX,MATCH('T1'!$J25&amp;"|"&amp;1,LISTA_KLUCZ,0))),"")</f>
        <v>Abduction machine</v>
      </c>
      <c r="D25" s="5" t="str">
        <f t="array" ref="D25">IFERROR(IF('T1'!$J25="",INDEX(LISTA_EX,2),INDEX(LISTA_EX,MATCH('T1'!$J25&amp;"|"&amp;2,LISTA_KLUCZ,0))),"")</f>
        <v>Adduction machine</v>
      </c>
      <c r="E25" s="5" t="str">
        <f t="array" ref="E25">IFERROR(IF('T1'!$J25="",INDEX(LISTA_EX,3),INDEX(LISTA_EX,MATCH('T1'!$J25&amp;"|"&amp;3,LISTA_KLUCZ,0))),"")</f>
        <v>Allah</v>
      </c>
      <c r="F25" s="5" t="str">
        <f t="array" ref="F25">IFERROR(IF('T1'!$J25="",INDEX(LISTA_EX,4),INDEX(LISTA_EX,MATCH('T1'!$J25&amp;"|"&amp;4,LISTA_KLUCZ,0))),"")</f>
        <v>Arnold press</v>
      </c>
      <c r="G25" s="5" t="str">
        <f t="array" ref="G25">IFERROR(IF('T1'!$J25="",INDEX(LISTA_EX,5),INDEX(LISTA_EX,MATCH('T1'!$J25&amp;"|"&amp;5,LISTA_KLUCZ,0))),"")</f>
        <v>Arnold press alternating</v>
      </c>
      <c r="H25" s="5" t="str">
        <f t="array" ref="H25">IFERROR(IF('T1'!$J25="",INDEX(LISTA_EX,6),INDEX(LISTA_EX,MATCH('T1'!$J25&amp;"|"&amp;6,LISTA_KLUCZ,0))),"")</f>
        <v>B/l dragonflag eccentric</v>
      </c>
      <c r="I25" s="5" t="str">
        <f t="array" ref="I25">IFERROR(IF('T1'!$J25="",INDEX(LISTA_EX,7),INDEX(LISTA_EX,MATCH('T1'!$J25&amp;"|"&amp;7,LISTA_KLUCZ,0))),"")</f>
        <v>Back extension</v>
      </c>
      <c r="J25" s="5" t="str">
        <f t="array" ref="J25">IFERROR(IF('T1'!$J25="",INDEX(LISTA_EX,8),INDEX(LISTA_EX,MATCH('T1'!$J25&amp;"|"&amp;8,LISTA_KLUCZ,0))),"")</f>
        <v>Banded pistol squat</v>
      </c>
      <c r="K25" s="5" t="str">
        <f t="array" ref="K25">IFERROR(IF('T1'!$J25="",INDEX(LISTA_EX,9),INDEX(LISTA_EX,MATCH('T1'!$J25&amp;"|"&amp;9,LISTA_KLUCZ,0))),"")</f>
        <v>Banded pull ups</v>
      </c>
      <c r="L25" s="5" t="str">
        <f t="array" ref="L25">IFERROR(IF('T1'!$J25="",INDEX(LISTA_EX,10),INDEX(LISTA_EX,MATCH('T1'!$J25&amp;"|"&amp;10,LISTA_KLUCZ,0))),"")</f>
        <v>Barbell back squat</v>
      </c>
      <c r="M25" s="5" t="str">
        <f t="array" ref="M25">IFERROR(IF('T1'!$J25="",INDEX(LISTA_EX,11),INDEX(LISTA_EX,MATCH('T1'!$J25&amp;"|"&amp;11,LISTA_KLUCZ,0))),"")</f>
        <v>Barbell bench press</v>
      </c>
      <c r="N25" s="5" t="str">
        <f t="array" ref="N25">IFERROR(IF('T1'!$J25="",INDEX(LISTA_EX,12),INDEX(LISTA_EX,MATCH('T1'!$J25&amp;"|"&amp;12,LISTA_KLUCZ,0))),"")</f>
        <v>Barbell curl</v>
      </c>
      <c r="O25" s="5" t="str">
        <f t="array" ref="O25">IFERROR(IF('T1'!$J25="",INDEX(LISTA_EX,13),INDEX(LISTA_EX,MATCH('T1'!$J25&amp;"|"&amp;13,LISTA_KLUCZ,0))),"")</f>
        <v>Barbell low bar squat</v>
      </c>
      <c r="P25" s="5" t="str">
        <f t="array" ref="P25">IFERROR(IF('T1'!$J25="",INDEX(LISTA_EX,14),INDEX(LISTA_EX,MATCH('T1'!$J25&amp;"|"&amp;14,LISTA_KLUCZ,0))),"")</f>
        <v>Barbell OHP</v>
      </c>
      <c r="Q25" s="5" t="str">
        <f t="array" ref="Q25">IFERROR(IF('T1'!$J25="",INDEX(LISTA_EX,15),INDEX(LISTA_EX,MATCH('T1'!$J25&amp;"|"&amp;15,LISTA_KLUCZ,0))),"")</f>
        <v>Barbell oscilation</v>
      </c>
      <c r="R25" s="5" t="str">
        <f t="array" ref="R25">IFERROR(IF('T1'!$J25="",INDEX(LISTA_EX,16),INDEX(LISTA_EX,MATCH('T1'!$J25&amp;"|"&amp;16,LISTA_KLUCZ,0))),"")</f>
        <v>Barbell row</v>
      </c>
      <c r="S25" s="5" t="str">
        <f t="array" ref="S25">IFERROR(IF('T1'!$J25="",INDEX(LISTA_EX,17),INDEX(LISTA_EX,MATCH('T1'!$J25&amp;"|"&amp;17,LISTA_KLUCZ,0))),"")</f>
        <v>Barbell row dead stop pins</v>
      </c>
      <c r="T25" s="5" t="str">
        <f t="array" ref="T25">IFERROR(IF('T1'!$J25="",INDEX(LISTA_EX,18),INDEX(LISTA_EX,MATCH('T1'!$J25&amp;"|"&amp;18,LISTA_KLUCZ,0))),"")</f>
        <v>Barbell SLDL</v>
      </c>
      <c r="U25" s="5" t="str">
        <f t="array" ref="U25">IFERROR(IF('T1'!$J25="",INDEX(LISTA_EX,19),INDEX(LISTA_EX,MATCH('T1'!$J25&amp;"|"&amp;19,LISTA_KLUCZ,0))),"")</f>
        <v>Bayesian curl</v>
      </c>
      <c r="V25" s="5" t="str">
        <f t="array" ref="V25">IFERROR(IF('T1'!$J25="",INDEX(LISTA_EX,20),INDEX(LISTA_EX,MATCH('T1'!$J25&amp;"|"&amp;20,LISTA_KLUCZ,0))),"")</f>
        <v>Bear renegade row</v>
      </c>
      <c r="W25" s="5" t="str">
        <f t="array" ref="W25">IFERROR(IF('T1'!$J25="",INDEX(LISTA_EX,21),INDEX(LISTA_EX,MATCH('T1'!$J25&amp;"|"&amp;21,LISTA_KLUCZ,0))),"")</f>
        <v>Bench press paused 3sec</v>
      </c>
      <c r="X25" s="5" t="str">
        <f t="array" ref="X25">IFERROR(IF('T1'!$J25="",INDEX(LISTA_EX,22),INDEX(LISTA_EX,MATCH('T1'!$J25&amp;"|"&amp;22,LISTA_KLUCZ,0))),"")</f>
        <v>Bicep hammer curl</v>
      </c>
      <c r="Y25" s="5" t="str">
        <f t="array" ref="Y25">IFERROR(IF('T1'!$J25="",INDEX(LISTA_EX,23),INDEX(LISTA_EX,MATCH('T1'!$J25&amp;"|"&amp;23,LISTA_KLUCZ,0))),"")</f>
        <v>Bicep squat cable curl</v>
      </c>
      <c r="Z25" s="5" t="str">
        <f t="array" ref="Z25">IFERROR(IF('T1'!$J25="",INDEX(LISTA_EX,24),INDEX(LISTA_EX,MATCH('T1'!$J25&amp;"|"&amp;24,LISTA_KLUCZ,0))),"")</f>
        <v>Bird dog row</v>
      </c>
      <c r="AA25" s="5" t="str">
        <f t="array" ref="AA25">IFERROR(IF('T1'!$J25="",INDEX(LISTA_EX,25),INDEX(LISTA_EX,MATCH('T1'!$J25&amp;"|"&amp;25,LISTA_KLUCZ,0))),"")</f>
        <v>Box jump</v>
      </c>
      <c r="AB25" s="5" t="str">
        <f t="array" ref="AB25">IFERROR(IF('T1'!$J25="",INDEX(LISTA_EX,26),INDEX(LISTA_EX,MATCH('T1'!$J25&amp;"|"&amp;26,LISTA_KLUCZ,0))),"")</f>
        <v>Bulgarian clean plyo</v>
      </c>
      <c r="AC25" s="5" t="str">
        <f t="array" ref="AC25">IFERROR(IF('T1'!$J25="",INDEX(LISTA_EX,27),INDEX(LISTA_EX,MATCH('T1'!$J25&amp;"|"&amp;27,LISTA_KLUCZ,0))),"")</f>
        <v>Bulgarian squat assisted</v>
      </c>
      <c r="AD25" s="5" t="str">
        <f t="array" ref="AD25">IFERROR(IF('T1'!$J25="",INDEX(LISTA_EX,28),INDEX(LISTA_EX,MATCH('T1'!$J25&amp;"|"&amp;28,LISTA_KLUCZ,0))),"")</f>
        <v>Cable biceps curl</v>
      </c>
      <c r="AE25" s="5" t="str">
        <f t="array" ref="AE25">IFERROR(IF('T1'!$J25="",INDEX(LISTA_EX,29),INDEX(LISTA_EX,MATCH('T1'!$J25&amp;"|"&amp;29,LISTA_KLUCZ,0))),"")</f>
        <v>Cable fly</v>
      </c>
      <c r="AF25" s="5" t="str">
        <f t="array" ref="AF25">IFERROR(IF('T1'!$J25="",INDEX(LISTA_EX,30),INDEX(LISTA_EX,MATCH('T1'!$J25&amp;"|"&amp;30,LISTA_KLUCZ,0))),"")</f>
        <v>Cable lateral raise s/a</v>
      </c>
      <c r="AG25" s="5" t="str">
        <f t="array" ref="AG25">IFERROR(IF('T1'!$J25="",INDEX(LISTA_EX,31),INDEX(LISTA_EX,MATCH('T1'!$J25&amp;"|"&amp;31,LISTA_KLUCZ,0))),"")</f>
        <v>Cable row</v>
      </c>
      <c r="AH25" s="5" t="str">
        <f t="array" ref="AH25">IFERROR(IF('T1'!$J25="",INDEX(LISTA_EX,32),INDEX(LISTA_EX,MATCH('T1'!$J25&amp;"|"&amp;32,LISTA_KLUCZ,0))),"")</f>
        <v>Cable row s/a</v>
      </c>
      <c r="AI25" s="5" t="str">
        <f t="array" ref="AI25">IFERROR(IF('T1'!$J25="",INDEX(LISTA_EX,33),INDEX(LISTA_EX,MATCH('T1'!$J25&amp;"|"&amp;33,LISTA_KLUCZ,0))),"")</f>
        <v>Calf raises</v>
      </c>
      <c r="AJ25" s="5" t="str">
        <f t="array" ref="AJ25">IFERROR(IF('T1'!$J25="",INDEX(LISTA_EX,34),INDEX(LISTA_EX,MATCH('T1'!$J25&amp;"|"&amp;34,LISTA_KLUCZ,0))),"")</f>
        <v>Chest fly machine</v>
      </c>
      <c r="AK25" s="5" t="str">
        <f t="array" ref="AK25">IFERROR(IF('T1'!$J25="",INDEX(LISTA_EX,35),INDEX(LISTA_EX,MATCH('T1'!$J25&amp;"|"&amp;35,LISTA_KLUCZ,0))),"")</f>
        <v>Clean</v>
      </c>
      <c r="AL25" s="5" t="str">
        <f t="array" ref="AL25">IFERROR(IF('T1'!$J25="",INDEX(LISTA_EX,36),INDEX(LISTA_EX,MATCH('T1'!$J25&amp;"|"&amp;36,LISTA_KLUCZ,0))),"")</f>
        <v>Clean pins</v>
      </c>
      <c r="AM25" s="5" t="str">
        <f t="array" ref="AM25">IFERROR(IF('T1'!$J25="",INDEX(LISTA_EX,37),INDEX(LISTA_EX,MATCH('T1'!$J25&amp;"|"&amp;37,LISTA_KLUCZ,0))),"")</f>
        <v>Copenhagen plank</v>
      </c>
      <c r="AN25" s="5" t="str">
        <f t="array" ref="AN25">IFERROR(IF('T1'!$J25="",INDEX(LISTA_EX,38),INDEX(LISTA_EX,MATCH('T1'!$J25&amp;"|"&amp;38,LISTA_KLUCZ,0))),"")</f>
        <v>Dead bug izo + OH</v>
      </c>
      <c r="AO25" s="5" t="str">
        <f t="array" ref="AO25">IFERROR(IF('T1'!$J25="",INDEX(LISTA_EX,39),INDEX(LISTA_EX,MATCH('T1'!$J25&amp;"|"&amp;39,LISTA_KLUCZ,0))),"")</f>
        <v>Dead bug straight legs</v>
      </c>
      <c r="AP25" s="5" t="str">
        <f t="array" ref="AP25">IFERROR(IF('T1'!$J25="",INDEX(LISTA_EX,40),INDEX(LISTA_EX,MATCH('T1'!$J25&amp;"|"&amp;40,LISTA_KLUCZ,0))),"")</f>
        <v>Dead stop barbell row</v>
      </c>
      <c r="AQ25" s="5" t="str">
        <f t="array" ref="AQ25">IFERROR(IF('T1'!$J25="",INDEX(LISTA_EX,41),INDEX(LISTA_EX,MATCH('T1'!$J25&amp;"|"&amp;41,LISTA_KLUCZ,0))),"")</f>
        <v>Deadbug OH</v>
      </c>
      <c r="AR25" s="5" t="str">
        <f t="array" ref="AR25">IFERROR(IF('T1'!$J25="",INDEX(LISTA_EX,42),INDEX(LISTA_EX,MATCH('T1'!$J25&amp;"|"&amp;42,LISTA_KLUCZ,0))),"")</f>
        <v>Deadlift</v>
      </c>
      <c r="AS25" s="5" t="str">
        <f t="array" ref="AS25">IFERROR(IF('T1'!$J25="",INDEX(LISTA_EX,43),INDEX(LISTA_EX,MATCH('T1'!$J25&amp;"|"&amp;43,LISTA_KLUCZ,0))),"")</f>
        <v>Deficit push up</v>
      </c>
      <c r="AT25" s="5" t="str">
        <f t="array" ref="AT25">IFERROR(IF('T1'!$J25="",INDEX(LISTA_EX,44),INDEX(LISTA_EX,MATCH('T1'!$J25&amp;"|"&amp;44,LISTA_KLUCZ,0))),"")</f>
        <v>Deficit reverse lunge</v>
      </c>
      <c r="AU25" s="5" t="str">
        <f t="array" ref="AU25">IFERROR(IF('T1'!$J25="",INDEX(LISTA_EX,45),INDEX(LISTA_EX,MATCH('T1'!$J25&amp;"|"&amp;45,LISTA_KLUCZ,0))),"")</f>
        <v>Dips</v>
      </c>
      <c r="AV25" s="5" t="str">
        <f t="array" ref="AV25">IFERROR(IF('T1'!$J25="",INDEX(LISTA_EX,46),INDEX(LISTA_EX,MATCH('T1'!$J25&amp;"|"&amp;46,LISTA_KLUCZ,0))),"")</f>
        <v>Dips weighted</v>
      </c>
      <c r="AW25" s="5" t="str">
        <f t="array" ref="AW25">IFERROR(IF('T1'!$J25="",INDEX(LISTA_EX,47),INDEX(LISTA_EX,MATCH('T1'!$J25&amp;"|"&amp;47,LISTA_KLUCZ,0))),"")</f>
        <v>Dumbbell bench press</v>
      </c>
      <c r="AX25" s="5" t="str">
        <f t="array" ref="AX25">IFERROR(IF('T1'!$J25="",INDEX(LISTA_EX,48),INDEX(LISTA_EX,MATCH('T1'!$J25&amp;"|"&amp;48,LISTA_KLUCZ,0))),"")</f>
        <v>Dumbbell bench press alternating</v>
      </c>
      <c r="AY25" s="5" t="str">
        <f t="array" ref="AY25">IFERROR(IF('T1'!$J25="",INDEX(LISTA_EX,49),INDEX(LISTA_EX,MATCH('T1'!$J25&amp;"|"&amp;49,LISTA_KLUCZ,0))),"")</f>
        <v>Dumbbell curl</v>
      </c>
      <c r="AZ25" s="5" t="str">
        <f t="array" ref="AZ25">IFERROR(IF('T1'!$J25="",INDEX(LISTA_EX,50),INDEX(LISTA_EX,MATCH('T1'!$J25&amp;"|"&amp;50,LISTA_KLUCZ,0))),"")</f>
        <v>Dumbbell external rotation</v>
      </c>
      <c r="BA25" s="5" t="str">
        <f t="array" ref="BA25">IFERROR(IF('T1'!$J25="",INDEX(LISTA_EX,51),INDEX(LISTA_EX,MATCH('T1'!$J25&amp;"|"&amp;51,LISTA_KLUCZ,0))),"")</f>
        <v>Dumbbell face down curl</v>
      </c>
      <c r="BB25" s="5" t="str">
        <f t="array" ref="BB25">IFERROR(IF('T1'!$J25="",INDEX(LISTA_EX,52),INDEX(LISTA_EX,MATCH('T1'!$J25&amp;"|"&amp;52,LISTA_KLUCZ,0))),"")</f>
        <v>Dumbbell fly</v>
      </c>
      <c r="BC25" s="5" t="str">
        <f t="array" ref="BC25">IFERROR(IF('T1'!$J25="",INDEX(LISTA_EX,53),INDEX(LISTA_EX,MATCH('T1'!$J25&amp;"|"&amp;53,LISTA_KLUCZ,0))),"")</f>
        <v>Dumbbell french press</v>
      </c>
      <c r="BD25" s="5" t="str">
        <f t="array" ref="BD25">IFERROR(IF('T1'!$J25="",INDEX(LISTA_EX,54),INDEX(LISTA_EX,MATCH('T1'!$J25&amp;"|"&amp;54,LISTA_KLUCZ,0))),"")</f>
        <v>Dumbbell lateral raise</v>
      </c>
      <c r="BE25" s="5" t="str">
        <f t="array" ref="BE25">IFERROR(IF('T1'!$J25="",INDEX(LISTA_EX,55),INDEX(LISTA_EX,MATCH('T1'!$J25&amp;"|"&amp;55,LISTA_KLUCZ,0))),"")</f>
        <v>Dumbbell lunges</v>
      </c>
      <c r="BF25" s="5" t="str">
        <f t="array" ref="BF25">IFERROR(IF('T1'!$J25="",INDEX(LISTA_EX,56),INDEX(LISTA_EX,MATCH('T1'!$J25&amp;"|"&amp;56,LISTA_KLUCZ,0))),"")</f>
        <v>Dumbbell OH press</v>
      </c>
      <c r="BG25" s="5" t="str">
        <f t="array" ref="BG25">IFERROR(IF('T1'!$J25="",INDEX(LISTA_EX,57),INDEX(LISTA_EX,MATCH('T1'!$J25&amp;"|"&amp;57,LISTA_KLUCZ,0))),"")</f>
        <v>Dumbbell over head press</v>
      </c>
      <c r="BH25" s="5" t="str">
        <f t="array" ref="BH25">IFERROR(IF('T1'!$J25="",INDEX(LISTA_EX,58),INDEX(LISTA_EX,MATCH('T1'!$J25&amp;"|"&amp;58,LISTA_KLUCZ,0))),"")</f>
        <v>Dumbbell over head press alternating</v>
      </c>
      <c r="BI25" s="5" t="str">
        <f t="array" ref="BI25">IFERROR(IF('T1'!$J25="",INDEX(LISTA_EX,59),INDEX(LISTA_EX,MATCH('T1'!$J25&amp;"|"&amp;59,LISTA_KLUCZ,0))),"")</f>
        <v>Dumbbell row</v>
      </c>
      <c r="BJ25" s="5" t="str">
        <f t="array" ref="BJ25">IFERROR(IF('T1'!$J25="",INDEX(LISTA_EX,60),INDEX(LISTA_EX,MATCH('T1'!$J25&amp;"|"&amp;60,LISTA_KLUCZ,0))),"")</f>
        <v>Dumbbell s/a Arnold press</v>
      </c>
      <c r="BK25" s="5" t="str">
        <f t="array" ref="BK25">IFERROR(IF('T1'!$J25="",INDEX(LISTA_EX,61),INDEX(LISTA_EX,MATCH('T1'!$J25&amp;"|"&amp;61,LISTA_KLUCZ,0))),"")</f>
        <v>Dumbbell s/a row</v>
      </c>
      <c r="BL25" s="5" t="str">
        <f t="array" ref="BL25">IFERROR(IF('T1'!$J25="",INDEX(LISTA_EX,62),INDEX(LISTA_EX,MATCH('T1'!$J25&amp;"|"&amp;62,LISTA_KLUCZ,0))),"")</f>
        <v>Dumbbell seal row</v>
      </c>
      <c r="BM25" s="5" t="str">
        <f t="array" ref="BM25">IFERROR(IF('T1'!$J25="",INDEX(LISTA_EX,63),INDEX(LISTA_EX,MATCH('T1'!$J25&amp;"|"&amp;63,LISTA_KLUCZ,0))),"")</f>
        <v>Dumbbells jumps</v>
      </c>
      <c r="BN25" s="5" t="str">
        <f t="array" ref="BN25">IFERROR(IF('T1'!$J25="",INDEX(LISTA_EX,64),INDEX(LISTA_EX,MATCH('T1'!$J25&amp;"|"&amp;64,LISTA_KLUCZ,0))),"")</f>
        <v>Eccentric pull up</v>
      </c>
      <c r="BO25" s="5" t="str">
        <f t="array" ref="BO25">IFERROR(IF('T1'!$J25="",INDEX(LISTA_EX,65),INDEX(LISTA_EX,MATCH('T1'!$J25&amp;"|"&amp;65,LISTA_KLUCZ,0))),"")</f>
        <v>Eccentric push up (5 sek w dół)</v>
      </c>
      <c r="BP25" s="5" t="str">
        <f t="array" ref="BP25">IFERROR(IF('T1'!$J25="",INDEX(LISTA_EX,66),INDEX(LISTA_EX,MATCH('T1'!$J25&amp;"|"&amp;66,LISTA_KLUCZ,0))),"")</f>
        <v>Extensive plyo jumps s/l</v>
      </c>
      <c r="BQ25" s="5" t="str">
        <f t="array" ref="BQ25">IFERROR(IF('T1'!$J25="",INDEX(LISTA_EX,67),INDEX(LISTA_EX,MATCH('T1'!$J25&amp;"|"&amp;67,LISTA_KLUCZ,0))),"")</f>
        <v>Ez bar curl</v>
      </c>
      <c r="BR25" s="5" t="str">
        <f t="array" ref="BR25">IFERROR(IF('T1'!$J25="",INDEX(LISTA_EX,68),INDEX(LISTA_EX,MATCH('T1'!$J25&amp;"|"&amp;68,LISTA_KLUCZ,0))),"")</f>
        <v>Facepull chest supported</v>
      </c>
      <c r="BS25" s="5" t="str">
        <f t="array" ref="BS25">IFERROR(IF('T1'!$J25="",INDEX(LISTA_EX,69),INDEX(LISTA_EX,MATCH('T1'!$J25&amp;"|"&amp;69,LISTA_KLUCZ,0))),"")</f>
        <v>Front foot elevated split squat</v>
      </c>
      <c r="BT25" s="5" t="str">
        <f t="array" ref="BT25">IFERROR(IF('T1'!$J25="",INDEX(LISTA_EX,70),INDEX(LISTA_EX,MATCH('T1'!$J25&amp;"|"&amp;70,LISTA_KLUCZ,0))),"")</f>
        <v>Front squat</v>
      </c>
      <c r="BU25" s="5" t="str">
        <f t="array" ref="BU25">IFERROR(IF('T1'!$J25="",INDEX(LISTA_EX,71),INDEX(LISTA_EX,MATCH('T1'!$J25&amp;"|"&amp;71,LISTA_KLUCZ,0))),"")</f>
        <v>GHD flexion</v>
      </c>
      <c r="BV25" s="5" t="str">
        <f t="array" ref="BV25">IFERROR(IF('T1'!$J25="",INDEX(LISTA_EX,72),INDEX(LISTA_EX,MATCH('T1'!$J25&amp;"|"&amp;72,LISTA_KLUCZ,0))),"")</f>
        <v>Glute bridge hamstrings izo + OH</v>
      </c>
      <c r="BW25" s="5" t="str">
        <f t="array" ref="BW25">IFERROR(IF('T1'!$J25="",INDEX(LISTA_EX,73),INDEX(LISTA_EX,MATCH('T1'!$J25&amp;"|"&amp;73,LISTA_KLUCZ,0))),"")</f>
        <v>Glute crusher</v>
      </c>
      <c r="BX25" s="5" t="str">
        <f t="array" ref="BX25">IFERROR(IF('T1'!$J25="",INDEX(LISTA_EX,74),INDEX(LISTA_EX,MATCH('T1'!$J25&amp;"|"&amp;74,LISTA_KLUCZ,0))),"")</f>
        <v>Gorilla row</v>
      </c>
      <c r="BY25" s="5" t="str">
        <f t="array" ref="BY25">IFERROR(IF('T1'!$J25="",INDEX(LISTA_EX,75),INDEX(LISTA_EX,MATCH('T1'!$J25&amp;"|"&amp;75,LISTA_KLUCZ,0))),"")</f>
        <v>Halfkneeling s/a cable pull</v>
      </c>
      <c r="BZ25" s="5" t="str">
        <f t="array" ref="BZ25">IFERROR(IF('T1'!$J25="",INDEX(LISTA_EX,76),INDEX(LISTA_EX,MATCH('T1'!$J25&amp;"|"&amp;76,LISTA_KLUCZ,0))),"")</f>
        <v>Halfkneeling wood chopper</v>
      </c>
      <c r="CA25" s="5" t="str">
        <f t="array" ref="CA25">IFERROR(IF('T1'!$J25="",INDEX(LISTA_EX,77),INDEX(LISTA_EX,MATCH('T1'!$J25&amp;"|"&amp;77,LISTA_KLUCZ,0))),"")</f>
        <v>Hinged dumbbell row</v>
      </c>
      <c r="CB25" s="5" t="str">
        <f t="array" ref="CB25">IFERROR(IF('T1'!$J25="",INDEX(LISTA_EX,78),INDEX(LISTA_EX,MATCH('T1'!$J25&amp;"|"&amp;78,LISTA_KLUCZ,0))),"")</f>
        <v>Hip aeroplane</v>
      </c>
      <c r="CC25" s="5" t="str">
        <f t="array" ref="CC25">IFERROR(IF('T1'!$J25="",INDEX(LISTA_EX,79),INDEX(LISTA_EX,MATCH('T1'!$J25&amp;"|"&amp;79,LISTA_KLUCZ,0))),"")</f>
        <v>Hip flexors cable</v>
      </c>
      <c r="CD25" s="5" t="str">
        <f t="array" ref="CD25">IFERROR(IF('T1'!$J25="",INDEX(LISTA_EX,80),INDEX(LISTA_EX,MATCH('T1'!$J25&amp;"|"&amp;80,LISTA_KLUCZ,0))),"")</f>
        <v>Hip thrust barbell</v>
      </c>
      <c r="CE25" s="5" t="str">
        <f t="array" ref="CE25">IFERROR(IF('T1'!$J25="",INDEX(LISTA_EX,81),INDEX(LISTA_EX,MATCH('T1'!$J25&amp;"|"&amp;81,LISTA_KLUCZ,0))),"")</f>
        <v>Hollow body + OH</v>
      </c>
      <c r="CF25" s="5" t="str">
        <f t="array" ref="CF25">IFERROR(IF('T1'!$J25="",INDEX(LISTA_EX,82),INDEX(LISTA_EX,MATCH('T1'!$J25&amp;"|"&amp;82,LISTA_KLUCZ,0))),"")</f>
        <v>Horizontal jump</v>
      </c>
      <c r="CG25" s="5" t="str">
        <f t="array" ref="CG25">IFERROR(IF('T1'!$J25="",INDEX(LISTA_EX,83),INDEX(LISTA_EX,MATCH('T1'!$J25&amp;"|"&amp;83,LISTA_KLUCZ,0))),"")</f>
        <v>Incline bench lateral raise s/a</v>
      </c>
      <c r="CH25" s="5" t="str">
        <f t="array" ref="CH25">IFERROR(IF('T1'!$J25="",INDEX(LISTA_EX,84),INDEX(LISTA_EX,MATCH('T1'!$J25&amp;"|"&amp;84,LISTA_KLUCZ,0))),"")</f>
        <v>Incline curl + OHP</v>
      </c>
      <c r="CI25" s="5" t="str">
        <f t="array" ref="CI25">IFERROR(IF('T1'!$J25="",INDEX(LISTA_EX,85),INDEX(LISTA_EX,MATCH('T1'!$J25&amp;"|"&amp;85,LISTA_KLUCZ,0))),"")</f>
        <v>Incline dumbbell curl</v>
      </c>
      <c r="CJ25" s="5" t="str">
        <f t="array" ref="CJ25">IFERROR(IF('T1'!$J25="",INDEX(LISTA_EX,86),INDEX(LISTA_EX,MATCH('T1'!$J25&amp;"|"&amp;86,LISTA_KLUCZ,0))),"")</f>
        <v>Incline dumbbell curl (back)</v>
      </c>
      <c r="CK25" s="5" t="str">
        <f t="array" ref="CK25">IFERROR(IF('T1'!$J25="",INDEX(LISTA_EX,87),INDEX(LISTA_EX,MATCH('T1'!$J25&amp;"|"&amp;87,LISTA_KLUCZ,0))),"")</f>
        <v>Incline dumbbell curl (front)</v>
      </c>
      <c r="CL25" s="5" t="str">
        <f t="array" ref="CL25">IFERROR(IF('T1'!$J25="",INDEX(LISTA_EX,88),INDEX(LISTA_EX,MATCH('T1'!$J25&amp;"|"&amp;88,LISTA_KLUCZ,0))),"")</f>
        <v>Incline dumbbell fly</v>
      </c>
      <c r="CM25" s="5" t="str">
        <f t="array" ref="CM25">IFERROR(IF('T1'!$J25="",INDEX(LISTA_EX,89),INDEX(LISTA_EX,MATCH('T1'!$J25&amp;"|"&amp;89,LISTA_KLUCZ,0))),"")</f>
        <v>Incline dumbbell press</v>
      </c>
      <c r="CN25" s="5" t="str">
        <f t="array" ref="CN25">IFERROR(IF('T1'!$J25="",INDEX(LISTA_EX,90),INDEX(LISTA_EX,MATCH('T1'!$J25&amp;"|"&amp;90,LISTA_KLUCZ,0))),"")</f>
        <v>Incline dumbbell press alternating</v>
      </c>
      <c r="CO25" s="5" t="str">
        <f t="array" ref="CO25">IFERROR(IF('T1'!$J25="",INDEX(LISTA_EX,91),INDEX(LISTA_EX,MATCH('T1'!$J25&amp;"|"&amp;91,LISTA_KLUCZ,0))),"")</f>
        <v>Incline sit-ups</v>
      </c>
      <c r="CP25" s="5" t="str">
        <f t="array" ref="CP25">IFERROR(IF('T1'!$J25="",INDEX(LISTA_EX,92),INDEX(LISTA_EX,MATCH('T1'!$J25&amp;"|"&amp;92,LISTA_KLUCZ,0))),"")</f>
        <v>Jefferson cable</v>
      </c>
      <c r="CQ25" s="5" t="str">
        <f t="array" ref="CQ25">IFERROR(IF('T1'!$J25="",INDEX(LISTA_EX,93),INDEX(LISTA_EX,MATCH('T1'!$J25&amp;"|"&amp;93,LISTA_KLUCZ,0))),"")</f>
        <v>Kettlebell march</v>
      </c>
      <c r="CR25" s="5" t="str">
        <f t="array" ref="CR25">IFERROR(IF('T1'!$J25="",INDEX(LISTA_EX,94),INDEX(LISTA_EX,MATCH('T1'!$J25&amp;"|"&amp;94,LISTA_KLUCZ,0))),"")</f>
        <v>Kickbacks</v>
      </c>
      <c r="CS25" s="5" t="str">
        <f t="array" ref="CS25">IFERROR(IF('T1'!$J25="",INDEX(LISTA_EX,95),INDEX(LISTA_EX,MATCH('T1'!$J25&amp;"|"&amp;95,LISTA_KLUCZ,0))),"")</f>
        <v>Knee extension machine</v>
      </c>
      <c r="CT25" s="5" t="str">
        <f t="array" ref="CT25">IFERROR(IF('T1'!$J25="",INDEX(LISTA_EX,96),INDEX(LISTA_EX,MATCH('T1'!$J25&amp;"|"&amp;96,LISTA_KLUCZ,0))),"")</f>
        <v>Knee flexion machine</v>
      </c>
      <c r="CU25" s="5" t="str">
        <f t="array" ref="CU25">IFERROR(IF('T1'!$J25="",INDEX(LISTA_EX,97),INDEX(LISTA_EX,MATCH('T1'!$J25&amp;"|"&amp;97,LISTA_KLUCZ,0))),"")</f>
        <v>Knee raises</v>
      </c>
      <c r="CV25" s="5" t="str">
        <f t="array" ref="CV25">IFERROR(IF('T1'!$J25="",INDEX(LISTA_EX,98),INDEX(LISTA_EX,MATCH('T1'!$J25&amp;"|"&amp;98,LISTA_KLUCZ,0))),"")</f>
        <v>Landmine core</v>
      </c>
      <c r="CW25" s="5" t="str">
        <f t="array" ref="CW25">IFERROR(IF('T1'!$J25="",INDEX(LISTA_EX,99),INDEX(LISTA_EX,MATCH('T1'!$J25&amp;"|"&amp;99,LISTA_KLUCZ,0))),"")</f>
        <v>Landmine press</v>
      </c>
      <c r="CX25" s="5" t="str">
        <f t="array" ref="CX25">IFERROR(IF('T1'!$J25="",INDEX(LISTA_EX,100),INDEX(LISTA_EX,MATCH('T1'!$J25&amp;"|"&amp;100,LISTA_KLUCZ,0))),"")</f>
        <v>Landmine rotations (powtórzenia x2)</v>
      </c>
      <c r="CY25" s="5" t="str">
        <f t="array" ref="CY25">IFERROR(IF('T1'!$J25="",INDEX(LISTA_EX,101),INDEX(LISTA_EX,MATCH('T1'!$J25&amp;"|"&amp;101,LISTA_KLUCZ,0))),"")</f>
        <v>Landmine SLDL</v>
      </c>
      <c r="CZ25" s="5" t="str">
        <f t="array" ref="CZ25">IFERROR(IF('T1'!$J25="",INDEX(LISTA_EX,102),INDEX(LISTA_EX,MATCH('T1'!$J25&amp;"|"&amp;102,LISTA_KLUCZ,0))),"")</f>
        <v>Lat pulldown</v>
      </c>
      <c r="DA25" s="5" t="str">
        <f t="array" ref="DA25">IFERROR(IF('T1'!$J25="",INDEX(LISTA_EX,103),INDEX(LISTA_EX,MATCH('T1'!$J25&amp;"|"&amp;103,LISTA_KLUCZ,0))),"")</f>
        <v>Lat pulldown behind the head</v>
      </c>
      <c r="DB25" s="5" t="str">
        <f t="array" ref="DB25">IFERROR(IF('T1'!$J25="",INDEX(LISTA_EX,104),INDEX(LISTA_EX,MATCH('T1'!$J25&amp;"|"&amp;104,LISTA_KLUCZ,0))),"")</f>
        <v>Lat pulldown s/a</v>
      </c>
      <c r="DC25" s="5" t="str">
        <f t="array" ref="DC25">IFERROR(IF('T1'!$J25="",INDEX(LISTA_EX,105),INDEX(LISTA_EX,MATCH('T1'!$J25&amp;"|"&amp;105,LISTA_KLUCZ,0))),"")</f>
        <v>Lateral raise s/a</v>
      </c>
      <c r="DD25" s="5" t="str">
        <f t="array" ref="DD25">IFERROR(IF('T1'!$J25="",INDEX(LISTA_EX,106),INDEX(LISTA_EX,MATCH('T1'!$J25&amp;"|"&amp;106,LISTA_KLUCZ,0))),"")</f>
        <v>Lateral raises</v>
      </c>
      <c r="DE25" s="5" t="str">
        <f t="array" ref="DE25">IFERROR(IF('T1'!$J25="",INDEX(LISTA_EX,107),INDEX(LISTA_EX,MATCH('T1'!$J25&amp;"|"&amp;107,LISTA_KLUCZ,0))),"")</f>
        <v>Lateral raises 2</v>
      </c>
      <c r="DF25" s="5" t="str">
        <f t="array" ref="DF25">IFERROR(IF('T1'!$J25="",INDEX(LISTA_EX,108),INDEX(LISTA_EX,MATCH('T1'!$J25&amp;"|"&amp;108,LISTA_KLUCZ,0))),"")</f>
        <v>Lateral raises full ROM</v>
      </c>
      <c r="DG25" s="5" t="str">
        <f t="array" ref="DG25">IFERROR(IF('T1'!$J25="",INDEX(LISTA_EX,109),INDEX(LISTA_EX,MATCH('T1'!$J25&amp;"|"&amp;109,LISTA_KLUCZ,0))),"")</f>
        <v>Lateral raises hinged</v>
      </c>
      <c r="DH25" s="5" t="str">
        <f t="array" ref="DH25">IFERROR(IF('T1'!$J25="",INDEX(LISTA_EX,110),INDEX(LISTA_EX,MATCH('T1'!$J25&amp;"|"&amp;110,LISTA_KLUCZ,0))),"")</f>
        <v>Lateral raises incline s/a</v>
      </c>
      <c r="DI25" s="5" t="str">
        <f t="array" ref="DI25">IFERROR(IF('T1'!$J25="",INDEX(LISTA_EX,111),INDEX(LISTA_EX,MATCH('T1'!$J25&amp;"|"&amp;111,LISTA_KLUCZ,0))),"")</f>
        <v>Leg curl</v>
      </c>
      <c r="DJ25" s="5" t="str">
        <f t="array" ref="DJ25">IFERROR(IF('T1'!$J25="",INDEX(LISTA_EX,112),INDEX(LISTA_EX,MATCH('T1'!$J25&amp;"|"&amp;112,LISTA_KLUCZ,0))),"")</f>
        <v>Machine row</v>
      </c>
      <c r="DK25" s="5" t="str">
        <f t="array" ref="DK25">IFERROR(IF('T1'!$J25="",INDEX(LISTA_EX,113),INDEX(LISTA_EX,MATCH('T1'!$J25&amp;"|"&amp;113,LISTA_KLUCZ,0))),"")</f>
        <v>Machine row s/a</v>
      </c>
      <c r="DL25" s="5" t="str">
        <f t="array" ref="DL25">IFERROR(IF('T1'!$J25="",INDEX(LISTA_EX,114),INDEX(LISTA_EX,MATCH('T1'!$J25&amp;"|"&amp;114,LISTA_KLUCZ,0))),"")</f>
        <v>Meadows row</v>
      </c>
      <c r="DM25" s="5" t="str">
        <f t="array" ref="DM25">IFERROR(IF('T1'!$J25="",INDEX(LISTA_EX,115),INDEX(LISTA_EX,MATCH('T1'!$J25&amp;"|"&amp;115,LISTA_KLUCZ,0))),"")</f>
        <v>Med ball slam</v>
      </c>
      <c r="DN25" s="5" t="str">
        <f t="array" ref="DN25">IFERROR(IF('T1'!$J25="",INDEX(LISTA_EX,116),INDEX(LISTA_EX,MATCH('T1'!$J25&amp;"|"&amp;116,LISTA_KLUCZ,0))),"")</f>
        <v>OH skullcrushers</v>
      </c>
      <c r="DO25" s="5" t="str">
        <f t="array" ref="DO25">IFERROR(IF('T1'!$J25="",INDEX(LISTA_EX,117),INDEX(LISTA_EX,MATCH('T1'!$J25&amp;"|"&amp;117,LISTA_KLUCZ,0))),"")</f>
        <v>OHP barbell squat 15kg</v>
      </c>
      <c r="DP25" s="5" t="str">
        <f t="array" ref="DP25">IFERROR(IF('T1'!$J25="",INDEX(LISTA_EX,118),INDEX(LISTA_EX,MATCH('T1'!$J25&amp;"|"&amp;118,LISTA_KLUCZ,0))),"")</f>
        <v>Pistol squat eccentric</v>
      </c>
      <c r="DQ25" s="5" t="str">
        <f t="array" ref="DQ25">IFERROR(IF('T1'!$J25="",INDEX(LISTA_EX,119),INDEX(LISTA_EX,MATCH('T1'!$J25&amp;"|"&amp;119,LISTA_KLUCZ,0))),"")</f>
        <v>Plank contralateral</v>
      </c>
      <c r="DR25" s="5" t="str">
        <f t="array" ref="DR25">IFERROR(IF('T1'!$J25="",INDEX(LISTA_EX,120),INDEX(LISTA_EX,MATCH('T1'!$J25&amp;"|"&amp;120,LISTA_KLUCZ,0))),"")</f>
        <v>Plank dumbbell rotation</v>
      </c>
      <c r="DS25" s="5" t="str">
        <f t="array" ref="DS25">IFERROR(IF('T1'!$J25="",INDEX(LISTA_EX,121),INDEX(LISTA_EX,MATCH('T1'!$J25&amp;"|"&amp;121,LISTA_KLUCZ,0))),"")</f>
        <v>Plank leg raises</v>
      </c>
      <c r="DT25" s="5" t="str">
        <f t="array" ref="DT25">IFERROR(IF('T1'!$J25="",INDEX(LISTA_EX,122),INDEX(LISTA_EX,MATCH('T1'!$J25&amp;"|"&amp;122,LISTA_KLUCZ,0))),"")</f>
        <v>Poliquin step up</v>
      </c>
      <c r="DU25" s="5" t="str">
        <f t="array" ref="DU25">IFERROR(IF('T1'!$J25="",INDEX(LISTA_EX,123),INDEX(LISTA_EX,MATCH('T1'!$J25&amp;"|"&amp;123,LISTA_KLUCZ,0))),"")</f>
        <v>Poliquin step up paused 3sec</v>
      </c>
      <c r="DV25" s="5" t="str">
        <f t="array" ref="DV25">IFERROR(IF('T1'!$J25="",INDEX(LISTA_EX,124),INDEX(LISTA_EX,MATCH('T1'!$J25&amp;"|"&amp;124,LISTA_KLUCZ,0))),"")</f>
        <v>Pronation/Supination</v>
      </c>
      <c r="DW25" s="5" t="str">
        <f t="array" ref="DW25">IFERROR(IF('T1'!$J25="",INDEX(LISTA_EX,125),INDEX(LISTA_EX,MATCH('T1'!$J25&amp;"|"&amp;125,LISTA_KLUCZ,0))),"")</f>
        <v>Pull up</v>
      </c>
      <c r="DX25" s="5" t="str">
        <f t="array" ref="DX25">IFERROR(IF('T1'!$J25="",INDEX(LISTA_EX,126),INDEX(LISTA_EX,MATCH('T1'!$J25&amp;"|"&amp;126,LISTA_KLUCZ,0))),"")</f>
        <v>Pull up eccentric weighted</v>
      </c>
      <c r="DY25" s="5" t="str">
        <f t="array" ref="DY25">IFERROR(IF('T1'!$J25="",INDEX(LISTA_EX,127),INDEX(LISTA_EX,MATCH('T1'!$J25&amp;"|"&amp;127,LISTA_KLUCZ,0))),"")</f>
        <v>Pull up eccentric weighted (5 sek w dół)</v>
      </c>
      <c r="DZ25" s="5" t="str">
        <f t="array" ref="DZ25">IFERROR(IF('T1'!$J25="",INDEX(LISTA_EX,128),INDEX(LISTA_EX,MATCH('T1'!$J25&amp;"|"&amp;128,LISTA_KLUCZ,0))),"")</f>
        <v>Pull up weighted</v>
      </c>
      <c r="EA25" s="5" t="str">
        <f t="array" ref="EA25">IFERROR(IF('T1'!$J25="",INDEX(LISTA_EX,129),INDEX(LISTA_EX,MATCH('T1'!$J25&amp;"|"&amp;129,LISTA_KLUCZ,0))),"")</f>
        <v>Pull ups (paused)</v>
      </c>
      <c r="EB25" s="5" t="str">
        <f t="array" ref="EB25">IFERROR(IF('T1'!$J25="",INDEX(LISTA_EX,130),INDEX(LISTA_EX,MATCH('T1'!$J25&amp;"|"&amp;130,LISTA_KLUCZ,0))),"")</f>
        <v>Push press barbell</v>
      </c>
      <c r="EC25" s="5" t="str">
        <f t="array" ref="EC25">IFERROR(IF('T1'!$J25="",INDEX(LISTA_EX,131),INDEX(LISTA_EX,MATCH('T1'!$J25&amp;"|"&amp;131,LISTA_KLUCZ,0))),"")</f>
        <v>Push up</v>
      </c>
      <c r="ED25" s="5" t="str">
        <f t="array" ref="ED25">IFERROR(IF('T1'!$J25="",INDEX(LISTA_EX,132),INDEX(LISTA_EX,MATCH('T1'!$J25&amp;"|"&amp;132,LISTA_KLUCZ,0))),"")</f>
        <v>Raised bird dog</v>
      </c>
      <c r="EE25" s="5" t="str">
        <f t="array" ref="EE25">IFERROR(IF('T1'!$J25="",INDEX(LISTA_EX,133),INDEX(LISTA_EX,MATCH('T1'!$J25&amp;"|"&amp;133,LISTA_KLUCZ,0))),"")</f>
        <v>RDL</v>
      </c>
      <c r="EF25" s="5" t="str">
        <f t="array" ref="EF25">IFERROR(IF('T1'!$J25="",INDEX(LISTA_EX,134),INDEX(LISTA_EX,MATCH('T1'!$J25&amp;"|"&amp;134,LISTA_KLUCZ,0))),"")</f>
        <v>Reverse Nordic</v>
      </c>
      <c r="EG25" s="5" t="str">
        <f t="array" ref="EG25">IFERROR(IF('T1'!$J25="",INDEX(LISTA_EX,135),INDEX(LISTA_EX,MATCH('T1'!$J25&amp;"|"&amp;135,LISTA_KLUCZ,0))),"")</f>
        <v>Rope pushdown</v>
      </c>
      <c r="EH25" s="5" t="str">
        <f t="array" ref="EH25">IFERROR(IF('T1'!$J25="",INDEX(LISTA_EX,136),INDEX(LISTA_EX,MATCH('T1'!$J25&amp;"|"&amp;136,LISTA_KLUCZ,0))),"")</f>
        <v>Rope pushdown OH</v>
      </c>
      <c r="EI25" s="5" t="str">
        <f t="array" ref="EI25">IFERROR(IF('T1'!$J25="",INDEX(LISTA_EX,137),INDEX(LISTA_EX,MATCH('T1'!$J25&amp;"|"&amp;137,LISTA_KLUCZ,0))),"")</f>
        <v>S/a cable pulldown incline bench</v>
      </c>
      <c r="EJ25" s="5" t="str">
        <f t="array" ref="EJ25">IFERROR(IF('T1'!$J25="",INDEX(LISTA_EX,138),INDEX(LISTA_EX,MATCH('T1'!$J25&amp;"|"&amp;138,LISTA_KLUCZ,0))),"")</f>
        <v>S/a lat pulldown incline bench</v>
      </c>
      <c r="EK25" s="5" t="str">
        <f t="array" ref="EK25">IFERROR(IF('T1'!$J25="",INDEX(LISTA_EX,139),INDEX(LISTA_EX,MATCH('T1'!$J25&amp;"|"&amp;139,LISTA_KLUCZ,0))),"")</f>
        <v>S/l dragonflag eccentric</v>
      </c>
      <c r="EL25" s="5" t="str">
        <f t="array" ref="EL25">IFERROR(IF('T1'!$J25="",INDEX(LISTA_EX,140),INDEX(LISTA_EX,MATCH('T1'!$J25&amp;"|"&amp;140,LISTA_KLUCZ,0))),"")</f>
        <v>S/l hip thrust</v>
      </c>
      <c r="EM25" s="5" t="str">
        <f t="array" ref="EM25">IFERROR(IF('T1'!$J25="",INDEX(LISTA_EX,141),INDEX(LISTA_EX,MATCH('T1'!$J25&amp;"|"&amp;141,LISTA_KLUCZ,0))),"")</f>
        <v>Seated broad jump</v>
      </c>
      <c r="EN25" s="5" t="str">
        <f t="array" ref="EN25">IFERROR(IF('T1'!$J25="",INDEX(LISTA_EX,142),INDEX(LISTA_EX,MATCH('T1'!$J25&amp;"|"&amp;142,LISTA_KLUCZ,0))),"")</f>
        <v>Seated cable facepull</v>
      </c>
      <c r="EO25" s="5" t="str">
        <f t="array" ref="EO25">IFERROR(IF('T1'!$J25="",INDEX(LISTA_EX,143),INDEX(LISTA_EX,MATCH('T1'!$J25&amp;"|"&amp;143,LISTA_KLUCZ,0))),"")</f>
        <v>Seated seesaw press (nogi proste)</v>
      </c>
      <c r="EP25" s="5" t="str">
        <f t="array" ref="EP25">IFERROR(IF('T1'!$J25="",INDEX(LISTA_EX,144),INDEX(LISTA_EX,MATCH('T1'!$J25&amp;"|"&amp;144,LISTA_KLUCZ,0))),"")</f>
        <v>Seesaw press</v>
      </c>
      <c r="EQ25" s="5" t="str">
        <f t="array" ref="EQ25">IFERROR(IF('T1'!$J25="",INDEX(LISTA_EX,145),INDEX(LISTA_EX,MATCH('T1'!$J25&amp;"|"&amp;145,LISTA_KLUCZ,0))),"")</f>
        <v>Side crunches</v>
      </c>
      <c r="ER25" s="5" t="str">
        <f t="array" ref="ER25">IFERROR(IF('T1'!$J25="",INDEX(LISTA_EX,146),INDEX(LISTA_EX,MATCH('T1'!$J25&amp;"|"&amp;146,LISTA_KLUCZ,0))),"")</f>
        <v>Side plank hip drop</v>
      </c>
      <c r="ES25" s="5" t="str">
        <f t="array" ref="ES25">IFERROR(IF('T1'!$J25="",INDEX(LISTA_EX,147),INDEX(LISTA_EX,MATCH('T1'!$J25&amp;"|"&amp;147,LISTA_KLUCZ,0))),"")</f>
        <v>Side plank rotations</v>
      </c>
      <c r="ET25" s="5" t="str">
        <f t="array" ref="ET25">IFERROR(IF('T1'!$J25="",INDEX(LISTA_EX,148),INDEX(LISTA_EX,MATCH('T1'!$J25&amp;"|"&amp;148,LISTA_KLUCZ,0))),"")</f>
        <v>SLDL balance</v>
      </c>
      <c r="EU25" s="5" t="str">
        <f t="array" ref="EU25">IFERROR(IF('T1'!$J25="",INDEX(LISTA_EX,149),INDEX(LISTA_EX,MATCH('T1'!$J25&amp;"|"&amp;149,LISTA_KLUCZ,0))),"")</f>
        <v>Split squat</v>
      </c>
      <c r="EV25" s="5" t="str">
        <f t="array" ref="EV25">IFERROR(IF('T1'!$J25="",INDEX(LISTA_EX,150),INDEX(LISTA_EX,MATCH('T1'!$J25&amp;"|"&amp;150,LISTA_KLUCZ,0))),"")</f>
        <v>Split stance SLDL</v>
      </c>
      <c r="EW25" s="5" t="str">
        <f t="array" ref="EW25">IFERROR(IF('T1'!$J25="",INDEX(LISTA_EX,151),INDEX(LISTA_EX,MATCH('T1'!$J25&amp;"|"&amp;151,LISTA_KLUCZ,0))),"")</f>
        <v>Squat izo (15 sek)</v>
      </c>
      <c r="EX25" s="5" t="str">
        <f t="array" ref="EX25">IFERROR(IF('T1'!$J25="",INDEX(LISTA_EX,152),INDEX(LISTA_EX,MATCH('T1'!$J25&amp;"|"&amp;152,LISTA_KLUCZ,0))),"")</f>
        <v>Standing landmine press</v>
      </c>
      <c r="EY25" s="5" t="str">
        <f t="array" ref="EY25">IFERROR(IF('T1'!$J25="",INDEX(LISTA_EX,153),INDEX(LISTA_EX,MATCH('T1'!$J25&amp;"|"&amp;153,LISTA_KLUCZ,0))),"")</f>
        <v>Suitcase carry</v>
      </c>
      <c r="EZ25" s="5" t="str">
        <f t="array" ref="EZ25">IFERROR(IF('T1'!$J25="",INDEX(LISTA_EX,154),INDEX(LISTA_EX,MATCH('T1'!$J25&amp;"|"&amp;154,LISTA_KLUCZ,0))),"")</f>
        <v>Supine pigeon abs</v>
      </c>
      <c r="FA25" s="5" t="str">
        <f t="array" ref="FA25">IFERROR(IF('T1'!$J25="",INDEX(LISTA_EX,155),INDEX(LISTA_EX,MATCH('T1'!$J25&amp;"|"&amp;155,LISTA_KLUCZ,0))),"")</f>
        <v>Swiss ball leg curl</v>
      </c>
      <c r="FB25" s="5" t="str">
        <f t="array" ref="FB25">IFERROR(IF('T1'!$J25="",INDEX(LISTA_EX,156),INDEX(LISTA_EX,MATCH('T1'!$J25&amp;"|"&amp;156,LISTA_KLUCZ,0))),"")</f>
        <v>Toes to bar</v>
      </c>
      <c r="FC25" s="5" t="str">
        <f t="array" ref="FC25">IFERROR(IF('T1'!$J25="",INDEX(LISTA_EX,157),INDEX(LISTA_EX,MATCH('T1'!$J25&amp;"|"&amp;157,LISTA_KLUCZ,0))),"")</f>
        <v>Trap bar deadlift</v>
      </c>
      <c r="FD25" s="5" t="str">
        <f t="array" ref="FD25">IFERROR(IF('T1'!$J25="",INDEX(LISTA_EX,158),INDEX(LISTA_EX,MATCH('T1'!$J25&amp;"|"&amp;158,LISTA_KLUCZ,0))),"")</f>
        <v>Tricep cable pushdown</v>
      </c>
      <c r="FE25" s="5" t="str">
        <f t="array" ref="FE25">IFERROR(IF('T1'!$J25="",INDEX(LISTA_EX,159),INDEX(LISTA_EX,MATCH('T1'!$J25&amp;"|"&amp;159,LISTA_KLUCZ,0))),"")</f>
        <v>Tricep JM press</v>
      </c>
      <c r="FF25" s="5" t="str">
        <f t="array" ref="FF25">IFERROR(IF('T1'!$J25="",INDEX(LISTA_EX,160),INDEX(LISTA_EX,MATCH('T1'!$J25&amp;"|"&amp;160,LISTA_KLUCZ,0))),"")</f>
        <v>Tricep OH cable</v>
      </c>
      <c r="FG25" s="5" t="str">
        <f t="array" ref="FG25">IFERROR(IF('T1'!$J25="",INDEX(LISTA_EX,161),INDEX(LISTA_EX,MATCH('T1'!$J25&amp;"|"&amp;161,LISTA_KLUCZ,0))),"")</f>
        <v>Tricep OH ez bar</v>
      </c>
      <c r="FH25" s="5" t="str">
        <f t="array" ref="FH25">IFERROR(IF('T1'!$J25="",INDEX(LISTA_EX,162),INDEX(LISTA_EX,MATCH('T1'!$J25&amp;"|"&amp;162,LISTA_KLUCZ,0))),"")</f>
        <v>Walking lunges</v>
      </c>
      <c r="FI25" s="5" t="str">
        <f t="array" ref="FI25">IFERROR(IF('T1'!$J25="",INDEX(LISTA_EX,163),INDEX(LISTA_EX,MATCH('T1'!$J25&amp;"|"&amp;163,LISTA_KLUCZ,0))),"")</f>
        <v>Wipers kettle</v>
      </c>
      <c r="FJ25" s="5" t="str">
        <f t="array" ref="FJ25">IFERROR(IF('T1'!$J25="",INDEX(LISTA_EX,164),INDEX(LISTA_EX,MATCH('T1'!$J25&amp;"|"&amp;164,LISTA_KLUCZ,0))),"")</f>
        <v>Zercher jumps</v>
      </c>
      <c r="FK25" s="5" t="str">
        <f t="array" ref="FK25">IFERROR(IF('T1'!$J25="",INDEX(LISTA_EX,165),INDEX(LISTA_EX,MATCH('T1'!$J25&amp;"|"&amp;165,LISTA_KLUCZ,0))),"")</f>
        <v/>
      </c>
      <c r="FL25" s="5" t="str">
        <f t="array" ref="FL25">IFERROR(IF('T1'!$J25="",INDEX(LISTA_EX,166),INDEX(LISTA_EX,MATCH('T1'!$J25&amp;"|"&amp;166,LISTA_KLUCZ,0))),"")</f>
        <v/>
      </c>
      <c r="FM25" s="5" t="str">
        <f t="array" ref="FM25">IFERROR(IF('T1'!$J25="",INDEX(LISTA_EX,167),INDEX(LISTA_EX,MATCH('T1'!$J25&amp;"|"&amp;167,LISTA_KLUCZ,0))),"")</f>
        <v/>
      </c>
      <c r="FN25" s="5" t="str">
        <f t="array" ref="FN25">IFERROR(IF('T1'!$J25="",INDEX(LISTA_EX,168),INDEX(LISTA_EX,MATCH('T1'!$J25&amp;"|"&amp;168,LISTA_KLUCZ,0))),"")</f>
        <v/>
      </c>
      <c r="FO25" s="5" t="str">
        <f t="array" ref="FO25">IFERROR(IF('T1'!$J25="",INDEX(LISTA_EX,169),INDEX(LISTA_EX,MATCH('T1'!$J25&amp;"|"&amp;169,LISTA_KLUCZ,0))),"")</f>
        <v/>
      </c>
      <c r="FP25" s="5" t="str">
        <f t="array" ref="FP25">IFERROR(IF('T1'!$J25="",INDEX(LISTA_EX,170),INDEX(LISTA_EX,MATCH('T1'!$J25&amp;"|"&amp;170,LISTA_KLUCZ,0))),"")</f>
        <v/>
      </c>
      <c r="FQ25" s="5" t="str">
        <f t="array" ref="FQ25">IFERROR(IF('T1'!$J25="",INDEX(LISTA_EX,171),INDEX(LISTA_EX,MATCH('T1'!$J25&amp;"|"&amp;171,LISTA_KLUCZ,0))),"")</f>
        <v/>
      </c>
      <c r="FR25" s="5" t="str">
        <f t="array" ref="FR25">IFERROR(IF('T1'!$J25="",INDEX(LISTA_EX,172),INDEX(LISTA_EX,MATCH('T1'!$J25&amp;"|"&amp;172,LISTA_KLUCZ,0))),"")</f>
        <v/>
      </c>
      <c r="FS25" s="5" t="str">
        <f t="array" ref="FS25">IFERROR(IF('T1'!$J25="",INDEX(LISTA_EX,173),INDEX(LISTA_EX,MATCH('T1'!$J25&amp;"|"&amp;173,LISTA_KLUCZ,0))),"")</f>
        <v/>
      </c>
      <c r="FT25" s="5" t="str">
        <f t="array" ref="FT25">IFERROR(IF('T1'!$J25="",INDEX(LISTA_EX,174),INDEX(LISTA_EX,MATCH('T1'!$J25&amp;"|"&amp;174,LISTA_KLUCZ,0))),"")</f>
        <v/>
      </c>
      <c r="FU25" s="5" t="str">
        <f t="array" ref="FU25">IFERROR(IF('T1'!$J25="",INDEX(LISTA_EX,175),INDEX(LISTA_EX,MATCH('T1'!$J25&amp;"|"&amp;175,LISTA_KLUCZ,0))),"")</f>
        <v/>
      </c>
      <c r="FV25" s="5" t="str">
        <f t="array" ref="FV25">IFERROR(IF('T1'!$J25="",INDEX(LISTA_EX,176),INDEX(LISTA_EX,MATCH('T1'!$J25&amp;"|"&amp;176,LISTA_KLUCZ,0))),"")</f>
        <v/>
      </c>
      <c r="FW25" s="5" t="str">
        <f t="array" ref="FW25">IFERROR(IF('T1'!$J25="",INDEX(LISTA_EX,177),INDEX(LISTA_EX,MATCH('T1'!$J25&amp;"|"&amp;177,LISTA_KLUCZ,0))),"")</f>
        <v/>
      </c>
      <c r="FX25" s="5" t="str">
        <f t="array" ref="FX25">IFERROR(IF('T1'!$J25="",INDEX(LISTA_EX,178),INDEX(LISTA_EX,MATCH('T1'!$J25&amp;"|"&amp;178,LISTA_KLUCZ,0))),"")</f>
        <v/>
      </c>
      <c r="FY25" s="5" t="str">
        <f t="array" ref="FY25">IFERROR(IF('T1'!$J25="",INDEX(LISTA_EX,179),INDEX(LISTA_EX,MATCH('T1'!$J25&amp;"|"&amp;179,LISTA_KLUCZ,0))),"")</f>
        <v/>
      </c>
      <c r="FZ25" s="5" t="str">
        <f t="array" ref="FZ25">IFERROR(IF('T1'!$J25="",INDEX(LISTA_EX,180),INDEX(LISTA_EX,MATCH('T1'!$J25&amp;"|"&amp;180,LISTA_KLUCZ,0))),"")</f>
        <v/>
      </c>
      <c r="GA25" s="5" t="str">
        <f t="array" ref="GA25">IFERROR(IF('T1'!$J25="",INDEX(LISTA_EX,181),INDEX(LISTA_EX,MATCH('T1'!$J25&amp;"|"&amp;181,LISTA_KLUCZ,0))),"")</f>
        <v/>
      </c>
      <c r="GB25" s="5" t="str">
        <f t="array" ref="GB25">IFERROR(IF('T1'!$J25="",INDEX(LISTA_EX,182),INDEX(LISTA_EX,MATCH('T1'!$J25&amp;"|"&amp;182,LISTA_KLUCZ,0))),"")</f>
        <v/>
      </c>
      <c r="GC25" s="5" t="str">
        <f t="array" ref="GC25">IFERROR(IF('T1'!$J25="",INDEX(LISTA_EX,183),INDEX(LISTA_EX,MATCH('T1'!$J25&amp;"|"&amp;183,LISTA_KLUCZ,0))),"")</f>
        <v/>
      </c>
      <c r="GD25" s="5" t="str">
        <f t="array" ref="GD25">IFERROR(IF('T1'!$J25="",INDEX(LISTA_EX,184),INDEX(LISTA_EX,MATCH('T1'!$J25&amp;"|"&amp;184,LISTA_KLUCZ,0))),"")</f>
        <v/>
      </c>
      <c r="GE25" s="5" t="str">
        <f t="array" ref="GE25">IFERROR(IF('T1'!$J25="",INDEX(LISTA_EX,185),INDEX(LISTA_EX,MATCH('T1'!$J25&amp;"|"&amp;185,LISTA_KLUCZ,0))),"")</f>
        <v/>
      </c>
      <c r="GF25" s="5" t="str">
        <f t="array" ref="GF25">IFERROR(IF('T1'!$J25="",INDEX(LISTA_EX,186),INDEX(LISTA_EX,MATCH('T1'!$J25&amp;"|"&amp;186,LISTA_KLUCZ,0))),"")</f>
        <v/>
      </c>
      <c r="GG25" s="5" t="str">
        <f t="array" ref="GG25">IFERROR(IF('T1'!$J25="",INDEX(LISTA_EX,187),INDEX(LISTA_EX,MATCH('T1'!$J25&amp;"|"&amp;187,LISTA_KLUCZ,0))),"")</f>
        <v/>
      </c>
      <c r="GH25" s="5" t="str">
        <f t="array" ref="GH25">IFERROR(IF('T1'!$J25="",INDEX(LISTA_EX,188),INDEX(LISTA_EX,MATCH('T1'!$J25&amp;"|"&amp;188,LISTA_KLUCZ,0))),"")</f>
        <v/>
      </c>
      <c r="GI25" s="5" t="str">
        <f t="array" ref="GI25">IFERROR(IF('T1'!$J25="",INDEX(LISTA_EX,189),INDEX(LISTA_EX,MATCH('T1'!$J25&amp;"|"&amp;189,LISTA_KLUCZ,0))),"")</f>
        <v/>
      </c>
      <c r="GJ25" s="5" t="str">
        <f t="array" ref="GJ25">IFERROR(IF('T1'!$J25="",INDEX(LISTA_EX,190),INDEX(LISTA_EX,MATCH('T1'!$J25&amp;"|"&amp;190,LISTA_KLUCZ,0))),"")</f>
        <v/>
      </c>
      <c r="GK25" s="5" t="str">
        <f t="array" ref="GK25">IFERROR(IF('T1'!$J25="",INDEX(LISTA_EX,191),INDEX(LISTA_EX,MATCH('T1'!$J25&amp;"|"&amp;191,LISTA_KLUCZ,0))),"")</f>
        <v/>
      </c>
      <c r="GL25" s="5" t="str">
        <f t="array" ref="GL25">IFERROR(IF('T1'!$J25="",INDEX(LISTA_EX,192),INDEX(LISTA_EX,MATCH('T1'!$J25&amp;"|"&amp;192,LISTA_KLUCZ,0))),"")</f>
        <v/>
      </c>
      <c r="GM25" s="5" t="str">
        <f t="array" ref="GM25">IFERROR(IF('T1'!$J25="",INDEX(LISTA_EX,193),INDEX(LISTA_EX,MATCH('T1'!$J25&amp;"|"&amp;193,LISTA_KLUCZ,0))),"")</f>
        <v/>
      </c>
      <c r="GN25" s="5" t="str">
        <f t="array" ref="GN25">IFERROR(IF('T1'!$J25="",INDEX(LISTA_EX,194),INDEX(LISTA_EX,MATCH('T1'!$J25&amp;"|"&amp;194,LISTA_KLUCZ,0))),"")</f>
        <v/>
      </c>
      <c r="GO25" s="5" t="str">
        <f t="array" ref="GO25">IFERROR(IF('T1'!$J25="",INDEX(LISTA_EX,195),INDEX(LISTA_EX,MATCH('T1'!$J25&amp;"|"&amp;195,LISTA_KLUCZ,0))),"")</f>
        <v/>
      </c>
      <c r="GP25" s="5" t="str">
        <f t="array" ref="GP25">IFERROR(IF('T1'!$J25="",INDEX(LISTA_EX,196),INDEX(LISTA_EX,MATCH('T1'!$J25&amp;"|"&amp;196,LISTA_KLUCZ,0))),"")</f>
        <v/>
      </c>
      <c r="GQ25" s="5" t="str">
        <f t="array" ref="GQ25">IFERROR(IF('T1'!$J25="",INDEX(LISTA_EX,197),INDEX(LISTA_EX,MATCH('T1'!$J25&amp;"|"&amp;197,LISTA_KLUCZ,0))),"")</f>
        <v/>
      </c>
      <c r="GR25" s="5" t="str">
        <f t="array" ref="GR25">IFERROR(IF('T1'!$J25="",INDEX(LISTA_EX,198),INDEX(LISTA_EX,MATCH('T1'!$J25&amp;"|"&amp;198,LISTA_KLUCZ,0))),"")</f>
        <v/>
      </c>
      <c r="GS25" s="5" t="str">
        <f t="array" ref="GS25">IFERROR(IF('T1'!$J25="",INDEX(LISTA_EX,199),INDEX(LISTA_EX,MATCH('T1'!$J25&amp;"|"&amp;199,LISTA_KLUCZ,0))),"")</f>
        <v/>
      </c>
      <c r="GT25" s="5" t="str">
        <f t="array" ref="GT25">IFERROR(IF('T1'!$J25="",INDEX(LISTA_EX,200),INDEX(LISTA_EX,MATCH('T1'!$J25&amp;"|"&amp;200,LISTA_KLUCZ,0))),"")</f>
        <v/>
      </c>
      <c r="GV25" s="5" t="str">
        <f>IF(BAZA!$A25="","",BAZA!$A25)</f>
        <v>Bicep squat cable curl</v>
      </c>
      <c r="GW25" s="5" t="str">
        <f>IF(BAZA!$B25="","",BAZA!$B25&amp;"|"&amp;COUNTIF(BAZA!$B$3:$B25,BAZA!$B25))</f>
        <v>Bicep|4</v>
      </c>
    </row>
    <row r="26" ht="15.0" customHeight="1">
      <c r="A26" s="5" t="str">
        <f>IF('T1'!$K26="","",'T1'!$K26)</f>
        <v>D2-S04</v>
      </c>
      <c r="B26" s="5" t="str">
        <f>IF('T1'!$J26="","(wszystkie)",'T1'!$J26)</f>
        <v>(wszystkie)</v>
      </c>
      <c r="C26" s="5" t="str">
        <f t="array" ref="C26">IFERROR(IF('T1'!$J26="",INDEX(LISTA_EX,1),INDEX(LISTA_EX,MATCH('T1'!$J26&amp;"|"&amp;1,LISTA_KLUCZ,0))),"")</f>
        <v>Abduction machine</v>
      </c>
      <c r="D26" s="5" t="str">
        <f t="array" ref="D26">IFERROR(IF('T1'!$J26="",INDEX(LISTA_EX,2),INDEX(LISTA_EX,MATCH('T1'!$J26&amp;"|"&amp;2,LISTA_KLUCZ,0))),"")</f>
        <v>Adduction machine</v>
      </c>
      <c r="E26" s="5" t="str">
        <f t="array" ref="E26">IFERROR(IF('T1'!$J26="",INDEX(LISTA_EX,3),INDEX(LISTA_EX,MATCH('T1'!$J26&amp;"|"&amp;3,LISTA_KLUCZ,0))),"")</f>
        <v>Allah</v>
      </c>
      <c r="F26" s="5" t="str">
        <f t="array" ref="F26">IFERROR(IF('T1'!$J26="",INDEX(LISTA_EX,4),INDEX(LISTA_EX,MATCH('T1'!$J26&amp;"|"&amp;4,LISTA_KLUCZ,0))),"")</f>
        <v>Arnold press</v>
      </c>
      <c r="G26" s="5" t="str">
        <f t="array" ref="G26">IFERROR(IF('T1'!$J26="",INDEX(LISTA_EX,5),INDEX(LISTA_EX,MATCH('T1'!$J26&amp;"|"&amp;5,LISTA_KLUCZ,0))),"")</f>
        <v>Arnold press alternating</v>
      </c>
      <c r="H26" s="5" t="str">
        <f t="array" ref="H26">IFERROR(IF('T1'!$J26="",INDEX(LISTA_EX,6),INDEX(LISTA_EX,MATCH('T1'!$J26&amp;"|"&amp;6,LISTA_KLUCZ,0))),"")</f>
        <v>B/l dragonflag eccentric</v>
      </c>
      <c r="I26" s="5" t="str">
        <f t="array" ref="I26">IFERROR(IF('T1'!$J26="",INDEX(LISTA_EX,7),INDEX(LISTA_EX,MATCH('T1'!$J26&amp;"|"&amp;7,LISTA_KLUCZ,0))),"")</f>
        <v>Back extension</v>
      </c>
      <c r="J26" s="5" t="str">
        <f t="array" ref="J26">IFERROR(IF('T1'!$J26="",INDEX(LISTA_EX,8),INDEX(LISTA_EX,MATCH('T1'!$J26&amp;"|"&amp;8,LISTA_KLUCZ,0))),"")</f>
        <v>Banded pistol squat</v>
      </c>
      <c r="K26" s="5" t="str">
        <f t="array" ref="K26">IFERROR(IF('T1'!$J26="",INDEX(LISTA_EX,9),INDEX(LISTA_EX,MATCH('T1'!$J26&amp;"|"&amp;9,LISTA_KLUCZ,0))),"")</f>
        <v>Banded pull ups</v>
      </c>
      <c r="L26" s="5" t="str">
        <f t="array" ref="L26">IFERROR(IF('T1'!$J26="",INDEX(LISTA_EX,10),INDEX(LISTA_EX,MATCH('T1'!$J26&amp;"|"&amp;10,LISTA_KLUCZ,0))),"")</f>
        <v>Barbell back squat</v>
      </c>
      <c r="M26" s="5" t="str">
        <f t="array" ref="M26">IFERROR(IF('T1'!$J26="",INDEX(LISTA_EX,11),INDEX(LISTA_EX,MATCH('T1'!$J26&amp;"|"&amp;11,LISTA_KLUCZ,0))),"")</f>
        <v>Barbell bench press</v>
      </c>
      <c r="N26" s="5" t="str">
        <f t="array" ref="N26">IFERROR(IF('T1'!$J26="",INDEX(LISTA_EX,12),INDEX(LISTA_EX,MATCH('T1'!$J26&amp;"|"&amp;12,LISTA_KLUCZ,0))),"")</f>
        <v>Barbell curl</v>
      </c>
      <c r="O26" s="5" t="str">
        <f t="array" ref="O26">IFERROR(IF('T1'!$J26="",INDEX(LISTA_EX,13),INDEX(LISTA_EX,MATCH('T1'!$J26&amp;"|"&amp;13,LISTA_KLUCZ,0))),"")</f>
        <v>Barbell low bar squat</v>
      </c>
      <c r="P26" s="5" t="str">
        <f t="array" ref="P26">IFERROR(IF('T1'!$J26="",INDEX(LISTA_EX,14),INDEX(LISTA_EX,MATCH('T1'!$J26&amp;"|"&amp;14,LISTA_KLUCZ,0))),"")</f>
        <v>Barbell OHP</v>
      </c>
      <c r="Q26" s="5" t="str">
        <f t="array" ref="Q26">IFERROR(IF('T1'!$J26="",INDEX(LISTA_EX,15),INDEX(LISTA_EX,MATCH('T1'!$J26&amp;"|"&amp;15,LISTA_KLUCZ,0))),"")</f>
        <v>Barbell oscilation</v>
      </c>
      <c r="R26" s="5" t="str">
        <f t="array" ref="R26">IFERROR(IF('T1'!$J26="",INDEX(LISTA_EX,16),INDEX(LISTA_EX,MATCH('T1'!$J26&amp;"|"&amp;16,LISTA_KLUCZ,0))),"")</f>
        <v>Barbell row</v>
      </c>
      <c r="S26" s="5" t="str">
        <f t="array" ref="S26">IFERROR(IF('T1'!$J26="",INDEX(LISTA_EX,17),INDEX(LISTA_EX,MATCH('T1'!$J26&amp;"|"&amp;17,LISTA_KLUCZ,0))),"")</f>
        <v>Barbell row dead stop pins</v>
      </c>
      <c r="T26" s="5" t="str">
        <f t="array" ref="T26">IFERROR(IF('T1'!$J26="",INDEX(LISTA_EX,18),INDEX(LISTA_EX,MATCH('T1'!$J26&amp;"|"&amp;18,LISTA_KLUCZ,0))),"")</f>
        <v>Barbell SLDL</v>
      </c>
      <c r="U26" s="5" t="str">
        <f t="array" ref="U26">IFERROR(IF('T1'!$J26="",INDEX(LISTA_EX,19),INDEX(LISTA_EX,MATCH('T1'!$J26&amp;"|"&amp;19,LISTA_KLUCZ,0))),"")</f>
        <v>Bayesian curl</v>
      </c>
      <c r="V26" s="5" t="str">
        <f t="array" ref="V26">IFERROR(IF('T1'!$J26="",INDEX(LISTA_EX,20),INDEX(LISTA_EX,MATCH('T1'!$J26&amp;"|"&amp;20,LISTA_KLUCZ,0))),"")</f>
        <v>Bear renegade row</v>
      </c>
      <c r="W26" s="5" t="str">
        <f t="array" ref="W26">IFERROR(IF('T1'!$J26="",INDEX(LISTA_EX,21),INDEX(LISTA_EX,MATCH('T1'!$J26&amp;"|"&amp;21,LISTA_KLUCZ,0))),"")</f>
        <v>Bench press paused 3sec</v>
      </c>
      <c r="X26" s="5" t="str">
        <f t="array" ref="X26">IFERROR(IF('T1'!$J26="",INDEX(LISTA_EX,22),INDEX(LISTA_EX,MATCH('T1'!$J26&amp;"|"&amp;22,LISTA_KLUCZ,0))),"")</f>
        <v>Bicep hammer curl</v>
      </c>
      <c r="Y26" s="5" t="str">
        <f t="array" ref="Y26">IFERROR(IF('T1'!$J26="",INDEX(LISTA_EX,23),INDEX(LISTA_EX,MATCH('T1'!$J26&amp;"|"&amp;23,LISTA_KLUCZ,0))),"")</f>
        <v>Bicep squat cable curl</v>
      </c>
      <c r="Z26" s="5" t="str">
        <f t="array" ref="Z26">IFERROR(IF('T1'!$J26="",INDEX(LISTA_EX,24),INDEX(LISTA_EX,MATCH('T1'!$J26&amp;"|"&amp;24,LISTA_KLUCZ,0))),"")</f>
        <v>Bird dog row</v>
      </c>
      <c r="AA26" s="5" t="str">
        <f t="array" ref="AA26">IFERROR(IF('T1'!$J26="",INDEX(LISTA_EX,25),INDEX(LISTA_EX,MATCH('T1'!$J26&amp;"|"&amp;25,LISTA_KLUCZ,0))),"")</f>
        <v>Box jump</v>
      </c>
      <c r="AB26" s="5" t="str">
        <f t="array" ref="AB26">IFERROR(IF('T1'!$J26="",INDEX(LISTA_EX,26),INDEX(LISTA_EX,MATCH('T1'!$J26&amp;"|"&amp;26,LISTA_KLUCZ,0))),"")</f>
        <v>Bulgarian clean plyo</v>
      </c>
      <c r="AC26" s="5" t="str">
        <f t="array" ref="AC26">IFERROR(IF('T1'!$J26="",INDEX(LISTA_EX,27),INDEX(LISTA_EX,MATCH('T1'!$J26&amp;"|"&amp;27,LISTA_KLUCZ,0))),"")</f>
        <v>Bulgarian squat assisted</v>
      </c>
      <c r="AD26" s="5" t="str">
        <f t="array" ref="AD26">IFERROR(IF('T1'!$J26="",INDEX(LISTA_EX,28),INDEX(LISTA_EX,MATCH('T1'!$J26&amp;"|"&amp;28,LISTA_KLUCZ,0))),"")</f>
        <v>Cable biceps curl</v>
      </c>
      <c r="AE26" s="5" t="str">
        <f t="array" ref="AE26">IFERROR(IF('T1'!$J26="",INDEX(LISTA_EX,29),INDEX(LISTA_EX,MATCH('T1'!$J26&amp;"|"&amp;29,LISTA_KLUCZ,0))),"")</f>
        <v>Cable fly</v>
      </c>
      <c r="AF26" s="5" t="str">
        <f t="array" ref="AF26">IFERROR(IF('T1'!$J26="",INDEX(LISTA_EX,30),INDEX(LISTA_EX,MATCH('T1'!$J26&amp;"|"&amp;30,LISTA_KLUCZ,0))),"")</f>
        <v>Cable lateral raise s/a</v>
      </c>
      <c r="AG26" s="5" t="str">
        <f t="array" ref="AG26">IFERROR(IF('T1'!$J26="",INDEX(LISTA_EX,31),INDEX(LISTA_EX,MATCH('T1'!$J26&amp;"|"&amp;31,LISTA_KLUCZ,0))),"")</f>
        <v>Cable row</v>
      </c>
      <c r="AH26" s="5" t="str">
        <f t="array" ref="AH26">IFERROR(IF('T1'!$J26="",INDEX(LISTA_EX,32),INDEX(LISTA_EX,MATCH('T1'!$J26&amp;"|"&amp;32,LISTA_KLUCZ,0))),"")</f>
        <v>Cable row s/a</v>
      </c>
      <c r="AI26" s="5" t="str">
        <f t="array" ref="AI26">IFERROR(IF('T1'!$J26="",INDEX(LISTA_EX,33),INDEX(LISTA_EX,MATCH('T1'!$J26&amp;"|"&amp;33,LISTA_KLUCZ,0))),"")</f>
        <v>Calf raises</v>
      </c>
      <c r="AJ26" s="5" t="str">
        <f t="array" ref="AJ26">IFERROR(IF('T1'!$J26="",INDEX(LISTA_EX,34),INDEX(LISTA_EX,MATCH('T1'!$J26&amp;"|"&amp;34,LISTA_KLUCZ,0))),"")</f>
        <v>Chest fly machine</v>
      </c>
      <c r="AK26" s="5" t="str">
        <f t="array" ref="AK26">IFERROR(IF('T1'!$J26="",INDEX(LISTA_EX,35),INDEX(LISTA_EX,MATCH('T1'!$J26&amp;"|"&amp;35,LISTA_KLUCZ,0))),"")</f>
        <v>Clean</v>
      </c>
      <c r="AL26" s="5" t="str">
        <f t="array" ref="AL26">IFERROR(IF('T1'!$J26="",INDEX(LISTA_EX,36),INDEX(LISTA_EX,MATCH('T1'!$J26&amp;"|"&amp;36,LISTA_KLUCZ,0))),"")</f>
        <v>Clean pins</v>
      </c>
      <c r="AM26" s="5" t="str">
        <f t="array" ref="AM26">IFERROR(IF('T1'!$J26="",INDEX(LISTA_EX,37),INDEX(LISTA_EX,MATCH('T1'!$J26&amp;"|"&amp;37,LISTA_KLUCZ,0))),"")</f>
        <v>Copenhagen plank</v>
      </c>
      <c r="AN26" s="5" t="str">
        <f t="array" ref="AN26">IFERROR(IF('T1'!$J26="",INDEX(LISTA_EX,38),INDEX(LISTA_EX,MATCH('T1'!$J26&amp;"|"&amp;38,LISTA_KLUCZ,0))),"")</f>
        <v>Dead bug izo + OH</v>
      </c>
      <c r="AO26" s="5" t="str">
        <f t="array" ref="AO26">IFERROR(IF('T1'!$J26="",INDEX(LISTA_EX,39),INDEX(LISTA_EX,MATCH('T1'!$J26&amp;"|"&amp;39,LISTA_KLUCZ,0))),"")</f>
        <v>Dead bug straight legs</v>
      </c>
      <c r="AP26" s="5" t="str">
        <f t="array" ref="AP26">IFERROR(IF('T1'!$J26="",INDEX(LISTA_EX,40),INDEX(LISTA_EX,MATCH('T1'!$J26&amp;"|"&amp;40,LISTA_KLUCZ,0))),"")</f>
        <v>Dead stop barbell row</v>
      </c>
      <c r="AQ26" s="5" t="str">
        <f t="array" ref="AQ26">IFERROR(IF('T1'!$J26="",INDEX(LISTA_EX,41),INDEX(LISTA_EX,MATCH('T1'!$J26&amp;"|"&amp;41,LISTA_KLUCZ,0))),"")</f>
        <v>Deadbug OH</v>
      </c>
      <c r="AR26" s="5" t="str">
        <f t="array" ref="AR26">IFERROR(IF('T1'!$J26="",INDEX(LISTA_EX,42),INDEX(LISTA_EX,MATCH('T1'!$J26&amp;"|"&amp;42,LISTA_KLUCZ,0))),"")</f>
        <v>Deadlift</v>
      </c>
      <c r="AS26" s="5" t="str">
        <f t="array" ref="AS26">IFERROR(IF('T1'!$J26="",INDEX(LISTA_EX,43),INDEX(LISTA_EX,MATCH('T1'!$J26&amp;"|"&amp;43,LISTA_KLUCZ,0))),"")</f>
        <v>Deficit push up</v>
      </c>
      <c r="AT26" s="5" t="str">
        <f t="array" ref="AT26">IFERROR(IF('T1'!$J26="",INDEX(LISTA_EX,44),INDEX(LISTA_EX,MATCH('T1'!$J26&amp;"|"&amp;44,LISTA_KLUCZ,0))),"")</f>
        <v>Deficit reverse lunge</v>
      </c>
      <c r="AU26" s="5" t="str">
        <f t="array" ref="AU26">IFERROR(IF('T1'!$J26="",INDEX(LISTA_EX,45),INDEX(LISTA_EX,MATCH('T1'!$J26&amp;"|"&amp;45,LISTA_KLUCZ,0))),"")</f>
        <v>Dips</v>
      </c>
      <c r="AV26" s="5" t="str">
        <f t="array" ref="AV26">IFERROR(IF('T1'!$J26="",INDEX(LISTA_EX,46),INDEX(LISTA_EX,MATCH('T1'!$J26&amp;"|"&amp;46,LISTA_KLUCZ,0))),"")</f>
        <v>Dips weighted</v>
      </c>
      <c r="AW26" s="5" t="str">
        <f t="array" ref="AW26">IFERROR(IF('T1'!$J26="",INDEX(LISTA_EX,47),INDEX(LISTA_EX,MATCH('T1'!$J26&amp;"|"&amp;47,LISTA_KLUCZ,0))),"")</f>
        <v>Dumbbell bench press</v>
      </c>
      <c r="AX26" s="5" t="str">
        <f t="array" ref="AX26">IFERROR(IF('T1'!$J26="",INDEX(LISTA_EX,48),INDEX(LISTA_EX,MATCH('T1'!$J26&amp;"|"&amp;48,LISTA_KLUCZ,0))),"")</f>
        <v>Dumbbell bench press alternating</v>
      </c>
      <c r="AY26" s="5" t="str">
        <f t="array" ref="AY26">IFERROR(IF('T1'!$J26="",INDEX(LISTA_EX,49),INDEX(LISTA_EX,MATCH('T1'!$J26&amp;"|"&amp;49,LISTA_KLUCZ,0))),"")</f>
        <v>Dumbbell curl</v>
      </c>
      <c r="AZ26" s="5" t="str">
        <f t="array" ref="AZ26">IFERROR(IF('T1'!$J26="",INDEX(LISTA_EX,50),INDEX(LISTA_EX,MATCH('T1'!$J26&amp;"|"&amp;50,LISTA_KLUCZ,0))),"")</f>
        <v>Dumbbell external rotation</v>
      </c>
      <c r="BA26" s="5" t="str">
        <f t="array" ref="BA26">IFERROR(IF('T1'!$J26="",INDEX(LISTA_EX,51),INDEX(LISTA_EX,MATCH('T1'!$J26&amp;"|"&amp;51,LISTA_KLUCZ,0))),"")</f>
        <v>Dumbbell face down curl</v>
      </c>
      <c r="BB26" s="5" t="str">
        <f t="array" ref="BB26">IFERROR(IF('T1'!$J26="",INDEX(LISTA_EX,52),INDEX(LISTA_EX,MATCH('T1'!$J26&amp;"|"&amp;52,LISTA_KLUCZ,0))),"")</f>
        <v>Dumbbell fly</v>
      </c>
      <c r="BC26" s="5" t="str">
        <f t="array" ref="BC26">IFERROR(IF('T1'!$J26="",INDEX(LISTA_EX,53),INDEX(LISTA_EX,MATCH('T1'!$J26&amp;"|"&amp;53,LISTA_KLUCZ,0))),"")</f>
        <v>Dumbbell french press</v>
      </c>
      <c r="BD26" s="5" t="str">
        <f t="array" ref="BD26">IFERROR(IF('T1'!$J26="",INDEX(LISTA_EX,54),INDEX(LISTA_EX,MATCH('T1'!$J26&amp;"|"&amp;54,LISTA_KLUCZ,0))),"")</f>
        <v>Dumbbell lateral raise</v>
      </c>
      <c r="BE26" s="5" t="str">
        <f t="array" ref="BE26">IFERROR(IF('T1'!$J26="",INDEX(LISTA_EX,55),INDEX(LISTA_EX,MATCH('T1'!$J26&amp;"|"&amp;55,LISTA_KLUCZ,0))),"")</f>
        <v>Dumbbell lunges</v>
      </c>
      <c r="BF26" s="5" t="str">
        <f t="array" ref="BF26">IFERROR(IF('T1'!$J26="",INDEX(LISTA_EX,56),INDEX(LISTA_EX,MATCH('T1'!$J26&amp;"|"&amp;56,LISTA_KLUCZ,0))),"")</f>
        <v>Dumbbell OH press</v>
      </c>
      <c r="BG26" s="5" t="str">
        <f t="array" ref="BG26">IFERROR(IF('T1'!$J26="",INDEX(LISTA_EX,57),INDEX(LISTA_EX,MATCH('T1'!$J26&amp;"|"&amp;57,LISTA_KLUCZ,0))),"")</f>
        <v>Dumbbell over head press</v>
      </c>
      <c r="BH26" s="5" t="str">
        <f t="array" ref="BH26">IFERROR(IF('T1'!$J26="",INDEX(LISTA_EX,58),INDEX(LISTA_EX,MATCH('T1'!$J26&amp;"|"&amp;58,LISTA_KLUCZ,0))),"")</f>
        <v>Dumbbell over head press alternating</v>
      </c>
      <c r="BI26" s="5" t="str">
        <f t="array" ref="BI26">IFERROR(IF('T1'!$J26="",INDEX(LISTA_EX,59),INDEX(LISTA_EX,MATCH('T1'!$J26&amp;"|"&amp;59,LISTA_KLUCZ,0))),"")</f>
        <v>Dumbbell row</v>
      </c>
      <c r="BJ26" s="5" t="str">
        <f t="array" ref="BJ26">IFERROR(IF('T1'!$J26="",INDEX(LISTA_EX,60),INDEX(LISTA_EX,MATCH('T1'!$J26&amp;"|"&amp;60,LISTA_KLUCZ,0))),"")</f>
        <v>Dumbbell s/a Arnold press</v>
      </c>
      <c r="BK26" s="5" t="str">
        <f t="array" ref="BK26">IFERROR(IF('T1'!$J26="",INDEX(LISTA_EX,61),INDEX(LISTA_EX,MATCH('T1'!$J26&amp;"|"&amp;61,LISTA_KLUCZ,0))),"")</f>
        <v>Dumbbell s/a row</v>
      </c>
      <c r="BL26" s="5" t="str">
        <f t="array" ref="BL26">IFERROR(IF('T1'!$J26="",INDEX(LISTA_EX,62),INDEX(LISTA_EX,MATCH('T1'!$J26&amp;"|"&amp;62,LISTA_KLUCZ,0))),"")</f>
        <v>Dumbbell seal row</v>
      </c>
      <c r="BM26" s="5" t="str">
        <f t="array" ref="BM26">IFERROR(IF('T1'!$J26="",INDEX(LISTA_EX,63),INDEX(LISTA_EX,MATCH('T1'!$J26&amp;"|"&amp;63,LISTA_KLUCZ,0))),"")</f>
        <v>Dumbbells jumps</v>
      </c>
      <c r="BN26" s="5" t="str">
        <f t="array" ref="BN26">IFERROR(IF('T1'!$J26="",INDEX(LISTA_EX,64),INDEX(LISTA_EX,MATCH('T1'!$J26&amp;"|"&amp;64,LISTA_KLUCZ,0))),"")</f>
        <v>Eccentric pull up</v>
      </c>
      <c r="BO26" s="5" t="str">
        <f t="array" ref="BO26">IFERROR(IF('T1'!$J26="",INDEX(LISTA_EX,65),INDEX(LISTA_EX,MATCH('T1'!$J26&amp;"|"&amp;65,LISTA_KLUCZ,0))),"")</f>
        <v>Eccentric push up (5 sek w dół)</v>
      </c>
      <c r="BP26" s="5" t="str">
        <f t="array" ref="BP26">IFERROR(IF('T1'!$J26="",INDEX(LISTA_EX,66),INDEX(LISTA_EX,MATCH('T1'!$J26&amp;"|"&amp;66,LISTA_KLUCZ,0))),"")</f>
        <v>Extensive plyo jumps s/l</v>
      </c>
      <c r="BQ26" s="5" t="str">
        <f t="array" ref="BQ26">IFERROR(IF('T1'!$J26="",INDEX(LISTA_EX,67),INDEX(LISTA_EX,MATCH('T1'!$J26&amp;"|"&amp;67,LISTA_KLUCZ,0))),"")</f>
        <v>Ez bar curl</v>
      </c>
      <c r="BR26" s="5" t="str">
        <f t="array" ref="BR26">IFERROR(IF('T1'!$J26="",INDEX(LISTA_EX,68),INDEX(LISTA_EX,MATCH('T1'!$J26&amp;"|"&amp;68,LISTA_KLUCZ,0))),"")</f>
        <v>Facepull chest supported</v>
      </c>
      <c r="BS26" s="5" t="str">
        <f t="array" ref="BS26">IFERROR(IF('T1'!$J26="",INDEX(LISTA_EX,69),INDEX(LISTA_EX,MATCH('T1'!$J26&amp;"|"&amp;69,LISTA_KLUCZ,0))),"")</f>
        <v>Front foot elevated split squat</v>
      </c>
      <c r="BT26" s="5" t="str">
        <f t="array" ref="BT26">IFERROR(IF('T1'!$J26="",INDEX(LISTA_EX,70),INDEX(LISTA_EX,MATCH('T1'!$J26&amp;"|"&amp;70,LISTA_KLUCZ,0))),"")</f>
        <v>Front squat</v>
      </c>
      <c r="BU26" s="5" t="str">
        <f t="array" ref="BU26">IFERROR(IF('T1'!$J26="",INDEX(LISTA_EX,71),INDEX(LISTA_EX,MATCH('T1'!$J26&amp;"|"&amp;71,LISTA_KLUCZ,0))),"")</f>
        <v>GHD flexion</v>
      </c>
      <c r="BV26" s="5" t="str">
        <f t="array" ref="BV26">IFERROR(IF('T1'!$J26="",INDEX(LISTA_EX,72),INDEX(LISTA_EX,MATCH('T1'!$J26&amp;"|"&amp;72,LISTA_KLUCZ,0))),"")</f>
        <v>Glute bridge hamstrings izo + OH</v>
      </c>
      <c r="BW26" s="5" t="str">
        <f t="array" ref="BW26">IFERROR(IF('T1'!$J26="",INDEX(LISTA_EX,73),INDEX(LISTA_EX,MATCH('T1'!$J26&amp;"|"&amp;73,LISTA_KLUCZ,0))),"")</f>
        <v>Glute crusher</v>
      </c>
      <c r="BX26" s="5" t="str">
        <f t="array" ref="BX26">IFERROR(IF('T1'!$J26="",INDEX(LISTA_EX,74),INDEX(LISTA_EX,MATCH('T1'!$J26&amp;"|"&amp;74,LISTA_KLUCZ,0))),"")</f>
        <v>Gorilla row</v>
      </c>
      <c r="BY26" s="5" t="str">
        <f t="array" ref="BY26">IFERROR(IF('T1'!$J26="",INDEX(LISTA_EX,75),INDEX(LISTA_EX,MATCH('T1'!$J26&amp;"|"&amp;75,LISTA_KLUCZ,0))),"")</f>
        <v>Halfkneeling s/a cable pull</v>
      </c>
      <c r="BZ26" s="5" t="str">
        <f t="array" ref="BZ26">IFERROR(IF('T1'!$J26="",INDEX(LISTA_EX,76),INDEX(LISTA_EX,MATCH('T1'!$J26&amp;"|"&amp;76,LISTA_KLUCZ,0))),"")</f>
        <v>Halfkneeling wood chopper</v>
      </c>
      <c r="CA26" s="5" t="str">
        <f t="array" ref="CA26">IFERROR(IF('T1'!$J26="",INDEX(LISTA_EX,77),INDEX(LISTA_EX,MATCH('T1'!$J26&amp;"|"&amp;77,LISTA_KLUCZ,0))),"")</f>
        <v>Hinged dumbbell row</v>
      </c>
      <c r="CB26" s="5" t="str">
        <f t="array" ref="CB26">IFERROR(IF('T1'!$J26="",INDEX(LISTA_EX,78),INDEX(LISTA_EX,MATCH('T1'!$J26&amp;"|"&amp;78,LISTA_KLUCZ,0))),"")</f>
        <v>Hip aeroplane</v>
      </c>
      <c r="CC26" s="5" t="str">
        <f t="array" ref="CC26">IFERROR(IF('T1'!$J26="",INDEX(LISTA_EX,79),INDEX(LISTA_EX,MATCH('T1'!$J26&amp;"|"&amp;79,LISTA_KLUCZ,0))),"")</f>
        <v>Hip flexors cable</v>
      </c>
      <c r="CD26" s="5" t="str">
        <f t="array" ref="CD26">IFERROR(IF('T1'!$J26="",INDEX(LISTA_EX,80),INDEX(LISTA_EX,MATCH('T1'!$J26&amp;"|"&amp;80,LISTA_KLUCZ,0))),"")</f>
        <v>Hip thrust barbell</v>
      </c>
      <c r="CE26" s="5" t="str">
        <f t="array" ref="CE26">IFERROR(IF('T1'!$J26="",INDEX(LISTA_EX,81),INDEX(LISTA_EX,MATCH('T1'!$J26&amp;"|"&amp;81,LISTA_KLUCZ,0))),"")</f>
        <v>Hollow body + OH</v>
      </c>
      <c r="CF26" s="5" t="str">
        <f t="array" ref="CF26">IFERROR(IF('T1'!$J26="",INDEX(LISTA_EX,82),INDEX(LISTA_EX,MATCH('T1'!$J26&amp;"|"&amp;82,LISTA_KLUCZ,0))),"")</f>
        <v>Horizontal jump</v>
      </c>
      <c r="CG26" s="5" t="str">
        <f t="array" ref="CG26">IFERROR(IF('T1'!$J26="",INDEX(LISTA_EX,83),INDEX(LISTA_EX,MATCH('T1'!$J26&amp;"|"&amp;83,LISTA_KLUCZ,0))),"")</f>
        <v>Incline bench lateral raise s/a</v>
      </c>
      <c r="CH26" s="5" t="str">
        <f t="array" ref="CH26">IFERROR(IF('T1'!$J26="",INDEX(LISTA_EX,84),INDEX(LISTA_EX,MATCH('T1'!$J26&amp;"|"&amp;84,LISTA_KLUCZ,0))),"")</f>
        <v>Incline curl + OHP</v>
      </c>
      <c r="CI26" s="5" t="str">
        <f t="array" ref="CI26">IFERROR(IF('T1'!$J26="",INDEX(LISTA_EX,85),INDEX(LISTA_EX,MATCH('T1'!$J26&amp;"|"&amp;85,LISTA_KLUCZ,0))),"")</f>
        <v>Incline dumbbell curl</v>
      </c>
      <c r="CJ26" s="5" t="str">
        <f t="array" ref="CJ26">IFERROR(IF('T1'!$J26="",INDEX(LISTA_EX,86),INDEX(LISTA_EX,MATCH('T1'!$J26&amp;"|"&amp;86,LISTA_KLUCZ,0))),"")</f>
        <v>Incline dumbbell curl (back)</v>
      </c>
      <c r="CK26" s="5" t="str">
        <f t="array" ref="CK26">IFERROR(IF('T1'!$J26="",INDEX(LISTA_EX,87),INDEX(LISTA_EX,MATCH('T1'!$J26&amp;"|"&amp;87,LISTA_KLUCZ,0))),"")</f>
        <v>Incline dumbbell curl (front)</v>
      </c>
      <c r="CL26" s="5" t="str">
        <f t="array" ref="CL26">IFERROR(IF('T1'!$J26="",INDEX(LISTA_EX,88),INDEX(LISTA_EX,MATCH('T1'!$J26&amp;"|"&amp;88,LISTA_KLUCZ,0))),"")</f>
        <v>Incline dumbbell fly</v>
      </c>
      <c r="CM26" s="5" t="str">
        <f t="array" ref="CM26">IFERROR(IF('T1'!$J26="",INDEX(LISTA_EX,89),INDEX(LISTA_EX,MATCH('T1'!$J26&amp;"|"&amp;89,LISTA_KLUCZ,0))),"")</f>
        <v>Incline dumbbell press</v>
      </c>
      <c r="CN26" s="5" t="str">
        <f t="array" ref="CN26">IFERROR(IF('T1'!$J26="",INDEX(LISTA_EX,90),INDEX(LISTA_EX,MATCH('T1'!$J26&amp;"|"&amp;90,LISTA_KLUCZ,0))),"")</f>
        <v>Incline dumbbell press alternating</v>
      </c>
      <c r="CO26" s="5" t="str">
        <f t="array" ref="CO26">IFERROR(IF('T1'!$J26="",INDEX(LISTA_EX,91),INDEX(LISTA_EX,MATCH('T1'!$J26&amp;"|"&amp;91,LISTA_KLUCZ,0))),"")</f>
        <v>Incline sit-ups</v>
      </c>
      <c r="CP26" s="5" t="str">
        <f t="array" ref="CP26">IFERROR(IF('T1'!$J26="",INDEX(LISTA_EX,92),INDEX(LISTA_EX,MATCH('T1'!$J26&amp;"|"&amp;92,LISTA_KLUCZ,0))),"")</f>
        <v>Jefferson cable</v>
      </c>
      <c r="CQ26" s="5" t="str">
        <f t="array" ref="CQ26">IFERROR(IF('T1'!$J26="",INDEX(LISTA_EX,93),INDEX(LISTA_EX,MATCH('T1'!$J26&amp;"|"&amp;93,LISTA_KLUCZ,0))),"")</f>
        <v>Kettlebell march</v>
      </c>
      <c r="CR26" s="5" t="str">
        <f t="array" ref="CR26">IFERROR(IF('T1'!$J26="",INDEX(LISTA_EX,94),INDEX(LISTA_EX,MATCH('T1'!$J26&amp;"|"&amp;94,LISTA_KLUCZ,0))),"")</f>
        <v>Kickbacks</v>
      </c>
      <c r="CS26" s="5" t="str">
        <f t="array" ref="CS26">IFERROR(IF('T1'!$J26="",INDEX(LISTA_EX,95),INDEX(LISTA_EX,MATCH('T1'!$J26&amp;"|"&amp;95,LISTA_KLUCZ,0))),"")</f>
        <v>Knee extension machine</v>
      </c>
      <c r="CT26" s="5" t="str">
        <f t="array" ref="CT26">IFERROR(IF('T1'!$J26="",INDEX(LISTA_EX,96),INDEX(LISTA_EX,MATCH('T1'!$J26&amp;"|"&amp;96,LISTA_KLUCZ,0))),"")</f>
        <v>Knee flexion machine</v>
      </c>
      <c r="CU26" s="5" t="str">
        <f t="array" ref="CU26">IFERROR(IF('T1'!$J26="",INDEX(LISTA_EX,97),INDEX(LISTA_EX,MATCH('T1'!$J26&amp;"|"&amp;97,LISTA_KLUCZ,0))),"")</f>
        <v>Knee raises</v>
      </c>
      <c r="CV26" s="5" t="str">
        <f t="array" ref="CV26">IFERROR(IF('T1'!$J26="",INDEX(LISTA_EX,98),INDEX(LISTA_EX,MATCH('T1'!$J26&amp;"|"&amp;98,LISTA_KLUCZ,0))),"")</f>
        <v>Landmine core</v>
      </c>
      <c r="CW26" s="5" t="str">
        <f t="array" ref="CW26">IFERROR(IF('T1'!$J26="",INDEX(LISTA_EX,99),INDEX(LISTA_EX,MATCH('T1'!$J26&amp;"|"&amp;99,LISTA_KLUCZ,0))),"")</f>
        <v>Landmine press</v>
      </c>
      <c r="CX26" s="5" t="str">
        <f t="array" ref="CX26">IFERROR(IF('T1'!$J26="",INDEX(LISTA_EX,100),INDEX(LISTA_EX,MATCH('T1'!$J26&amp;"|"&amp;100,LISTA_KLUCZ,0))),"")</f>
        <v>Landmine rotations (powtórzenia x2)</v>
      </c>
      <c r="CY26" s="5" t="str">
        <f t="array" ref="CY26">IFERROR(IF('T1'!$J26="",INDEX(LISTA_EX,101),INDEX(LISTA_EX,MATCH('T1'!$J26&amp;"|"&amp;101,LISTA_KLUCZ,0))),"")</f>
        <v>Landmine SLDL</v>
      </c>
      <c r="CZ26" s="5" t="str">
        <f t="array" ref="CZ26">IFERROR(IF('T1'!$J26="",INDEX(LISTA_EX,102),INDEX(LISTA_EX,MATCH('T1'!$J26&amp;"|"&amp;102,LISTA_KLUCZ,0))),"")</f>
        <v>Lat pulldown</v>
      </c>
      <c r="DA26" s="5" t="str">
        <f t="array" ref="DA26">IFERROR(IF('T1'!$J26="",INDEX(LISTA_EX,103),INDEX(LISTA_EX,MATCH('T1'!$J26&amp;"|"&amp;103,LISTA_KLUCZ,0))),"")</f>
        <v>Lat pulldown behind the head</v>
      </c>
      <c r="DB26" s="5" t="str">
        <f t="array" ref="DB26">IFERROR(IF('T1'!$J26="",INDEX(LISTA_EX,104),INDEX(LISTA_EX,MATCH('T1'!$J26&amp;"|"&amp;104,LISTA_KLUCZ,0))),"")</f>
        <v>Lat pulldown s/a</v>
      </c>
      <c r="DC26" s="5" t="str">
        <f t="array" ref="DC26">IFERROR(IF('T1'!$J26="",INDEX(LISTA_EX,105),INDEX(LISTA_EX,MATCH('T1'!$J26&amp;"|"&amp;105,LISTA_KLUCZ,0))),"")</f>
        <v>Lateral raise s/a</v>
      </c>
      <c r="DD26" s="5" t="str">
        <f t="array" ref="DD26">IFERROR(IF('T1'!$J26="",INDEX(LISTA_EX,106),INDEX(LISTA_EX,MATCH('T1'!$J26&amp;"|"&amp;106,LISTA_KLUCZ,0))),"")</f>
        <v>Lateral raises</v>
      </c>
      <c r="DE26" s="5" t="str">
        <f t="array" ref="DE26">IFERROR(IF('T1'!$J26="",INDEX(LISTA_EX,107),INDEX(LISTA_EX,MATCH('T1'!$J26&amp;"|"&amp;107,LISTA_KLUCZ,0))),"")</f>
        <v>Lateral raises 2</v>
      </c>
      <c r="DF26" s="5" t="str">
        <f t="array" ref="DF26">IFERROR(IF('T1'!$J26="",INDEX(LISTA_EX,108),INDEX(LISTA_EX,MATCH('T1'!$J26&amp;"|"&amp;108,LISTA_KLUCZ,0))),"")</f>
        <v>Lateral raises full ROM</v>
      </c>
      <c r="DG26" s="5" t="str">
        <f t="array" ref="DG26">IFERROR(IF('T1'!$J26="",INDEX(LISTA_EX,109),INDEX(LISTA_EX,MATCH('T1'!$J26&amp;"|"&amp;109,LISTA_KLUCZ,0))),"")</f>
        <v>Lateral raises hinged</v>
      </c>
      <c r="DH26" s="5" t="str">
        <f t="array" ref="DH26">IFERROR(IF('T1'!$J26="",INDEX(LISTA_EX,110),INDEX(LISTA_EX,MATCH('T1'!$J26&amp;"|"&amp;110,LISTA_KLUCZ,0))),"")</f>
        <v>Lateral raises incline s/a</v>
      </c>
      <c r="DI26" s="5" t="str">
        <f t="array" ref="DI26">IFERROR(IF('T1'!$J26="",INDEX(LISTA_EX,111),INDEX(LISTA_EX,MATCH('T1'!$J26&amp;"|"&amp;111,LISTA_KLUCZ,0))),"")</f>
        <v>Leg curl</v>
      </c>
      <c r="DJ26" s="5" t="str">
        <f t="array" ref="DJ26">IFERROR(IF('T1'!$J26="",INDEX(LISTA_EX,112),INDEX(LISTA_EX,MATCH('T1'!$J26&amp;"|"&amp;112,LISTA_KLUCZ,0))),"")</f>
        <v>Machine row</v>
      </c>
      <c r="DK26" s="5" t="str">
        <f t="array" ref="DK26">IFERROR(IF('T1'!$J26="",INDEX(LISTA_EX,113),INDEX(LISTA_EX,MATCH('T1'!$J26&amp;"|"&amp;113,LISTA_KLUCZ,0))),"")</f>
        <v>Machine row s/a</v>
      </c>
      <c r="DL26" s="5" t="str">
        <f t="array" ref="DL26">IFERROR(IF('T1'!$J26="",INDEX(LISTA_EX,114),INDEX(LISTA_EX,MATCH('T1'!$J26&amp;"|"&amp;114,LISTA_KLUCZ,0))),"")</f>
        <v>Meadows row</v>
      </c>
      <c r="DM26" s="5" t="str">
        <f t="array" ref="DM26">IFERROR(IF('T1'!$J26="",INDEX(LISTA_EX,115),INDEX(LISTA_EX,MATCH('T1'!$J26&amp;"|"&amp;115,LISTA_KLUCZ,0))),"")</f>
        <v>Med ball slam</v>
      </c>
      <c r="DN26" s="5" t="str">
        <f t="array" ref="DN26">IFERROR(IF('T1'!$J26="",INDEX(LISTA_EX,116),INDEX(LISTA_EX,MATCH('T1'!$J26&amp;"|"&amp;116,LISTA_KLUCZ,0))),"")</f>
        <v>OH skullcrushers</v>
      </c>
      <c r="DO26" s="5" t="str">
        <f t="array" ref="DO26">IFERROR(IF('T1'!$J26="",INDEX(LISTA_EX,117),INDEX(LISTA_EX,MATCH('T1'!$J26&amp;"|"&amp;117,LISTA_KLUCZ,0))),"")</f>
        <v>OHP barbell squat 15kg</v>
      </c>
      <c r="DP26" s="5" t="str">
        <f t="array" ref="DP26">IFERROR(IF('T1'!$J26="",INDEX(LISTA_EX,118),INDEX(LISTA_EX,MATCH('T1'!$J26&amp;"|"&amp;118,LISTA_KLUCZ,0))),"")</f>
        <v>Pistol squat eccentric</v>
      </c>
      <c r="DQ26" s="5" t="str">
        <f t="array" ref="DQ26">IFERROR(IF('T1'!$J26="",INDEX(LISTA_EX,119),INDEX(LISTA_EX,MATCH('T1'!$J26&amp;"|"&amp;119,LISTA_KLUCZ,0))),"")</f>
        <v>Plank contralateral</v>
      </c>
      <c r="DR26" s="5" t="str">
        <f t="array" ref="DR26">IFERROR(IF('T1'!$J26="",INDEX(LISTA_EX,120),INDEX(LISTA_EX,MATCH('T1'!$J26&amp;"|"&amp;120,LISTA_KLUCZ,0))),"")</f>
        <v>Plank dumbbell rotation</v>
      </c>
      <c r="DS26" s="5" t="str">
        <f t="array" ref="DS26">IFERROR(IF('T1'!$J26="",INDEX(LISTA_EX,121),INDEX(LISTA_EX,MATCH('T1'!$J26&amp;"|"&amp;121,LISTA_KLUCZ,0))),"")</f>
        <v>Plank leg raises</v>
      </c>
      <c r="DT26" s="5" t="str">
        <f t="array" ref="DT26">IFERROR(IF('T1'!$J26="",INDEX(LISTA_EX,122),INDEX(LISTA_EX,MATCH('T1'!$J26&amp;"|"&amp;122,LISTA_KLUCZ,0))),"")</f>
        <v>Poliquin step up</v>
      </c>
      <c r="DU26" s="5" t="str">
        <f t="array" ref="DU26">IFERROR(IF('T1'!$J26="",INDEX(LISTA_EX,123),INDEX(LISTA_EX,MATCH('T1'!$J26&amp;"|"&amp;123,LISTA_KLUCZ,0))),"")</f>
        <v>Poliquin step up paused 3sec</v>
      </c>
      <c r="DV26" s="5" t="str">
        <f t="array" ref="DV26">IFERROR(IF('T1'!$J26="",INDEX(LISTA_EX,124),INDEX(LISTA_EX,MATCH('T1'!$J26&amp;"|"&amp;124,LISTA_KLUCZ,0))),"")</f>
        <v>Pronation/Supination</v>
      </c>
      <c r="DW26" s="5" t="str">
        <f t="array" ref="DW26">IFERROR(IF('T1'!$J26="",INDEX(LISTA_EX,125),INDEX(LISTA_EX,MATCH('T1'!$J26&amp;"|"&amp;125,LISTA_KLUCZ,0))),"")</f>
        <v>Pull up</v>
      </c>
      <c r="DX26" s="5" t="str">
        <f t="array" ref="DX26">IFERROR(IF('T1'!$J26="",INDEX(LISTA_EX,126),INDEX(LISTA_EX,MATCH('T1'!$J26&amp;"|"&amp;126,LISTA_KLUCZ,0))),"")</f>
        <v>Pull up eccentric weighted</v>
      </c>
      <c r="DY26" s="5" t="str">
        <f t="array" ref="DY26">IFERROR(IF('T1'!$J26="",INDEX(LISTA_EX,127),INDEX(LISTA_EX,MATCH('T1'!$J26&amp;"|"&amp;127,LISTA_KLUCZ,0))),"")</f>
        <v>Pull up eccentric weighted (5 sek w dół)</v>
      </c>
      <c r="DZ26" s="5" t="str">
        <f t="array" ref="DZ26">IFERROR(IF('T1'!$J26="",INDEX(LISTA_EX,128),INDEX(LISTA_EX,MATCH('T1'!$J26&amp;"|"&amp;128,LISTA_KLUCZ,0))),"")</f>
        <v>Pull up weighted</v>
      </c>
      <c r="EA26" s="5" t="str">
        <f t="array" ref="EA26">IFERROR(IF('T1'!$J26="",INDEX(LISTA_EX,129),INDEX(LISTA_EX,MATCH('T1'!$J26&amp;"|"&amp;129,LISTA_KLUCZ,0))),"")</f>
        <v>Pull ups (paused)</v>
      </c>
      <c r="EB26" s="5" t="str">
        <f t="array" ref="EB26">IFERROR(IF('T1'!$J26="",INDEX(LISTA_EX,130),INDEX(LISTA_EX,MATCH('T1'!$J26&amp;"|"&amp;130,LISTA_KLUCZ,0))),"")</f>
        <v>Push press barbell</v>
      </c>
      <c r="EC26" s="5" t="str">
        <f t="array" ref="EC26">IFERROR(IF('T1'!$J26="",INDEX(LISTA_EX,131),INDEX(LISTA_EX,MATCH('T1'!$J26&amp;"|"&amp;131,LISTA_KLUCZ,0))),"")</f>
        <v>Push up</v>
      </c>
      <c r="ED26" s="5" t="str">
        <f t="array" ref="ED26">IFERROR(IF('T1'!$J26="",INDEX(LISTA_EX,132),INDEX(LISTA_EX,MATCH('T1'!$J26&amp;"|"&amp;132,LISTA_KLUCZ,0))),"")</f>
        <v>Raised bird dog</v>
      </c>
      <c r="EE26" s="5" t="str">
        <f t="array" ref="EE26">IFERROR(IF('T1'!$J26="",INDEX(LISTA_EX,133),INDEX(LISTA_EX,MATCH('T1'!$J26&amp;"|"&amp;133,LISTA_KLUCZ,0))),"")</f>
        <v>RDL</v>
      </c>
      <c r="EF26" s="5" t="str">
        <f t="array" ref="EF26">IFERROR(IF('T1'!$J26="",INDEX(LISTA_EX,134),INDEX(LISTA_EX,MATCH('T1'!$J26&amp;"|"&amp;134,LISTA_KLUCZ,0))),"")</f>
        <v>Reverse Nordic</v>
      </c>
      <c r="EG26" s="5" t="str">
        <f t="array" ref="EG26">IFERROR(IF('T1'!$J26="",INDEX(LISTA_EX,135),INDEX(LISTA_EX,MATCH('T1'!$J26&amp;"|"&amp;135,LISTA_KLUCZ,0))),"")</f>
        <v>Rope pushdown</v>
      </c>
      <c r="EH26" s="5" t="str">
        <f t="array" ref="EH26">IFERROR(IF('T1'!$J26="",INDEX(LISTA_EX,136),INDEX(LISTA_EX,MATCH('T1'!$J26&amp;"|"&amp;136,LISTA_KLUCZ,0))),"")</f>
        <v>Rope pushdown OH</v>
      </c>
      <c r="EI26" s="5" t="str">
        <f t="array" ref="EI26">IFERROR(IF('T1'!$J26="",INDEX(LISTA_EX,137),INDEX(LISTA_EX,MATCH('T1'!$J26&amp;"|"&amp;137,LISTA_KLUCZ,0))),"")</f>
        <v>S/a cable pulldown incline bench</v>
      </c>
      <c r="EJ26" s="5" t="str">
        <f t="array" ref="EJ26">IFERROR(IF('T1'!$J26="",INDEX(LISTA_EX,138),INDEX(LISTA_EX,MATCH('T1'!$J26&amp;"|"&amp;138,LISTA_KLUCZ,0))),"")</f>
        <v>S/a lat pulldown incline bench</v>
      </c>
      <c r="EK26" s="5" t="str">
        <f t="array" ref="EK26">IFERROR(IF('T1'!$J26="",INDEX(LISTA_EX,139),INDEX(LISTA_EX,MATCH('T1'!$J26&amp;"|"&amp;139,LISTA_KLUCZ,0))),"")</f>
        <v>S/l dragonflag eccentric</v>
      </c>
      <c r="EL26" s="5" t="str">
        <f t="array" ref="EL26">IFERROR(IF('T1'!$J26="",INDEX(LISTA_EX,140),INDEX(LISTA_EX,MATCH('T1'!$J26&amp;"|"&amp;140,LISTA_KLUCZ,0))),"")</f>
        <v>S/l hip thrust</v>
      </c>
      <c r="EM26" s="5" t="str">
        <f t="array" ref="EM26">IFERROR(IF('T1'!$J26="",INDEX(LISTA_EX,141),INDEX(LISTA_EX,MATCH('T1'!$J26&amp;"|"&amp;141,LISTA_KLUCZ,0))),"")</f>
        <v>Seated broad jump</v>
      </c>
      <c r="EN26" s="5" t="str">
        <f t="array" ref="EN26">IFERROR(IF('T1'!$J26="",INDEX(LISTA_EX,142),INDEX(LISTA_EX,MATCH('T1'!$J26&amp;"|"&amp;142,LISTA_KLUCZ,0))),"")</f>
        <v>Seated cable facepull</v>
      </c>
      <c r="EO26" s="5" t="str">
        <f t="array" ref="EO26">IFERROR(IF('T1'!$J26="",INDEX(LISTA_EX,143),INDEX(LISTA_EX,MATCH('T1'!$J26&amp;"|"&amp;143,LISTA_KLUCZ,0))),"")</f>
        <v>Seated seesaw press (nogi proste)</v>
      </c>
      <c r="EP26" s="5" t="str">
        <f t="array" ref="EP26">IFERROR(IF('T1'!$J26="",INDEX(LISTA_EX,144),INDEX(LISTA_EX,MATCH('T1'!$J26&amp;"|"&amp;144,LISTA_KLUCZ,0))),"")</f>
        <v>Seesaw press</v>
      </c>
      <c r="EQ26" s="5" t="str">
        <f t="array" ref="EQ26">IFERROR(IF('T1'!$J26="",INDEX(LISTA_EX,145),INDEX(LISTA_EX,MATCH('T1'!$J26&amp;"|"&amp;145,LISTA_KLUCZ,0))),"")</f>
        <v>Side crunches</v>
      </c>
      <c r="ER26" s="5" t="str">
        <f t="array" ref="ER26">IFERROR(IF('T1'!$J26="",INDEX(LISTA_EX,146),INDEX(LISTA_EX,MATCH('T1'!$J26&amp;"|"&amp;146,LISTA_KLUCZ,0))),"")</f>
        <v>Side plank hip drop</v>
      </c>
      <c r="ES26" s="5" t="str">
        <f t="array" ref="ES26">IFERROR(IF('T1'!$J26="",INDEX(LISTA_EX,147),INDEX(LISTA_EX,MATCH('T1'!$J26&amp;"|"&amp;147,LISTA_KLUCZ,0))),"")</f>
        <v>Side plank rotations</v>
      </c>
      <c r="ET26" s="5" t="str">
        <f t="array" ref="ET26">IFERROR(IF('T1'!$J26="",INDEX(LISTA_EX,148),INDEX(LISTA_EX,MATCH('T1'!$J26&amp;"|"&amp;148,LISTA_KLUCZ,0))),"")</f>
        <v>SLDL balance</v>
      </c>
      <c r="EU26" s="5" t="str">
        <f t="array" ref="EU26">IFERROR(IF('T1'!$J26="",INDEX(LISTA_EX,149),INDEX(LISTA_EX,MATCH('T1'!$J26&amp;"|"&amp;149,LISTA_KLUCZ,0))),"")</f>
        <v>Split squat</v>
      </c>
      <c r="EV26" s="5" t="str">
        <f t="array" ref="EV26">IFERROR(IF('T1'!$J26="",INDEX(LISTA_EX,150),INDEX(LISTA_EX,MATCH('T1'!$J26&amp;"|"&amp;150,LISTA_KLUCZ,0))),"")</f>
        <v>Split stance SLDL</v>
      </c>
      <c r="EW26" s="5" t="str">
        <f t="array" ref="EW26">IFERROR(IF('T1'!$J26="",INDEX(LISTA_EX,151),INDEX(LISTA_EX,MATCH('T1'!$J26&amp;"|"&amp;151,LISTA_KLUCZ,0))),"")</f>
        <v>Squat izo (15 sek)</v>
      </c>
      <c r="EX26" s="5" t="str">
        <f t="array" ref="EX26">IFERROR(IF('T1'!$J26="",INDEX(LISTA_EX,152),INDEX(LISTA_EX,MATCH('T1'!$J26&amp;"|"&amp;152,LISTA_KLUCZ,0))),"")</f>
        <v>Standing landmine press</v>
      </c>
      <c r="EY26" s="5" t="str">
        <f t="array" ref="EY26">IFERROR(IF('T1'!$J26="",INDEX(LISTA_EX,153),INDEX(LISTA_EX,MATCH('T1'!$J26&amp;"|"&amp;153,LISTA_KLUCZ,0))),"")</f>
        <v>Suitcase carry</v>
      </c>
      <c r="EZ26" s="5" t="str">
        <f t="array" ref="EZ26">IFERROR(IF('T1'!$J26="",INDEX(LISTA_EX,154),INDEX(LISTA_EX,MATCH('T1'!$J26&amp;"|"&amp;154,LISTA_KLUCZ,0))),"")</f>
        <v>Supine pigeon abs</v>
      </c>
      <c r="FA26" s="5" t="str">
        <f t="array" ref="FA26">IFERROR(IF('T1'!$J26="",INDEX(LISTA_EX,155),INDEX(LISTA_EX,MATCH('T1'!$J26&amp;"|"&amp;155,LISTA_KLUCZ,0))),"")</f>
        <v>Swiss ball leg curl</v>
      </c>
      <c r="FB26" s="5" t="str">
        <f t="array" ref="FB26">IFERROR(IF('T1'!$J26="",INDEX(LISTA_EX,156),INDEX(LISTA_EX,MATCH('T1'!$J26&amp;"|"&amp;156,LISTA_KLUCZ,0))),"")</f>
        <v>Toes to bar</v>
      </c>
      <c r="FC26" s="5" t="str">
        <f t="array" ref="FC26">IFERROR(IF('T1'!$J26="",INDEX(LISTA_EX,157),INDEX(LISTA_EX,MATCH('T1'!$J26&amp;"|"&amp;157,LISTA_KLUCZ,0))),"")</f>
        <v>Trap bar deadlift</v>
      </c>
      <c r="FD26" s="5" t="str">
        <f t="array" ref="FD26">IFERROR(IF('T1'!$J26="",INDEX(LISTA_EX,158),INDEX(LISTA_EX,MATCH('T1'!$J26&amp;"|"&amp;158,LISTA_KLUCZ,0))),"")</f>
        <v>Tricep cable pushdown</v>
      </c>
      <c r="FE26" s="5" t="str">
        <f t="array" ref="FE26">IFERROR(IF('T1'!$J26="",INDEX(LISTA_EX,159),INDEX(LISTA_EX,MATCH('T1'!$J26&amp;"|"&amp;159,LISTA_KLUCZ,0))),"")</f>
        <v>Tricep JM press</v>
      </c>
      <c r="FF26" s="5" t="str">
        <f t="array" ref="FF26">IFERROR(IF('T1'!$J26="",INDEX(LISTA_EX,160),INDEX(LISTA_EX,MATCH('T1'!$J26&amp;"|"&amp;160,LISTA_KLUCZ,0))),"")</f>
        <v>Tricep OH cable</v>
      </c>
      <c r="FG26" s="5" t="str">
        <f t="array" ref="FG26">IFERROR(IF('T1'!$J26="",INDEX(LISTA_EX,161),INDEX(LISTA_EX,MATCH('T1'!$J26&amp;"|"&amp;161,LISTA_KLUCZ,0))),"")</f>
        <v>Tricep OH ez bar</v>
      </c>
      <c r="FH26" s="5" t="str">
        <f t="array" ref="FH26">IFERROR(IF('T1'!$J26="",INDEX(LISTA_EX,162),INDEX(LISTA_EX,MATCH('T1'!$J26&amp;"|"&amp;162,LISTA_KLUCZ,0))),"")</f>
        <v>Walking lunges</v>
      </c>
      <c r="FI26" s="5" t="str">
        <f t="array" ref="FI26">IFERROR(IF('T1'!$J26="",INDEX(LISTA_EX,163),INDEX(LISTA_EX,MATCH('T1'!$J26&amp;"|"&amp;163,LISTA_KLUCZ,0))),"")</f>
        <v>Wipers kettle</v>
      </c>
      <c r="FJ26" s="5" t="str">
        <f t="array" ref="FJ26">IFERROR(IF('T1'!$J26="",INDEX(LISTA_EX,164),INDEX(LISTA_EX,MATCH('T1'!$J26&amp;"|"&amp;164,LISTA_KLUCZ,0))),"")</f>
        <v>Zercher jumps</v>
      </c>
      <c r="FK26" s="5" t="str">
        <f t="array" ref="FK26">IFERROR(IF('T1'!$J26="",INDEX(LISTA_EX,165),INDEX(LISTA_EX,MATCH('T1'!$J26&amp;"|"&amp;165,LISTA_KLUCZ,0))),"")</f>
        <v/>
      </c>
      <c r="FL26" s="5" t="str">
        <f t="array" ref="FL26">IFERROR(IF('T1'!$J26="",INDEX(LISTA_EX,166),INDEX(LISTA_EX,MATCH('T1'!$J26&amp;"|"&amp;166,LISTA_KLUCZ,0))),"")</f>
        <v/>
      </c>
      <c r="FM26" s="5" t="str">
        <f t="array" ref="FM26">IFERROR(IF('T1'!$J26="",INDEX(LISTA_EX,167),INDEX(LISTA_EX,MATCH('T1'!$J26&amp;"|"&amp;167,LISTA_KLUCZ,0))),"")</f>
        <v/>
      </c>
      <c r="FN26" s="5" t="str">
        <f t="array" ref="FN26">IFERROR(IF('T1'!$J26="",INDEX(LISTA_EX,168),INDEX(LISTA_EX,MATCH('T1'!$J26&amp;"|"&amp;168,LISTA_KLUCZ,0))),"")</f>
        <v/>
      </c>
      <c r="FO26" s="5" t="str">
        <f t="array" ref="FO26">IFERROR(IF('T1'!$J26="",INDEX(LISTA_EX,169),INDEX(LISTA_EX,MATCH('T1'!$J26&amp;"|"&amp;169,LISTA_KLUCZ,0))),"")</f>
        <v/>
      </c>
      <c r="FP26" s="5" t="str">
        <f t="array" ref="FP26">IFERROR(IF('T1'!$J26="",INDEX(LISTA_EX,170),INDEX(LISTA_EX,MATCH('T1'!$J26&amp;"|"&amp;170,LISTA_KLUCZ,0))),"")</f>
        <v/>
      </c>
      <c r="FQ26" s="5" t="str">
        <f t="array" ref="FQ26">IFERROR(IF('T1'!$J26="",INDEX(LISTA_EX,171),INDEX(LISTA_EX,MATCH('T1'!$J26&amp;"|"&amp;171,LISTA_KLUCZ,0))),"")</f>
        <v/>
      </c>
      <c r="FR26" s="5" t="str">
        <f t="array" ref="FR26">IFERROR(IF('T1'!$J26="",INDEX(LISTA_EX,172),INDEX(LISTA_EX,MATCH('T1'!$J26&amp;"|"&amp;172,LISTA_KLUCZ,0))),"")</f>
        <v/>
      </c>
      <c r="FS26" s="5" t="str">
        <f t="array" ref="FS26">IFERROR(IF('T1'!$J26="",INDEX(LISTA_EX,173),INDEX(LISTA_EX,MATCH('T1'!$J26&amp;"|"&amp;173,LISTA_KLUCZ,0))),"")</f>
        <v/>
      </c>
      <c r="FT26" s="5" t="str">
        <f t="array" ref="FT26">IFERROR(IF('T1'!$J26="",INDEX(LISTA_EX,174),INDEX(LISTA_EX,MATCH('T1'!$J26&amp;"|"&amp;174,LISTA_KLUCZ,0))),"")</f>
        <v/>
      </c>
      <c r="FU26" s="5" t="str">
        <f t="array" ref="FU26">IFERROR(IF('T1'!$J26="",INDEX(LISTA_EX,175),INDEX(LISTA_EX,MATCH('T1'!$J26&amp;"|"&amp;175,LISTA_KLUCZ,0))),"")</f>
        <v/>
      </c>
      <c r="FV26" s="5" t="str">
        <f t="array" ref="FV26">IFERROR(IF('T1'!$J26="",INDEX(LISTA_EX,176),INDEX(LISTA_EX,MATCH('T1'!$J26&amp;"|"&amp;176,LISTA_KLUCZ,0))),"")</f>
        <v/>
      </c>
      <c r="FW26" s="5" t="str">
        <f t="array" ref="FW26">IFERROR(IF('T1'!$J26="",INDEX(LISTA_EX,177),INDEX(LISTA_EX,MATCH('T1'!$J26&amp;"|"&amp;177,LISTA_KLUCZ,0))),"")</f>
        <v/>
      </c>
      <c r="FX26" s="5" t="str">
        <f t="array" ref="FX26">IFERROR(IF('T1'!$J26="",INDEX(LISTA_EX,178),INDEX(LISTA_EX,MATCH('T1'!$J26&amp;"|"&amp;178,LISTA_KLUCZ,0))),"")</f>
        <v/>
      </c>
      <c r="FY26" s="5" t="str">
        <f t="array" ref="FY26">IFERROR(IF('T1'!$J26="",INDEX(LISTA_EX,179),INDEX(LISTA_EX,MATCH('T1'!$J26&amp;"|"&amp;179,LISTA_KLUCZ,0))),"")</f>
        <v/>
      </c>
      <c r="FZ26" s="5" t="str">
        <f t="array" ref="FZ26">IFERROR(IF('T1'!$J26="",INDEX(LISTA_EX,180),INDEX(LISTA_EX,MATCH('T1'!$J26&amp;"|"&amp;180,LISTA_KLUCZ,0))),"")</f>
        <v/>
      </c>
      <c r="GA26" s="5" t="str">
        <f t="array" ref="GA26">IFERROR(IF('T1'!$J26="",INDEX(LISTA_EX,181),INDEX(LISTA_EX,MATCH('T1'!$J26&amp;"|"&amp;181,LISTA_KLUCZ,0))),"")</f>
        <v/>
      </c>
      <c r="GB26" s="5" t="str">
        <f t="array" ref="GB26">IFERROR(IF('T1'!$J26="",INDEX(LISTA_EX,182),INDEX(LISTA_EX,MATCH('T1'!$J26&amp;"|"&amp;182,LISTA_KLUCZ,0))),"")</f>
        <v/>
      </c>
      <c r="GC26" s="5" t="str">
        <f t="array" ref="GC26">IFERROR(IF('T1'!$J26="",INDEX(LISTA_EX,183),INDEX(LISTA_EX,MATCH('T1'!$J26&amp;"|"&amp;183,LISTA_KLUCZ,0))),"")</f>
        <v/>
      </c>
      <c r="GD26" s="5" t="str">
        <f t="array" ref="GD26">IFERROR(IF('T1'!$J26="",INDEX(LISTA_EX,184),INDEX(LISTA_EX,MATCH('T1'!$J26&amp;"|"&amp;184,LISTA_KLUCZ,0))),"")</f>
        <v/>
      </c>
      <c r="GE26" s="5" t="str">
        <f t="array" ref="GE26">IFERROR(IF('T1'!$J26="",INDEX(LISTA_EX,185),INDEX(LISTA_EX,MATCH('T1'!$J26&amp;"|"&amp;185,LISTA_KLUCZ,0))),"")</f>
        <v/>
      </c>
      <c r="GF26" s="5" t="str">
        <f t="array" ref="GF26">IFERROR(IF('T1'!$J26="",INDEX(LISTA_EX,186),INDEX(LISTA_EX,MATCH('T1'!$J26&amp;"|"&amp;186,LISTA_KLUCZ,0))),"")</f>
        <v/>
      </c>
      <c r="GG26" s="5" t="str">
        <f t="array" ref="GG26">IFERROR(IF('T1'!$J26="",INDEX(LISTA_EX,187),INDEX(LISTA_EX,MATCH('T1'!$J26&amp;"|"&amp;187,LISTA_KLUCZ,0))),"")</f>
        <v/>
      </c>
      <c r="GH26" s="5" t="str">
        <f t="array" ref="GH26">IFERROR(IF('T1'!$J26="",INDEX(LISTA_EX,188),INDEX(LISTA_EX,MATCH('T1'!$J26&amp;"|"&amp;188,LISTA_KLUCZ,0))),"")</f>
        <v/>
      </c>
      <c r="GI26" s="5" t="str">
        <f t="array" ref="GI26">IFERROR(IF('T1'!$J26="",INDEX(LISTA_EX,189),INDEX(LISTA_EX,MATCH('T1'!$J26&amp;"|"&amp;189,LISTA_KLUCZ,0))),"")</f>
        <v/>
      </c>
      <c r="GJ26" s="5" t="str">
        <f t="array" ref="GJ26">IFERROR(IF('T1'!$J26="",INDEX(LISTA_EX,190),INDEX(LISTA_EX,MATCH('T1'!$J26&amp;"|"&amp;190,LISTA_KLUCZ,0))),"")</f>
        <v/>
      </c>
      <c r="GK26" s="5" t="str">
        <f t="array" ref="GK26">IFERROR(IF('T1'!$J26="",INDEX(LISTA_EX,191),INDEX(LISTA_EX,MATCH('T1'!$J26&amp;"|"&amp;191,LISTA_KLUCZ,0))),"")</f>
        <v/>
      </c>
      <c r="GL26" s="5" t="str">
        <f t="array" ref="GL26">IFERROR(IF('T1'!$J26="",INDEX(LISTA_EX,192),INDEX(LISTA_EX,MATCH('T1'!$J26&amp;"|"&amp;192,LISTA_KLUCZ,0))),"")</f>
        <v/>
      </c>
      <c r="GM26" s="5" t="str">
        <f t="array" ref="GM26">IFERROR(IF('T1'!$J26="",INDEX(LISTA_EX,193),INDEX(LISTA_EX,MATCH('T1'!$J26&amp;"|"&amp;193,LISTA_KLUCZ,0))),"")</f>
        <v/>
      </c>
      <c r="GN26" s="5" t="str">
        <f t="array" ref="GN26">IFERROR(IF('T1'!$J26="",INDEX(LISTA_EX,194),INDEX(LISTA_EX,MATCH('T1'!$J26&amp;"|"&amp;194,LISTA_KLUCZ,0))),"")</f>
        <v/>
      </c>
      <c r="GO26" s="5" t="str">
        <f t="array" ref="GO26">IFERROR(IF('T1'!$J26="",INDEX(LISTA_EX,195),INDEX(LISTA_EX,MATCH('T1'!$J26&amp;"|"&amp;195,LISTA_KLUCZ,0))),"")</f>
        <v/>
      </c>
      <c r="GP26" s="5" t="str">
        <f t="array" ref="GP26">IFERROR(IF('T1'!$J26="",INDEX(LISTA_EX,196),INDEX(LISTA_EX,MATCH('T1'!$J26&amp;"|"&amp;196,LISTA_KLUCZ,0))),"")</f>
        <v/>
      </c>
      <c r="GQ26" s="5" t="str">
        <f t="array" ref="GQ26">IFERROR(IF('T1'!$J26="",INDEX(LISTA_EX,197),INDEX(LISTA_EX,MATCH('T1'!$J26&amp;"|"&amp;197,LISTA_KLUCZ,0))),"")</f>
        <v/>
      </c>
      <c r="GR26" s="5" t="str">
        <f t="array" ref="GR26">IFERROR(IF('T1'!$J26="",INDEX(LISTA_EX,198),INDEX(LISTA_EX,MATCH('T1'!$J26&amp;"|"&amp;198,LISTA_KLUCZ,0))),"")</f>
        <v/>
      </c>
      <c r="GS26" s="5" t="str">
        <f t="array" ref="GS26">IFERROR(IF('T1'!$J26="",INDEX(LISTA_EX,199),INDEX(LISTA_EX,MATCH('T1'!$J26&amp;"|"&amp;199,LISTA_KLUCZ,0))),"")</f>
        <v/>
      </c>
      <c r="GT26" s="5" t="str">
        <f t="array" ref="GT26">IFERROR(IF('T1'!$J26="",INDEX(LISTA_EX,200),INDEX(LISTA_EX,MATCH('T1'!$J26&amp;"|"&amp;200,LISTA_KLUCZ,0))),"")</f>
        <v/>
      </c>
      <c r="GV26" s="5" t="str">
        <f>IF(BAZA!$A26="","",BAZA!$A26)</f>
        <v>Bird dog row</v>
      </c>
      <c r="GW26" s="5" t="str">
        <f>IF(BAZA!$B26="","",BAZA!$B26&amp;"|"&amp;COUNTIF(BAZA!$B$3:$B26,BAZA!$B26))</f>
        <v>Upper pull horizontal|3</v>
      </c>
    </row>
    <row r="27" ht="15.0" customHeight="1">
      <c r="A27" s="5" t="str">
        <f>IF('T1'!$K27="","",'T1'!$K27)</f>
        <v>D2-S05</v>
      </c>
      <c r="B27" s="5" t="str">
        <f>IF('T1'!$J27="","(wszystkie)",'T1'!$J27)</f>
        <v>(wszystkie)</v>
      </c>
      <c r="C27" s="5" t="str">
        <f t="array" ref="C27">IFERROR(IF('T1'!$J27="",INDEX(LISTA_EX,1),INDEX(LISTA_EX,MATCH('T1'!$J27&amp;"|"&amp;1,LISTA_KLUCZ,0))),"")</f>
        <v>Abduction machine</v>
      </c>
      <c r="D27" s="5" t="str">
        <f t="array" ref="D27">IFERROR(IF('T1'!$J27="",INDEX(LISTA_EX,2),INDEX(LISTA_EX,MATCH('T1'!$J27&amp;"|"&amp;2,LISTA_KLUCZ,0))),"")</f>
        <v>Adduction machine</v>
      </c>
      <c r="E27" s="5" t="str">
        <f t="array" ref="E27">IFERROR(IF('T1'!$J27="",INDEX(LISTA_EX,3),INDEX(LISTA_EX,MATCH('T1'!$J27&amp;"|"&amp;3,LISTA_KLUCZ,0))),"")</f>
        <v>Allah</v>
      </c>
      <c r="F27" s="5" t="str">
        <f t="array" ref="F27">IFERROR(IF('T1'!$J27="",INDEX(LISTA_EX,4),INDEX(LISTA_EX,MATCH('T1'!$J27&amp;"|"&amp;4,LISTA_KLUCZ,0))),"")</f>
        <v>Arnold press</v>
      </c>
      <c r="G27" s="5" t="str">
        <f t="array" ref="G27">IFERROR(IF('T1'!$J27="",INDEX(LISTA_EX,5),INDEX(LISTA_EX,MATCH('T1'!$J27&amp;"|"&amp;5,LISTA_KLUCZ,0))),"")</f>
        <v>Arnold press alternating</v>
      </c>
      <c r="H27" s="5" t="str">
        <f t="array" ref="H27">IFERROR(IF('T1'!$J27="",INDEX(LISTA_EX,6),INDEX(LISTA_EX,MATCH('T1'!$J27&amp;"|"&amp;6,LISTA_KLUCZ,0))),"")</f>
        <v>B/l dragonflag eccentric</v>
      </c>
      <c r="I27" s="5" t="str">
        <f t="array" ref="I27">IFERROR(IF('T1'!$J27="",INDEX(LISTA_EX,7),INDEX(LISTA_EX,MATCH('T1'!$J27&amp;"|"&amp;7,LISTA_KLUCZ,0))),"")</f>
        <v>Back extension</v>
      </c>
      <c r="J27" s="5" t="str">
        <f t="array" ref="J27">IFERROR(IF('T1'!$J27="",INDEX(LISTA_EX,8),INDEX(LISTA_EX,MATCH('T1'!$J27&amp;"|"&amp;8,LISTA_KLUCZ,0))),"")</f>
        <v>Banded pistol squat</v>
      </c>
      <c r="K27" s="5" t="str">
        <f t="array" ref="K27">IFERROR(IF('T1'!$J27="",INDEX(LISTA_EX,9),INDEX(LISTA_EX,MATCH('T1'!$J27&amp;"|"&amp;9,LISTA_KLUCZ,0))),"")</f>
        <v>Banded pull ups</v>
      </c>
      <c r="L27" s="5" t="str">
        <f t="array" ref="L27">IFERROR(IF('T1'!$J27="",INDEX(LISTA_EX,10),INDEX(LISTA_EX,MATCH('T1'!$J27&amp;"|"&amp;10,LISTA_KLUCZ,0))),"")</f>
        <v>Barbell back squat</v>
      </c>
      <c r="M27" s="5" t="str">
        <f t="array" ref="M27">IFERROR(IF('T1'!$J27="",INDEX(LISTA_EX,11),INDEX(LISTA_EX,MATCH('T1'!$J27&amp;"|"&amp;11,LISTA_KLUCZ,0))),"")</f>
        <v>Barbell bench press</v>
      </c>
      <c r="N27" s="5" t="str">
        <f t="array" ref="N27">IFERROR(IF('T1'!$J27="",INDEX(LISTA_EX,12),INDEX(LISTA_EX,MATCH('T1'!$J27&amp;"|"&amp;12,LISTA_KLUCZ,0))),"")</f>
        <v>Barbell curl</v>
      </c>
      <c r="O27" s="5" t="str">
        <f t="array" ref="O27">IFERROR(IF('T1'!$J27="",INDEX(LISTA_EX,13),INDEX(LISTA_EX,MATCH('T1'!$J27&amp;"|"&amp;13,LISTA_KLUCZ,0))),"")</f>
        <v>Barbell low bar squat</v>
      </c>
      <c r="P27" s="5" t="str">
        <f t="array" ref="P27">IFERROR(IF('T1'!$J27="",INDEX(LISTA_EX,14),INDEX(LISTA_EX,MATCH('T1'!$J27&amp;"|"&amp;14,LISTA_KLUCZ,0))),"")</f>
        <v>Barbell OHP</v>
      </c>
      <c r="Q27" s="5" t="str">
        <f t="array" ref="Q27">IFERROR(IF('T1'!$J27="",INDEX(LISTA_EX,15),INDEX(LISTA_EX,MATCH('T1'!$J27&amp;"|"&amp;15,LISTA_KLUCZ,0))),"")</f>
        <v>Barbell oscilation</v>
      </c>
      <c r="R27" s="5" t="str">
        <f t="array" ref="R27">IFERROR(IF('T1'!$J27="",INDEX(LISTA_EX,16),INDEX(LISTA_EX,MATCH('T1'!$J27&amp;"|"&amp;16,LISTA_KLUCZ,0))),"")</f>
        <v>Barbell row</v>
      </c>
      <c r="S27" s="5" t="str">
        <f t="array" ref="S27">IFERROR(IF('T1'!$J27="",INDEX(LISTA_EX,17),INDEX(LISTA_EX,MATCH('T1'!$J27&amp;"|"&amp;17,LISTA_KLUCZ,0))),"")</f>
        <v>Barbell row dead stop pins</v>
      </c>
      <c r="T27" s="5" t="str">
        <f t="array" ref="T27">IFERROR(IF('T1'!$J27="",INDEX(LISTA_EX,18),INDEX(LISTA_EX,MATCH('T1'!$J27&amp;"|"&amp;18,LISTA_KLUCZ,0))),"")</f>
        <v>Barbell SLDL</v>
      </c>
      <c r="U27" s="5" t="str">
        <f t="array" ref="U27">IFERROR(IF('T1'!$J27="",INDEX(LISTA_EX,19),INDEX(LISTA_EX,MATCH('T1'!$J27&amp;"|"&amp;19,LISTA_KLUCZ,0))),"")</f>
        <v>Bayesian curl</v>
      </c>
      <c r="V27" s="5" t="str">
        <f t="array" ref="V27">IFERROR(IF('T1'!$J27="",INDEX(LISTA_EX,20),INDEX(LISTA_EX,MATCH('T1'!$J27&amp;"|"&amp;20,LISTA_KLUCZ,0))),"")</f>
        <v>Bear renegade row</v>
      </c>
      <c r="W27" s="5" t="str">
        <f t="array" ref="W27">IFERROR(IF('T1'!$J27="",INDEX(LISTA_EX,21),INDEX(LISTA_EX,MATCH('T1'!$J27&amp;"|"&amp;21,LISTA_KLUCZ,0))),"")</f>
        <v>Bench press paused 3sec</v>
      </c>
      <c r="X27" s="5" t="str">
        <f t="array" ref="X27">IFERROR(IF('T1'!$J27="",INDEX(LISTA_EX,22),INDEX(LISTA_EX,MATCH('T1'!$J27&amp;"|"&amp;22,LISTA_KLUCZ,0))),"")</f>
        <v>Bicep hammer curl</v>
      </c>
      <c r="Y27" s="5" t="str">
        <f t="array" ref="Y27">IFERROR(IF('T1'!$J27="",INDEX(LISTA_EX,23),INDEX(LISTA_EX,MATCH('T1'!$J27&amp;"|"&amp;23,LISTA_KLUCZ,0))),"")</f>
        <v>Bicep squat cable curl</v>
      </c>
      <c r="Z27" s="5" t="str">
        <f t="array" ref="Z27">IFERROR(IF('T1'!$J27="",INDEX(LISTA_EX,24),INDEX(LISTA_EX,MATCH('T1'!$J27&amp;"|"&amp;24,LISTA_KLUCZ,0))),"")</f>
        <v>Bird dog row</v>
      </c>
      <c r="AA27" s="5" t="str">
        <f t="array" ref="AA27">IFERROR(IF('T1'!$J27="",INDEX(LISTA_EX,25),INDEX(LISTA_EX,MATCH('T1'!$J27&amp;"|"&amp;25,LISTA_KLUCZ,0))),"")</f>
        <v>Box jump</v>
      </c>
      <c r="AB27" s="5" t="str">
        <f t="array" ref="AB27">IFERROR(IF('T1'!$J27="",INDEX(LISTA_EX,26),INDEX(LISTA_EX,MATCH('T1'!$J27&amp;"|"&amp;26,LISTA_KLUCZ,0))),"")</f>
        <v>Bulgarian clean plyo</v>
      </c>
      <c r="AC27" s="5" t="str">
        <f t="array" ref="AC27">IFERROR(IF('T1'!$J27="",INDEX(LISTA_EX,27),INDEX(LISTA_EX,MATCH('T1'!$J27&amp;"|"&amp;27,LISTA_KLUCZ,0))),"")</f>
        <v>Bulgarian squat assisted</v>
      </c>
      <c r="AD27" s="5" t="str">
        <f t="array" ref="AD27">IFERROR(IF('T1'!$J27="",INDEX(LISTA_EX,28),INDEX(LISTA_EX,MATCH('T1'!$J27&amp;"|"&amp;28,LISTA_KLUCZ,0))),"")</f>
        <v>Cable biceps curl</v>
      </c>
      <c r="AE27" s="5" t="str">
        <f t="array" ref="AE27">IFERROR(IF('T1'!$J27="",INDEX(LISTA_EX,29),INDEX(LISTA_EX,MATCH('T1'!$J27&amp;"|"&amp;29,LISTA_KLUCZ,0))),"")</f>
        <v>Cable fly</v>
      </c>
      <c r="AF27" s="5" t="str">
        <f t="array" ref="AF27">IFERROR(IF('T1'!$J27="",INDEX(LISTA_EX,30),INDEX(LISTA_EX,MATCH('T1'!$J27&amp;"|"&amp;30,LISTA_KLUCZ,0))),"")</f>
        <v>Cable lateral raise s/a</v>
      </c>
      <c r="AG27" s="5" t="str">
        <f t="array" ref="AG27">IFERROR(IF('T1'!$J27="",INDEX(LISTA_EX,31),INDEX(LISTA_EX,MATCH('T1'!$J27&amp;"|"&amp;31,LISTA_KLUCZ,0))),"")</f>
        <v>Cable row</v>
      </c>
      <c r="AH27" s="5" t="str">
        <f t="array" ref="AH27">IFERROR(IF('T1'!$J27="",INDEX(LISTA_EX,32),INDEX(LISTA_EX,MATCH('T1'!$J27&amp;"|"&amp;32,LISTA_KLUCZ,0))),"")</f>
        <v>Cable row s/a</v>
      </c>
      <c r="AI27" s="5" t="str">
        <f t="array" ref="AI27">IFERROR(IF('T1'!$J27="",INDEX(LISTA_EX,33),INDEX(LISTA_EX,MATCH('T1'!$J27&amp;"|"&amp;33,LISTA_KLUCZ,0))),"")</f>
        <v>Calf raises</v>
      </c>
      <c r="AJ27" s="5" t="str">
        <f t="array" ref="AJ27">IFERROR(IF('T1'!$J27="",INDEX(LISTA_EX,34),INDEX(LISTA_EX,MATCH('T1'!$J27&amp;"|"&amp;34,LISTA_KLUCZ,0))),"")</f>
        <v>Chest fly machine</v>
      </c>
      <c r="AK27" s="5" t="str">
        <f t="array" ref="AK27">IFERROR(IF('T1'!$J27="",INDEX(LISTA_EX,35),INDEX(LISTA_EX,MATCH('T1'!$J27&amp;"|"&amp;35,LISTA_KLUCZ,0))),"")</f>
        <v>Clean</v>
      </c>
      <c r="AL27" s="5" t="str">
        <f t="array" ref="AL27">IFERROR(IF('T1'!$J27="",INDEX(LISTA_EX,36),INDEX(LISTA_EX,MATCH('T1'!$J27&amp;"|"&amp;36,LISTA_KLUCZ,0))),"")</f>
        <v>Clean pins</v>
      </c>
      <c r="AM27" s="5" t="str">
        <f t="array" ref="AM27">IFERROR(IF('T1'!$J27="",INDEX(LISTA_EX,37),INDEX(LISTA_EX,MATCH('T1'!$J27&amp;"|"&amp;37,LISTA_KLUCZ,0))),"")</f>
        <v>Copenhagen plank</v>
      </c>
      <c r="AN27" s="5" t="str">
        <f t="array" ref="AN27">IFERROR(IF('T1'!$J27="",INDEX(LISTA_EX,38),INDEX(LISTA_EX,MATCH('T1'!$J27&amp;"|"&amp;38,LISTA_KLUCZ,0))),"")</f>
        <v>Dead bug izo + OH</v>
      </c>
      <c r="AO27" s="5" t="str">
        <f t="array" ref="AO27">IFERROR(IF('T1'!$J27="",INDEX(LISTA_EX,39),INDEX(LISTA_EX,MATCH('T1'!$J27&amp;"|"&amp;39,LISTA_KLUCZ,0))),"")</f>
        <v>Dead bug straight legs</v>
      </c>
      <c r="AP27" s="5" t="str">
        <f t="array" ref="AP27">IFERROR(IF('T1'!$J27="",INDEX(LISTA_EX,40),INDEX(LISTA_EX,MATCH('T1'!$J27&amp;"|"&amp;40,LISTA_KLUCZ,0))),"")</f>
        <v>Dead stop barbell row</v>
      </c>
      <c r="AQ27" s="5" t="str">
        <f t="array" ref="AQ27">IFERROR(IF('T1'!$J27="",INDEX(LISTA_EX,41),INDEX(LISTA_EX,MATCH('T1'!$J27&amp;"|"&amp;41,LISTA_KLUCZ,0))),"")</f>
        <v>Deadbug OH</v>
      </c>
      <c r="AR27" s="5" t="str">
        <f t="array" ref="AR27">IFERROR(IF('T1'!$J27="",INDEX(LISTA_EX,42),INDEX(LISTA_EX,MATCH('T1'!$J27&amp;"|"&amp;42,LISTA_KLUCZ,0))),"")</f>
        <v>Deadlift</v>
      </c>
      <c r="AS27" s="5" t="str">
        <f t="array" ref="AS27">IFERROR(IF('T1'!$J27="",INDEX(LISTA_EX,43),INDEX(LISTA_EX,MATCH('T1'!$J27&amp;"|"&amp;43,LISTA_KLUCZ,0))),"")</f>
        <v>Deficit push up</v>
      </c>
      <c r="AT27" s="5" t="str">
        <f t="array" ref="AT27">IFERROR(IF('T1'!$J27="",INDEX(LISTA_EX,44),INDEX(LISTA_EX,MATCH('T1'!$J27&amp;"|"&amp;44,LISTA_KLUCZ,0))),"")</f>
        <v>Deficit reverse lunge</v>
      </c>
      <c r="AU27" s="5" t="str">
        <f t="array" ref="AU27">IFERROR(IF('T1'!$J27="",INDEX(LISTA_EX,45),INDEX(LISTA_EX,MATCH('T1'!$J27&amp;"|"&amp;45,LISTA_KLUCZ,0))),"")</f>
        <v>Dips</v>
      </c>
      <c r="AV27" s="5" t="str">
        <f t="array" ref="AV27">IFERROR(IF('T1'!$J27="",INDEX(LISTA_EX,46),INDEX(LISTA_EX,MATCH('T1'!$J27&amp;"|"&amp;46,LISTA_KLUCZ,0))),"")</f>
        <v>Dips weighted</v>
      </c>
      <c r="AW27" s="5" t="str">
        <f t="array" ref="AW27">IFERROR(IF('T1'!$J27="",INDEX(LISTA_EX,47),INDEX(LISTA_EX,MATCH('T1'!$J27&amp;"|"&amp;47,LISTA_KLUCZ,0))),"")</f>
        <v>Dumbbell bench press</v>
      </c>
      <c r="AX27" s="5" t="str">
        <f t="array" ref="AX27">IFERROR(IF('T1'!$J27="",INDEX(LISTA_EX,48),INDEX(LISTA_EX,MATCH('T1'!$J27&amp;"|"&amp;48,LISTA_KLUCZ,0))),"")</f>
        <v>Dumbbell bench press alternating</v>
      </c>
      <c r="AY27" s="5" t="str">
        <f t="array" ref="AY27">IFERROR(IF('T1'!$J27="",INDEX(LISTA_EX,49),INDEX(LISTA_EX,MATCH('T1'!$J27&amp;"|"&amp;49,LISTA_KLUCZ,0))),"")</f>
        <v>Dumbbell curl</v>
      </c>
      <c r="AZ27" s="5" t="str">
        <f t="array" ref="AZ27">IFERROR(IF('T1'!$J27="",INDEX(LISTA_EX,50),INDEX(LISTA_EX,MATCH('T1'!$J27&amp;"|"&amp;50,LISTA_KLUCZ,0))),"")</f>
        <v>Dumbbell external rotation</v>
      </c>
      <c r="BA27" s="5" t="str">
        <f t="array" ref="BA27">IFERROR(IF('T1'!$J27="",INDEX(LISTA_EX,51),INDEX(LISTA_EX,MATCH('T1'!$J27&amp;"|"&amp;51,LISTA_KLUCZ,0))),"")</f>
        <v>Dumbbell face down curl</v>
      </c>
      <c r="BB27" s="5" t="str">
        <f t="array" ref="BB27">IFERROR(IF('T1'!$J27="",INDEX(LISTA_EX,52),INDEX(LISTA_EX,MATCH('T1'!$J27&amp;"|"&amp;52,LISTA_KLUCZ,0))),"")</f>
        <v>Dumbbell fly</v>
      </c>
      <c r="BC27" s="5" t="str">
        <f t="array" ref="BC27">IFERROR(IF('T1'!$J27="",INDEX(LISTA_EX,53),INDEX(LISTA_EX,MATCH('T1'!$J27&amp;"|"&amp;53,LISTA_KLUCZ,0))),"")</f>
        <v>Dumbbell french press</v>
      </c>
      <c r="BD27" s="5" t="str">
        <f t="array" ref="BD27">IFERROR(IF('T1'!$J27="",INDEX(LISTA_EX,54),INDEX(LISTA_EX,MATCH('T1'!$J27&amp;"|"&amp;54,LISTA_KLUCZ,0))),"")</f>
        <v>Dumbbell lateral raise</v>
      </c>
      <c r="BE27" s="5" t="str">
        <f t="array" ref="BE27">IFERROR(IF('T1'!$J27="",INDEX(LISTA_EX,55),INDEX(LISTA_EX,MATCH('T1'!$J27&amp;"|"&amp;55,LISTA_KLUCZ,0))),"")</f>
        <v>Dumbbell lunges</v>
      </c>
      <c r="BF27" s="5" t="str">
        <f t="array" ref="BF27">IFERROR(IF('T1'!$J27="",INDEX(LISTA_EX,56),INDEX(LISTA_EX,MATCH('T1'!$J27&amp;"|"&amp;56,LISTA_KLUCZ,0))),"")</f>
        <v>Dumbbell OH press</v>
      </c>
      <c r="BG27" s="5" t="str">
        <f t="array" ref="BG27">IFERROR(IF('T1'!$J27="",INDEX(LISTA_EX,57),INDEX(LISTA_EX,MATCH('T1'!$J27&amp;"|"&amp;57,LISTA_KLUCZ,0))),"")</f>
        <v>Dumbbell over head press</v>
      </c>
      <c r="BH27" s="5" t="str">
        <f t="array" ref="BH27">IFERROR(IF('T1'!$J27="",INDEX(LISTA_EX,58),INDEX(LISTA_EX,MATCH('T1'!$J27&amp;"|"&amp;58,LISTA_KLUCZ,0))),"")</f>
        <v>Dumbbell over head press alternating</v>
      </c>
      <c r="BI27" s="5" t="str">
        <f t="array" ref="BI27">IFERROR(IF('T1'!$J27="",INDEX(LISTA_EX,59),INDEX(LISTA_EX,MATCH('T1'!$J27&amp;"|"&amp;59,LISTA_KLUCZ,0))),"")</f>
        <v>Dumbbell row</v>
      </c>
      <c r="BJ27" s="5" t="str">
        <f t="array" ref="BJ27">IFERROR(IF('T1'!$J27="",INDEX(LISTA_EX,60),INDEX(LISTA_EX,MATCH('T1'!$J27&amp;"|"&amp;60,LISTA_KLUCZ,0))),"")</f>
        <v>Dumbbell s/a Arnold press</v>
      </c>
      <c r="BK27" s="5" t="str">
        <f t="array" ref="BK27">IFERROR(IF('T1'!$J27="",INDEX(LISTA_EX,61),INDEX(LISTA_EX,MATCH('T1'!$J27&amp;"|"&amp;61,LISTA_KLUCZ,0))),"")</f>
        <v>Dumbbell s/a row</v>
      </c>
      <c r="BL27" s="5" t="str">
        <f t="array" ref="BL27">IFERROR(IF('T1'!$J27="",INDEX(LISTA_EX,62),INDEX(LISTA_EX,MATCH('T1'!$J27&amp;"|"&amp;62,LISTA_KLUCZ,0))),"")</f>
        <v>Dumbbell seal row</v>
      </c>
      <c r="BM27" s="5" t="str">
        <f t="array" ref="BM27">IFERROR(IF('T1'!$J27="",INDEX(LISTA_EX,63),INDEX(LISTA_EX,MATCH('T1'!$J27&amp;"|"&amp;63,LISTA_KLUCZ,0))),"")</f>
        <v>Dumbbells jumps</v>
      </c>
      <c r="BN27" s="5" t="str">
        <f t="array" ref="BN27">IFERROR(IF('T1'!$J27="",INDEX(LISTA_EX,64),INDEX(LISTA_EX,MATCH('T1'!$J27&amp;"|"&amp;64,LISTA_KLUCZ,0))),"")</f>
        <v>Eccentric pull up</v>
      </c>
      <c r="BO27" s="5" t="str">
        <f t="array" ref="BO27">IFERROR(IF('T1'!$J27="",INDEX(LISTA_EX,65),INDEX(LISTA_EX,MATCH('T1'!$J27&amp;"|"&amp;65,LISTA_KLUCZ,0))),"")</f>
        <v>Eccentric push up (5 sek w dół)</v>
      </c>
      <c r="BP27" s="5" t="str">
        <f t="array" ref="BP27">IFERROR(IF('T1'!$J27="",INDEX(LISTA_EX,66),INDEX(LISTA_EX,MATCH('T1'!$J27&amp;"|"&amp;66,LISTA_KLUCZ,0))),"")</f>
        <v>Extensive plyo jumps s/l</v>
      </c>
      <c r="BQ27" s="5" t="str">
        <f t="array" ref="BQ27">IFERROR(IF('T1'!$J27="",INDEX(LISTA_EX,67),INDEX(LISTA_EX,MATCH('T1'!$J27&amp;"|"&amp;67,LISTA_KLUCZ,0))),"")</f>
        <v>Ez bar curl</v>
      </c>
      <c r="BR27" s="5" t="str">
        <f t="array" ref="BR27">IFERROR(IF('T1'!$J27="",INDEX(LISTA_EX,68),INDEX(LISTA_EX,MATCH('T1'!$J27&amp;"|"&amp;68,LISTA_KLUCZ,0))),"")</f>
        <v>Facepull chest supported</v>
      </c>
      <c r="BS27" s="5" t="str">
        <f t="array" ref="BS27">IFERROR(IF('T1'!$J27="",INDEX(LISTA_EX,69),INDEX(LISTA_EX,MATCH('T1'!$J27&amp;"|"&amp;69,LISTA_KLUCZ,0))),"")</f>
        <v>Front foot elevated split squat</v>
      </c>
      <c r="BT27" s="5" t="str">
        <f t="array" ref="BT27">IFERROR(IF('T1'!$J27="",INDEX(LISTA_EX,70),INDEX(LISTA_EX,MATCH('T1'!$J27&amp;"|"&amp;70,LISTA_KLUCZ,0))),"")</f>
        <v>Front squat</v>
      </c>
      <c r="BU27" s="5" t="str">
        <f t="array" ref="BU27">IFERROR(IF('T1'!$J27="",INDEX(LISTA_EX,71),INDEX(LISTA_EX,MATCH('T1'!$J27&amp;"|"&amp;71,LISTA_KLUCZ,0))),"")</f>
        <v>GHD flexion</v>
      </c>
      <c r="BV27" s="5" t="str">
        <f t="array" ref="BV27">IFERROR(IF('T1'!$J27="",INDEX(LISTA_EX,72),INDEX(LISTA_EX,MATCH('T1'!$J27&amp;"|"&amp;72,LISTA_KLUCZ,0))),"")</f>
        <v>Glute bridge hamstrings izo + OH</v>
      </c>
      <c r="BW27" s="5" t="str">
        <f t="array" ref="BW27">IFERROR(IF('T1'!$J27="",INDEX(LISTA_EX,73),INDEX(LISTA_EX,MATCH('T1'!$J27&amp;"|"&amp;73,LISTA_KLUCZ,0))),"")</f>
        <v>Glute crusher</v>
      </c>
      <c r="BX27" s="5" t="str">
        <f t="array" ref="BX27">IFERROR(IF('T1'!$J27="",INDEX(LISTA_EX,74),INDEX(LISTA_EX,MATCH('T1'!$J27&amp;"|"&amp;74,LISTA_KLUCZ,0))),"")</f>
        <v>Gorilla row</v>
      </c>
      <c r="BY27" s="5" t="str">
        <f t="array" ref="BY27">IFERROR(IF('T1'!$J27="",INDEX(LISTA_EX,75),INDEX(LISTA_EX,MATCH('T1'!$J27&amp;"|"&amp;75,LISTA_KLUCZ,0))),"")</f>
        <v>Halfkneeling s/a cable pull</v>
      </c>
      <c r="BZ27" s="5" t="str">
        <f t="array" ref="BZ27">IFERROR(IF('T1'!$J27="",INDEX(LISTA_EX,76),INDEX(LISTA_EX,MATCH('T1'!$J27&amp;"|"&amp;76,LISTA_KLUCZ,0))),"")</f>
        <v>Halfkneeling wood chopper</v>
      </c>
      <c r="CA27" s="5" t="str">
        <f t="array" ref="CA27">IFERROR(IF('T1'!$J27="",INDEX(LISTA_EX,77),INDEX(LISTA_EX,MATCH('T1'!$J27&amp;"|"&amp;77,LISTA_KLUCZ,0))),"")</f>
        <v>Hinged dumbbell row</v>
      </c>
      <c r="CB27" s="5" t="str">
        <f t="array" ref="CB27">IFERROR(IF('T1'!$J27="",INDEX(LISTA_EX,78),INDEX(LISTA_EX,MATCH('T1'!$J27&amp;"|"&amp;78,LISTA_KLUCZ,0))),"")</f>
        <v>Hip aeroplane</v>
      </c>
      <c r="CC27" s="5" t="str">
        <f t="array" ref="CC27">IFERROR(IF('T1'!$J27="",INDEX(LISTA_EX,79),INDEX(LISTA_EX,MATCH('T1'!$J27&amp;"|"&amp;79,LISTA_KLUCZ,0))),"")</f>
        <v>Hip flexors cable</v>
      </c>
      <c r="CD27" s="5" t="str">
        <f t="array" ref="CD27">IFERROR(IF('T1'!$J27="",INDEX(LISTA_EX,80),INDEX(LISTA_EX,MATCH('T1'!$J27&amp;"|"&amp;80,LISTA_KLUCZ,0))),"")</f>
        <v>Hip thrust barbell</v>
      </c>
      <c r="CE27" s="5" t="str">
        <f t="array" ref="CE27">IFERROR(IF('T1'!$J27="",INDEX(LISTA_EX,81),INDEX(LISTA_EX,MATCH('T1'!$J27&amp;"|"&amp;81,LISTA_KLUCZ,0))),"")</f>
        <v>Hollow body + OH</v>
      </c>
      <c r="CF27" s="5" t="str">
        <f t="array" ref="CF27">IFERROR(IF('T1'!$J27="",INDEX(LISTA_EX,82),INDEX(LISTA_EX,MATCH('T1'!$J27&amp;"|"&amp;82,LISTA_KLUCZ,0))),"")</f>
        <v>Horizontal jump</v>
      </c>
      <c r="CG27" s="5" t="str">
        <f t="array" ref="CG27">IFERROR(IF('T1'!$J27="",INDEX(LISTA_EX,83),INDEX(LISTA_EX,MATCH('T1'!$J27&amp;"|"&amp;83,LISTA_KLUCZ,0))),"")</f>
        <v>Incline bench lateral raise s/a</v>
      </c>
      <c r="CH27" s="5" t="str">
        <f t="array" ref="CH27">IFERROR(IF('T1'!$J27="",INDEX(LISTA_EX,84),INDEX(LISTA_EX,MATCH('T1'!$J27&amp;"|"&amp;84,LISTA_KLUCZ,0))),"")</f>
        <v>Incline curl + OHP</v>
      </c>
      <c r="CI27" s="5" t="str">
        <f t="array" ref="CI27">IFERROR(IF('T1'!$J27="",INDEX(LISTA_EX,85),INDEX(LISTA_EX,MATCH('T1'!$J27&amp;"|"&amp;85,LISTA_KLUCZ,0))),"")</f>
        <v>Incline dumbbell curl</v>
      </c>
      <c r="CJ27" s="5" t="str">
        <f t="array" ref="CJ27">IFERROR(IF('T1'!$J27="",INDEX(LISTA_EX,86),INDEX(LISTA_EX,MATCH('T1'!$J27&amp;"|"&amp;86,LISTA_KLUCZ,0))),"")</f>
        <v>Incline dumbbell curl (back)</v>
      </c>
      <c r="CK27" s="5" t="str">
        <f t="array" ref="CK27">IFERROR(IF('T1'!$J27="",INDEX(LISTA_EX,87),INDEX(LISTA_EX,MATCH('T1'!$J27&amp;"|"&amp;87,LISTA_KLUCZ,0))),"")</f>
        <v>Incline dumbbell curl (front)</v>
      </c>
      <c r="CL27" s="5" t="str">
        <f t="array" ref="CL27">IFERROR(IF('T1'!$J27="",INDEX(LISTA_EX,88),INDEX(LISTA_EX,MATCH('T1'!$J27&amp;"|"&amp;88,LISTA_KLUCZ,0))),"")</f>
        <v>Incline dumbbell fly</v>
      </c>
      <c r="CM27" s="5" t="str">
        <f t="array" ref="CM27">IFERROR(IF('T1'!$J27="",INDEX(LISTA_EX,89),INDEX(LISTA_EX,MATCH('T1'!$J27&amp;"|"&amp;89,LISTA_KLUCZ,0))),"")</f>
        <v>Incline dumbbell press</v>
      </c>
      <c r="CN27" s="5" t="str">
        <f t="array" ref="CN27">IFERROR(IF('T1'!$J27="",INDEX(LISTA_EX,90),INDEX(LISTA_EX,MATCH('T1'!$J27&amp;"|"&amp;90,LISTA_KLUCZ,0))),"")</f>
        <v>Incline dumbbell press alternating</v>
      </c>
      <c r="CO27" s="5" t="str">
        <f t="array" ref="CO27">IFERROR(IF('T1'!$J27="",INDEX(LISTA_EX,91),INDEX(LISTA_EX,MATCH('T1'!$J27&amp;"|"&amp;91,LISTA_KLUCZ,0))),"")</f>
        <v>Incline sit-ups</v>
      </c>
      <c r="CP27" s="5" t="str">
        <f t="array" ref="CP27">IFERROR(IF('T1'!$J27="",INDEX(LISTA_EX,92),INDEX(LISTA_EX,MATCH('T1'!$J27&amp;"|"&amp;92,LISTA_KLUCZ,0))),"")</f>
        <v>Jefferson cable</v>
      </c>
      <c r="CQ27" s="5" t="str">
        <f t="array" ref="CQ27">IFERROR(IF('T1'!$J27="",INDEX(LISTA_EX,93),INDEX(LISTA_EX,MATCH('T1'!$J27&amp;"|"&amp;93,LISTA_KLUCZ,0))),"")</f>
        <v>Kettlebell march</v>
      </c>
      <c r="CR27" s="5" t="str">
        <f t="array" ref="CR27">IFERROR(IF('T1'!$J27="",INDEX(LISTA_EX,94),INDEX(LISTA_EX,MATCH('T1'!$J27&amp;"|"&amp;94,LISTA_KLUCZ,0))),"")</f>
        <v>Kickbacks</v>
      </c>
      <c r="CS27" s="5" t="str">
        <f t="array" ref="CS27">IFERROR(IF('T1'!$J27="",INDEX(LISTA_EX,95),INDEX(LISTA_EX,MATCH('T1'!$J27&amp;"|"&amp;95,LISTA_KLUCZ,0))),"")</f>
        <v>Knee extension machine</v>
      </c>
      <c r="CT27" s="5" t="str">
        <f t="array" ref="CT27">IFERROR(IF('T1'!$J27="",INDEX(LISTA_EX,96),INDEX(LISTA_EX,MATCH('T1'!$J27&amp;"|"&amp;96,LISTA_KLUCZ,0))),"")</f>
        <v>Knee flexion machine</v>
      </c>
      <c r="CU27" s="5" t="str">
        <f t="array" ref="CU27">IFERROR(IF('T1'!$J27="",INDEX(LISTA_EX,97),INDEX(LISTA_EX,MATCH('T1'!$J27&amp;"|"&amp;97,LISTA_KLUCZ,0))),"")</f>
        <v>Knee raises</v>
      </c>
      <c r="CV27" s="5" t="str">
        <f t="array" ref="CV27">IFERROR(IF('T1'!$J27="",INDEX(LISTA_EX,98),INDEX(LISTA_EX,MATCH('T1'!$J27&amp;"|"&amp;98,LISTA_KLUCZ,0))),"")</f>
        <v>Landmine core</v>
      </c>
      <c r="CW27" s="5" t="str">
        <f t="array" ref="CW27">IFERROR(IF('T1'!$J27="",INDEX(LISTA_EX,99),INDEX(LISTA_EX,MATCH('T1'!$J27&amp;"|"&amp;99,LISTA_KLUCZ,0))),"")</f>
        <v>Landmine press</v>
      </c>
      <c r="CX27" s="5" t="str">
        <f t="array" ref="CX27">IFERROR(IF('T1'!$J27="",INDEX(LISTA_EX,100),INDEX(LISTA_EX,MATCH('T1'!$J27&amp;"|"&amp;100,LISTA_KLUCZ,0))),"")</f>
        <v>Landmine rotations (powtórzenia x2)</v>
      </c>
      <c r="CY27" s="5" t="str">
        <f t="array" ref="CY27">IFERROR(IF('T1'!$J27="",INDEX(LISTA_EX,101),INDEX(LISTA_EX,MATCH('T1'!$J27&amp;"|"&amp;101,LISTA_KLUCZ,0))),"")</f>
        <v>Landmine SLDL</v>
      </c>
      <c r="CZ27" s="5" t="str">
        <f t="array" ref="CZ27">IFERROR(IF('T1'!$J27="",INDEX(LISTA_EX,102),INDEX(LISTA_EX,MATCH('T1'!$J27&amp;"|"&amp;102,LISTA_KLUCZ,0))),"")</f>
        <v>Lat pulldown</v>
      </c>
      <c r="DA27" s="5" t="str">
        <f t="array" ref="DA27">IFERROR(IF('T1'!$J27="",INDEX(LISTA_EX,103),INDEX(LISTA_EX,MATCH('T1'!$J27&amp;"|"&amp;103,LISTA_KLUCZ,0))),"")</f>
        <v>Lat pulldown behind the head</v>
      </c>
      <c r="DB27" s="5" t="str">
        <f t="array" ref="DB27">IFERROR(IF('T1'!$J27="",INDEX(LISTA_EX,104),INDEX(LISTA_EX,MATCH('T1'!$J27&amp;"|"&amp;104,LISTA_KLUCZ,0))),"")</f>
        <v>Lat pulldown s/a</v>
      </c>
      <c r="DC27" s="5" t="str">
        <f t="array" ref="DC27">IFERROR(IF('T1'!$J27="",INDEX(LISTA_EX,105),INDEX(LISTA_EX,MATCH('T1'!$J27&amp;"|"&amp;105,LISTA_KLUCZ,0))),"")</f>
        <v>Lateral raise s/a</v>
      </c>
      <c r="DD27" s="5" t="str">
        <f t="array" ref="DD27">IFERROR(IF('T1'!$J27="",INDEX(LISTA_EX,106),INDEX(LISTA_EX,MATCH('T1'!$J27&amp;"|"&amp;106,LISTA_KLUCZ,0))),"")</f>
        <v>Lateral raises</v>
      </c>
      <c r="DE27" s="5" t="str">
        <f t="array" ref="DE27">IFERROR(IF('T1'!$J27="",INDEX(LISTA_EX,107),INDEX(LISTA_EX,MATCH('T1'!$J27&amp;"|"&amp;107,LISTA_KLUCZ,0))),"")</f>
        <v>Lateral raises 2</v>
      </c>
      <c r="DF27" s="5" t="str">
        <f t="array" ref="DF27">IFERROR(IF('T1'!$J27="",INDEX(LISTA_EX,108),INDEX(LISTA_EX,MATCH('T1'!$J27&amp;"|"&amp;108,LISTA_KLUCZ,0))),"")</f>
        <v>Lateral raises full ROM</v>
      </c>
      <c r="DG27" s="5" t="str">
        <f t="array" ref="DG27">IFERROR(IF('T1'!$J27="",INDEX(LISTA_EX,109),INDEX(LISTA_EX,MATCH('T1'!$J27&amp;"|"&amp;109,LISTA_KLUCZ,0))),"")</f>
        <v>Lateral raises hinged</v>
      </c>
      <c r="DH27" s="5" t="str">
        <f t="array" ref="DH27">IFERROR(IF('T1'!$J27="",INDEX(LISTA_EX,110),INDEX(LISTA_EX,MATCH('T1'!$J27&amp;"|"&amp;110,LISTA_KLUCZ,0))),"")</f>
        <v>Lateral raises incline s/a</v>
      </c>
      <c r="DI27" s="5" t="str">
        <f t="array" ref="DI27">IFERROR(IF('T1'!$J27="",INDEX(LISTA_EX,111),INDEX(LISTA_EX,MATCH('T1'!$J27&amp;"|"&amp;111,LISTA_KLUCZ,0))),"")</f>
        <v>Leg curl</v>
      </c>
      <c r="DJ27" s="5" t="str">
        <f t="array" ref="DJ27">IFERROR(IF('T1'!$J27="",INDEX(LISTA_EX,112),INDEX(LISTA_EX,MATCH('T1'!$J27&amp;"|"&amp;112,LISTA_KLUCZ,0))),"")</f>
        <v>Machine row</v>
      </c>
      <c r="DK27" s="5" t="str">
        <f t="array" ref="DK27">IFERROR(IF('T1'!$J27="",INDEX(LISTA_EX,113),INDEX(LISTA_EX,MATCH('T1'!$J27&amp;"|"&amp;113,LISTA_KLUCZ,0))),"")</f>
        <v>Machine row s/a</v>
      </c>
      <c r="DL27" s="5" t="str">
        <f t="array" ref="DL27">IFERROR(IF('T1'!$J27="",INDEX(LISTA_EX,114),INDEX(LISTA_EX,MATCH('T1'!$J27&amp;"|"&amp;114,LISTA_KLUCZ,0))),"")</f>
        <v>Meadows row</v>
      </c>
      <c r="DM27" s="5" t="str">
        <f t="array" ref="DM27">IFERROR(IF('T1'!$J27="",INDEX(LISTA_EX,115),INDEX(LISTA_EX,MATCH('T1'!$J27&amp;"|"&amp;115,LISTA_KLUCZ,0))),"")</f>
        <v>Med ball slam</v>
      </c>
      <c r="DN27" s="5" t="str">
        <f t="array" ref="DN27">IFERROR(IF('T1'!$J27="",INDEX(LISTA_EX,116),INDEX(LISTA_EX,MATCH('T1'!$J27&amp;"|"&amp;116,LISTA_KLUCZ,0))),"")</f>
        <v>OH skullcrushers</v>
      </c>
      <c r="DO27" s="5" t="str">
        <f t="array" ref="DO27">IFERROR(IF('T1'!$J27="",INDEX(LISTA_EX,117),INDEX(LISTA_EX,MATCH('T1'!$J27&amp;"|"&amp;117,LISTA_KLUCZ,0))),"")</f>
        <v>OHP barbell squat 15kg</v>
      </c>
      <c r="DP27" s="5" t="str">
        <f t="array" ref="DP27">IFERROR(IF('T1'!$J27="",INDEX(LISTA_EX,118),INDEX(LISTA_EX,MATCH('T1'!$J27&amp;"|"&amp;118,LISTA_KLUCZ,0))),"")</f>
        <v>Pistol squat eccentric</v>
      </c>
      <c r="DQ27" s="5" t="str">
        <f t="array" ref="DQ27">IFERROR(IF('T1'!$J27="",INDEX(LISTA_EX,119),INDEX(LISTA_EX,MATCH('T1'!$J27&amp;"|"&amp;119,LISTA_KLUCZ,0))),"")</f>
        <v>Plank contralateral</v>
      </c>
      <c r="DR27" s="5" t="str">
        <f t="array" ref="DR27">IFERROR(IF('T1'!$J27="",INDEX(LISTA_EX,120),INDEX(LISTA_EX,MATCH('T1'!$J27&amp;"|"&amp;120,LISTA_KLUCZ,0))),"")</f>
        <v>Plank dumbbell rotation</v>
      </c>
      <c r="DS27" s="5" t="str">
        <f t="array" ref="DS27">IFERROR(IF('T1'!$J27="",INDEX(LISTA_EX,121),INDEX(LISTA_EX,MATCH('T1'!$J27&amp;"|"&amp;121,LISTA_KLUCZ,0))),"")</f>
        <v>Plank leg raises</v>
      </c>
      <c r="DT27" s="5" t="str">
        <f t="array" ref="DT27">IFERROR(IF('T1'!$J27="",INDEX(LISTA_EX,122),INDEX(LISTA_EX,MATCH('T1'!$J27&amp;"|"&amp;122,LISTA_KLUCZ,0))),"")</f>
        <v>Poliquin step up</v>
      </c>
      <c r="DU27" s="5" t="str">
        <f t="array" ref="DU27">IFERROR(IF('T1'!$J27="",INDEX(LISTA_EX,123),INDEX(LISTA_EX,MATCH('T1'!$J27&amp;"|"&amp;123,LISTA_KLUCZ,0))),"")</f>
        <v>Poliquin step up paused 3sec</v>
      </c>
      <c r="DV27" s="5" t="str">
        <f t="array" ref="DV27">IFERROR(IF('T1'!$J27="",INDEX(LISTA_EX,124),INDEX(LISTA_EX,MATCH('T1'!$J27&amp;"|"&amp;124,LISTA_KLUCZ,0))),"")</f>
        <v>Pronation/Supination</v>
      </c>
      <c r="DW27" s="5" t="str">
        <f t="array" ref="DW27">IFERROR(IF('T1'!$J27="",INDEX(LISTA_EX,125),INDEX(LISTA_EX,MATCH('T1'!$J27&amp;"|"&amp;125,LISTA_KLUCZ,0))),"")</f>
        <v>Pull up</v>
      </c>
      <c r="DX27" s="5" t="str">
        <f t="array" ref="DX27">IFERROR(IF('T1'!$J27="",INDEX(LISTA_EX,126),INDEX(LISTA_EX,MATCH('T1'!$J27&amp;"|"&amp;126,LISTA_KLUCZ,0))),"")</f>
        <v>Pull up eccentric weighted</v>
      </c>
      <c r="DY27" s="5" t="str">
        <f t="array" ref="DY27">IFERROR(IF('T1'!$J27="",INDEX(LISTA_EX,127),INDEX(LISTA_EX,MATCH('T1'!$J27&amp;"|"&amp;127,LISTA_KLUCZ,0))),"")</f>
        <v>Pull up eccentric weighted (5 sek w dół)</v>
      </c>
      <c r="DZ27" s="5" t="str">
        <f t="array" ref="DZ27">IFERROR(IF('T1'!$J27="",INDEX(LISTA_EX,128),INDEX(LISTA_EX,MATCH('T1'!$J27&amp;"|"&amp;128,LISTA_KLUCZ,0))),"")</f>
        <v>Pull up weighted</v>
      </c>
      <c r="EA27" s="5" t="str">
        <f t="array" ref="EA27">IFERROR(IF('T1'!$J27="",INDEX(LISTA_EX,129),INDEX(LISTA_EX,MATCH('T1'!$J27&amp;"|"&amp;129,LISTA_KLUCZ,0))),"")</f>
        <v>Pull ups (paused)</v>
      </c>
      <c r="EB27" s="5" t="str">
        <f t="array" ref="EB27">IFERROR(IF('T1'!$J27="",INDEX(LISTA_EX,130),INDEX(LISTA_EX,MATCH('T1'!$J27&amp;"|"&amp;130,LISTA_KLUCZ,0))),"")</f>
        <v>Push press barbell</v>
      </c>
      <c r="EC27" s="5" t="str">
        <f t="array" ref="EC27">IFERROR(IF('T1'!$J27="",INDEX(LISTA_EX,131),INDEX(LISTA_EX,MATCH('T1'!$J27&amp;"|"&amp;131,LISTA_KLUCZ,0))),"")</f>
        <v>Push up</v>
      </c>
      <c r="ED27" s="5" t="str">
        <f t="array" ref="ED27">IFERROR(IF('T1'!$J27="",INDEX(LISTA_EX,132),INDEX(LISTA_EX,MATCH('T1'!$J27&amp;"|"&amp;132,LISTA_KLUCZ,0))),"")</f>
        <v>Raised bird dog</v>
      </c>
      <c r="EE27" s="5" t="str">
        <f t="array" ref="EE27">IFERROR(IF('T1'!$J27="",INDEX(LISTA_EX,133),INDEX(LISTA_EX,MATCH('T1'!$J27&amp;"|"&amp;133,LISTA_KLUCZ,0))),"")</f>
        <v>RDL</v>
      </c>
      <c r="EF27" s="5" t="str">
        <f t="array" ref="EF27">IFERROR(IF('T1'!$J27="",INDEX(LISTA_EX,134),INDEX(LISTA_EX,MATCH('T1'!$J27&amp;"|"&amp;134,LISTA_KLUCZ,0))),"")</f>
        <v>Reverse Nordic</v>
      </c>
      <c r="EG27" s="5" t="str">
        <f t="array" ref="EG27">IFERROR(IF('T1'!$J27="",INDEX(LISTA_EX,135),INDEX(LISTA_EX,MATCH('T1'!$J27&amp;"|"&amp;135,LISTA_KLUCZ,0))),"")</f>
        <v>Rope pushdown</v>
      </c>
      <c r="EH27" s="5" t="str">
        <f t="array" ref="EH27">IFERROR(IF('T1'!$J27="",INDEX(LISTA_EX,136),INDEX(LISTA_EX,MATCH('T1'!$J27&amp;"|"&amp;136,LISTA_KLUCZ,0))),"")</f>
        <v>Rope pushdown OH</v>
      </c>
      <c r="EI27" s="5" t="str">
        <f t="array" ref="EI27">IFERROR(IF('T1'!$J27="",INDEX(LISTA_EX,137),INDEX(LISTA_EX,MATCH('T1'!$J27&amp;"|"&amp;137,LISTA_KLUCZ,0))),"")</f>
        <v>S/a cable pulldown incline bench</v>
      </c>
      <c r="EJ27" s="5" t="str">
        <f t="array" ref="EJ27">IFERROR(IF('T1'!$J27="",INDEX(LISTA_EX,138),INDEX(LISTA_EX,MATCH('T1'!$J27&amp;"|"&amp;138,LISTA_KLUCZ,0))),"")</f>
        <v>S/a lat pulldown incline bench</v>
      </c>
      <c r="EK27" s="5" t="str">
        <f t="array" ref="EK27">IFERROR(IF('T1'!$J27="",INDEX(LISTA_EX,139),INDEX(LISTA_EX,MATCH('T1'!$J27&amp;"|"&amp;139,LISTA_KLUCZ,0))),"")</f>
        <v>S/l dragonflag eccentric</v>
      </c>
      <c r="EL27" s="5" t="str">
        <f t="array" ref="EL27">IFERROR(IF('T1'!$J27="",INDEX(LISTA_EX,140),INDEX(LISTA_EX,MATCH('T1'!$J27&amp;"|"&amp;140,LISTA_KLUCZ,0))),"")</f>
        <v>S/l hip thrust</v>
      </c>
      <c r="EM27" s="5" t="str">
        <f t="array" ref="EM27">IFERROR(IF('T1'!$J27="",INDEX(LISTA_EX,141),INDEX(LISTA_EX,MATCH('T1'!$J27&amp;"|"&amp;141,LISTA_KLUCZ,0))),"")</f>
        <v>Seated broad jump</v>
      </c>
      <c r="EN27" s="5" t="str">
        <f t="array" ref="EN27">IFERROR(IF('T1'!$J27="",INDEX(LISTA_EX,142),INDEX(LISTA_EX,MATCH('T1'!$J27&amp;"|"&amp;142,LISTA_KLUCZ,0))),"")</f>
        <v>Seated cable facepull</v>
      </c>
      <c r="EO27" s="5" t="str">
        <f t="array" ref="EO27">IFERROR(IF('T1'!$J27="",INDEX(LISTA_EX,143),INDEX(LISTA_EX,MATCH('T1'!$J27&amp;"|"&amp;143,LISTA_KLUCZ,0))),"")</f>
        <v>Seated seesaw press (nogi proste)</v>
      </c>
      <c r="EP27" s="5" t="str">
        <f t="array" ref="EP27">IFERROR(IF('T1'!$J27="",INDEX(LISTA_EX,144),INDEX(LISTA_EX,MATCH('T1'!$J27&amp;"|"&amp;144,LISTA_KLUCZ,0))),"")</f>
        <v>Seesaw press</v>
      </c>
      <c r="EQ27" s="5" t="str">
        <f t="array" ref="EQ27">IFERROR(IF('T1'!$J27="",INDEX(LISTA_EX,145),INDEX(LISTA_EX,MATCH('T1'!$J27&amp;"|"&amp;145,LISTA_KLUCZ,0))),"")</f>
        <v>Side crunches</v>
      </c>
      <c r="ER27" s="5" t="str">
        <f t="array" ref="ER27">IFERROR(IF('T1'!$J27="",INDEX(LISTA_EX,146),INDEX(LISTA_EX,MATCH('T1'!$J27&amp;"|"&amp;146,LISTA_KLUCZ,0))),"")</f>
        <v>Side plank hip drop</v>
      </c>
      <c r="ES27" s="5" t="str">
        <f t="array" ref="ES27">IFERROR(IF('T1'!$J27="",INDEX(LISTA_EX,147),INDEX(LISTA_EX,MATCH('T1'!$J27&amp;"|"&amp;147,LISTA_KLUCZ,0))),"")</f>
        <v>Side plank rotations</v>
      </c>
      <c r="ET27" s="5" t="str">
        <f t="array" ref="ET27">IFERROR(IF('T1'!$J27="",INDEX(LISTA_EX,148),INDEX(LISTA_EX,MATCH('T1'!$J27&amp;"|"&amp;148,LISTA_KLUCZ,0))),"")</f>
        <v>SLDL balance</v>
      </c>
      <c r="EU27" s="5" t="str">
        <f t="array" ref="EU27">IFERROR(IF('T1'!$J27="",INDEX(LISTA_EX,149),INDEX(LISTA_EX,MATCH('T1'!$J27&amp;"|"&amp;149,LISTA_KLUCZ,0))),"")</f>
        <v>Split squat</v>
      </c>
      <c r="EV27" s="5" t="str">
        <f t="array" ref="EV27">IFERROR(IF('T1'!$J27="",INDEX(LISTA_EX,150),INDEX(LISTA_EX,MATCH('T1'!$J27&amp;"|"&amp;150,LISTA_KLUCZ,0))),"")</f>
        <v>Split stance SLDL</v>
      </c>
      <c r="EW27" s="5" t="str">
        <f t="array" ref="EW27">IFERROR(IF('T1'!$J27="",INDEX(LISTA_EX,151),INDEX(LISTA_EX,MATCH('T1'!$J27&amp;"|"&amp;151,LISTA_KLUCZ,0))),"")</f>
        <v>Squat izo (15 sek)</v>
      </c>
      <c r="EX27" s="5" t="str">
        <f t="array" ref="EX27">IFERROR(IF('T1'!$J27="",INDEX(LISTA_EX,152),INDEX(LISTA_EX,MATCH('T1'!$J27&amp;"|"&amp;152,LISTA_KLUCZ,0))),"")</f>
        <v>Standing landmine press</v>
      </c>
      <c r="EY27" s="5" t="str">
        <f t="array" ref="EY27">IFERROR(IF('T1'!$J27="",INDEX(LISTA_EX,153),INDEX(LISTA_EX,MATCH('T1'!$J27&amp;"|"&amp;153,LISTA_KLUCZ,0))),"")</f>
        <v>Suitcase carry</v>
      </c>
      <c r="EZ27" s="5" t="str">
        <f t="array" ref="EZ27">IFERROR(IF('T1'!$J27="",INDEX(LISTA_EX,154),INDEX(LISTA_EX,MATCH('T1'!$J27&amp;"|"&amp;154,LISTA_KLUCZ,0))),"")</f>
        <v>Supine pigeon abs</v>
      </c>
      <c r="FA27" s="5" t="str">
        <f t="array" ref="FA27">IFERROR(IF('T1'!$J27="",INDEX(LISTA_EX,155),INDEX(LISTA_EX,MATCH('T1'!$J27&amp;"|"&amp;155,LISTA_KLUCZ,0))),"")</f>
        <v>Swiss ball leg curl</v>
      </c>
      <c r="FB27" s="5" t="str">
        <f t="array" ref="FB27">IFERROR(IF('T1'!$J27="",INDEX(LISTA_EX,156),INDEX(LISTA_EX,MATCH('T1'!$J27&amp;"|"&amp;156,LISTA_KLUCZ,0))),"")</f>
        <v>Toes to bar</v>
      </c>
      <c r="FC27" s="5" t="str">
        <f t="array" ref="FC27">IFERROR(IF('T1'!$J27="",INDEX(LISTA_EX,157),INDEX(LISTA_EX,MATCH('T1'!$J27&amp;"|"&amp;157,LISTA_KLUCZ,0))),"")</f>
        <v>Trap bar deadlift</v>
      </c>
      <c r="FD27" s="5" t="str">
        <f t="array" ref="FD27">IFERROR(IF('T1'!$J27="",INDEX(LISTA_EX,158),INDEX(LISTA_EX,MATCH('T1'!$J27&amp;"|"&amp;158,LISTA_KLUCZ,0))),"")</f>
        <v>Tricep cable pushdown</v>
      </c>
      <c r="FE27" s="5" t="str">
        <f t="array" ref="FE27">IFERROR(IF('T1'!$J27="",INDEX(LISTA_EX,159),INDEX(LISTA_EX,MATCH('T1'!$J27&amp;"|"&amp;159,LISTA_KLUCZ,0))),"")</f>
        <v>Tricep JM press</v>
      </c>
      <c r="FF27" s="5" t="str">
        <f t="array" ref="FF27">IFERROR(IF('T1'!$J27="",INDEX(LISTA_EX,160),INDEX(LISTA_EX,MATCH('T1'!$J27&amp;"|"&amp;160,LISTA_KLUCZ,0))),"")</f>
        <v>Tricep OH cable</v>
      </c>
      <c r="FG27" s="5" t="str">
        <f t="array" ref="FG27">IFERROR(IF('T1'!$J27="",INDEX(LISTA_EX,161),INDEX(LISTA_EX,MATCH('T1'!$J27&amp;"|"&amp;161,LISTA_KLUCZ,0))),"")</f>
        <v>Tricep OH ez bar</v>
      </c>
      <c r="FH27" s="5" t="str">
        <f t="array" ref="FH27">IFERROR(IF('T1'!$J27="",INDEX(LISTA_EX,162),INDEX(LISTA_EX,MATCH('T1'!$J27&amp;"|"&amp;162,LISTA_KLUCZ,0))),"")</f>
        <v>Walking lunges</v>
      </c>
      <c r="FI27" s="5" t="str">
        <f t="array" ref="FI27">IFERROR(IF('T1'!$J27="",INDEX(LISTA_EX,163),INDEX(LISTA_EX,MATCH('T1'!$J27&amp;"|"&amp;163,LISTA_KLUCZ,0))),"")</f>
        <v>Wipers kettle</v>
      </c>
      <c r="FJ27" s="5" t="str">
        <f t="array" ref="FJ27">IFERROR(IF('T1'!$J27="",INDEX(LISTA_EX,164),INDEX(LISTA_EX,MATCH('T1'!$J27&amp;"|"&amp;164,LISTA_KLUCZ,0))),"")</f>
        <v>Zercher jumps</v>
      </c>
      <c r="FK27" s="5" t="str">
        <f t="array" ref="FK27">IFERROR(IF('T1'!$J27="",INDEX(LISTA_EX,165),INDEX(LISTA_EX,MATCH('T1'!$J27&amp;"|"&amp;165,LISTA_KLUCZ,0))),"")</f>
        <v/>
      </c>
      <c r="FL27" s="5" t="str">
        <f t="array" ref="FL27">IFERROR(IF('T1'!$J27="",INDEX(LISTA_EX,166),INDEX(LISTA_EX,MATCH('T1'!$J27&amp;"|"&amp;166,LISTA_KLUCZ,0))),"")</f>
        <v/>
      </c>
      <c r="FM27" s="5" t="str">
        <f t="array" ref="FM27">IFERROR(IF('T1'!$J27="",INDEX(LISTA_EX,167),INDEX(LISTA_EX,MATCH('T1'!$J27&amp;"|"&amp;167,LISTA_KLUCZ,0))),"")</f>
        <v/>
      </c>
      <c r="FN27" s="5" t="str">
        <f t="array" ref="FN27">IFERROR(IF('T1'!$J27="",INDEX(LISTA_EX,168),INDEX(LISTA_EX,MATCH('T1'!$J27&amp;"|"&amp;168,LISTA_KLUCZ,0))),"")</f>
        <v/>
      </c>
      <c r="FO27" s="5" t="str">
        <f t="array" ref="FO27">IFERROR(IF('T1'!$J27="",INDEX(LISTA_EX,169),INDEX(LISTA_EX,MATCH('T1'!$J27&amp;"|"&amp;169,LISTA_KLUCZ,0))),"")</f>
        <v/>
      </c>
      <c r="FP27" s="5" t="str">
        <f t="array" ref="FP27">IFERROR(IF('T1'!$J27="",INDEX(LISTA_EX,170),INDEX(LISTA_EX,MATCH('T1'!$J27&amp;"|"&amp;170,LISTA_KLUCZ,0))),"")</f>
        <v/>
      </c>
      <c r="FQ27" s="5" t="str">
        <f t="array" ref="FQ27">IFERROR(IF('T1'!$J27="",INDEX(LISTA_EX,171),INDEX(LISTA_EX,MATCH('T1'!$J27&amp;"|"&amp;171,LISTA_KLUCZ,0))),"")</f>
        <v/>
      </c>
      <c r="FR27" s="5" t="str">
        <f t="array" ref="FR27">IFERROR(IF('T1'!$J27="",INDEX(LISTA_EX,172),INDEX(LISTA_EX,MATCH('T1'!$J27&amp;"|"&amp;172,LISTA_KLUCZ,0))),"")</f>
        <v/>
      </c>
      <c r="FS27" s="5" t="str">
        <f t="array" ref="FS27">IFERROR(IF('T1'!$J27="",INDEX(LISTA_EX,173),INDEX(LISTA_EX,MATCH('T1'!$J27&amp;"|"&amp;173,LISTA_KLUCZ,0))),"")</f>
        <v/>
      </c>
      <c r="FT27" s="5" t="str">
        <f t="array" ref="FT27">IFERROR(IF('T1'!$J27="",INDEX(LISTA_EX,174),INDEX(LISTA_EX,MATCH('T1'!$J27&amp;"|"&amp;174,LISTA_KLUCZ,0))),"")</f>
        <v/>
      </c>
      <c r="FU27" s="5" t="str">
        <f t="array" ref="FU27">IFERROR(IF('T1'!$J27="",INDEX(LISTA_EX,175),INDEX(LISTA_EX,MATCH('T1'!$J27&amp;"|"&amp;175,LISTA_KLUCZ,0))),"")</f>
        <v/>
      </c>
      <c r="FV27" s="5" t="str">
        <f t="array" ref="FV27">IFERROR(IF('T1'!$J27="",INDEX(LISTA_EX,176),INDEX(LISTA_EX,MATCH('T1'!$J27&amp;"|"&amp;176,LISTA_KLUCZ,0))),"")</f>
        <v/>
      </c>
      <c r="FW27" s="5" t="str">
        <f t="array" ref="FW27">IFERROR(IF('T1'!$J27="",INDEX(LISTA_EX,177),INDEX(LISTA_EX,MATCH('T1'!$J27&amp;"|"&amp;177,LISTA_KLUCZ,0))),"")</f>
        <v/>
      </c>
      <c r="FX27" s="5" t="str">
        <f t="array" ref="FX27">IFERROR(IF('T1'!$J27="",INDEX(LISTA_EX,178),INDEX(LISTA_EX,MATCH('T1'!$J27&amp;"|"&amp;178,LISTA_KLUCZ,0))),"")</f>
        <v/>
      </c>
      <c r="FY27" s="5" t="str">
        <f t="array" ref="FY27">IFERROR(IF('T1'!$J27="",INDEX(LISTA_EX,179),INDEX(LISTA_EX,MATCH('T1'!$J27&amp;"|"&amp;179,LISTA_KLUCZ,0))),"")</f>
        <v/>
      </c>
      <c r="FZ27" s="5" t="str">
        <f t="array" ref="FZ27">IFERROR(IF('T1'!$J27="",INDEX(LISTA_EX,180),INDEX(LISTA_EX,MATCH('T1'!$J27&amp;"|"&amp;180,LISTA_KLUCZ,0))),"")</f>
        <v/>
      </c>
      <c r="GA27" s="5" t="str">
        <f t="array" ref="GA27">IFERROR(IF('T1'!$J27="",INDEX(LISTA_EX,181),INDEX(LISTA_EX,MATCH('T1'!$J27&amp;"|"&amp;181,LISTA_KLUCZ,0))),"")</f>
        <v/>
      </c>
      <c r="GB27" s="5" t="str">
        <f t="array" ref="GB27">IFERROR(IF('T1'!$J27="",INDEX(LISTA_EX,182),INDEX(LISTA_EX,MATCH('T1'!$J27&amp;"|"&amp;182,LISTA_KLUCZ,0))),"")</f>
        <v/>
      </c>
      <c r="GC27" s="5" t="str">
        <f t="array" ref="GC27">IFERROR(IF('T1'!$J27="",INDEX(LISTA_EX,183),INDEX(LISTA_EX,MATCH('T1'!$J27&amp;"|"&amp;183,LISTA_KLUCZ,0))),"")</f>
        <v/>
      </c>
      <c r="GD27" s="5" t="str">
        <f t="array" ref="GD27">IFERROR(IF('T1'!$J27="",INDEX(LISTA_EX,184),INDEX(LISTA_EX,MATCH('T1'!$J27&amp;"|"&amp;184,LISTA_KLUCZ,0))),"")</f>
        <v/>
      </c>
      <c r="GE27" s="5" t="str">
        <f t="array" ref="GE27">IFERROR(IF('T1'!$J27="",INDEX(LISTA_EX,185),INDEX(LISTA_EX,MATCH('T1'!$J27&amp;"|"&amp;185,LISTA_KLUCZ,0))),"")</f>
        <v/>
      </c>
      <c r="GF27" s="5" t="str">
        <f t="array" ref="GF27">IFERROR(IF('T1'!$J27="",INDEX(LISTA_EX,186),INDEX(LISTA_EX,MATCH('T1'!$J27&amp;"|"&amp;186,LISTA_KLUCZ,0))),"")</f>
        <v/>
      </c>
      <c r="GG27" s="5" t="str">
        <f t="array" ref="GG27">IFERROR(IF('T1'!$J27="",INDEX(LISTA_EX,187),INDEX(LISTA_EX,MATCH('T1'!$J27&amp;"|"&amp;187,LISTA_KLUCZ,0))),"")</f>
        <v/>
      </c>
      <c r="GH27" s="5" t="str">
        <f t="array" ref="GH27">IFERROR(IF('T1'!$J27="",INDEX(LISTA_EX,188),INDEX(LISTA_EX,MATCH('T1'!$J27&amp;"|"&amp;188,LISTA_KLUCZ,0))),"")</f>
        <v/>
      </c>
      <c r="GI27" s="5" t="str">
        <f t="array" ref="GI27">IFERROR(IF('T1'!$J27="",INDEX(LISTA_EX,189),INDEX(LISTA_EX,MATCH('T1'!$J27&amp;"|"&amp;189,LISTA_KLUCZ,0))),"")</f>
        <v/>
      </c>
      <c r="GJ27" s="5" t="str">
        <f t="array" ref="GJ27">IFERROR(IF('T1'!$J27="",INDEX(LISTA_EX,190),INDEX(LISTA_EX,MATCH('T1'!$J27&amp;"|"&amp;190,LISTA_KLUCZ,0))),"")</f>
        <v/>
      </c>
      <c r="GK27" s="5" t="str">
        <f t="array" ref="GK27">IFERROR(IF('T1'!$J27="",INDEX(LISTA_EX,191),INDEX(LISTA_EX,MATCH('T1'!$J27&amp;"|"&amp;191,LISTA_KLUCZ,0))),"")</f>
        <v/>
      </c>
      <c r="GL27" s="5" t="str">
        <f t="array" ref="GL27">IFERROR(IF('T1'!$J27="",INDEX(LISTA_EX,192),INDEX(LISTA_EX,MATCH('T1'!$J27&amp;"|"&amp;192,LISTA_KLUCZ,0))),"")</f>
        <v/>
      </c>
      <c r="GM27" s="5" t="str">
        <f t="array" ref="GM27">IFERROR(IF('T1'!$J27="",INDEX(LISTA_EX,193),INDEX(LISTA_EX,MATCH('T1'!$J27&amp;"|"&amp;193,LISTA_KLUCZ,0))),"")</f>
        <v/>
      </c>
      <c r="GN27" s="5" t="str">
        <f t="array" ref="GN27">IFERROR(IF('T1'!$J27="",INDEX(LISTA_EX,194),INDEX(LISTA_EX,MATCH('T1'!$J27&amp;"|"&amp;194,LISTA_KLUCZ,0))),"")</f>
        <v/>
      </c>
      <c r="GO27" s="5" t="str">
        <f t="array" ref="GO27">IFERROR(IF('T1'!$J27="",INDEX(LISTA_EX,195),INDEX(LISTA_EX,MATCH('T1'!$J27&amp;"|"&amp;195,LISTA_KLUCZ,0))),"")</f>
        <v/>
      </c>
      <c r="GP27" s="5" t="str">
        <f t="array" ref="GP27">IFERROR(IF('T1'!$J27="",INDEX(LISTA_EX,196),INDEX(LISTA_EX,MATCH('T1'!$J27&amp;"|"&amp;196,LISTA_KLUCZ,0))),"")</f>
        <v/>
      </c>
      <c r="GQ27" s="5" t="str">
        <f t="array" ref="GQ27">IFERROR(IF('T1'!$J27="",INDEX(LISTA_EX,197),INDEX(LISTA_EX,MATCH('T1'!$J27&amp;"|"&amp;197,LISTA_KLUCZ,0))),"")</f>
        <v/>
      </c>
      <c r="GR27" s="5" t="str">
        <f t="array" ref="GR27">IFERROR(IF('T1'!$J27="",INDEX(LISTA_EX,198),INDEX(LISTA_EX,MATCH('T1'!$J27&amp;"|"&amp;198,LISTA_KLUCZ,0))),"")</f>
        <v/>
      </c>
      <c r="GS27" s="5" t="str">
        <f t="array" ref="GS27">IFERROR(IF('T1'!$J27="",INDEX(LISTA_EX,199),INDEX(LISTA_EX,MATCH('T1'!$J27&amp;"|"&amp;199,LISTA_KLUCZ,0))),"")</f>
        <v/>
      </c>
      <c r="GT27" s="5" t="str">
        <f t="array" ref="GT27">IFERROR(IF('T1'!$J27="",INDEX(LISTA_EX,200),INDEX(LISTA_EX,MATCH('T1'!$J27&amp;"|"&amp;200,LISTA_KLUCZ,0))),"")</f>
        <v/>
      </c>
      <c r="GV27" s="5" t="str">
        <f>IF(BAZA!$A27="","",BAZA!$A27)</f>
        <v>Box jump</v>
      </c>
      <c r="GW27" s="5" t="str">
        <f>IF(BAZA!$B27="","",BAZA!$B27&amp;"|"&amp;COUNTIF(BAZA!$B$3:$B27,BAZA!$B27))</f>
        <v>Lower push|5</v>
      </c>
    </row>
    <row r="28" ht="15.0" customHeight="1">
      <c r="A28" s="5" t="str">
        <f>IF('T1'!$K28="","",'T1'!$K28)</f>
        <v>D2-S06</v>
      </c>
      <c r="B28" s="5" t="str">
        <f>IF('T1'!$J28="","(wszystkie)",'T1'!$J28)</f>
        <v>(wszystkie)</v>
      </c>
      <c r="C28" s="5" t="str">
        <f t="array" ref="C28">IFERROR(IF('T1'!$J28="",INDEX(LISTA_EX,1),INDEX(LISTA_EX,MATCH('T1'!$J28&amp;"|"&amp;1,LISTA_KLUCZ,0))),"")</f>
        <v>Abduction machine</v>
      </c>
      <c r="D28" s="5" t="str">
        <f t="array" ref="D28">IFERROR(IF('T1'!$J28="",INDEX(LISTA_EX,2),INDEX(LISTA_EX,MATCH('T1'!$J28&amp;"|"&amp;2,LISTA_KLUCZ,0))),"")</f>
        <v>Adduction machine</v>
      </c>
      <c r="E28" s="5" t="str">
        <f t="array" ref="E28">IFERROR(IF('T1'!$J28="",INDEX(LISTA_EX,3),INDEX(LISTA_EX,MATCH('T1'!$J28&amp;"|"&amp;3,LISTA_KLUCZ,0))),"")</f>
        <v>Allah</v>
      </c>
      <c r="F28" s="5" t="str">
        <f t="array" ref="F28">IFERROR(IF('T1'!$J28="",INDEX(LISTA_EX,4),INDEX(LISTA_EX,MATCH('T1'!$J28&amp;"|"&amp;4,LISTA_KLUCZ,0))),"")</f>
        <v>Arnold press</v>
      </c>
      <c r="G28" s="5" t="str">
        <f t="array" ref="G28">IFERROR(IF('T1'!$J28="",INDEX(LISTA_EX,5),INDEX(LISTA_EX,MATCH('T1'!$J28&amp;"|"&amp;5,LISTA_KLUCZ,0))),"")</f>
        <v>Arnold press alternating</v>
      </c>
      <c r="H28" s="5" t="str">
        <f t="array" ref="H28">IFERROR(IF('T1'!$J28="",INDEX(LISTA_EX,6),INDEX(LISTA_EX,MATCH('T1'!$J28&amp;"|"&amp;6,LISTA_KLUCZ,0))),"")</f>
        <v>B/l dragonflag eccentric</v>
      </c>
      <c r="I28" s="5" t="str">
        <f t="array" ref="I28">IFERROR(IF('T1'!$J28="",INDEX(LISTA_EX,7),INDEX(LISTA_EX,MATCH('T1'!$J28&amp;"|"&amp;7,LISTA_KLUCZ,0))),"")</f>
        <v>Back extension</v>
      </c>
      <c r="J28" s="5" t="str">
        <f t="array" ref="J28">IFERROR(IF('T1'!$J28="",INDEX(LISTA_EX,8),INDEX(LISTA_EX,MATCH('T1'!$J28&amp;"|"&amp;8,LISTA_KLUCZ,0))),"")</f>
        <v>Banded pistol squat</v>
      </c>
      <c r="K28" s="5" t="str">
        <f t="array" ref="K28">IFERROR(IF('T1'!$J28="",INDEX(LISTA_EX,9),INDEX(LISTA_EX,MATCH('T1'!$J28&amp;"|"&amp;9,LISTA_KLUCZ,0))),"")</f>
        <v>Banded pull ups</v>
      </c>
      <c r="L28" s="5" t="str">
        <f t="array" ref="L28">IFERROR(IF('T1'!$J28="",INDEX(LISTA_EX,10),INDEX(LISTA_EX,MATCH('T1'!$J28&amp;"|"&amp;10,LISTA_KLUCZ,0))),"")</f>
        <v>Barbell back squat</v>
      </c>
      <c r="M28" s="5" t="str">
        <f t="array" ref="M28">IFERROR(IF('T1'!$J28="",INDEX(LISTA_EX,11),INDEX(LISTA_EX,MATCH('T1'!$J28&amp;"|"&amp;11,LISTA_KLUCZ,0))),"")</f>
        <v>Barbell bench press</v>
      </c>
      <c r="N28" s="5" t="str">
        <f t="array" ref="N28">IFERROR(IF('T1'!$J28="",INDEX(LISTA_EX,12),INDEX(LISTA_EX,MATCH('T1'!$J28&amp;"|"&amp;12,LISTA_KLUCZ,0))),"")</f>
        <v>Barbell curl</v>
      </c>
      <c r="O28" s="5" t="str">
        <f t="array" ref="O28">IFERROR(IF('T1'!$J28="",INDEX(LISTA_EX,13),INDEX(LISTA_EX,MATCH('T1'!$J28&amp;"|"&amp;13,LISTA_KLUCZ,0))),"")</f>
        <v>Barbell low bar squat</v>
      </c>
      <c r="P28" s="5" t="str">
        <f t="array" ref="P28">IFERROR(IF('T1'!$J28="",INDEX(LISTA_EX,14),INDEX(LISTA_EX,MATCH('T1'!$J28&amp;"|"&amp;14,LISTA_KLUCZ,0))),"")</f>
        <v>Barbell OHP</v>
      </c>
      <c r="Q28" s="5" t="str">
        <f t="array" ref="Q28">IFERROR(IF('T1'!$J28="",INDEX(LISTA_EX,15),INDEX(LISTA_EX,MATCH('T1'!$J28&amp;"|"&amp;15,LISTA_KLUCZ,0))),"")</f>
        <v>Barbell oscilation</v>
      </c>
      <c r="R28" s="5" t="str">
        <f t="array" ref="R28">IFERROR(IF('T1'!$J28="",INDEX(LISTA_EX,16),INDEX(LISTA_EX,MATCH('T1'!$J28&amp;"|"&amp;16,LISTA_KLUCZ,0))),"")</f>
        <v>Barbell row</v>
      </c>
      <c r="S28" s="5" t="str">
        <f t="array" ref="S28">IFERROR(IF('T1'!$J28="",INDEX(LISTA_EX,17),INDEX(LISTA_EX,MATCH('T1'!$J28&amp;"|"&amp;17,LISTA_KLUCZ,0))),"")</f>
        <v>Barbell row dead stop pins</v>
      </c>
      <c r="T28" s="5" t="str">
        <f t="array" ref="T28">IFERROR(IF('T1'!$J28="",INDEX(LISTA_EX,18),INDEX(LISTA_EX,MATCH('T1'!$J28&amp;"|"&amp;18,LISTA_KLUCZ,0))),"")</f>
        <v>Barbell SLDL</v>
      </c>
      <c r="U28" s="5" t="str">
        <f t="array" ref="U28">IFERROR(IF('T1'!$J28="",INDEX(LISTA_EX,19),INDEX(LISTA_EX,MATCH('T1'!$J28&amp;"|"&amp;19,LISTA_KLUCZ,0))),"")</f>
        <v>Bayesian curl</v>
      </c>
      <c r="V28" s="5" t="str">
        <f t="array" ref="V28">IFERROR(IF('T1'!$J28="",INDEX(LISTA_EX,20),INDEX(LISTA_EX,MATCH('T1'!$J28&amp;"|"&amp;20,LISTA_KLUCZ,0))),"")</f>
        <v>Bear renegade row</v>
      </c>
      <c r="W28" s="5" t="str">
        <f t="array" ref="W28">IFERROR(IF('T1'!$J28="",INDEX(LISTA_EX,21),INDEX(LISTA_EX,MATCH('T1'!$J28&amp;"|"&amp;21,LISTA_KLUCZ,0))),"")</f>
        <v>Bench press paused 3sec</v>
      </c>
      <c r="X28" s="5" t="str">
        <f t="array" ref="X28">IFERROR(IF('T1'!$J28="",INDEX(LISTA_EX,22),INDEX(LISTA_EX,MATCH('T1'!$J28&amp;"|"&amp;22,LISTA_KLUCZ,0))),"")</f>
        <v>Bicep hammer curl</v>
      </c>
      <c r="Y28" s="5" t="str">
        <f t="array" ref="Y28">IFERROR(IF('T1'!$J28="",INDEX(LISTA_EX,23),INDEX(LISTA_EX,MATCH('T1'!$J28&amp;"|"&amp;23,LISTA_KLUCZ,0))),"")</f>
        <v>Bicep squat cable curl</v>
      </c>
      <c r="Z28" s="5" t="str">
        <f t="array" ref="Z28">IFERROR(IF('T1'!$J28="",INDEX(LISTA_EX,24),INDEX(LISTA_EX,MATCH('T1'!$J28&amp;"|"&amp;24,LISTA_KLUCZ,0))),"")</f>
        <v>Bird dog row</v>
      </c>
      <c r="AA28" s="5" t="str">
        <f t="array" ref="AA28">IFERROR(IF('T1'!$J28="",INDEX(LISTA_EX,25),INDEX(LISTA_EX,MATCH('T1'!$J28&amp;"|"&amp;25,LISTA_KLUCZ,0))),"")</f>
        <v>Box jump</v>
      </c>
      <c r="AB28" s="5" t="str">
        <f t="array" ref="AB28">IFERROR(IF('T1'!$J28="",INDEX(LISTA_EX,26),INDEX(LISTA_EX,MATCH('T1'!$J28&amp;"|"&amp;26,LISTA_KLUCZ,0))),"")</f>
        <v>Bulgarian clean plyo</v>
      </c>
      <c r="AC28" s="5" t="str">
        <f t="array" ref="AC28">IFERROR(IF('T1'!$J28="",INDEX(LISTA_EX,27),INDEX(LISTA_EX,MATCH('T1'!$J28&amp;"|"&amp;27,LISTA_KLUCZ,0))),"")</f>
        <v>Bulgarian squat assisted</v>
      </c>
      <c r="AD28" s="5" t="str">
        <f t="array" ref="AD28">IFERROR(IF('T1'!$J28="",INDEX(LISTA_EX,28),INDEX(LISTA_EX,MATCH('T1'!$J28&amp;"|"&amp;28,LISTA_KLUCZ,0))),"")</f>
        <v>Cable biceps curl</v>
      </c>
      <c r="AE28" s="5" t="str">
        <f t="array" ref="AE28">IFERROR(IF('T1'!$J28="",INDEX(LISTA_EX,29),INDEX(LISTA_EX,MATCH('T1'!$J28&amp;"|"&amp;29,LISTA_KLUCZ,0))),"")</f>
        <v>Cable fly</v>
      </c>
      <c r="AF28" s="5" t="str">
        <f t="array" ref="AF28">IFERROR(IF('T1'!$J28="",INDEX(LISTA_EX,30),INDEX(LISTA_EX,MATCH('T1'!$J28&amp;"|"&amp;30,LISTA_KLUCZ,0))),"")</f>
        <v>Cable lateral raise s/a</v>
      </c>
      <c r="AG28" s="5" t="str">
        <f t="array" ref="AG28">IFERROR(IF('T1'!$J28="",INDEX(LISTA_EX,31),INDEX(LISTA_EX,MATCH('T1'!$J28&amp;"|"&amp;31,LISTA_KLUCZ,0))),"")</f>
        <v>Cable row</v>
      </c>
      <c r="AH28" s="5" t="str">
        <f t="array" ref="AH28">IFERROR(IF('T1'!$J28="",INDEX(LISTA_EX,32),INDEX(LISTA_EX,MATCH('T1'!$J28&amp;"|"&amp;32,LISTA_KLUCZ,0))),"")</f>
        <v>Cable row s/a</v>
      </c>
      <c r="AI28" s="5" t="str">
        <f t="array" ref="AI28">IFERROR(IF('T1'!$J28="",INDEX(LISTA_EX,33),INDEX(LISTA_EX,MATCH('T1'!$J28&amp;"|"&amp;33,LISTA_KLUCZ,0))),"")</f>
        <v>Calf raises</v>
      </c>
      <c r="AJ28" s="5" t="str">
        <f t="array" ref="AJ28">IFERROR(IF('T1'!$J28="",INDEX(LISTA_EX,34),INDEX(LISTA_EX,MATCH('T1'!$J28&amp;"|"&amp;34,LISTA_KLUCZ,0))),"")</f>
        <v>Chest fly machine</v>
      </c>
      <c r="AK28" s="5" t="str">
        <f t="array" ref="AK28">IFERROR(IF('T1'!$J28="",INDEX(LISTA_EX,35),INDEX(LISTA_EX,MATCH('T1'!$J28&amp;"|"&amp;35,LISTA_KLUCZ,0))),"")</f>
        <v>Clean</v>
      </c>
      <c r="AL28" s="5" t="str">
        <f t="array" ref="AL28">IFERROR(IF('T1'!$J28="",INDEX(LISTA_EX,36),INDEX(LISTA_EX,MATCH('T1'!$J28&amp;"|"&amp;36,LISTA_KLUCZ,0))),"")</f>
        <v>Clean pins</v>
      </c>
      <c r="AM28" s="5" t="str">
        <f t="array" ref="AM28">IFERROR(IF('T1'!$J28="",INDEX(LISTA_EX,37),INDEX(LISTA_EX,MATCH('T1'!$J28&amp;"|"&amp;37,LISTA_KLUCZ,0))),"")</f>
        <v>Copenhagen plank</v>
      </c>
      <c r="AN28" s="5" t="str">
        <f t="array" ref="AN28">IFERROR(IF('T1'!$J28="",INDEX(LISTA_EX,38),INDEX(LISTA_EX,MATCH('T1'!$J28&amp;"|"&amp;38,LISTA_KLUCZ,0))),"")</f>
        <v>Dead bug izo + OH</v>
      </c>
      <c r="AO28" s="5" t="str">
        <f t="array" ref="AO28">IFERROR(IF('T1'!$J28="",INDEX(LISTA_EX,39),INDEX(LISTA_EX,MATCH('T1'!$J28&amp;"|"&amp;39,LISTA_KLUCZ,0))),"")</f>
        <v>Dead bug straight legs</v>
      </c>
      <c r="AP28" s="5" t="str">
        <f t="array" ref="AP28">IFERROR(IF('T1'!$J28="",INDEX(LISTA_EX,40),INDEX(LISTA_EX,MATCH('T1'!$J28&amp;"|"&amp;40,LISTA_KLUCZ,0))),"")</f>
        <v>Dead stop barbell row</v>
      </c>
      <c r="AQ28" s="5" t="str">
        <f t="array" ref="AQ28">IFERROR(IF('T1'!$J28="",INDEX(LISTA_EX,41),INDEX(LISTA_EX,MATCH('T1'!$J28&amp;"|"&amp;41,LISTA_KLUCZ,0))),"")</f>
        <v>Deadbug OH</v>
      </c>
      <c r="AR28" s="5" t="str">
        <f t="array" ref="AR28">IFERROR(IF('T1'!$J28="",INDEX(LISTA_EX,42),INDEX(LISTA_EX,MATCH('T1'!$J28&amp;"|"&amp;42,LISTA_KLUCZ,0))),"")</f>
        <v>Deadlift</v>
      </c>
      <c r="AS28" s="5" t="str">
        <f t="array" ref="AS28">IFERROR(IF('T1'!$J28="",INDEX(LISTA_EX,43),INDEX(LISTA_EX,MATCH('T1'!$J28&amp;"|"&amp;43,LISTA_KLUCZ,0))),"")</f>
        <v>Deficit push up</v>
      </c>
      <c r="AT28" s="5" t="str">
        <f t="array" ref="AT28">IFERROR(IF('T1'!$J28="",INDEX(LISTA_EX,44),INDEX(LISTA_EX,MATCH('T1'!$J28&amp;"|"&amp;44,LISTA_KLUCZ,0))),"")</f>
        <v>Deficit reverse lunge</v>
      </c>
      <c r="AU28" s="5" t="str">
        <f t="array" ref="AU28">IFERROR(IF('T1'!$J28="",INDEX(LISTA_EX,45),INDEX(LISTA_EX,MATCH('T1'!$J28&amp;"|"&amp;45,LISTA_KLUCZ,0))),"")</f>
        <v>Dips</v>
      </c>
      <c r="AV28" s="5" t="str">
        <f t="array" ref="AV28">IFERROR(IF('T1'!$J28="",INDEX(LISTA_EX,46),INDEX(LISTA_EX,MATCH('T1'!$J28&amp;"|"&amp;46,LISTA_KLUCZ,0))),"")</f>
        <v>Dips weighted</v>
      </c>
      <c r="AW28" s="5" t="str">
        <f t="array" ref="AW28">IFERROR(IF('T1'!$J28="",INDEX(LISTA_EX,47),INDEX(LISTA_EX,MATCH('T1'!$J28&amp;"|"&amp;47,LISTA_KLUCZ,0))),"")</f>
        <v>Dumbbell bench press</v>
      </c>
      <c r="AX28" s="5" t="str">
        <f t="array" ref="AX28">IFERROR(IF('T1'!$J28="",INDEX(LISTA_EX,48),INDEX(LISTA_EX,MATCH('T1'!$J28&amp;"|"&amp;48,LISTA_KLUCZ,0))),"")</f>
        <v>Dumbbell bench press alternating</v>
      </c>
      <c r="AY28" s="5" t="str">
        <f t="array" ref="AY28">IFERROR(IF('T1'!$J28="",INDEX(LISTA_EX,49),INDEX(LISTA_EX,MATCH('T1'!$J28&amp;"|"&amp;49,LISTA_KLUCZ,0))),"")</f>
        <v>Dumbbell curl</v>
      </c>
      <c r="AZ28" s="5" t="str">
        <f t="array" ref="AZ28">IFERROR(IF('T1'!$J28="",INDEX(LISTA_EX,50),INDEX(LISTA_EX,MATCH('T1'!$J28&amp;"|"&amp;50,LISTA_KLUCZ,0))),"")</f>
        <v>Dumbbell external rotation</v>
      </c>
      <c r="BA28" s="5" t="str">
        <f t="array" ref="BA28">IFERROR(IF('T1'!$J28="",INDEX(LISTA_EX,51),INDEX(LISTA_EX,MATCH('T1'!$J28&amp;"|"&amp;51,LISTA_KLUCZ,0))),"")</f>
        <v>Dumbbell face down curl</v>
      </c>
      <c r="BB28" s="5" t="str">
        <f t="array" ref="BB28">IFERROR(IF('T1'!$J28="",INDEX(LISTA_EX,52),INDEX(LISTA_EX,MATCH('T1'!$J28&amp;"|"&amp;52,LISTA_KLUCZ,0))),"")</f>
        <v>Dumbbell fly</v>
      </c>
      <c r="BC28" s="5" t="str">
        <f t="array" ref="BC28">IFERROR(IF('T1'!$J28="",INDEX(LISTA_EX,53),INDEX(LISTA_EX,MATCH('T1'!$J28&amp;"|"&amp;53,LISTA_KLUCZ,0))),"")</f>
        <v>Dumbbell french press</v>
      </c>
      <c r="BD28" s="5" t="str">
        <f t="array" ref="BD28">IFERROR(IF('T1'!$J28="",INDEX(LISTA_EX,54),INDEX(LISTA_EX,MATCH('T1'!$J28&amp;"|"&amp;54,LISTA_KLUCZ,0))),"")</f>
        <v>Dumbbell lateral raise</v>
      </c>
      <c r="BE28" s="5" t="str">
        <f t="array" ref="BE28">IFERROR(IF('T1'!$J28="",INDEX(LISTA_EX,55),INDEX(LISTA_EX,MATCH('T1'!$J28&amp;"|"&amp;55,LISTA_KLUCZ,0))),"")</f>
        <v>Dumbbell lunges</v>
      </c>
      <c r="BF28" s="5" t="str">
        <f t="array" ref="BF28">IFERROR(IF('T1'!$J28="",INDEX(LISTA_EX,56),INDEX(LISTA_EX,MATCH('T1'!$J28&amp;"|"&amp;56,LISTA_KLUCZ,0))),"")</f>
        <v>Dumbbell OH press</v>
      </c>
      <c r="BG28" s="5" t="str">
        <f t="array" ref="BG28">IFERROR(IF('T1'!$J28="",INDEX(LISTA_EX,57),INDEX(LISTA_EX,MATCH('T1'!$J28&amp;"|"&amp;57,LISTA_KLUCZ,0))),"")</f>
        <v>Dumbbell over head press</v>
      </c>
      <c r="BH28" s="5" t="str">
        <f t="array" ref="BH28">IFERROR(IF('T1'!$J28="",INDEX(LISTA_EX,58),INDEX(LISTA_EX,MATCH('T1'!$J28&amp;"|"&amp;58,LISTA_KLUCZ,0))),"")</f>
        <v>Dumbbell over head press alternating</v>
      </c>
      <c r="BI28" s="5" t="str">
        <f t="array" ref="BI28">IFERROR(IF('T1'!$J28="",INDEX(LISTA_EX,59),INDEX(LISTA_EX,MATCH('T1'!$J28&amp;"|"&amp;59,LISTA_KLUCZ,0))),"")</f>
        <v>Dumbbell row</v>
      </c>
      <c r="BJ28" s="5" t="str">
        <f t="array" ref="BJ28">IFERROR(IF('T1'!$J28="",INDEX(LISTA_EX,60),INDEX(LISTA_EX,MATCH('T1'!$J28&amp;"|"&amp;60,LISTA_KLUCZ,0))),"")</f>
        <v>Dumbbell s/a Arnold press</v>
      </c>
      <c r="BK28" s="5" t="str">
        <f t="array" ref="BK28">IFERROR(IF('T1'!$J28="",INDEX(LISTA_EX,61),INDEX(LISTA_EX,MATCH('T1'!$J28&amp;"|"&amp;61,LISTA_KLUCZ,0))),"")</f>
        <v>Dumbbell s/a row</v>
      </c>
      <c r="BL28" s="5" t="str">
        <f t="array" ref="BL28">IFERROR(IF('T1'!$J28="",INDEX(LISTA_EX,62),INDEX(LISTA_EX,MATCH('T1'!$J28&amp;"|"&amp;62,LISTA_KLUCZ,0))),"")</f>
        <v>Dumbbell seal row</v>
      </c>
      <c r="BM28" s="5" t="str">
        <f t="array" ref="BM28">IFERROR(IF('T1'!$J28="",INDEX(LISTA_EX,63),INDEX(LISTA_EX,MATCH('T1'!$J28&amp;"|"&amp;63,LISTA_KLUCZ,0))),"")</f>
        <v>Dumbbells jumps</v>
      </c>
      <c r="BN28" s="5" t="str">
        <f t="array" ref="BN28">IFERROR(IF('T1'!$J28="",INDEX(LISTA_EX,64),INDEX(LISTA_EX,MATCH('T1'!$J28&amp;"|"&amp;64,LISTA_KLUCZ,0))),"")</f>
        <v>Eccentric pull up</v>
      </c>
      <c r="BO28" s="5" t="str">
        <f t="array" ref="BO28">IFERROR(IF('T1'!$J28="",INDEX(LISTA_EX,65),INDEX(LISTA_EX,MATCH('T1'!$J28&amp;"|"&amp;65,LISTA_KLUCZ,0))),"")</f>
        <v>Eccentric push up (5 sek w dół)</v>
      </c>
      <c r="BP28" s="5" t="str">
        <f t="array" ref="BP28">IFERROR(IF('T1'!$J28="",INDEX(LISTA_EX,66),INDEX(LISTA_EX,MATCH('T1'!$J28&amp;"|"&amp;66,LISTA_KLUCZ,0))),"")</f>
        <v>Extensive plyo jumps s/l</v>
      </c>
      <c r="BQ28" s="5" t="str">
        <f t="array" ref="BQ28">IFERROR(IF('T1'!$J28="",INDEX(LISTA_EX,67),INDEX(LISTA_EX,MATCH('T1'!$J28&amp;"|"&amp;67,LISTA_KLUCZ,0))),"")</f>
        <v>Ez bar curl</v>
      </c>
      <c r="BR28" s="5" t="str">
        <f t="array" ref="BR28">IFERROR(IF('T1'!$J28="",INDEX(LISTA_EX,68),INDEX(LISTA_EX,MATCH('T1'!$J28&amp;"|"&amp;68,LISTA_KLUCZ,0))),"")</f>
        <v>Facepull chest supported</v>
      </c>
      <c r="BS28" s="5" t="str">
        <f t="array" ref="BS28">IFERROR(IF('T1'!$J28="",INDEX(LISTA_EX,69),INDEX(LISTA_EX,MATCH('T1'!$J28&amp;"|"&amp;69,LISTA_KLUCZ,0))),"")</f>
        <v>Front foot elevated split squat</v>
      </c>
      <c r="BT28" s="5" t="str">
        <f t="array" ref="BT28">IFERROR(IF('T1'!$J28="",INDEX(LISTA_EX,70),INDEX(LISTA_EX,MATCH('T1'!$J28&amp;"|"&amp;70,LISTA_KLUCZ,0))),"")</f>
        <v>Front squat</v>
      </c>
      <c r="BU28" s="5" t="str">
        <f t="array" ref="BU28">IFERROR(IF('T1'!$J28="",INDEX(LISTA_EX,71),INDEX(LISTA_EX,MATCH('T1'!$J28&amp;"|"&amp;71,LISTA_KLUCZ,0))),"")</f>
        <v>GHD flexion</v>
      </c>
      <c r="BV28" s="5" t="str">
        <f t="array" ref="BV28">IFERROR(IF('T1'!$J28="",INDEX(LISTA_EX,72),INDEX(LISTA_EX,MATCH('T1'!$J28&amp;"|"&amp;72,LISTA_KLUCZ,0))),"")</f>
        <v>Glute bridge hamstrings izo + OH</v>
      </c>
      <c r="BW28" s="5" t="str">
        <f t="array" ref="BW28">IFERROR(IF('T1'!$J28="",INDEX(LISTA_EX,73),INDEX(LISTA_EX,MATCH('T1'!$J28&amp;"|"&amp;73,LISTA_KLUCZ,0))),"")</f>
        <v>Glute crusher</v>
      </c>
      <c r="BX28" s="5" t="str">
        <f t="array" ref="BX28">IFERROR(IF('T1'!$J28="",INDEX(LISTA_EX,74),INDEX(LISTA_EX,MATCH('T1'!$J28&amp;"|"&amp;74,LISTA_KLUCZ,0))),"")</f>
        <v>Gorilla row</v>
      </c>
      <c r="BY28" s="5" t="str">
        <f t="array" ref="BY28">IFERROR(IF('T1'!$J28="",INDEX(LISTA_EX,75),INDEX(LISTA_EX,MATCH('T1'!$J28&amp;"|"&amp;75,LISTA_KLUCZ,0))),"")</f>
        <v>Halfkneeling s/a cable pull</v>
      </c>
      <c r="BZ28" s="5" t="str">
        <f t="array" ref="BZ28">IFERROR(IF('T1'!$J28="",INDEX(LISTA_EX,76),INDEX(LISTA_EX,MATCH('T1'!$J28&amp;"|"&amp;76,LISTA_KLUCZ,0))),"")</f>
        <v>Halfkneeling wood chopper</v>
      </c>
      <c r="CA28" s="5" t="str">
        <f t="array" ref="CA28">IFERROR(IF('T1'!$J28="",INDEX(LISTA_EX,77),INDEX(LISTA_EX,MATCH('T1'!$J28&amp;"|"&amp;77,LISTA_KLUCZ,0))),"")</f>
        <v>Hinged dumbbell row</v>
      </c>
      <c r="CB28" s="5" t="str">
        <f t="array" ref="CB28">IFERROR(IF('T1'!$J28="",INDEX(LISTA_EX,78),INDEX(LISTA_EX,MATCH('T1'!$J28&amp;"|"&amp;78,LISTA_KLUCZ,0))),"")</f>
        <v>Hip aeroplane</v>
      </c>
      <c r="CC28" s="5" t="str">
        <f t="array" ref="CC28">IFERROR(IF('T1'!$J28="",INDEX(LISTA_EX,79),INDEX(LISTA_EX,MATCH('T1'!$J28&amp;"|"&amp;79,LISTA_KLUCZ,0))),"")</f>
        <v>Hip flexors cable</v>
      </c>
      <c r="CD28" s="5" t="str">
        <f t="array" ref="CD28">IFERROR(IF('T1'!$J28="",INDEX(LISTA_EX,80),INDEX(LISTA_EX,MATCH('T1'!$J28&amp;"|"&amp;80,LISTA_KLUCZ,0))),"")</f>
        <v>Hip thrust barbell</v>
      </c>
      <c r="CE28" s="5" t="str">
        <f t="array" ref="CE28">IFERROR(IF('T1'!$J28="",INDEX(LISTA_EX,81),INDEX(LISTA_EX,MATCH('T1'!$J28&amp;"|"&amp;81,LISTA_KLUCZ,0))),"")</f>
        <v>Hollow body + OH</v>
      </c>
      <c r="CF28" s="5" t="str">
        <f t="array" ref="CF28">IFERROR(IF('T1'!$J28="",INDEX(LISTA_EX,82),INDEX(LISTA_EX,MATCH('T1'!$J28&amp;"|"&amp;82,LISTA_KLUCZ,0))),"")</f>
        <v>Horizontal jump</v>
      </c>
      <c r="CG28" s="5" t="str">
        <f t="array" ref="CG28">IFERROR(IF('T1'!$J28="",INDEX(LISTA_EX,83),INDEX(LISTA_EX,MATCH('T1'!$J28&amp;"|"&amp;83,LISTA_KLUCZ,0))),"")</f>
        <v>Incline bench lateral raise s/a</v>
      </c>
      <c r="CH28" s="5" t="str">
        <f t="array" ref="CH28">IFERROR(IF('T1'!$J28="",INDEX(LISTA_EX,84),INDEX(LISTA_EX,MATCH('T1'!$J28&amp;"|"&amp;84,LISTA_KLUCZ,0))),"")</f>
        <v>Incline curl + OHP</v>
      </c>
      <c r="CI28" s="5" t="str">
        <f t="array" ref="CI28">IFERROR(IF('T1'!$J28="",INDEX(LISTA_EX,85),INDEX(LISTA_EX,MATCH('T1'!$J28&amp;"|"&amp;85,LISTA_KLUCZ,0))),"")</f>
        <v>Incline dumbbell curl</v>
      </c>
      <c r="CJ28" s="5" t="str">
        <f t="array" ref="CJ28">IFERROR(IF('T1'!$J28="",INDEX(LISTA_EX,86),INDEX(LISTA_EX,MATCH('T1'!$J28&amp;"|"&amp;86,LISTA_KLUCZ,0))),"")</f>
        <v>Incline dumbbell curl (back)</v>
      </c>
      <c r="CK28" s="5" t="str">
        <f t="array" ref="CK28">IFERROR(IF('T1'!$J28="",INDEX(LISTA_EX,87),INDEX(LISTA_EX,MATCH('T1'!$J28&amp;"|"&amp;87,LISTA_KLUCZ,0))),"")</f>
        <v>Incline dumbbell curl (front)</v>
      </c>
      <c r="CL28" s="5" t="str">
        <f t="array" ref="CL28">IFERROR(IF('T1'!$J28="",INDEX(LISTA_EX,88),INDEX(LISTA_EX,MATCH('T1'!$J28&amp;"|"&amp;88,LISTA_KLUCZ,0))),"")</f>
        <v>Incline dumbbell fly</v>
      </c>
      <c r="CM28" s="5" t="str">
        <f t="array" ref="CM28">IFERROR(IF('T1'!$J28="",INDEX(LISTA_EX,89),INDEX(LISTA_EX,MATCH('T1'!$J28&amp;"|"&amp;89,LISTA_KLUCZ,0))),"")</f>
        <v>Incline dumbbell press</v>
      </c>
      <c r="CN28" s="5" t="str">
        <f t="array" ref="CN28">IFERROR(IF('T1'!$J28="",INDEX(LISTA_EX,90),INDEX(LISTA_EX,MATCH('T1'!$J28&amp;"|"&amp;90,LISTA_KLUCZ,0))),"")</f>
        <v>Incline dumbbell press alternating</v>
      </c>
      <c r="CO28" s="5" t="str">
        <f t="array" ref="CO28">IFERROR(IF('T1'!$J28="",INDEX(LISTA_EX,91),INDEX(LISTA_EX,MATCH('T1'!$J28&amp;"|"&amp;91,LISTA_KLUCZ,0))),"")</f>
        <v>Incline sit-ups</v>
      </c>
      <c r="CP28" s="5" t="str">
        <f t="array" ref="CP28">IFERROR(IF('T1'!$J28="",INDEX(LISTA_EX,92),INDEX(LISTA_EX,MATCH('T1'!$J28&amp;"|"&amp;92,LISTA_KLUCZ,0))),"")</f>
        <v>Jefferson cable</v>
      </c>
      <c r="CQ28" s="5" t="str">
        <f t="array" ref="CQ28">IFERROR(IF('T1'!$J28="",INDEX(LISTA_EX,93),INDEX(LISTA_EX,MATCH('T1'!$J28&amp;"|"&amp;93,LISTA_KLUCZ,0))),"")</f>
        <v>Kettlebell march</v>
      </c>
      <c r="CR28" s="5" t="str">
        <f t="array" ref="CR28">IFERROR(IF('T1'!$J28="",INDEX(LISTA_EX,94),INDEX(LISTA_EX,MATCH('T1'!$J28&amp;"|"&amp;94,LISTA_KLUCZ,0))),"")</f>
        <v>Kickbacks</v>
      </c>
      <c r="CS28" s="5" t="str">
        <f t="array" ref="CS28">IFERROR(IF('T1'!$J28="",INDEX(LISTA_EX,95),INDEX(LISTA_EX,MATCH('T1'!$J28&amp;"|"&amp;95,LISTA_KLUCZ,0))),"")</f>
        <v>Knee extension machine</v>
      </c>
      <c r="CT28" s="5" t="str">
        <f t="array" ref="CT28">IFERROR(IF('T1'!$J28="",INDEX(LISTA_EX,96),INDEX(LISTA_EX,MATCH('T1'!$J28&amp;"|"&amp;96,LISTA_KLUCZ,0))),"")</f>
        <v>Knee flexion machine</v>
      </c>
      <c r="CU28" s="5" t="str">
        <f t="array" ref="CU28">IFERROR(IF('T1'!$J28="",INDEX(LISTA_EX,97),INDEX(LISTA_EX,MATCH('T1'!$J28&amp;"|"&amp;97,LISTA_KLUCZ,0))),"")</f>
        <v>Knee raises</v>
      </c>
      <c r="CV28" s="5" t="str">
        <f t="array" ref="CV28">IFERROR(IF('T1'!$J28="",INDEX(LISTA_EX,98),INDEX(LISTA_EX,MATCH('T1'!$J28&amp;"|"&amp;98,LISTA_KLUCZ,0))),"")</f>
        <v>Landmine core</v>
      </c>
      <c r="CW28" s="5" t="str">
        <f t="array" ref="CW28">IFERROR(IF('T1'!$J28="",INDEX(LISTA_EX,99),INDEX(LISTA_EX,MATCH('T1'!$J28&amp;"|"&amp;99,LISTA_KLUCZ,0))),"")</f>
        <v>Landmine press</v>
      </c>
      <c r="CX28" s="5" t="str">
        <f t="array" ref="CX28">IFERROR(IF('T1'!$J28="",INDEX(LISTA_EX,100),INDEX(LISTA_EX,MATCH('T1'!$J28&amp;"|"&amp;100,LISTA_KLUCZ,0))),"")</f>
        <v>Landmine rotations (powtórzenia x2)</v>
      </c>
      <c r="CY28" s="5" t="str">
        <f t="array" ref="CY28">IFERROR(IF('T1'!$J28="",INDEX(LISTA_EX,101),INDEX(LISTA_EX,MATCH('T1'!$J28&amp;"|"&amp;101,LISTA_KLUCZ,0))),"")</f>
        <v>Landmine SLDL</v>
      </c>
      <c r="CZ28" s="5" t="str">
        <f t="array" ref="CZ28">IFERROR(IF('T1'!$J28="",INDEX(LISTA_EX,102),INDEX(LISTA_EX,MATCH('T1'!$J28&amp;"|"&amp;102,LISTA_KLUCZ,0))),"")</f>
        <v>Lat pulldown</v>
      </c>
      <c r="DA28" s="5" t="str">
        <f t="array" ref="DA28">IFERROR(IF('T1'!$J28="",INDEX(LISTA_EX,103),INDEX(LISTA_EX,MATCH('T1'!$J28&amp;"|"&amp;103,LISTA_KLUCZ,0))),"")</f>
        <v>Lat pulldown behind the head</v>
      </c>
      <c r="DB28" s="5" t="str">
        <f t="array" ref="DB28">IFERROR(IF('T1'!$J28="",INDEX(LISTA_EX,104),INDEX(LISTA_EX,MATCH('T1'!$J28&amp;"|"&amp;104,LISTA_KLUCZ,0))),"")</f>
        <v>Lat pulldown s/a</v>
      </c>
      <c r="DC28" s="5" t="str">
        <f t="array" ref="DC28">IFERROR(IF('T1'!$J28="",INDEX(LISTA_EX,105),INDEX(LISTA_EX,MATCH('T1'!$J28&amp;"|"&amp;105,LISTA_KLUCZ,0))),"")</f>
        <v>Lateral raise s/a</v>
      </c>
      <c r="DD28" s="5" t="str">
        <f t="array" ref="DD28">IFERROR(IF('T1'!$J28="",INDEX(LISTA_EX,106),INDEX(LISTA_EX,MATCH('T1'!$J28&amp;"|"&amp;106,LISTA_KLUCZ,0))),"")</f>
        <v>Lateral raises</v>
      </c>
      <c r="DE28" s="5" t="str">
        <f t="array" ref="DE28">IFERROR(IF('T1'!$J28="",INDEX(LISTA_EX,107),INDEX(LISTA_EX,MATCH('T1'!$J28&amp;"|"&amp;107,LISTA_KLUCZ,0))),"")</f>
        <v>Lateral raises 2</v>
      </c>
      <c r="DF28" s="5" t="str">
        <f t="array" ref="DF28">IFERROR(IF('T1'!$J28="",INDEX(LISTA_EX,108),INDEX(LISTA_EX,MATCH('T1'!$J28&amp;"|"&amp;108,LISTA_KLUCZ,0))),"")</f>
        <v>Lateral raises full ROM</v>
      </c>
      <c r="DG28" s="5" t="str">
        <f t="array" ref="DG28">IFERROR(IF('T1'!$J28="",INDEX(LISTA_EX,109),INDEX(LISTA_EX,MATCH('T1'!$J28&amp;"|"&amp;109,LISTA_KLUCZ,0))),"")</f>
        <v>Lateral raises hinged</v>
      </c>
      <c r="DH28" s="5" t="str">
        <f t="array" ref="DH28">IFERROR(IF('T1'!$J28="",INDEX(LISTA_EX,110),INDEX(LISTA_EX,MATCH('T1'!$J28&amp;"|"&amp;110,LISTA_KLUCZ,0))),"")</f>
        <v>Lateral raises incline s/a</v>
      </c>
      <c r="DI28" s="5" t="str">
        <f t="array" ref="DI28">IFERROR(IF('T1'!$J28="",INDEX(LISTA_EX,111),INDEX(LISTA_EX,MATCH('T1'!$J28&amp;"|"&amp;111,LISTA_KLUCZ,0))),"")</f>
        <v>Leg curl</v>
      </c>
      <c r="DJ28" s="5" t="str">
        <f t="array" ref="DJ28">IFERROR(IF('T1'!$J28="",INDEX(LISTA_EX,112),INDEX(LISTA_EX,MATCH('T1'!$J28&amp;"|"&amp;112,LISTA_KLUCZ,0))),"")</f>
        <v>Machine row</v>
      </c>
      <c r="DK28" s="5" t="str">
        <f t="array" ref="DK28">IFERROR(IF('T1'!$J28="",INDEX(LISTA_EX,113),INDEX(LISTA_EX,MATCH('T1'!$J28&amp;"|"&amp;113,LISTA_KLUCZ,0))),"")</f>
        <v>Machine row s/a</v>
      </c>
      <c r="DL28" s="5" t="str">
        <f t="array" ref="DL28">IFERROR(IF('T1'!$J28="",INDEX(LISTA_EX,114),INDEX(LISTA_EX,MATCH('T1'!$J28&amp;"|"&amp;114,LISTA_KLUCZ,0))),"")</f>
        <v>Meadows row</v>
      </c>
      <c r="DM28" s="5" t="str">
        <f t="array" ref="DM28">IFERROR(IF('T1'!$J28="",INDEX(LISTA_EX,115),INDEX(LISTA_EX,MATCH('T1'!$J28&amp;"|"&amp;115,LISTA_KLUCZ,0))),"")</f>
        <v>Med ball slam</v>
      </c>
      <c r="DN28" s="5" t="str">
        <f t="array" ref="DN28">IFERROR(IF('T1'!$J28="",INDEX(LISTA_EX,116),INDEX(LISTA_EX,MATCH('T1'!$J28&amp;"|"&amp;116,LISTA_KLUCZ,0))),"")</f>
        <v>OH skullcrushers</v>
      </c>
      <c r="DO28" s="5" t="str">
        <f t="array" ref="DO28">IFERROR(IF('T1'!$J28="",INDEX(LISTA_EX,117),INDEX(LISTA_EX,MATCH('T1'!$J28&amp;"|"&amp;117,LISTA_KLUCZ,0))),"")</f>
        <v>OHP barbell squat 15kg</v>
      </c>
      <c r="DP28" s="5" t="str">
        <f t="array" ref="DP28">IFERROR(IF('T1'!$J28="",INDEX(LISTA_EX,118),INDEX(LISTA_EX,MATCH('T1'!$J28&amp;"|"&amp;118,LISTA_KLUCZ,0))),"")</f>
        <v>Pistol squat eccentric</v>
      </c>
      <c r="DQ28" s="5" t="str">
        <f t="array" ref="DQ28">IFERROR(IF('T1'!$J28="",INDEX(LISTA_EX,119),INDEX(LISTA_EX,MATCH('T1'!$J28&amp;"|"&amp;119,LISTA_KLUCZ,0))),"")</f>
        <v>Plank contralateral</v>
      </c>
      <c r="DR28" s="5" t="str">
        <f t="array" ref="DR28">IFERROR(IF('T1'!$J28="",INDEX(LISTA_EX,120),INDEX(LISTA_EX,MATCH('T1'!$J28&amp;"|"&amp;120,LISTA_KLUCZ,0))),"")</f>
        <v>Plank dumbbell rotation</v>
      </c>
      <c r="DS28" s="5" t="str">
        <f t="array" ref="DS28">IFERROR(IF('T1'!$J28="",INDEX(LISTA_EX,121),INDEX(LISTA_EX,MATCH('T1'!$J28&amp;"|"&amp;121,LISTA_KLUCZ,0))),"")</f>
        <v>Plank leg raises</v>
      </c>
      <c r="DT28" s="5" t="str">
        <f t="array" ref="DT28">IFERROR(IF('T1'!$J28="",INDEX(LISTA_EX,122),INDEX(LISTA_EX,MATCH('T1'!$J28&amp;"|"&amp;122,LISTA_KLUCZ,0))),"")</f>
        <v>Poliquin step up</v>
      </c>
      <c r="DU28" s="5" t="str">
        <f t="array" ref="DU28">IFERROR(IF('T1'!$J28="",INDEX(LISTA_EX,123),INDEX(LISTA_EX,MATCH('T1'!$J28&amp;"|"&amp;123,LISTA_KLUCZ,0))),"")</f>
        <v>Poliquin step up paused 3sec</v>
      </c>
      <c r="DV28" s="5" t="str">
        <f t="array" ref="DV28">IFERROR(IF('T1'!$J28="",INDEX(LISTA_EX,124),INDEX(LISTA_EX,MATCH('T1'!$J28&amp;"|"&amp;124,LISTA_KLUCZ,0))),"")</f>
        <v>Pronation/Supination</v>
      </c>
      <c r="DW28" s="5" t="str">
        <f t="array" ref="DW28">IFERROR(IF('T1'!$J28="",INDEX(LISTA_EX,125),INDEX(LISTA_EX,MATCH('T1'!$J28&amp;"|"&amp;125,LISTA_KLUCZ,0))),"")</f>
        <v>Pull up</v>
      </c>
      <c r="DX28" s="5" t="str">
        <f t="array" ref="DX28">IFERROR(IF('T1'!$J28="",INDEX(LISTA_EX,126),INDEX(LISTA_EX,MATCH('T1'!$J28&amp;"|"&amp;126,LISTA_KLUCZ,0))),"")</f>
        <v>Pull up eccentric weighted</v>
      </c>
      <c r="DY28" s="5" t="str">
        <f t="array" ref="DY28">IFERROR(IF('T1'!$J28="",INDEX(LISTA_EX,127),INDEX(LISTA_EX,MATCH('T1'!$J28&amp;"|"&amp;127,LISTA_KLUCZ,0))),"")</f>
        <v>Pull up eccentric weighted (5 sek w dół)</v>
      </c>
      <c r="DZ28" s="5" t="str">
        <f t="array" ref="DZ28">IFERROR(IF('T1'!$J28="",INDEX(LISTA_EX,128),INDEX(LISTA_EX,MATCH('T1'!$J28&amp;"|"&amp;128,LISTA_KLUCZ,0))),"")</f>
        <v>Pull up weighted</v>
      </c>
      <c r="EA28" s="5" t="str">
        <f t="array" ref="EA28">IFERROR(IF('T1'!$J28="",INDEX(LISTA_EX,129),INDEX(LISTA_EX,MATCH('T1'!$J28&amp;"|"&amp;129,LISTA_KLUCZ,0))),"")</f>
        <v>Pull ups (paused)</v>
      </c>
      <c r="EB28" s="5" t="str">
        <f t="array" ref="EB28">IFERROR(IF('T1'!$J28="",INDEX(LISTA_EX,130),INDEX(LISTA_EX,MATCH('T1'!$J28&amp;"|"&amp;130,LISTA_KLUCZ,0))),"")</f>
        <v>Push press barbell</v>
      </c>
      <c r="EC28" s="5" t="str">
        <f t="array" ref="EC28">IFERROR(IF('T1'!$J28="",INDEX(LISTA_EX,131),INDEX(LISTA_EX,MATCH('T1'!$J28&amp;"|"&amp;131,LISTA_KLUCZ,0))),"")</f>
        <v>Push up</v>
      </c>
      <c r="ED28" s="5" t="str">
        <f t="array" ref="ED28">IFERROR(IF('T1'!$J28="",INDEX(LISTA_EX,132),INDEX(LISTA_EX,MATCH('T1'!$J28&amp;"|"&amp;132,LISTA_KLUCZ,0))),"")</f>
        <v>Raised bird dog</v>
      </c>
      <c r="EE28" s="5" t="str">
        <f t="array" ref="EE28">IFERROR(IF('T1'!$J28="",INDEX(LISTA_EX,133),INDEX(LISTA_EX,MATCH('T1'!$J28&amp;"|"&amp;133,LISTA_KLUCZ,0))),"")</f>
        <v>RDL</v>
      </c>
      <c r="EF28" s="5" t="str">
        <f t="array" ref="EF28">IFERROR(IF('T1'!$J28="",INDEX(LISTA_EX,134),INDEX(LISTA_EX,MATCH('T1'!$J28&amp;"|"&amp;134,LISTA_KLUCZ,0))),"")</f>
        <v>Reverse Nordic</v>
      </c>
      <c r="EG28" s="5" t="str">
        <f t="array" ref="EG28">IFERROR(IF('T1'!$J28="",INDEX(LISTA_EX,135),INDEX(LISTA_EX,MATCH('T1'!$J28&amp;"|"&amp;135,LISTA_KLUCZ,0))),"")</f>
        <v>Rope pushdown</v>
      </c>
      <c r="EH28" s="5" t="str">
        <f t="array" ref="EH28">IFERROR(IF('T1'!$J28="",INDEX(LISTA_EX,136),INDEX(LISTA_EX,MATCH('T1'!$J28&amp;"|"&amp;136,LISTA_KLUCZ,0))),"")</f>
        <v>Rope pushdown OH</v>
      </c>
      <c r="EI28" s="5" t="str">
        <f t="array" ref="EI28">IFERROR(IF('T1'!$J28="",INDEX(LISTA_EX,137),INDEX(LISTA_EX,MATCH('T1'!$J28&amp;"|"&amp;137,LISTA_KLUCZ,0))),"")</f>
        <v>S/a cable pulldown incline bench</v>
      </c>
      <c r="EJ28" s="5" t="str">
        <f t="array" ref="EJ28">IFERROR(IF('T1'!$J28="",INDEX(LISTA_EX,138),INDEX(LISTA_EX,MATCH('T1'!$J28&amp;"|"&amp;138,LISTA_KLUCZ,0))),"")</f>
        <v>S/a lat pulldown incline bench</v>
      </c>
      <c r="EK28" s="5" t="str">
        <f t="array" ref="EK28">IFERROR(IF('T1'!$J28="",INDEX(LISTA_EX,139),INDEX(LISTA_EX,MATCH('T1'!$J28&amp;"|"&amp;139,LISTA_KLUCZ,0))),"")</f>
        <v>S/l dragonflag eccentric</v>
      </c>
      <c r="EL28" s="5" t="str">
        <f t="array" ref="EL28">IFERROR(IF('T1'!$J28="",INDEX(LISTA_EX,140),INDEX(LISTA_EX,MATCH('T1'!$J28&amp;"|"&amp;140,LISTA_KLUCZ,0))),"")</f>
        <v>S/l hip thrust</v>
      </c>
      <c r="EM28" s="5" t="str">
        <f t="array" ref="EM28">IFERROR(IF('T1'!$J28="",INDEX(LISTA_EX,141),INDEX(LISTA_EX,MATCH('T1'!$J28&amp;"|"&amp;141,LISTA_KLUCZ,0))),"")</f>
        <v>Seated broad jump</v>
      </c>
      <c r="EN28" s="5" t="str">
        <f t="array" ref="EN28">IFERROR(IF('T1'!$J28="",INDEX(LISTA_EX,142),INDEX(LISTA_EX,MATCH('T1'!$J28&amp;"|"&amp;142,LISTA_KLUCZ,0))),"")</f>
        <v>Seated cable facepull</v>
      </c>
      <c r="EO28" s="5" t="str">
        <f t="array" ref="EO28">IFERROR(IF('T1'!$J28="",INDEX(LISTA_EX,143),INDEX(LISTA_EX,MATCH('T1'!$J28&amp;"|"&amp;143,LISTA_KLUCZ,0))),"")</f>
        <v>Seated seesaw press (nogi proste)</v>
      </c>
      <c r="EP28" s="5" t="str">
        <f t="array" ref="EP28">IFERROR(IF('T1'!$J28="",INDEX(LISTA_EX,144),INDEX(LISTA_EX,MATCH('T1'!$J28&amp;"|"&amp;144,LISTA_KLUCZ,0))),"")</f>
        <v>Seesaw press</v>
      </c>
      <c r="EQ28" s="5" t="str">
        <f t="array" ref="EQ28">IFERROR(IF('T1'!$J28="",INDEX(LISTA_EX,145),INDEX(LISTA_EX,MATCH('T1'!$J28&amp;"|"&amp;145,LISTA_KLUCZ,0))),"")</f>
        <v>Side crunches</v>
      </c>
      <c r="ER28" s="5" t="str">
        <f t="array" ref="ER28">IFERROR(IF('T1'!$J28="",INDEX(LISTA_EX,146),INDEX(LISTA_EX,MATCH('T1'!$J28&amp;"|"&amp;146,LISTA_KLUCZ,0))),"")</f>
        <v>Side plank hip drop</v>
      </c>
      <c r="ES28" s="5" t="str">
        <f t="array" ref="ES28">IFERROR(IF('T1'!$J28="",INDEX(LISTA_EX,147),INDEX(LISTA_EX,MATCH('T1'!$J28&amp;"|"&amp;147,LISTA_KLUCZ,0))),"")</f>
        <v>Side plank rotations</v>
      </c>
      <c r="ET28" s="5" t="str">
        <f t="array" ref="ET28">IFERROR(IF('T1'!$J28="",INDEX(LISTA_EX,148),INDEX(LISTA_EX,MATCH('T1'!$J28&amp;"|"&amp;148,LISTA_KLUCZ,0))),"")</f>
        <v>SLDL balance</v>
      </c>
      <c r="EU28" s="5" t="str">
        <f t="array" ref="EU28">IFERROR(IF('T1'!$J28="",INDEX(LISTA_EX,149),INDEX(LISTA_EX,MATCH('T1'!$J28&amp;"|"&amp;149,LISTA_KLUCZ,0))),"")</f>
        <v>Split squat</v>
      </c>
      <c r="EV28" s="5" t="str">
        <f t="array" ref="EV28">IFERROR(IF('T1'!$J28="",INDEX(LISTA_EX,150),INDEX(LISTA_EX,MATCH('T1'!$J28&amp;"|"&amp;150,LISTA_KLUCZ,0))),"")</f>
        <v>Split stance SLDL</v>
      </c>
      <c r="EW28" s="5" t="str">
        <f t="array" ref="EW28">IFERROR(IF('T1'!$J28="",INDEX(LISTA_EX,151),INDEX(LISTA_EX,MATCH('T1'!$J28&amp;"|"&amp;151,LISTA_KLUCZ,0))),"")</f>
        <v>Squat izo (15 sek)</v>
      </c>
      <c r="EX28" s="5" t="str">
        <f t="array" ref="EX28">IFERROR(IF('T1'!$J28="",INDEX(LISTA_EX,152),INDEX(LISTA_EX,MATCH('T1'!$J28&amp;"|"&amp;152,LISTA_KLUCZ,0))),"")</f>
        <v>Standing landmine press</v>
      </c>
      <c r="EY28" s="5" t="str">
        <f t="array" ref="EY28">IFERROR(IF('T1'!$J28="",INDEX(LISTA_EX,153),INDEX(LISTA_EX,MATCH('T1'!$J28&amp;"|"&amp;153,LISTA_KLUCZ,0))),"")</f>
        <v>Suitcase carry</v>
      </c>
      <c r="EZ28" s="5" t="str">
        <f t="array" ref="EZ28">IFERROR(IF('T1'!$J28="",INDEX(LISTA_EX,154),INDEX(LISTA_EX,MATCH('T1'!$J28&amp;"|"&amp;154,LISTA_KLUCZ,0))),"")</f>
        <v>Supine pigeon abs</v>
      </c>
      <c r="FA28" s="5" t="str">
        <f t="array" ref="FA28">IFERROR(IF('T1'!$J28="",INDEX(LISTA_EX,155),INDEX(LISTA_EX,MATCH('T1'!$J28&amp;"|"&amp;155,LISTA_KLUCZ,0))),"")</f>
        <v>Swiss ball leg curl</v>
      </c>
      <c r="FB28" s="5" t="str">
        <f t="array" ref="FB28">IFERROR(IF('T1'!$J28="",INDEX(LISTA_EX,156),INDEX(LISTA_EX,MATCH('T1'!$J28&amp;"|"&amp;156,LISTA_KLUCZ,0))),"")</f>
        <v>Toes to bar</v>
      </c>
      <c r="FC28" s="5" t="str">
        <f t="array" ref="FC28">IFERROR(IF('T1'!$J28="",INDEX(LISTA_EX,157),INDEX(LISTA_EX,MATCH('T1'!$J28&amp;"|"&amp;157,LISTA_KLUCZ,0))),"")</f>
        <v>Trap bar deadlift</v>
      </c>
      <c r="FD28" s="5" t="str">
        <f t="array" ref="FD28">IFERROR(IF('T1'!$J28="",INDEX(LISTA_EX,158),INDEX(LISTA_EX,MATCH('T1'!$J28&amp;"|"&amp;158,LISTA_KLUCZ,0))),"")</f>
        <v>Tricep cable pushdown</v>
      </c>
      <c r="FE28" s="5" t="str">
        <f t="array" ref="FE28">IFERROR(IF('T1'!$J28="",INDEX(LISTA_EX,159),INDEX(LISTA_EX,MATCH('T1'!$J28&amp;"|"&amp;159,LISTA_KLUCZ,0))),"")</f>
        <v>Tricep JM press</v>
      </c>
      <c r="FF28" s="5" t="str">
        <f t="array" ref="FF28">IFERROR(IF('T1'!$J28="",INDEX(LISTA_EX,160),INDEX(LISTA_EX,MATCH('T1'!$J28&amp;"|"&amp;160,LISTA_KLUCZ,0))),"")</f>
        <v>Tricep OH cable</v>
      </c>
      <c r="FG28" s="5" t="str">
        <f t="array" ref="FG28">IFERROR(IF('T1'!$J28="",INDEX(LISTA_EX,161),INDEX(LISTA_EX,MATCH('T1'!$J28&amp;"|"&amp;161,LISTA_KLUCZ,0))),"")</f>
        <v>Tricep OH ez bar</v>
      </c>
      <c r="FH28" s="5" t="str">
        <f t="array" ref="FH28">IFERROR(IF('T1'!$J28="",INDEX(LISTA_EX,162),INDEX(LISTA_EX,MATCH('T1'!$J28&amp;"|"&amp;162,LISTA_KLUCZ,0))),"")</f>
        <v>Walking lunges</v>
      </c>
      <c r="FI28" s="5" t="str">
        <f t="array" ref="FI28">IFERROR(IF('T1'!$J28="",INDEX(LISTA_EX,163),INDEX(LISTA_EX,MATCH('T1'!$J28&amp;"|"&amp;163,LISTA_KLUCZ,0))),"")</f>
        <v>Wipers kettle</v>
      </c>
      <c r="FJ28" s="5" t="str">
        <f t="array" ref="FJ28">IFERROR(IF('T1'!$J28="",INDEX(LISTA_EX,164),INDEX(LISTA_EX,MATCH('T1'!$J28&amp;"|"&amp;164,LISTA_KLUCZ,0))),"")</f>
        <v>Zercher jumps</v>
      </c>
      <c r="FK28" s="5" t="str">
        <f t="array" ref="FK28">IFERROR(IF('T1'!$J28="",INDEX(LISTA_EX,165),INDEX(LISTA_EX,MATCH('T1'!$J28&amp;"|"&amp;165,LISTA_KLUCZ,0))),"")</f>
        <v/>
      </c>
      <c r="FL28" s="5" t="str">
        <f t="array" ref="FL28">IFERROR(IF('T1'!$J28="",INDEX(LISTA_EX,166),INDEX(LISTA_EX,MATCH('T1'!$J28&amp;"|"&amp;166,LISTA_KLUCZ,0))),"")</f>
        <v/>
      </c>
      <c r="FM28" s="5" t="str">
        <f t="array" ref="FM28">IFERROR(IF('T1'!$J28="",INDEX(LISTA_EX,167),INDEX(LISTA_EX,MATCH('T1'!$J28&amp;"|"&amp;167,LISTA_KLUCZ,0))),"")</f>
        <v/>
      </c>
      <c r="FN28" s="5" t="str">
        <f t="array" ref="FN28">IFERROR(IF('T1'!$J28="",INDEX(LISTA_EX,168),INDEX(LISTA_EX,MATCH('T1'!$J28&amp;"|"&amp;168,LISTA_KLUCZ,0))),"")</f>
        <v/>
      </c>
      <c r="FO28" s="5" t="str">
        <f t="array" ref="FO28">IFERROR(IF('T1'!$J28="",INDEX(LISTA_EX,169),INDEX(LISTA_EX,MATCH('T1'!$J28&amp;"|"&amp;169,LISTA_KLUCZ,0))),"")</f>
        <v/>
      </c>
      <c r="FP28" s="5" t="str">
        <f t="array" ref="FP28">IFERROR(IF('T1'!$J28="",INDEX(LISTA_EX,170),INDEX(LISTA_EX,MATCH('T1'!$J28&amp;"|"&amp;170,LISTA_KLUCZ,0))),"")</f>
        <v/>
      </c>
      <c r="FQ28" s="5" t="str">
        <f t="array" ref="FQ28">IFERROR(IF('T1'!$J28="",INDEX(LISTA_EX,171),INDEX(LISTA_EX,MATCH('T1'!$J28&amp;"|"&amp;171,LISTA_KLUCZ,0))),"")</f>
        <v/>
      </c>
      <c r="FR28" s="5" t="str">
        <f t="array" ref="FR28">IFERROR(IF('T1'!$J28="",INDEX(LISTA_EX,172),INDEX(LISTA_EX,MATCH('T1'!$J28&amp;"|"&amp;172,LISTA_KLUCZ,0))),"")</f>
        <v/>
      </c>
      <c r="FS28" s="5" t="str">
        <f t="array" ref="FS28">IFERROR(IF('T1'!$J28="",INDEX(LISTA_EX,173),INDEX(LISTA_EX,MATCH('T1'!$J28&amp;"|"&amp;173,LISTA_KLUCZ,0))),"")</f>
        <v/>
      </c>
      <c r="FT28" s="5" t="str">
        <f t="array" ref="FT28">IFERROR(IF('T1'!$J28="",INDEX(LISTA_EX,174),INDEX(LISTA_EX,MATCH('T1'!$J28&amp;"|"&amp;174,LISTA_KLUCZ,0))),"")</f>
        <v/>
      </c>
      <c r="FU28" s="5" t="str">
        <f t="array" ref="FU28">IFERROR(IF('T1'!$J28="",INDEX(LISTA_EX,175),INDEX(LISTA_EX,MATCH('T1'!$J28&amp;"|"&amp;175,LISTA_KLUCZ,0))),"")</f>
        <v/>
      </c>
      <c r="FV28" s="5" t="str">
        <f t="array" ref="FV28">IFERROR(IF('T1'!$J28="",INDEX(LISTA_EX,176),INDEX(LISTA_EX,MATCH('T1'!$J28&amp;"|"&amp;176,LISTA_KLUCZ,0))),"")</f>
        <v/>
      </c>
      <c r="FW28" s="5" t="str">
        <f t="array" ref="FW28">IFERROR(IF('T1'!$J28="",INDEX(LISTA_EX,177),INDEX(LISTA_EX,MATCH('T1'!$J28&amp;"|"&amp;177,LISTA_KLUCZ,0))),"")</f>
        <v/>
      </c>
      <c r="FX28" s="5" t="str">
        <f t="array" ref="FX28">IFERROR(IF('T1'!$J28="",INDEX(LISTA_EX,178),INDEX(LISTA_EX,MATCH('T1'!$J28&amp;"|"&amp;178,LISTA_KLUCZ,0))),"")</f>
        <v/>
      </c>
      <c r="FY28" s="5" t="str">
        <f t="array" ref="FY28">IFERROR(IF('T1'!$J28="",INDEX(LISTA_EX,179),INDEX(LISTA_EX,MATCH('T1'!$J28&amp;"|"&amp;179,LISTA_KLUCZ,0))),"")</f>
        <v/>
      </c>
      <c r="FZ28" s="5" t="str">
        <f t="array" ref="FZ28">IFERROR(IF('T1'!$J28="",INDEX(LISTA_EX,180),INDEX(LISTA_EX,MATCH('T1'!$J28&amp;"|"&amp;180,LISTA_KLUCZ,0))),"")</f>
        <v/>
      </c>
      <c r="GA28" s="5" t="str">
        <f t="array" ref="GA28">IFERROR(IF('T1'!$J28="",INDEX(LISTA_EX,181),INDEX(LISTA_EX,MATCH('T1'!$J28&amp;"|"&amp;181,LISTA_KLUCZ,0))),"")</f>
        <v/>
      </c>
      <c r="GB28" s="5" t="str">
        <f t="array" ref="GB28">IFERROR(IF('T1'!$J28="",INDEX(LISTA_EX,182),INDEX(LISTA_EX,MATCH('T1'!$J28&amp;"|"&amp;182,LISTA_KLUCZ,0))),"")</f>
        <v/>
      </c>
      <c r="GC28" s="5" t="str">
        <f t="array" ref="GC28">IFERROR(IF('T1'!$J28="",INDEX(LISTA_EX,183),INDEX(LISTA_EX,MATCH('T1'!$J28&amp;"|"&amp;183,LISTA_KLUCZ,0))),"")</f>
        <v/>
      </c>
      <c r="GD28" s="5" t="str">
        <f t="array" ref="GD28">IFERROR(IF('T1'!$J28="",INDEX(LISTA_EX,184),INDEX(LISTA_EX,MATCH('T1'!$J28&amp;"|"&amp;184,LISTA_KLUCZ,0))),"")</f>
        <v/>
      </c>
      <c r="GE28" s="5" t="str">
        <f t="array" ref="GE28">IFERROR(IF('T1'!$J28="",INDEX(LISTA_EX,185),INDEX(LISTA_EX,MATCH('T1'!$J28&amp;"|"&amp;185,LISTA_KLUCZ,0))),"")</f>
        <v/>
      </c>
      <c r="GF28" s="5" t="str">
        <f t="array" ref="GF28">IFERROR(IF('T1'!$J28="",INDEX(LISTA_EX,186),INDEX(LISTA_EX,MATCH('T1'!$J28&amp;"|"&amp;186,LISTA_KLUCZ,0))),"")</f>
        <v/>
      </c>
      <c r="GG28" s="5" t="str">
        <f t="array" ref="GG28">IFERROR(IF('T1'!$J28="",INDEX(LISTA_EX,187),INDEX(LISTA_EX,MATCH('T1'!$J28&amp;"|"&amp;187,LISTA_KLUCZ,0))),"")</f>
        <v/>
      </c>
      <c r="GH28" s="5" t="str">
        <f t="array" ref="GH28">IFERROR(IF('T1'!$J28="",INDEX(LISTA_EX,188),INDEX(LISTA_EX,MATCH('T1'!$J28&amp;"|"&amp;188,LISTA_KLUCZ,0))),"")</f>
        <v/>
      </c>
      <c r="GI28" s="5" t="str">
        <f t="array" ref="GI28">IFERROR(IF('T1'!$J28="",INDEX(LISTA_EX,189),INDEX(LISTA_EX,MATCH('T1'!$J28&amp;"|"&amp;189,LISTA_KLUCZ,0))),"")</f>
        <v/>
      </c>
      <c r="GJ28" s="5" t="str">
        <f t="array" ref="GJ28">IFERROR(IF('T1'!$J28="",INDEX(LISTA_EX,190),INDEX(LISTA_EX,MATCH('T1'!$J28&amp;"|"&amp;190,LISTA_KLUCZ,0))),"")</f>
        <v/>
      </c>
      <c r="GK28" s="5" t="str">
        <f t="array" ref="GK28">IFERROR(IF('T1'!$J28="",INDEX(LISTA_EX,191),INDEX(LISTA_EX,MATCH('T1'!$J28&amp;"|"&amp;191,LISTA_KLUCZ,0))),"")</f>
        <v/>
      </c>
      <c r="GL28" s="5" t="str">
        <f t="array" ref="GL28">IFERROR(IF('T1'!$J28="",INDEX(LISTA_EX,192),INDEX(LISTA_EX,MATCH('T1'!$J28&amp;"|"&amp;192,LISTA_KLUCZ,0))),"")</f>
        <v/>
      </c>
      <c r="GM28" s="5" t="str">
        <f t="array" ref="GM28">IFERROR(IF('T1'!$J28="",INDEX(LISTA_EX,193),INDEX(LISTA_EX,MATCH('T1'!$J28&amp;"|"&amp;193,LISTA_KLUCZ,0))),"")</f>
        <v/>
      </c>
      <c r="GN28" s="5" t="str">
        <f t="array" ref="GN28">IFERROR(IF('T1'!$J28="",INDEX(LISTA_EX,194),INDEX(LISTA_EX,MATCH('T1'!$J28&amp;"|"&amp;194,LISTA_KLUCZ,0))),"")</f>
        <v/>
      </c>
      <c r="GO28" s="5" t="str">
        <f t="array" ref="GO28">IFERROR(IF('T1'!$J28="",INDEX(LISTA_EX,195),INDEX(LISTA_EX,MATCH('T1'!$J28&amp;"|"&amp;195,LISTA_KLUCZ,0))),"")</f>
        <v/>
      </c>
      <c r="GP28" s="5" t="str">
        <f t="array" ref="GP28">IFERROR(IF('T1'!$J28="",INDEX(LISTA_EX,196),INDEX(LISTA_EX,MATCH('T1'!$J28&amp;"|"&amp;196,LISTA_KLUCZ,0))),"")</f>
        <v/>
      </c>
      <c r="GQ28" s="5" t="str">
        <f t="array" ref="GQ28">IFERROR(IF('T1'!$J28="",INDEX(LISTA_EX,197),INDEX(LISTA_EX,MATCH('T1'!$J28&amp;"|"&amp;197,LISTA_KLUCZ,0))),"")</f>
        <v/>
      </c>
      <c r="GR28" s="5" t="str">
        <f t="array" ref="GR28">IFERROR(IF('T1'!$J28="",INDEX(LISTA_EX,198),INDEX(LISTA_EX,MATCH('T1'!$J28&amp;"|"&amp;198,LISTA_KLUCZ,0))),"")</f>
        <v/>
      </c>
      <c r="GS28" s="5" t="str">
        <f t="array" ref="GS28">IFERROR(IF('T1'!$J28="",INDEX(LISTA_EX,199),INDEX(LISTA_EX,MATCH('T1'!$J28&amp;"|"&amp;199,LISTA_KLUCZ,0))),"")</f>
        <v/>
      </c>
      <c r="GT28" s="5" t="str">
        <f t="array" ref="GT28">IFERROR(IF('T1'!$J28="",INDEX(LISTA_EX,200),INDEX(LISTA_EX,MATCH('T1'!$J28&amp;"|"&amp;200,LISTA_KLUCZ,0))),"")</f>
        <v/>
      </c>
      <c r="GV28" s="5" t="str">
        <f>IF(BAZA!$A28="","",BAZA!$A28)</f>
        <v>Bulgarian clean plyo</v>
      </c>
      <c r="GW28" s="5" t="str">
        <f>IF(BAZA!$B28="","",BAZA!$B28&amp;"|"&amp;COUNTIF(BAZA!$B$3:$B28,BAZA!$B28))</f>
        <v>Lower pull|4</v>
      </c>
    </row>
    <row r="29" ht="15.0" customHeight="1">
      <c r="A29" s="5" t="str">
        <f>IF('T1'!$K29="","",'T1'!$K29)</f>
        <v>D2-S07</v>
      </c>
      <c r="B29" s="5" t="str">
        <f>IF('T1'!$J29="","(wszystkie)",'T1'!$J29)</f>
        <v>(wszystkie)</v>
      </c>
      <c r="C29" s="5" t="str">
        <f t="array" ref="C29">IFERROR(IF('T1'!$J29="",INDEX(LISTA_EX,1),INDEX(LISTA_EX,MATCH('T1'!$J29&amp;"|"&amp;1,LISTA_KLUCZ,0))),"")</f>
        <v>Abduction machine</v>
      </c>
      <c r="D29" s="5" t="str">
        <f t="array" ref="D29">IFERROR(IF('T1'!$J29="",INDEX(LISTA_EX,2),INDEX(LISTA_EX,MATCH('T1'!$J29&amp;"|"&amp;2,LISTA_KLUCZ,0))),"")</f>
        <v>Adduction machine</v>
      </c>
      <c r="E29" s="5" t="str">
        <f t="array" ref="E29">IFERROR(IF('T1'!$J29="",INDEX(LISTA_EX,3),INDEX(LISTA_EX,MATCH('T1'!$J29&amp;"|"&amp;3,LISTA_KLUCZ,0))),"")</f>
        <v>Allah</v>
      </c>
      <c r="F29" s="5" t="str">
        <f t="array" ref="F29">IFERROR(IF('T1'!$J29="",INDEX(LISTA_EX,4),INDEX(LISTA_EX,MATCH('T1'!$J29&amp;"|"&amp;4,LISTA_KLUCZ,0))),"")</f>
        <v>Arnold press</v>
      </c>
      <c r="G29" s="5" t="str">
        <f t="array" ref="G29">IFERROR(IF('T1'!$J29="",INDEX(LISTA_EX,5),INDEX(LISTA_EX,MATCH('T1'!$J29&amp;"|"&amp;5,LISTA_KLUCZ,0))),"")</f>
        <v>Arnold press alternating</v>
      </c>
      <c r="H29" s="5" t="str">
        <f t="array" ref="H29">IFERROR(IF('T1'!$J29="",INDEX(LISTA_EX,6),INDEX(LISTA_EX,MATCH('T1'!$J29&amp;"|"&amp;6,LISTA_KLUCZ,0))),"")</f>
        <v>B/l dragonflag eccentric</v>
      </c>
      <c r="I29" s="5" t="str">
        <f t="array" ref="I29">IFERROR(IF('T1'!$J29="",INDEX(LISTA_EX,7),INDEX(LISTA_EX,MATCH('T1'!$J29&amp;"|"&amp;7,LISTA_KLUCZ,0))),"")</f>
        <v>Back extension</v>
      </c>
      <c r="J29" s="5" t="str">
        <f t="array" ref="J29">IFERROR(IF('T1'!$J29="",INDEX(LISTA_EX,8),INDEX(LISTA_EX,MATCH('T1'!$J29&amp;"|"&amp;8,LISTA_KLUCZ,0))),"")</f>
        <v>Banded pistol squat</v>
      </c>
      <c r="K29" s="5" t="str">
        <f t="array" ref="K29">IFERROR(IF('T1'!$J29="",INDEX(LISTA_EX,9),INDEX(LISTA_EX,MATCH('T1'!$J29&amp;"|"&amp;9,LISTA_KLUCZ,0))),"")</f>
        <v>Banded pull ups</v>
      </c>
      <c r="L29" s="5" t="str">
        <f t="array" ref="L29">IFERROR(IF('T1'!$J29="",INDEX(LISTA_EX,10),INDEX(LISTA_EX,MATCH('T1'!$J29&amp;"|"&amp;10,LISTA_KLUCZ,0))),"")</f>
        <v>Barbell back squat</v>
      </c>
      <c r="M29" s="5" t="str">
        <f t="array" ref="M29">IFERROR(IF('T1'!$J29="",INDEX(LISTA_EX,11),INDEX(LISTA_EX,MATCH('T1'!$J29&amp;"|"&amp;11,LISTA_KLUCZ,0))),"")</f>
        <v>Barbell bench press</v>
      </c>
      <c r="N29" s="5" t="str">
        <f t="array" ref="N29">IFERROR(IF('T1'!$J29="",INDEX(LISTA_EX,12),INDEX(LISTA_EX,MATCH('T1'!$J29&amp;"|"&amp;12,LISTA_KLUCZ,0))),"")</f>
        <v>Barbell curl</v>
      </c>
      <c r="O29" s="5" t="str">
        <f t="array" ref="O29">IFERROR(IF('T1'!$J29="",INDEX(LISTA_EX,13),INDEX(LISTA_EX,MATCH('T1'!$J29&amp;"|"&amp;13,LISTA_KLUCZ,0))),"")</f>
        <v>Barbell low bar squat</v>
      </c>
      <c r="P29" s="5" t="str">
        <f t="array" ref="P29">IFERROR(IF('T1'!$J29="",INDEX(LISTA_EX,14),INDEX(LISTA_EX,MATCH('T1'!$J29&amp;"|"&amp;14,LISTA_KLUCZ,0))),"")</f>
        <v>Barbell OHP</v>
      </c>
      <c r="Q29" s="5" t="str">
        <f t="array" ref="Q29">IFERROR(IF('T1'!$J29="",INDEX(LISTA_EX,15),INDEX(LISTA_EX,MATCH('T1'!$J29&amp;"|"&amp;15,LISTA_KLUCZ,0))),"")</f>
        <v>Barbell oscilation</v>
      </c>
      <c r="R29" s="5" t="str">
        <f t="array" ref="R29">IFERROR(IF('T1'!$J29="",INDEX(LISTA_EX,16),INDEX(LISTA_EX,MATCH('T1'!$J29&amp;"|"&amp;16,LISTA_KLUCZ,0))),"")</f>
        <v>Barbell row</v>
      </c>
      <c r="S29" s="5" t="str">
        <f t="array" ref="S29">IFERROR(IF('T1'!$J29="",INDEX(LISTA_EX,17),INDEX(LISTA_EX,MATCH('T1'!$J29&amp;"|"&amp;17,LISTA_KLUCZ,0))),"")</f>
        <v>Barbell row dead stop pins</v>
      </c>
      <c r="T29" s="5" t="str">
        <f t="array" ref="T29">IFERROR(IF('T1'!$J29="",INDEX(LISTA_EX,18),INDEX(LISTA_EX,MATCH('T1'!$J29&amp;"|"&amp;18,LISTA_KLUCZ,0))),"")</f>
        <v>Barbell SLDL</v>
      </c>
      <c r="U29" s="5" t="str">
        <f t="array" ref="U29">IFERROR(IF('T1'!$J29="",INDEX(LISTA_EX,19),INDEX(LISTA_EX,MATCH('T1'!$J29&amp;"|"&amp;19,LISTA_KLUCZ,0))),"")</f>
        <v>Bayesian curl</v>
      </c>
      <c r="V29" s="5" t="str">
        <f t="array" ref="V29">IFERROR(IF('T1'!$J29="",INDEX(LISTA_EX,20),INDEX(LISTA_EX,MATCH('T1'!$J29&amp;"|"&amp;20,LISTA_KLUCZ,0))),"")</f>
        <v>Bear renegade row</v>
      </c>
      <c r="W29" s="5" t="str">
        <f t="array" ref="W29">IFERROR(IF('T1'!$J29="",INDEX(LISTA_EX,21),INDEX(LISTA_EX,MATCH('T1'!$J29&amp;"|"&amp;21,LISTA_KLUCZ,0))),"")</f>
        <v>Bench press paused 3sec</v>
      </c>
      <c r="X29" s="5" t="str">
        <f t="array" ref="X29">IFERROR(IF('T1'!$J29="",INDEX(LISTA_EX,22),INDEX(LISTA_EX,MATCH('T1'!$J29&amp;"|"&amp;22,LISTA_KLUCZ,0))),"")</f>
        <v>Bicep hammer curl</v>
      </c>
      <c r="Y29" s="5" t="str">
        <f t="array" ref="Y29">IFERROR(IF('T1'!$J29="",INDEX(LISTA_EX,23),INDEX(LISTA_EX,MATCH('T1'!$J29&amp;"|"&amp;23,LISTA_KLUCZ,0))),"")</f>
        <v>Bicep squat cable curl</v>
      </c>
      <c r="Z29" s="5" t="str">
        <f t="array" ref="Z29">IFERROR(IF('T1'!$J29="",INDEX(LISTA_EX,24),INDEX(LISTA_EX,MATCH('T1'!$J29&amp;"|"&amp;24,LISTA_KLUCZ,0))),"")</f>
        <v>Bird dog row</v>
      </c>
      <c r="AA29" s="5" t="str">
        <f t="array" ref="AA29">IFERROR(IF('T1'!$J29="",INDEX(LISTA_EX,25),INDEX(LISTA_EX,MATCH('T1'!$J29&amp;"|"&amp;25,LISTA_KLUCZ,0))),"")</f>
        <v>Box jump</v>
      </c>
      <c r="AB29" s="5" t="str">
        <f t="array" ref="AB29">IFERROR(IF('T1'!$J29="",INDEX(LISTA_EX,26),INDEX(LISTA_EX,MATCH('T1'!$J29&amp;"|"&amp;26,LISTA_KLUCZ,0))),"")</f>
        <v>Bulgarian clean plyo</v>
      </c>
      <c r="AC29" s="5" t="str">
        <f t="array" ref="AC29">IFERROR(IF('T1'!$J29="",INDEX(LISTA_EX,27),INDEX(LISTA_EX,MATCH('T1'!$J29&amp;"|"&amp;27,LISTA_KLUCZ,0))),"")</f>
        <v>Bulgarian squat assisted</v>
      </c>
      <c r="AD29" s="5" t="str">
        <f t="array" ref="AD29">IFERROR(IF('T1'!$J29="",INDEX(LISTA_EX,28),INDEX(LISTA_EX,MATCH('T1'!$J29&amp;"|"&amp;28,LISTA_KLUCZ,0))),"")</f>
        <v>Cable biceps curl</v>
      </c>
      <c r="AE29" s="5" t="str">
        <f t="array" ref="AE29">IFERROR(IF('T1'!$J29="",INDEX(LISTA_EX,29),INDEX(LISTA_EX,MATCH('T1'!$J29&amp;"|"&amp;29,LISTA_KLUCZ,0))),"")</f>
        <v>Cable fly</v>
      </c>
      <c r="AF29" s="5" t="str">
        <f t="array" ref="AF29">IFERROR(IF('T1'!$J29="",INDEX(LISTA_EX,30),INDEX(LISTA_EX,MATCH('T1'!$J29&amp;"|"&amp;30,LISTA_KLUCZ,0))),"")</f>
        <v>Cable lateral raise s/a</v>
      </c>
      <c r="AG29" s="5" t="str">
        <f t="array" ref="AG29">IFERROR(IF('T1'!$J29="",INDEX(LISTA_EX,31),INDEX(LISTA_EX,MATCH('T1'!$J29&amp;"|"&amp;31,LISTA_KLUCZ,0))),"")</f>
        <v>Cable row</v>
      </c>
      <c r="AH29" s="5" t="str">
        <f t="array" ref="AH29">IFERROR(IF('T1'!$J29="",INDEX(LISTA_EX,32),INDEX(LISTA_EX,MATCH('T1'!$J29&amp;"|"&amp;32,LISTA_KLUCZ,0))),"")</f>
        <v>Cable row s/a</v>
      </c>
      <c r="AI29" s="5" t="str">
        <f t="array" ref="AI29">IFERROR(IF('T1'!$J29="",INDEX(LISTA_EX,33),INDEX(LISTA_EX,MATCH('T1'!$J29&amp;"|"&amp;33,LISTA_KLUCZ,0))),"")</f>
        <v>Calf raises</v>
      </c>
      <c r="AJ29" s="5" t="str">
        <f t="array" ref="AJ29">IFERROR(IF('T1'!$J29="",INDEX(LISTA_EX,34),INDEX(LISTA_EX,MATCH('T1'!$J29&amp;"|"&amp;34,LISTA_KLUCZ,0))),"")</f>
        <v>Chest fly machine</v>
      </c>
      <c r="AK29" s="5" t="str">
        <f t="array" ref="AK29">IFERROR(IF('T1'!$J29="",INDEX(LISTA_EX,35),INDEX(LISTA_EX,MATCH('T1'!$J29&amp;"|"&amp;35,LISTA_KLUCZ,0))),"")</f>
        <v>Clean</v>
      </c>
      <c r="AL29" s="5" t="str">
        <f t="array" ref="AL29">IFERROR(IF('T1'!$J29="",INDEX(LISTA_EX,36),INDEX(LISTA_EX,MATCH('T1'!$J29&amp;"|"&amp;36,LISTA_KLUCZ,0))),"")</f>
        <v>Clean pins</v>
      </c>
      <c r="AM29" s="5" t="str">
        <f t="array" ref="AM29">IFERROR(IF('T1'!$J29="",INDEX(LISTA_EX,37),INDEX(LISTA_EX,MATCH('T1'!$J29&amp;"|"&amp;37,LISTA_KLUCZ,0))),"")</f>
        <v>Copenhagen plank</v>
      </c>
      <c r="AN29" s="5" t="str">
        <f t="array" ref="AN29">IFERROR(IF('T1'!$J29="",INDEX(LISTA_EX,38),INDEX(LISTA_EX,MATCH('T1'!$J29&amp;"|"&amp;38,LISTA_KLUCZ,0))),"")</f>
        <v>Dead bug izo + OH</v>
      </c>
      <c r="AO29" s="5" t="str">
        <f t="array" ref="AO29">IFERROR(IF('T1'!$J29="",INDEX(LISTA_EX,39),INDEX(LISTA_EX,MATCH('T1'!$J29&amp;"|"&amp;39,LISTA_KLUCZ,0))),"")</f>
        <v>Dead bug straight legs</v>
      </c>
      <c r="AP29" s="5" t="str">
        <f t="array" ref="AP29">IFERROR(IF('T1'!$J29="",INDEX(LISTA_EX,40),INDEX(LISTA_EX,MATCH('T1'!$J29&amp;"|"&amp;40,LISTA_KLUCZ,0))),"")</f>
        <v>Dead stop barbell row</v>
      </c>
      <c r="AQ29" s="5" t="str">
        <f t="array" ref="AQ29">IFERROR(IF('T1'!$J29="",INDEX(LISTA_EX,41),INDEX(LISTA_EX,MATCH('T1'!$J29&amp;"|"&amp;41,LISTA_KLUCZ,0))),"")</f>
        <v>Deadbug OH</v>
      </c>
      <c r="AR29" s="5" t="str">
        <f t="array" ref="AR29">IFERROR(IF('T1'!$J29="",INDEX(LISTA_EX,42),INDEX(LISTA_EX,MATCH('T1'!$J29&amp;"|"&amp;42,LISTA_KLUCZ,0))),"")</f>
        <v>Deadlift</v>
      </c>
      <c r="AS29" s="5" t="str">
        <f t="array" ref="AS29">IFERROR(IF('T1'!$J29="",INDEX(LISTA_EX,43),INDEX(LISTA_EX,MATCH('T1'!$J29&amp;"|"&amp;43,LISTA_KLUCZ,0))),"")</f>
        <v>Deficit push up</v>
      </c>
      <c r="AT29" s="5" t="str">
        <f t="array" ref="AT29">IFERROR(IF('T1'!$J29="",INDEX(LISTA_EX,44),INDEX(LISTA_EX,MATCH('T1'!$J29&amp;"|"&amp;44,LISTA_KLUCZ,0))),"")</f>
        <v>Deficit reverse lunge</v>
      </c>
      <c r="AU29" s="5" t="str">
        <f t="array" ref="AU29">IFERROR(IF('T1'!$J29="",INDEX(LISTA_EX,45),INDEX(LISTA_EX,MATCH('T1'!$J29&amp;"|"&amp;45,LISTA_KLUCZ,0))),"")</f>
        <v>Dips</v>
      </c>
      <c r="AV29" s="5" t="str">
        <f t="array" ref="AV29">IFERROR(IF('T1'!$J29="",INDEX(LISTA_EX,46),INDEX(LISTA_EX,MATCH('T1'!$J29&amp;"|"&amp;46,LISTA_KLUCZ,0))),"")</f>
        <v>Dips weighted</v>
      </c>
      <c r="AW29" s="5" t="str">
        <f t="array" ref="AW29">IFERROR(IF('T1'!$J29="",INDEX(LISTA_EX,47),INDEX(LISTA_EX,MATCH('T1'!$J29&amp;"|"&amp;47,LISTA_KLUCZ,0))),"")</f>
        <v>Dumbbell bench press</v>
      </c>
      <c r="AX29" s="5" t="str">
        <f t="array" ref="AX29">IFERROR(IF('T1'!$J29="",INDEX(LISTA_EX,48),INDEX(LISTA_EX,MATCH('T1'!$J29&amp;"|"&amp;48,LISTA_KLUCZ,0))),"")</f>
        <v>Dumbbell bench press alternating</v>
      </c>
      <c r="AY29" s="5" t="str">
        <f t="array" ref="AY29">IFERROR(IF('T1'!$J29="",INDEX(LISTA_EX,49),INDEX(LISTA_EX,MATCH('T1'!$J29&amp;"|"&amp;49,LISTA_KLUCZ,0))),"")</f>
        <v>Dumbbell curl</v>
      </c>
      <c r="AZ29" s="5" t="str">
        <f t="array" ref="AZ29">IFERROR(IF('T1'!$J29="",INDEX(LISTA_EX,50),INDEX(LISTA_EX,MATCH('T1'!$J29&amp;"|"&amp;50,LISTA_KLUCZ,0))),"")</f>
        <v>Dumbbell external rotation</v>
      </c>
      <c r="BA29" s="5" t="str">
        <f t="array" ref="BA29">IFERROR(IF('T1'!$J29="",INDEX(LISTA_EX,51),INDEX(LISTA_EX,MATCH('T1'!$J29&amp;"|"&amp;51,LISTA_KLUCZ,0))),"")</f>
        <v>Dumbbell face down curl</v>
      </c>
      <c r="BB29" s="5" t="str">
        <f t="array" ref="BB29">IFERROR(IF('T1'!$J29="",INDEX(LISTA_EX,52),INDEX(LISTA_EX,MATCH('T1'!$J29&amp;"|"&amp;52,LISTA_KLUCZ,0))),"")</f>
        <v>Dumbbell fly</v>
      </c>
      <c r="BC29" s="5" t="str">
        <f t="array" ref="BC29">IFERROR(IF('T1'!$J29="",INDEX(LISTA_EX,53),INDEX(LISTA_EX,MATCH('T1'!$J29&amp;"|"&amp;53,LISTA_KLUCZ,0))),"")</f>
        <v>Dumbbell french press</v>
      </c>
      <c r="BD29" s="5" t="str">
        <f t="array" ref="BD29">IFERROR(IF('T1'!$J29="",INDEX(LISTA_EX,54),INDEX(LISTA_EX,MATCH('T1'!$J29&amp;"|"&amp;54,LISTA_KLUCZ,0))),"")</f>
        <v>Dumbbell lateral raise</v>
      </c>
      <c r="BE29" s="5" t="str">
        <f t="array" ref="BE29">IFERROR(IF('T1'!$J29="",INDEX(LISTA_EX,55),INDEX(LISTA_EX,MATCH('T1'!$J29&amp;"|"&amp;55,LISTA_KLUCZ,0))),"")</f>
        <v>Dumbbell lunges</v>
      </c>
      <c r="BF29" s="5" t="str">
        <f t="array" ref="BF29">IFERROR(IF('T1'!$J29="",INDEX(LISTA_EX,56),INDEX(LISTA_EX,MATCH('T1'!$J29&amp;"|"&amp;56,LISTA_KLUCZ,0))),"")</f>
        <v>Dumbbell OH press</v>
      </c>
      <c r="BG29" s="5" t="str">
        <f t="array" ref="BG29">IFERROR(IF('T1'!$J29="",INDEX(LISTA_EX,57),INDEX(LISTA_EX,MATCH('T1'!$J29&amp;"|"&amp;57,LISTA_KLUCZ,0))),"")</f>
        <v>Dumbbell over head press</v>
      </c>
      <c r="BH29" s="5" t="str">
        <f t="array" ref="BH29">IFERROR(IF('T1'!$J29="",INDEX(LISTA_EX,58),INDEX(LISTA_EX,MATCH('T1'!$J29&amp;"|"&amp;58,LISTA_KLUCZ,0))),"")</f>
        <v>Dumbbell over head press alternating</v>
      </c>
      <c r="BI29" s="5" t="str">
        <f t="array" ref="BI29">IFERROR(IF('T1'!$J29="",INDEX(LISTA_EX,59),INDEX(LISTA_EX,MATCH('T1'!$J29&amp;"|"&amp;59,LISTA_KLUCZ,0))),"")</f>
        <v>Dumbbell row</v>
      </c>
      <c r="BJ29" s="5" t="str">
        <f t="array" ref="BJ29">IFERROR(IF('T1'!$J29="",INDEX(LISTA_EX,60),INDEX(LISTA_EX,MATCH('T1'!$J29&amp;"|"&amp;60,LISTA_KLUCZ,0))),"")</f>
        <v>Dumbbell s/a Arnold press</v>
      </c>
      <c r="BK29" s="5" t="str">
        <f t="array" ref="BK29">IFERROR(IF('T1'!$J29="",INDEX(LISTA_EX,61),INDEX(LISTA_EX,MATCH('T1'!$J29&amp;"|"&amp;61,LISTA_KLUCZ,0))),"")</f>
        <v>Dumbbell s/a row</v>
      </c>
      <c r="BL29" s="5" t="str">
        <f t="array" ref="BL29">IFERROR(IF('T1'!$J29="",INDEX(LISTA_EX,62),INDEX(LISTA_EX,MATCH('T1'!$J29&amp;"|"&amp;62,LISTA_KLUCZ,0))),"")</f>
        <v>Dumbbell seal row</v>
      </c>
      <c r="BM29" s="5" t="str">
        <f t="array" ref="BM29">IFERROR(IF('T1'!$J29="",INDEX(LISTA_EX,63),INDEX(LISTA_EX,MATCH('T1'!$J29&amp;"|"&amp;63,LISTA_KLUCZ,0))),"")</f>
        <v>Dumbbells jumps</v>
      </c>
      <c r="BN29" s="5" t="str">
        <f t="array" ref="BN29">IFERROR(IF('T1'!$J29="",INDEX(LISTA_EX,64),INDEX(LISTA_EX,MATCH('T1'!$J29&amp;"|"&amp;64,LISTA_KLUCZ,0))),"")</f>
        <v>Eccentric pull up</v>
      </c>
      <c r="BO29" s="5" t="str">
        <f t="array" ref="BO29">IFERROR(IF('T1'!$J29="",INDEX(LISTA_EX,65),INDEX(LISTA_EX,MATCH('T1'!$J29&amp;"|"&amp;65,LISTA_KLUCZ,0))),"")</f>
        <v>Eccentric push up (5 sek w dół)</v>
      </c>
      <c r="BP29" s="5" t="str">
        <f t="array" ref="BP29">IFERROR(IF('T1'!$J29="",INDEX(LISTA_EX,66),INDEX(LISTA_EX,MATCH('T1'!$J29&amp;"|"&amp;66,LISTA_KLUCZ,0))),"")</f>
        <v>Extensive plyo jumps s/l</v>
      </c>
      <c r="BQ29" s="5" t="str">
        <f t="array" ref="BQ29">IFERROR(IF('T1'!$J29="",INDEX(LISTA_EX,67),INDEX(LISTA_EX,MATCH('T1'!$J29&amp;"|"&amp;67,LISTA_KLUCZ,0))),"")</f>
        <v>Ez bar curl</v>
      </c>
      <c r="BR29" s="5" t="str">
        <f t="array" ref="BR29">IFERROR(IF('T1'!$J29="",INDEX(LISTA_EX,68),INDEX(LISTA_EX,MATCH('T1'!$J29&amp;"|"&amp;68,LISTA_KLUCZ,0))),"")</f>
        <v>Facepull chest supported</v>
      </c>
      <c r="BS29" s="5" t="str">
        <f t="array" ref="BS29">IFERROR(IF('T1'!$J29="",INDEX(LISTA_EX,69),INDEX(LISTA_EX,MATCH('T1'!$J29&amp;"|"&amp;69,LISTA_KLUCZ,0))),"")</f>
        <v>Front foot elevated split squat</v>
      </c>
      <c r="BT29" s="5" t="str">
        <f t="array" ref="BT29">IFERROR(IF('T1'!$J29="",INDEX(LISTA_EX,70),INDEX(LISTA_EX,MATCH('T1'!$J29&amp;"|"&amp;70,LISTA_KLUCZ,0))),"")</f>
        <v>Front squat</v>
      </c>
      <c r="BU29" s="5" t="str">
        <f t="array" ref="BU29">IFERROR(IF('T1'!$J29="",INDEX(LISTA_EX,71),INDEX(LISTA_EX,MATCH('T1'!$J29&amp;"|"&amp;71,LISTA_KLUCZ,0))),"")</f>
        <v>GHD flexion</v>
      </c>
      <c r="BV29" s="5" t="str">
        <f t="array" ref="BV29">IFERROR(IF('T1'!$J29="",INDEX(LISTA_EX,72),INDEX(LISTA_EX,MATCH('T1'!$J29&amp;"|"&amp;72,LISTA_KLUCZ,0))),"")</f>
        <v>Glute bridge hamstrings izo + OH</v>
      </c>
      <c r="BW29" s="5" t="str">
        <f t="array" ref="BW29">IFERROR(IF('T1'!$J29="",INDEX(LISTA_EX,73),INDEX(LISTA_EX,MATCH('T1'!$J29&amp;"|"&amp;73,LISTA_KLUCZ,0))),"")</f>
        <v>Glute crusher</v>
      </c>
      <c r="BX29" s="5" t="str">
        <f t="array" ref="BX29">IFERROR(IF('T1'!$J29="",INDEX(LISTA_EX,74),INDEX(LISTA_EX,MATCH('T1'!$J29&amp;"|"&amp;74,LISTA_KLUCZ,0))),"")</f>
        <v>Gorilla row</v>
      </c>
      <c r="BY29" s="5" t="str">
        <f t="array" ref="BY29">IFERROR(IF('T1'!$J29="",INDEX(LISTA_EX,75),INDEX(LISTA_EX,MATCH('T1'!$J29&amp;"|"&amp;75,LISTA_KLUCZ,0))),"")</f>
        <v>Halfkneeling s/a cable pull</v>
      </c>
      <c r="BZ29" s="5" t="str">
        <f t="array" ref="BZ29">IFERROR(IF('T1'!$J29="",INDEX(LISTA_EX,76),INDEX(LISTA_EX,MATCH('T1'!$J29&amp;"|"&amp;76,LISTA_KLUCZ,0))),"")</f>
        <v>Halfkneeling wood chopper</v>
      </c>
      <c r="CA29" s="5" t="str">
        <f t="array" ref="CA29">IFERROR(IF('T1'!$J29="",INDEX(LISTA_EX,77),INDEX(LISTA_EX,MATCH('T1'!$J29&amp;"|"&amp;77,LISTA_KLUCZ,0))),"")</f>
        <v>Hinged dumbbell row</v>
      </c>
      <c r="CB29" s="5" t="str">
        <f t="array" ref="CB29">IFERROR(IF('T1'!$J29="",INDEX(LISTA_EX,78),INDEX(LISTA_EX,MATCH('T1'!$J29&amp;"|"&amp;78,LISTA_KLUCZ,0))),"")</f>
        <v>Hip aeroplane</v>
      </c>
      <c r="CC29" s="5" t="str">
        <f t="array" ref="CC29">IFERROR(IF('T1'!$J29="",INDEX(LISTA_EX,79),INDEX(LISTA_EX,MATCH('T1'!$J29&amp;"|"&amp;79,LISTA_KLUCZ,0))),"")</f>
        <v>Hip flexors cable</v>
      </c>
      <c r="CD29" s="5" t="str">
        <f t="array" ref="CD29">IFERROR(IF('T1'!$J29="",INDEX(LISTA_EX,80),INDEX(LISTA_EX,MATCH('T1'!$J29&amp;"|"&amp;80,LISTA_KLUCZ,0))),"")</f>
        <v>Hip thrust barbell</v>
      </c>
      <c r="CE29" s="5" t="str">
        <f t="array" ref="CE29">IFERROR(IF('T1'!$J29="",INDEX(LISTA_EX,81),INDEX(LISTA_EX,MATCH('T1'!$J29&amp;"|"&amp;81,LISTA_KLUCZ,0))),"")</f>
        <v>Hollow body + OH</v>
      </c>
      <c r="CF29" s="5" t="str">
        <f t="array" ref="CF29">IFERROR(IF('T1'!$J29="",INDEX(LISTA_EX,82),INDEX(LISTA_EX,MATCH('T1'!$J29&amp;"|"&amp;82,LISTA_KLUCZ,0))),"")</f>
        <v>Horizontal jump</v>
      </c>
      <c r="CG29" s="5" t="str">
        <f t="array" ref="CG29">IFERROR(IF('T1'!$J29="",INDEX(LISTA_EX,83),INDEX(LISTA_EX,MATCH('T1'!$J29&amp;"|"&amp;83,LISTA_KLUCZ,0))),"")</f>
        <v>Incline bench lateral raise s/a</v>
      </c>
      <c r="CH29" s="5" t="str">
        <f t="array" ref="CH29">IFERROR(IF('T1'!$J29="",INDEX(LISTA_EX,84),INDEX(LISTA_EX,MATCH('T1'!$J29&amp;"|"&amp;84,LISTA_KLUCZ,0))),"")</f>
        <v>Incline curl + OHP</v>
      </c>
      <c r="CI29" s="5" t="str">
        <f t="array" ref="CI29">IFERROR(IF('T1'!$J29="",INDEX(LISTA_EX,85),INDEX(LISTA_EX,MATCH('T1'!$J29&amp;"|"&amp;85,LISTA_KLUCZ,0))),"")</f>
        <v>Incline dumbbell curl</v>
      </c>
      <c r="CJ29" s="5" t="str">
        <f t="array" ref="CJ29">IFERROR(IF('T1'!$J29="",INDEX(LISTA_EX,86),INDEX(LISTA_EX,MATCH('T1'!$J29&amp;"|"&amp;86,LISTA_KLUCZ,0))),"")</f>
        <v>Incline dumbbell curl (back)</v>
      </c>
      <c r="CK29" s="5" t="str">
        <f t="array" ref="CK29">IFERROR(IF('T1'!$J29="",INDEX(LISTA_EX,87),INDEX(LISTA_EX,MATCH('T1'!$J29&amp;"|"&amp;87,LISTA_KLUCZ,0))),"")</f>
        <v>Incline dumbbell curl (front)</v>
      </c>
      <c r="CL29" s="5" t="str">
        <f t="array" ref="CL29">IFERROR(IF('T1'!$J29="",INDEX(LISTA_EX,88),INDEX(LISTA_EX,MATCH('T1'!$J29&amp;"|"&amp;88,LISTA_KLUCZ,0))),"")</f>
        <v>Incline dumbbell fly</v>
      </c>
      <c r="CM29" s="5" t="str">
        <f t="array" ref="CM29">IFERROR(IF('T1'!$J29="",INDEX(LISTA_EX,89),INDEX(LISTA_EX,MATCH('T1'!$J29&amp;"|"&amp;89,LISTA_KLUCZ,0))),"")</f>
        <v>Incline dumbbell press</v>
      </c>
      <c r="CN29" s="5" t="str">
        <f t="array" ref="CN29">IFERROR(IF('T1'!$J29="",INDEX(LISTA_EX,90),INDEX(LISTA_EX,MATCH('T1'!$J29&amp;"|"&amp;90,LISTA_KLUCZ,0))),"")</f>
        <v>Incline dumbbell press alternating</v>
      </c>
      <c r="CO29" s="5" t="str">
        <f t="array" ref="CO29">IFERROR(IF('T1'!$J29="",INDEX(LISTA_EX,91),INDEX(LISTA_EX,MATCH('T1'!$J29&amp;"|"&amp;91,LISTA_KLUCZ,0))),"")</f>
        <v>Incline sit-ups</v>
      </c>
      <c r="CP29" s="5" t="str">
        <f t="array" ref="CP29">IFERROR(IF('T1'!$J29="",INDEX(LISTA_EX,92),INDEX(LISTA_EX,MATCH('T1'!$J29&amp;"|"&amp;92,LISTA_KLUCZ,0))),"")</f>
        <v>Jefferson cable</v>
      </c>
      <c r="CQ29" s="5" t="str">
        <f t="array" ref="CQ29">IFERROR(IF('T1'!$J29="",INDEX(LISTA_EX,93),INDEX(LISTA_EX,MATCH('T1'!$J29&amp;"|"&amp;93,LISTA_KLUCZ,0))),"")</f>
        <v>Kettlebell march</v>
      </c>
      <c r="CR29" s="5" t="str">
        <f t="array" ref="CR29">IFERROR(IF('T1'!$J29="",INDEX(LISTA_EX,94),INDEX(LISTA_EX,MATCH('T1'!$J29&amp;"|"&amp;94,LISTA_KLUCZ,0))),"")</f>
        <v>Kickbacks</v>
      </c>
      <c r="CS29" s="5" t="str">
        <f t="array" ref="CS29">IFERROR(IF('T1'!$J29="",INDEX(LISTA_EX,95),INDEX(LISTA_EX,MATCH('T1'!$J29&amp;"|"&amp;95,LISTA_KLUCZ,0))),"")</f>
        <v>Knee extension machine</v>
      </c>
      <c r="CT29" s="5" t="str">
        <f t="array" ref="CT29">IFERROR(IF('T1'!$J29="",INDEX(LISTA_EX,96),INDEX(LISTA_EX,MATCH('T1'!$J29&amp;"|"&amp;96,LISTA_KLUCZ,0))),"")</f>
        <v>Knee flexion machine</v>
      </c>
      <c r="CU29" s="5" t="str">
        <f t="array" ref="CU29">IFERROR(IF('T1'!$J29="",INDEX(LISTA_EX,97),INDEX(LISTA_EX,MATCH('T1'!$J29&amp;"|"&amp;97,LISTA_KLUCZ,0))),"")</f>
        <v>Knee raises</v>
      </c>
      <c r="CV29" s="5" t="str">
        <f t="array" ref="CV29">IFERROR(IF('T1'!$J29="",INDEX(LISTA_EX,98),INDEX(LISTA_EX,MATCH('T1'!$J29&amp;"|"&amp;98,LISTA_KLUCZ,0))),"")</f>
        <v>Landmine core</v>
      </c>
      <c r="CW29" s="5" t="str">
        <f t="array" ref="CW29">IFERROR(IF('T1'!$J29="",INDEX(LISTA_EX,99),INDEX(LISTA_EX,MATCH('T1'!$J29&amp;"|"&amp;99,LISTA_KLUCZ,0))),"")</f>
        <v>Landmine press</v>
      </c>
      <c r="CX29" s="5" t="str">
        <f t="array" ref="CX29">IFERROR(IF('T1'!$J29="",INDEX(LISTA_EX,100),INDEX(LISTA_EX,MATCH('T1'!$J29&amp;"|"&amp;100,LISTA_KLUCZ,0))),"")</f>
        <v>Landmine rotations (powtórzenia x2)</v>
      </c>
      <c r="CY29" s="5" t="str">
        <f t="array" ref="CY29">IFERROR(IF('T1'!$J29="",INDEX(LISTA_EX,101),INDEX(LISTA_EX,MATCH('T1'!$J29&amp;"|"&amp;101,LISTA_KLUCZ,0))),"")</f>
        <v>Landmine SLDL</v>
      </c>
      <c r="CZ29" s="5" t="str">
        <f t="array" ref="CZ29">IFERROR(IF('T1'!$J29="",INDEX(LISTA_EX,102),INDEX(LISTA_EX,MATCH('T1'!$J29&amp;"|"&amp;102,LISTA_KLUCZ,0))),"")</f>
        <v>Lat pulldown</v>
      </c>
      <c r="DA29" s="5" t="str">
        <f t="array" ref="DA29">IFERROR(IF('T1'!$J29="",INDEX(LISTA_EX,103),INDEX(LISTA_EX,MATCH('T1'!$J29&amp;"|"&amp;103,LISTA_KLUCZ,0))),"")</f>
        <v>Lat pulldown behind the head</v>
      </c>
      <c r="DB29" s="5" t="str">
        <f t="array" ref="DB29">IFERROR(IF('T1'!$J29="",INDEX(LISTA_EX,104),INDEX(LISTA_EX,MATCH('T1'!$J29&amp;"|"&amp;104,LISTA_KLUCZ,0))),"")</f>
        <v>Lat pulldown s/a</v>
      </c>
      <c r="DC29" s="5" t="str">
        <f t="array" ref="DC29">IFERROR(IF('T1'!$J29="",INDEX(LISTA_EX,105),INDEX(LISTA_EX,MATCH('T1'!$J29&amp;"|"&amp;105,LISTA_KLUCZ,0))),"")</f>
        <v>Lateral raise s/a</v>
      </c>
      <c r="DD29" s="5" t="str">
        <f t="array" ref="DD29">IFERROR(IF('T1'!$J29="",INDEX(LISTA_EX,106),INDEX(LISTA_EX,MATCH('T1'!$J29&amp;"|"&amp;106,LISTA_KLUCZ,0))),"")</f>
        <v>Lateral raises</v>
      </c>
      <c r="DE29" s="5" t="str">
        <f t="array" ref="DE29">IFERROR(IF('T1'!$J29="",INDEX(LISTA_EX,107),INDEX(LISTA_EX,MATCH('T1'!$J29&amp;"|"&amp;107,LISTA_KLUCZ,0))),"")</f>
        <v>Lateral raises 2</v>
      </c>
      <c r="DF29" s="5" t="str">
        <f t="array" ref="DF29">IFERROR(IF('T1'!$J29="",INDEX(LISTA_EX,108),INDEX(LISTA_EX,MATCH('T1'!$J29&amp;"|"&amp;108,LISTA_KLUCZ,0))),"")</f>
        <v>Lateral raises full ROM</v>
      </c>
      <c r="DG29" s="5" t="str">
        <f t="array" ref="DG29">IFERROR(IF('T1'!$J29="",INDEX(LISTA_EX,109),INDEX(LISTA_EX,MATCH('T1'!$J29&amp;"|"&amp;109,LISTA_KLUCZ,0))),"")</f>
        <v>Lateral raises hinged</v>
      </c>
      <c r="DH29" s="5" t="str">
        <f t="array" ref="DH29">IFERROR(IF('T1'!$J29="",INDEX(LISTA_EX,110),INDEX(LISTA_EX,MATCH('T1'!$J29&amp;"|"&amp;110,LISTA_KLUCZ,0))),"")</f>
        <v>Lateral raises incline s/a</v>
      </c>
      <c r="DI29" s="5" t="str">
        <f t="array" ref="DI29">IFERROR(IF('T1'!$J29="",INDEX(LISTA_EX,111),INDEX(LISTA_EX,MATCH('T1'!$J29&amp;"|"&amp;111,LISTA_KLUCZ,0))),"")</f>
        <v>Leg curl</v>
      </c>
      <c r="DJ29" s="5" t="str">
        <f t="array" ref="DJ29">IFERROR(IF('T1'!$J29="",INDEX(LISTA_EX,112),INDEX(LISTA_EX,MATCH('T1'!$J29&amp;"|"&amp;112,LISTA_KLUCZ,0))),"")</f>
        <v>Machine row</v>
      </c>
      <c r="DK29" s="5" t="str">
        <f t="array" ref="DK29">IFERROR(IF('T1'!$J29="",INDEX(LISTA_EX,113),INDEX(LISTA_EX,MATCH('T1'!$J29&amp;"|"&amp;113,LISTA_KLUCZ,0))),"")</f>
        <v>Machine row s/a</v>
      </c>
      <c r="DL29" s="5" t="str">
        <f t="array" ref="DL29">IFERROR(IF('T1'!$J29="",INDEX(LISTA_EX,114),INDEX(LISTA_EX,MATCH('T1'!$J29&amp;"|"&amp;114,LISTA_KLUCZ,0))),"")</f>
        <v>Meadows row</v>
      </c>
      <c r="DM29" s="5" t="str">
        <f t="array" ref="DM29">IFERROR(IF('T1'!$J29="",INDEX(LISTA_EX,115),INDEX(LISTA_EX,MATCH('T1'!$J29&amp;"|"&amp;115,LISTA_KLUCZ,0))),"")</f>
        <v>Med ball slam</v>
      </c>
      <c r="DN29" s="5" t="str">
        <f t="array" ref="DN29">IFERROR(IF('T1'!$J29="",INDEX(LISTA_EX,116),INDEX(LISTA_EX,MATCH('T1'!$J29&amp;"|"&amp;116,LISTA_KLUCZ,0))),"")</f>
        <v>OH skullcrushers</v>
      </c>
      <c r="DO29" s="5" t="str">
        <f t="array" ref="DO29">IFERROR(IF('T1'!$J29="",INDEX(LISTA_EX,117),INDEX(LISTA_EX,MATCH('T1'!$J29&amp;"|"&amp;117,LISTA_KLUCZ,0))),"")</f>
        <v>OHP barbell squat 15kg</v>
      </c>
      <c r="DP29" s="5" t="str">
        <f t="array" ref="DP29">IFERROR(IF('T1'!$J29="",INDEX(LISTA_EX,118),INDEX(LISTA_EX,MATCH('T1'!$J29&amp;"|"&amp;118,LISTA_KLUCZ,0))),"")</f>
        <v>Pistol squat eccentric</v>
      </c>
      <c r="DQ29" s="5" t="str">
        <f t="array" ref="DQ29">IFERROR(IF('T1'!$J29="",INDEX(LISTA_EX,119),INDEX(LISTA_EX,MATCH('T1'!$J29&amp;"|"&amp;119,LISTA_KLUCZ,0))),"")</f>
        <v>Plank contralateral</v>
      </c>
      <c r="DR29" s="5" t="str">
        <f t="array" ref="DR29">IFERROR(IF('T1'!$J29="",INDEX(LISTA_EX,120),INDEX(LISTA_EX,MATCH('T1'!$J29&amp;"|"&amp;120,LISTA_KLUCZ,0))),"")</f>
        <v>Plank dumbbell rotation</v>
      </c>
      <c r="DS29" s="5" t="str">
        <f t="array" ref="DS29">IFERROR(IF('T1'!$J29="",INDEX(LISTA_EX,121),INDEX(LISTA_EX,MATCH('T1'!$J29&amp;"|"&amp;121,LISTA_KLUCZ,0))),"")</f>
        <v>Plank leg raises</v>
      </c>
      <c r="DT29" s="5" t="str">
        <f t="array" ref="DT29">IFERROR(IF('T1'!$J29="",INDEX(LISTA_EX,122),INDEX(LISTA_EX,MATCH('T1'!$J29&amp;"|"&amp;122,LISTA_KLUCZ,0))),"")</f>
        <v>Poliquin step up</v>
      </c>
      <c r="DU29" s="5" t="str">
        <f t="array" ref="DU29">IFERROR(IF('T1'!$J29="",INDEX(LISTA_EX,123),INDEX(LISTA_EX,MATCH('T1'!$J29&amp;"|"&amp;123,LISTA_KLUCZ,0))),"")</f>
        <v>Poliquin step up paused 3sec</v>
      </c>
      <c r="DV29" s="5" t="str">
        <f t="array" ref="DV29">IFERROR(IF('T1'!$J29="",INDEX(LISTA_EX,124),INDEX(LISTA_EX,MATCH('T1'!$J29&amp;"|"&amp;124,LISTA_KLUCZ,0))),"")</f>
        <v>Pronation/Supination</v>
      </c>
      <c r="DW29" s="5" t="str">
        <f t="array" ref="DW29">IFERROR(IF('T1'!$J29="",INDEX(LISTA_EX,125),INDEX(LISTA_EX,MATCH('T1'!$J29&amp;"|"&amp;125,LISTA_KLUCZ,0))),"")</f>
        <v>Pull up</v>
      </c>
      <c r="DX29" s="5" t="str">
        <f t="array" ref="DX29">IFERROR(IF('T1'!$J29="",INDEX(LISTA_EX,126),INDEX(LISTA_EX,MATCH('T1'!$J29&amp;"|"&amp;126,LISTA_KLUCZ,0))),"")</f>
        <v>Pull up eccentric weighted</v>
      </c>
      <c r="DY29" s="5" t="str">
        <f t="array" ref="DY29">IFERROR(IF('T1'!$J29="",INDEX(LISTA_EX,127),INDEX(LISTA_EX,MATCH('T1'!$J29&amp;"|"&amp;127,LISTA_KLUCZ,0))),"")</f>
        <v>Pull up eccentric weighted (5 sek w dół)</v>
      </c>
      <c r="DZ29" s="5" t="str">
        <f t="array" ref="DZ29">IFERROR(IF('T1'!$J29="",INDEX(LISTA_EX,128),INDEX(LISTA_EX,MATCH('T1'!$J29&amp;"|"&amp;128,LISTA_KLUCZ,0))),"")</f>
        <v>Pull up weighted</v>
      </c>
      <c r="EA29" s="5" t="str">
        <f t="array" ref="EA29">IFERROR(IF('T1'!$J29="",INDEX(LISTA_EX,129),INDEX(LISTA_EX,MATCH('T1'!$J29&amp;"|"&amp;129,LISTA_KLUCZ,0))),"")</f>
        <v>Pull ups (paused)</v>
      </c>
      <c r="EB29" s="5" t="str">
        <f t="array" ref="EB29">IFERROR(IF('T1'!$J29="",INDEX(LISTA_EX,130),INDEX(LISTA_EX,MATCH('T1'!$J29&amp;"|"&amp;130,LISTA_KLUCZ,0))),"")</f>
        <v>Push press barbell</v>
      </c>
      <c r="EC29" s="5" t="str">
        <f t="array" ref="EC29">IFERROR(IF('T1'!$J29="",INDEX(LISTA_EX,131),INDEX(LISTA_EX,MATCH('T1'!$J29&amp;"|"&amp;131,LISTA_KLUCZ,0))),"")</f>
        <v>Push up</v>
      </c>
      <c r="ED29" s="5" t="str">
        <f t="array" ref="ED29">IFERROR(IF('T1'!$J29="",INDEX(LISTA_EX,132),INDEX(LISTA_EX,MATCH('T1'!$J29&amp;"|"&amp;132,LISTA_KLUCZ,0))),"")</f>
        <v>Raised bird dog</v>
      </c>
      <c r="EE29" s="5" t="str">
        <f t="array" ref="EE29">IFERROR(IF('T1'!$J29="",INDEX(LISTA_EX,133),INDEX(LISTA_EX,MATCH('T1'!$J29&amp;"|"&amp;133,LISTA_KLUCZ,0))),"")</f>
        <v>RDL</v>
      </c>
      <c r="EF29" s="5" t="str">
        <f t="array" ref="EF29">IFERROR(IF('T1'!$J29="",INDEX(LISTA_EX,134),INDEX(LISTA_EX,MATCH('T1'!$J29&amp;"|"&amp;134,LISTA_KLUCZ,0))),"")</f>
        <v>Reverse Nordic</v>
      </c>
      <c r="EG29" s="5" t="str">
        <f t="array" ref="EG29">IFERROR(IF('T1'!$J29="",INDEX(LISTA_EX,135),INDEX(LISTA_EX,MATCH('T1'!$J29&amp;"|"&amp;135,LISTA_KLUCZ,0))),"")</f>
        <v>Rope pushdown</v>
      </c>
      <c r="EH29" s="5" t="str">
        <f t="array" ref="EH29">IFERROR(IF('T1'!$J29="",INDEX(LISTA_EX,136),INDEX(LISTA_EX,MATCH('T1'!$J29&amp;"|"&amp;136,LISTA_KLUCZ,0))),"")</f>
        <v>Rope pushdown OH</v>
      </c>
      <c r="EI29" s="5" t="str">
        <f t="array" ref="EI29">IFERROR(IF('T1'!$J29="",INDEX(LISTA_EX,137),INDEX(LISTA_EX,MATCH('T1'!$J29&amp;"|"&amp;137,LISTA_KLUCZ,0))),"")</f>
        <v>S/a cable pulldown incline bench</v>
      </c>
      <c r="EJ29" s="5" t="str">
        <f t="array" ref="EJ29">IFERROR(IF('T1'!$J29="",INDEX(LISTA_EX,138),INDEX(LISTA_EX,MATCH('T1'!$J29&amp;"|"&amp;138,LISTA_KLUCZ,0))),"")</f>
        <v>S/a lat pulldown incline bench</v>
      </c>
      <c r="EK29" s="5" t="str">
        <f t="array" ref="EK29">IFERROR(IF('T1'!$J29="",INDEX(LISTA_EX,139),INDEX(LISTA_EX,MATCH('T1'!$J29&amp;"|"&amp;139,LISTA_KLUCZ,0))),"")</f>
        <v>S/l dragonflag eccentric</v>
      </c>
      <c r="EL29" s="5" t="str">
        <f t="array" ref="EL29">IFERROR(IF('T1'!$J29="",INDEX(LISTA_EX,140),INDEX(LISTA_EX,MATCH('T1'!$J29&amp;"|"&amp;140,LISTA_KLUCZ,0))),"")</f>
        <v>S/l hip thrust</v>
      </c>
      <c r="EM29" s="5" t="str">
        <f t="array" ref="EM29">IFERROR(IF('T1'!$J29="",INDEX(LISTA_EX,141),INDEX(LISTA_EX,MATCH('T1'!$J29&amp;"|"&amp;141,LISTA_KLUCZ,0))),"")</f>
        <v>Seated broad jump</v>
      </c>
      <c r="EN29" s="5" t="str">
        <f t="array" ref="EN29">IFERROR(IF('T1'!$J29="",INDEX(LISTA_EX,142),INDEX(LISTA_EX,MATCH('T1'!$J29&amp;"|"&amp;142,LISTA_KLUCZ,0))),"")</f>
        <v>Seated cable facepull</v>
      </c>
      <c r="EO29" s="5" t="str">
        <f t="array" ref="EO29">IFERROR(IF('T1'!$J29="",INDEX(LISTA_EX,143),INDEX(LISTA_EX,MATCH('T1'!$J29&amp;"|"&amp;143,LISTA_KLUCZ,0))),"")</f>
        <v>Seated seesaw press (nogi proste)</v>
      </c>
      <c r="EP29" s="5" t="str">
        <f t="array" ref="EP29">IFERROR(IF('T1'!$J29="",INDEX(LISTA_EX,144),INDEX(LISTA_EX,MATCH('T1'!$J29&amp;"|"&amp;144,LISTA_KLUCZ,0))),"")</f>
        <v>Seesaw press</v>
      </c>
      <c r="EQ29" s="5" t="str">
        <f t="array" ref="EQ29">IFERROR(IF('T1'!$J29="",INDEX(LISTA_EX,145),INDEX(LISTA_EX,MATCH('T1'!$J29&amp;"|"&amp;145,LISTA_KLUCZ,0))),"")</f>
        <v>Side crunches</v>
      </c>
      <c r="ER29" s="5" t="str">
        <f t="array" ref="ER29">IFERROR(IF('T1'!$J29="",INDEX(LISTA_EX,146),INDEX(LISTA_EX,MATCH('T1'!$J29&amp;"|"&amp;146,LISTA_KLUCZ,0))),"")</f>
        <v>Side plank hip drop</v>
      </c>
      <c r="ES29" s="5" t="str">
        <f t="array" ref="ES29">IFERROR(IF('T1'!$J29="",INDEX(LISTA_EX,147),INDEX(LISTA_EX,MATCH('T1'!$J29&amp;"|"&amp;147,LISTA_KLUCZ,0))),"")</f>
        <v>Side plank rotations</v>
      </c>
      <c r="ET29" s="5" t="str">
        <f t="array" ref="ET29">IFERROR(IF('T1'!$J29="",INDEX(LISTA_EX,148),INDEX(LISTA_EX,MATCH('T1'!$J29&amp;"|"&amp;148,LISTA_KLUCZ,0))),"")</f>
        <v>SLDL balance</v>
      </c>
      <c r="EU29" s="5" t="str">
        <f t="array" ref="EU29">IFERROR(IF('T1'!$J29="",INDEX(LISTA_EX,149),INDEX(LISTA_EX,MATCH('T1'!$J29&amp;"|"&amp;149,LISTA_KLUCZ,0))),"")</f>
        <v>Split squat</v>
      </c>
      <c r="EV29" s="5" t="str">
        <f t="array" ref="EV29">IFERROR(IF('T1'!$J29="",INDEX(LISTA_EX,150),INDEX(LISTA_EX,MATCH('T1'!$J29&amp;"|"&amp;150,LISTA_KLUCZ,0))),"")</f>
        <v>Split stance SLDL</v>
      </c>
      <c r="EW29" s="5" t="str">
        <f t="array" ref="EW29">IFERROR(IF('T1'!$J29="",INDEX(LISTA_EX,151),INDEX(LISTA_EX,MATCH('T1'!$J29&amp;"|"&amp;151,LISTA_KLUCZ,0))),"")</f>
        <v>Squat izo (15 sek)</v>
      </c>
      <c r="EX29" s="5" t="str">
        <f t="array" ref="EX29">IFERROR(IF('T1'!$J29="",INDEX(LISTA_EX,152),INDEX(LISTA_EX,MATCH('T1'!$J29&amp;"|"&amp;152,LISTA_KLUCZ,0))),"")</f>
        <v>Standing landmine press</v>
      </c>
      <c r="EY29" s="5" t="str">
        <f t="array" ref="EY29">IFERROR(IF('T1'!$J29="",INDEX(LISTA_EX,153),INDEX(LISTA_EX,MATCH('T1'!$J29&amp;"|"&amp;153,LISTA_KLUCZ,0))),"")</f>
        <v>Suitcase carry</v>
      </c>
      <c r="EZ29" s="5" t="str">
        <f t="array" ref="EZ29">IFERROR(IF('T1'!$J29="",INDEX(LISTA_EX,154),INDEX(LISTA_EX,MATCH('T1'!$J29&amp;"|"&amp;154,LISTA_KLUCZ,0))),"")</f>
        <v>Supine pigeon abs</v>
      </c>
      <c r="FA29" s="5" t="str">
        <f t="array" ref="FA29">IFERROR(IF('T1'!$J29="",INDEX(LISTA_EX,155),INDEX(LISTA_EX,MATCH('T1'!$J29&amp;"|"&amp;155,LISTA_KLUCZ,0))),"")</f>
        <v>Swiss ball leg curl</v>
      </c>
      <c r="FB29" s="5" t="str">
        <f t="array" ref="FB29">IFERROR(IF('T1'!$J29="",INDEX(LISTA_EX,156),INDEX(LISTA_EX,MATCH('T1'!$J29&amp;"|"&amp;156,LISTA_KLUCZ,0))),"")</f>
        <v>Toes to bar</v>
      </c>
      <c r="FC29" s="5" t="str">
        <f t="array" ref="FC29">IFERROR(IF('T1'!$J29="",INDEX(LISTA_EX,157),INDEX(LISTA_EX,MATCH('T1'!$J29&amp;"|"&amp;157,LISTA_KLUCZ,0))),"")</f>
        <v>Trap bar deadlift</v>
      </c>
      <c r="FD29" s="5" t="str">
        <f t="array" ref="FD29">IFERROR(IF('T1'!$J29="",INDEX(LISTA_EX,158),INDEX(LISTA_EX,MATCH('T1'!$J29&amp;"|"&amp;158,LISTA_KLUCZ,0))),"")</f>
        <v>Tricep cable pushdown</v>
      </c>
      <c r="FE29" s="5" t="str">
        <f t="array" ref="FE29">IFERROR(IF('T1'!$J29="",INDEX(LISTA_EX,159),INDEX(LISTA_EX,MATCH('T1'!$J29&amp;"|"&amp;159,LISTA_KLUCZ,0))),"")</f>
        <v>Tricep JM press</v>
      </c>
      <c r="FF29" s="5" t="str">
        <f t="array" ref="FF29">IFERROR(IF('T1'!$J29="",INDEX(LISTA_EX,160),INDEX(LISTA_EX,MATCH('T1'!$J29&amp;"|"&amp;160,LISTA_KLUCZ,0))),"")</f>
        <v>Tricep OH cable</v>
      </c>
      <c r="FG29" s="5" t="str">
        <f t="array" ref="FG29">IFERROR(IF('T1'!$J29="",INDEX(LISTA_EX,161),INDEX(LISTA_EX,MATCH('T1'!$J29&amp;"|"&amp;161,LISTA_KLUCZ,0))),"")</f>
        <v>Tricep OH ez bar</v>
      </c>
      <c r="FH29" s="5" t="str">
        <f t="array" ref="FH29">IFERROR(IF('T1'!$J29="",INDEX(LISTA_EX,162),INDEX(LISTA_EX,MATCH('T1'!$J29&amp;"|"&amp;162,LISTA_KLUCZ,0))),"")</f>
        <v>Walking lunges</v>
      </c>
      <c r="FI29" s="5" t="str">
        <f t="array" ref="FI29">IFERROR(IF('T1'!$J29="",INDEX(LISTA_EX,163),INDEX(LISTA_EX,MATCH('T1'!$J29&amp;"|"&amp;163,LISTA_KLUCZ,0))),"")</f>
        <v>Wipers kettle</v>
      </c>
      <c r="FJ29" s="5" t="str">
        <f t="array" ref="FJ29">IFERROR(IF('T1'!$J29="",INDEX(LISTA_EX,164),INDEX(LISTA_EX,MATCH('T1'!$J29&amp;"|"&amp;164,LISTA_KLUCZ,0))),"")</f>
        <v>Zercher jumps</v>
      </c>
      <c r="FK29" s="5" t="str">
        <f t="array" ref="FK29">IFERROR(IF('T1'!$J29="",INDEX(LISTA_EX,165),INDEX(LISTA_EX,MATCH('T1'!$J29&amp;"|"&amp;165,LISTA_KLUCZ,0))),"")</f>
        <v/>
      </c>
      <c r="FL29" s="5" t="str">
        <f t="array" ref="FL29">IFERROR(IF('T1'!$J29="",INDEX(LISTA_EX,166),INDEX(LISTA_EX,MATCH('T1'!$J29&amp;"|"&amp;166,LISTA_KLUCZ,0))),"")</f>
        <v/>
      </c>
      <c r="FM29" s="5" t="str">
        <f t="array" ref="FM29">IFERROR(IF('T1'!$J29="",INDEX(LISTA_EX,167),INDEX(LISTA_EX,MATCH('T1'!$J29&amp;"|"&amp;167,LISTA_KLUCZ,0))),"")</f>
        <v/>
      </c>
      <c r="FN29" s="5" t="str">
        <f t="array" ref="FN29">IFERROR(IF('T1'!$J29="",INDEX(LISTA_EX,168),INDEX(LISTA_EX,MATCH('T1'!$J29&amp;"|"&amp;168,LISTA_KLUCZ,0))),"")</f>
        <v/>
      </c>
      <c r="FO29" s="5" t="str">
        <f t="array" ref="FO29">IFERROR(IF('T1'!$J29="",INDEX(LISTA_EX,169),INDEX(LISTA_EX,MATCH('T1'!$J29&amp;"|"&amp;169,LISTA_KLUCZ,0))),"")</f>
        <v/>
      </c>
      <c r="FP29" s="5" t="str">
        <f t="array" ref="FP29">IFERROR(IF('T1'!$J29="",INDEX(LISTA_EX,170),INDEX(LISTA_EX,MATCH('T1'!$J29&amp;"|"&amp;170,LISTA_KLUCZ,0))),"")</f>
        <v/>
      </c>
      <c r="FQ29" s="5" t="str">
        <f t="array" ref="FQ29">IFERROR(IF('T1'!$J29="",INDEX(LISTA_EX,171),INDEX(LISTA_EX,MATCH('T1'!$J29&amp;"|"&amp;171,LISTA_KLUCZ,0))),"")</f>
        <v/>
      </c>
      <c r="FR29" s="5" t="str">
        <f t="array" ref="FR29">IFERROR(IF('T1'!$J29="",INDEX(LISTA_EX,172),INDEX(LISTA_EX,MATCH('T1'!$J29&amp;"|"&amp;172,LISTA_KLUCZ,0))),"")</f>
        <v/>
      </c>
      <c r="FS29" s="5" t="str">
        <f t="array" ref="FS29">IFERROR(IF('T1'!$J29="",INDEX(LISTA_EX,173),INDEX(LISTA_EX,MATCH('T1'!$J29&amp;"|"&amp;173,LISTA_KLUCZ,0))),"")</f>
        <v/>
      </c>
      <c r="FT29" s="5" t="str">
        <f t="array" ref="FT29">IFERROR(IF('T1'!$J29="",INDEX(LISTA_EX,174),INDEX(LISTA_EX,MATCH('T1'!$J29&amp;"|"&amp;174,LISTA_KLUCZ,0))),"")</f>
        <v/>
      </c>
      <c r="FU29" s="5" t="str">
        <f t="array" ref="FU29">IFERROR(IF('T1'!$J29="",INDEX(LISTA_EX,175),INDEX(LISTA_EX,MATCH('T1'!$J29&amp;"|"&amp;175,LISTA_KLUCZ,0))),"")</f>
        <v/>
      </c>
      <c r="FV29" s="5" t="str">
        <f t="array" ref="FV29">IFERROR(IF('T1'!$J29="",INDEX(LISTA_EX,176),INDEX(LISTA_EX,MATCH('T1'!$J29&amp;"|"&amp;176,LISTA_KLUCZ,0))),"")</f>
        <v/>
      </c>
      <c r="FW29" s="5" t="str">
        <f t="array" ref="FW29">IFERROR(IF('T1'!$J29="",INDEX(LISTA_EX,177),INDEX(LISTA_EX,MATCH('T1'!$J29&amp;"|"&amp;177,LISTA_KLUCZ,0))),"")</f>
        <v/>
      </c>
      <c r="FX29" s="5" t="str">
        <f t="array" ref="FX29">IFERROR(IF('T1'!$J29="",INDEX(LISTA_EX,178),INDEX(LISTA_EX,MATCH('T1'!$J29&amp;"|"&amp;178,LISTA_KLUCZ,0))),"")</f>
        <v/>
      </c>
      <c r="FY29" s="5" t="str">
        <f t="array" ref="FY29">IFERROR(IF('T1'!$J29="",INDEX(LISTA_EX,179),INDEX(LISTA_EX,MATCH('T1'!$J29&amp;"|"&amp;179,LISTA_KLUCZ,0))),"")</f>
        <v/>
      </c>
      <c r="FZ29" s="5" t="str">
        <f t="array" ref="FZ29">IFERROR(IF('T1'!$J29="",INDEX(LISTA_EX,180),INDEX(LISTA_EX,MATCH('T1'!$J29&amp;"|"&amp;180,LISTA_KLUCZ,0))),"")</f>
        <v/>
      </c>
      <c r="GA29" s="5" t="str">
        <f t="array" ref="GA29">IFERROR(IF('T1'!$J29="",INDEX(LISTA_EX,181),INDEX(LISTA_EX,MATCH('T1'!$J29&amp;"|"&amp;181,LISTA_KLUCZ,0))),"")</f>
        <v/>
      </c>
      <c r="GB29" s="5" t="str">
        <f t="array" ref="GB29">IFERROR(IF('T1'!$J29="",INDEX(LISTA_EX,182),INDEX(LISTA_EX,MATCH('T1'!$J29&amp;"|"&amp;182,LISTA_KLUCZ,0))),"")</f>
        <v/>
      </c>
      <c r="GC29" s="5" t="str">
        <f t="array" ref="GC29">IFERROR(IF('T1'!$J29="",INDEX(LISTA_EX,183),INDEX(LISTA_EX,MATCH('T1'!$J29&amp;"|"&amp;183,LISTA_KLUCZ,0))),"")</f>
        <v/>
      </c>
      <c r="GD29" s="5" t="str">
        <f t="array" ref="GD29">IFERROR(IF('T1'!$J29="",INDEX(LISTA_EX,184),INDEX(LISTA_EX,MATCH('T1'!$J29&amp;"|"&amp;184,LISTA_KLUCZ,0))),"")</f>
        <v/>
      </c>
      <c r="GE29" s="5" t="str">
        <f t="array" ref="GE29">IFERROR(IF('T1'!$J29="",INDEX(LISTA_EX,185),INDEX(LISTA_EX,MATCH('T1'!$J29&amp;"|"&amp;185,LISTA_KLUCZ,0))),"")</f>
        <v/>
      </c>
      <c r="GF29" s="5" t="str">
        <f t="array" ref="GF29">IFERROR(IF('T1'!$J29="",INDEX(LISTA_EX,186),INDEX(LISTA_EX,MATCH('T1'!$J29&amp;"|"&amp;186,LISTA_KLUCZ,0))),"")</f>
        <v/>
      </c>
      <c r="GG29" s="5" t="str">
        <f t="array" ref="GG29">IFERROR(IF('T1'!$J29="",INDEX(LISTA_EX,187),INDEX(LISTA_EX,MATCH('T1'!$J29&amp;"|"&amp;187,LISTA_KLUCZ,0))),"")</f>
        <v/>
      </c>
      <c r="GH29" s="5" t="str">
        <f t="array" ref="GH29">IFERROR(IF('T1'!$J29="",INDEX(LISTA_EX,188),INDEX(LISTA_EX,MATCH('T1'!$J29&amp;"|"&amp;188,LISTA_KLUCZ,0))),"")</f>
        <v/>
      </c>
      <c r="GI29" s="5" t="str">
        <f t="array" ref="GI29">IFERROR(IF('T1'!$J29="",INDEX(LISTA_EX,189),INDEX(LISTA_EX,MATCH('T1'!$J29&amp;"|"&amp;189,LISTA_KLUCZ,0))),"")</f>
        <v/>
      </c>
      <c r="GJ29" s="5" t="str">
        <f t="array" ref="GJ29">IFERROR(IF('T1'!$J29="",INDEX(LISTA_EX,190),INDEX(LISTA_EX,MATCH('T1'!$J29&amp;"|"&amp;190,LISTA_KLUCZ,0))),"")</f>
        <v/>
      </c>
      <c r="GK29" s="5" t="str">
        <f t="array" ref="GK29">IFERROR(IF('T1'!$J29="",INDEX(LISTA_EX,191),INDEX(LISTA_EX,MATCH('T1'!$J29&amp;"|"&amp;191,LISTA_KLUCZ,0))),"")</f>
        <v/>
      </c>
      <c r="GL29" s="5" t="str">
        <f t="array" ref="GL29">IFERROR(IF('T1'!$J29="",INDEX(LISTA_EX,192),INDEX(LISTA_EX,MATCH('T1'!$J29&amp;"|"&amp;192,LISTA_KLUCZ,0))),"")</f>
        <v/>
      </c>
      <c r="GM29" s="5" t="str">
        <f t="array" ref="GM29">IFERROR(IF('T1'!$J29="",INDEX(LISTA_EX,193),INDEX(LISTA_EX,MATCH('T1'!$J29&amp;"|"&amp;193,LISTA_KLUCZ,0))),"")</f>
        <v/>
      </c>
      <c r="GN29" s="5" t="str">
        <f t="array" ref="GN29">IFERROR(IF('T1'!$J29="",INDEX(LISTA_EX,194),INDEX(LISTA_EX,MATCH('T1'!$J29&amp;"|"&amp;194,LISTA_KLUCZ,0))),"")</f>
        <v/>
      </c>
      <c r="GO29" s="5" t="str">
        <f t="array" ref="GO29">IFERROR(IF('T1'!$J29="",INDEX(LISTA_EX,195),INDEX(LISTA_EX,MATCH('T1'!$J29&amp;"|"&amp;195,LISTA_KLUCZ,0))),"")</f>
        <v/>
      </c>
      <c r="GP29" s="5" t="str">
        <f t="array" ref="GP29">IFERROR(IF('T1'!$J29="",INDEX(LISTA_EX,196),INDEX(LISTA_EX,MATCH('T1'!$J29&amp;"|"&amp;196,LISTA_KLUCZ,0))),"")</f>
        <v/>
      </c>
      <c r="GQ29" s="5" t="str">
        <f t="array" ref="GQ29">IFERROR(IF('T1'!$J29="",INDEX(LISTA_EX,197),INDEX(LISTA_EX,MATCH('T1'!$J29&amp;"|"&amp;197,LISTA_KLUCZ,0))),"")</f>
        <v/>
      </c>
      <c r="GR29" s="5" t="str">
        <f t="array" ref="GR29">IFERROR(IF('T1'!$J29="",INDEX(LISTA_EX,198),INDEX(LISTA_EX,MATCH('T1'!$J29&amp;"|"&amp;198,LISTA_KLUCZ,0))),"")</f>
        <v/>
      </c>
      <c r="GS29" s="5" t="str">
        <f t="array" ref="GS29">IFERROR(IF('T1'!$J29="",INDEX(LISTA_EX,199),INDEX(LISTA_EX,MATCH('T1'!$J29&amp;"|"&amp;199,LISTA_KLUCZ,0))),"")</f>
        <v/>
      </c>
      <c r="GT29" s="5" t="str">
        <f t="array" ref="GT29">IFERROR(IF('T1'!$J29="",INDEX(LISTA_EX,200),INDEX(LISTA_EX,MATCH('T1'!$J29&amp;"|"&amp;200,LISTA_KLUCZ,0))),"")</f>
        <v/>
      </c>
      <c r="GV29" s="5" t="str">
        <f>IF(BAZA!$A29="","",BAZA!$A29)</f>
        <v>Bulgarian squat assisted</v>
      </c>
      <c r="GW29" s="5" t="str">
        <f>IF(BAZA!$B29="","",BAZA!$B29&amp;"|"&amp;COUNTIF(BAZA!$B$3:$B29,BAZA!$B29))</f>
        <v>Lower push|6</v>
      </c>
    </row>
    <row r="30" ht="15.0" customHeight="1">
      <c r="A30" s="5" t="str">
        <f>IF('T1'!$K30="","",'T1'!$K30)</f>
        <v>D2-S08</v>
      </c>
      <c r="B30" s="5" t="str">
        <f>IF('T1'!$J30="","(wszystkie)",'T1'!$J30)</f>
        <v>(wszystkie)</v>
      </c>
      <c r="C30" s="5" t="str">
        <f t="array" ref="C30">IFERROR(IF('T1'!$J30="",INDEX(LISTA_EX,1),INDEX(LISTA_EX,MATCH('T1'!$J30&amp;"|"&amp;1,LISTA_KLUCZ,0))),"")</f>
        <v>Abduction machine</v>
      </c>
      <c r="D30" s="5" t="str">
        <f t="array" ref="D30">IFERROR(IF('T1'!$J30="",INDEX(LISTA_EX,2),INDEX(LISTA_EX,MATCH('T1'!$J30&amp;"|"&amp;2,LISTA_KLUCZ,0))),"")</f>
        <v>Adduction machine</v>
      </c>
      <c r="E30" s="5" t="str">
        <f t="array" ref="E30">IFERROR(IF('T1'!$J30="",INDEX(LISTA_EX,3),INDEX(LISTA_EX,MATCH('T1'!$J30&amp;"|"&amp;3,LISTA_KLUCZ,0))),"")</f>
        <v>Allah</v>
      </c>
      <c r="F30" s="5" t="str">
        <f t="array" ref="F30">IFERROR(IF('T1'!$J30="",INDEX(LISTA_EX,4),INDEX(LISTA_EX,MATCH('T1'!$J30&amp;"|"&amp;4,LISTA_KLUCZ,0))),"")</f>
        <v>Arnold press</v>
      </c>
      <c r="G30" s="5" t="str">
        <f t="array" ref="G30">IFERROR(IF('T1'!$J30="",INDEX(LISTA_EX,5),INDEX(LISTA_EX,MATCH('T1'!$J30&amp;"|"&amp;5,LISTA_KLUCZ,0))),"")</f>
        <v>Arnold press alternating</v>
      </c>
      <c r="H30" s="5" t="str">
        <f t="array" ref="H30">IFERROR(IF('T1'!$J30="",INDEX(LISTA_EX,6),INDEX(LISTA_EX,MATCH('T1'!$J30&amp;"|"&amp;6,LISTA_KLUCZ,0))),"")</f>
        <v>B/l dragonflag eccentric</v>
      </c>
      <c r="I30" s="5" t="str">
        <f t="array" ref="I30">IFERROR(IF('T1'!$J30="",INDEX(LISTA_EX,7),INDEX(LISTA_EX,MATCH('T1'!$J30&amp;"|"&amp;7,LISTA_KLUCZ,0))),"")</f>
        <v>Back extension</v>
      </c>
      <c r="J30" s="5" t="str">
        <f t="array" ref="J30">IFERROR(IF('T1'!$J30="",INDEX(LISTA_EX,8),INDEX(LISTA_EX,MATCH('T1'!$J30&amp;"|"&amp;8,LISTA_KLUCZ,0))),"")</f>
        <v>Banded pistol squat</v>
      </c>
      <c r="K30" s="5" t="str">
        <f t="array" ref="K30">IFERROR(IF('T1'!$J30="",INDEX(LISTA_EX,9),INDEX(LISTA_EX,MATCH('T1'!$J30&amp;"|"&amp;9,LISTA_KLUCZ,0))),"")</f>
        <v>Banded pull ups</v>
      </c>
      <c r="L30" s="5" t="str">
        <f t="array" ref="L30">IFERROR(IF('T1'!$J30="",INDEX(LISTA_EX,10),INDEX(LISTA_EX,MATCH('T1'!$J30&amp;"|"&amp;10,LISTA_KLUCZ,0))),"")</f>
        <v>Barbell back squat</v>
      </c>
      <c r="M30" s="5" t="str">
        <f t="array" ref="M30">IFERROR(IF('T1'!$J30="",INDEX(LISTA_EX,11),INDEX(LISTA_EX,MATCH('T1'!$J30&amp;"|"&amp;11,LISTA_KLUCZ,0))),"")</f>
        <v>Barbell bench press</v>
      </c>
      <c r="N30" s="5" t="str">
        <f t="array" ref="N30">IFERROR(IF('T1'!$J30="",INDEX(LISTA_EX,12),INDEX(LISTA_EX,MATCH('T1'!$J30&amp;"|"&amp;12,LISTA_KLUCZ,0))),"")</f>
        <v>Barbell curl</v>
      </c>
      <c r="O30" s="5" t="str">
        <f t="array" ref="O30">IFERROR(IF('T1'!$J30="",INDEX(LISTA_EX,13),INDEX(LISTA_EX,MATCH('T1'!$J30&amp;"|"&amp;13,LISTA_KLUCZ,0))),"")</f>
        <v>Barbell low bar squat</v>
      </c>
      <c r="P30" s="5" t="str">
        <f t="array" ref="P30">IFERROR(IF('T1'!$J30="",INDEX(LISTA_EX,14),INDEX(LISTA_EX,MATCH('T1'!$J30&amp;"|"&amp;14,LISTA_KLUCZ,0))),"")</f>
        <v>Barbell OHP</v>
      </c>
      <c r="Q30" s="5" t="str">
        <f t="array" ref="Q30">IFERROR(IF('T1'!$J30="",INDEX(LISTA_EX,15),INDEX(LISTA_EX,MATCH('T1'!$J30&amp;"|"&amp;15,LISTA_KLUCZ,0))),"")</f>
        <v>Barbell oscilation</v>
      </c>
      <c r="R30" s="5" t="str">
        <f t="array" ref="R30">IFERROR(IF('T1'!$J30="",INDEX(LISTA_EX,16),INDEX(LISTA_EX,MATCH('T1'!$J30&amp;"|"&amp;16,LISTA_KLUCZ,0))),"")</f>
        <v>Barbell row</v>
      </c>
      <c r="S30" s="5" t="str">
        <f t="array" ref="S30">IFERROR(IF('T1'!$J30="",INDEX(LISTA_EX,17),INDEX(LISTA_EX,MATCH('T1'!$J30&amp;"|"&amp;17,LISTA_KLUCZ,0))),"")</f>
        <v>Barbell row dead stop pins</v>
      </c>
      <c r="T30" s="5" t="str">
        <f t="array" ref="T30">IFERROR(IF('T1'!$J30="",INDEX(LISTA_EX,18),INDEX(LISTA_EX,MATCH('T1'!$J30&amp;"|"&amp;18,LISTA_KLUCZ,0))),"")</f>
        <v>Barbell SLDL</v>
      </c>
      <c r="U30" s="5" t="str">
        <f t="array" ref="U30">IFERROR(IF('T1'!$J30="",INDEX(LISTA_EX,19),INDEX(LISTA_EX,MATCH('T1'!$J30&amp;"|"&amp;19,LISTA_KLUCZ,0))),"")</f>
        <v>Bayesian curl</v>
      </c>
      <c r="V30" s="5" t="str">
        <f t="array" ref="V30">IFERROR(IF('T1'!$J30="",INDEX(LISTA_EX,20),INDEX(LISTA_EX,MATCH('T1'!$J30&amp;"|"&amp;20,LISTA_KLUCZ,0))),"")</f>
        <v>Bear renegade row</v>
      </c>
      <c r="W30" s="5" t="str">
        <f t="array" ref="W30">IFERROR(IF('T1'!$J30="",INDEX(LISTA_EX,21),INDEX(LISTA_EX,MATCH('T1'!$J30&amp;"|"&amp;21,LISTA_KLUCZ,0))),"")</f>
        <v>Bench press paused 3sec</v>
      </c>
      <c r="X30" s="5" t="str">
        <f t="array" ref="X30">IFERROR(IF('T1'!$J30="",INDEX(LISTA_EX,22),INDEX(LISTA_EX,MATCH('T1'!$J30&amp;"|"&amp;22,LISTA_KLUCZ,0))),"")</f>
        <v>Bicep hammer curl</v>
      </c>
      <c r="Y30" s="5" t="str">
        <f t="array" ref="Y30">IFERROR(IF('T1'!$J30="",INDEX(LISTA_EX,23),INDEX(LISTA_EX,MATCH('T1'!$J30&amp;"|"&amp;23,LISTA_KLUCZ,0))),"")</f>
        <v>Bicep squat cable curl</v>
      </c>
      <c r="Z30" s="5" t="str">
        <f t="array" ref="Z30">IFERROR(IF('T1'!$J30="",INDEX(LISTA_EX,24),INDEX(LISTA_EX,MATCH('T1'!$J30&amp;"|"&amp;24,LISTA_KLUCZ,0))),"")</f>
        <v>Bird dog row</v>
      </c>
      <c r="AA30" s="5" t="str">
        <f t="array" ref="AA30">IFERROR(IF('T1'!$J30="",INDEX(LISTA_EX,25),INDEX(LISTA_EX,MATCH('T1'!$J30&amp;"|"&amp;25,LISTA_KLUCZ,0))),"")</f>
        <v>Box jump</v>
      </c>
      <c r="AB30" s="5" t="str">
        <f t="array" ref="AB30">IFERROR(IF('T1'!$J30="",INDEX(LISTA_EX,26),INDEX(LISTA_EX,MATCH('T1'!$J30&amp;"|"&amp;26,LISTA_KLUCZ,0))),"")</f>
        <v>Bulgarian clean plyo</v>
      </c>
      <c r="AC30" s="5" t="str">
        <f t="array" ref="AC30">IFERROR(IF('T1'!$J30="",INDEX(LISTA_EX,27),INDEX(LISTA_EX,MATCH('T1'!$J30&amp;"|"&amp;27,LISTA_KLUCZ,0))),"")</f>
        <v>Bulgarian squat assisted</v>
      </c>
      <c r="AD30" s="5" t="str">
        <f t="array" ref="AD30">IFERROR(IF('T1'!$J30="",INDEX(LISTA_EX,28),INDEX(LISTA_EX,MATCH('T1'!$J30&amp;"|"&amp;28,LISTA_KLUCZ,0))),"")</f>
        <v>Cable biceps curl</v>
      </c>
      <c r="AE30" s="5" t="str">
        <f t="array" ref="AE30">IFERROR(IF('T1'!$J30="",INDEX(LISTA_EX,29),INDEX(LISTA_EX,MATCH('T1'!$J30&amp;"|"&amp;29,LISTA_KLUCZ,0))),"")</f>
        <v>Cable fly</v>
      </c>
      <c r="AF30" s="5" t="str">
        <f t="array" ref="AF30">IFERROR(IF('T1'!$J30="",INDEX(LISTA_EX,30),INDEX(LISTA_EX,MATCH('T1'!$J30&amp;"|"&amp;30,LISTA_KLUCZ,0))),"")</f>
        <v>Cable lateral raise s/a</v>
      </c>
      <c r="AG30" s="5" t="str">
        <f t="array" ref="AG30">IFERROR(IF('T1'!$J30="",INDEX(LISTA_EX,31),INDEX(LISTA_EX,MATCH('T1'!$J30&amp;"|"&amp;31,LISTA_KLUCZ,0))),"")</f>
        <v>Cable row</v>
      </c>
      <c r="AH30" s="5" t="str">
        <f t="array" ref="AH30">IFERROR(IF('T1'!$J30="",INDEX(LISTA_EX,32),INDEX(LISTA_EX,MATCH('T1'!$J30&amp;"|"&amp;32,LISTA_KLUCZ,0))),"")</f>
        <v>Cable row s/a</v>
      </c>
      <c r="AI30" s="5" t="str">
        <f t="array" ref="AI30">IFERROR(IF('T1'!$J30="",INDEX(LISTA_EX,33),INDEX(LISTA_EX,MATCH('T1'!$J30&amp;"|"&amp;33,LISTA_KLUCZ,0))),"")</f>
        <v>Calf raises</v>
      </c>
      <c r="AJ30" s="5" t="str">
        <f t="array" ref="AJ30">IFERROR(IF('T1'!$J30="",INDEX(LISTA_EX,34),INDEX(LISTA_EX,MATCH('T1'!$J30&amp;"|"&amp;34,LISTA_KLUCZ,0))),"")</f>
        <v>Chest fly machine</v>
      </c>
      <c r="AK30" s="5" t="str">
        <f t="array" ref="AK30">IFERROR(IF('T1'!$J30="",INDEX(LISTA_EX,35),INDEX(LISTA_EX,MATCH('T1'!$J30&amp;"|"&amp;35,LISTA_KLUCZ,0))),"")</f>
        <v>Clean</v>
      </c>
      <c r="AL30" s="5" t="str">
        <f t="array" ref="AL30">IFERROR(IF('T1'!$J30="",INDEX(LISTA_EX,36),INDEX(LISTA_EX,MATCH('T1'!$J30&amp;"|"&amp;36,LISTA_KLUCZ,0))),"")</f>
        <v>Clean pins</v>
      </c>
      <c r="AM30" s="5" t="str">
        <f t="array" ref="AM30">IFERROR(IF('T1'!$J30="",INDEX(LISTA_EX,37),INDEX(LISTA_EX,MATCH('T1'!$J30&amp;"|"&amp;37,LISTA_KLUCZ,0))),"")</f>
        <v>Copenhagen plank</v>
      </c>
      <c r="AN30" s="5" t="str">
        <f t="array" ref="AN30">IFERROR(IF('T1'!$J30="",INDEX(LISTA_EX,38),INDEX(LISTA_EX,MATCH('T1'!$J30&amp;"|"&amp;38,LISTA_KLUCZ,0))),"")</f>
        <v>Dead bug izo + OH</v>
      </c>
      <c r="AO30" s="5" t="str">
        <f t="array" ref="AO30">IFERROR(IF('T1'!$J30="",INDEX(LISTA_EX,39),INDEX(LISTA_EX,MATCH('T1'!$J30&amp;"|"&amp;39,LISTA_KLUCZ,0))),"")</f>
        <v>Dead bug straight legs</v>
      </c>
      <c r="AP30" s="5" t="str">
        <f t="array" ref="AP30">IFERROR(IF('T1'!$J30="",INDEX(LISTA_EX,40),INDEX(LISTA_EX,MATCH('T1'!$J30&amp;"|"&amp;40,LISTA_KLUCZ,0))),"")</f>
        <v>Dead stop barbell row</v>
      </c>
      <c r="AQ30" s="5" t="str">
        <f t="array" ref="AQ30">IFERROR(IF('T1'!$J30="",INDEX(LISTA_EX,41),INDEX(LISTA_EX,MATCH('T1'!$J30&amp;"|"&amp;41,LISTA_KLUCZ,0))),"")</f>
        <v>Deadbug OH</v>
      </c>
      <c r="AR30" s="5" t="str">
        <f t="array" ref="AR30">IFERROR(IF('T1'!$J30="",INDEX(LISTA_EX,42),INDEX(LISTA_EX,MATCH('T1'!$J30&amp;"|"&amp;42,LISTA_KLUCZ,0))),"")</f>
        <v>Deadlift</v>
      </c>
      <c r="AS30" s="5" t="str">
        <f t="array" ref="AS30">IFERROR(IF('T1'!$J30="",INDEX(LISTA_EX,43),INDEX(LISTA_EX,MATCH('T1'!$J30&amp;"|"&amp;43,LISTA_KLUCZ,0))),"")</f>
        <v>Deficit push up</v>
      </c>
      <c r="AT30" s="5" t="str">
        <f t="array" ref="AT30">IFERROR(IF('T1'!$J30="",INDEX(LISTA_EX,44),INDEX(LISTA_EX,MATCH('T1'!$J30&amp;"|"&amp;44,LISTA_KLUCZ,0))),"")</f>
        <v>Deficit reverse lunge</v>
      </c>
      <c r="AU30" s="5" t="str">
        <f t="array" ref="AU30">IFERROR(IF('T1'!$J30="",INDEX(LISTA_EX,45),INDEX(LISTA_EX,MATCH('T1'!$J30&amp;"|"&amp;45,LISTA_KLUCZ,0))),"")</f>
        <v>Dips</v>
      </c>
      <c r="AV30" s="5" t="str">
        <f t="array" ref="AV30">IFERROR(IF('T1'!$J30="",INDEX(LISTA_EX,46),INDEX(LISTA_EX,MATCH('T1'!$J30&amp;"|"&amp;46,LISTA_KLUCZ,0))),"")</f>
        <v>Dips weighted</v>
      </c>
      <c r="AW30" s="5" t="str">
        <f t="array" ref="AW30">IFERROR(IF('T1'!$J30="",INDEX(LISTA_EX,47),INDEX(LISTA_EX,MATCH('T1'!$J30&amp;"|"&amp;47,LISTA_KLUCZ,0))),"")</f>
        <v>Dumbbell bench press</v>
      </c>
      <c r="AX30" s="5" t="str">
        <f t="array" ref="AX30">IFERROR(IF('T1'!$J30="",INDEX(LISTA_EX,48),INDEX(LISTA_EX,MATCH('T1'!$J30&amp;"|"&amp;48,LISTA_KLUCZ,0))),"")</f>
        <v>Dumbbell bench press alternating</v>
      </c>
      <c r="AY30" s="5" t="str">
        <f t="array" ref="AY30">IFERROR(IF('T1'!$J30="",INDEX(LISTA_EX,49),INDEX(LISTA_EX,MATCH('T1'!$J30&amp;"|"&amp;49,LISTA_KLUCZ,0))),"")</f>
        <v>Dumbbell curl</v>
      </c>
      <c r="AZ30" s="5" t="str">
        <f t="array" ref="AZ30">IFERROR(IF('T1'!$J30="",INDEX(LISTA_EX,50),INDEX(LISTA_EX,MATCH('T1'!$J30&amp;"|"&amp;50,LISTA_KLUCZ,0))),"")</f>
        <v>Dumbbell external rotation</v>
      </c>
      <c r="BA30" s="5" t="str">
        <f t="array" ref="BA30">IFERROR(IF('T1'!$J30="",INDEX(LISTA_EX,51),INDEX(LISTA_EX,MATCH('T1'!$J30&amp;"|"&amp;51,LISTA_KLUCZ,0))),"")</f>
        <v>Dumbbell face down curl</v>
      </c>
      <c r="BB30" s="5" t="str">
        <f t="array" ref="BB30">IFERROR(IF('T1'!$J30="",INDEX(LISTA_EX,52),INDEX(LISTA_EX,MATCH('T1'!$J30&amp;"|"&amp;52,LISTA_KLUCZ,0))),"")</f>
        <v>Dumbbell fly</v>
      </c>
      <c r="BC30" s="5" t="str">
        <f t="array" ref="BC30">IFERROR(IF('T1'!$J30="",INDEX(LISTA_EX,53),INDEX(LISTA_EX,MATCH('T1'!$J30&amp;"|"&amp;53,LISTA_KLUCZ,0))),"")</f>
        <v>Dumbbell french press</v>
      </c>
      <c r="BD30" s="5" t="str">
        <f t="array" ref="BD30">IFERROR(IF('T1'!$J30="",INDEX(LISTA_EX,54),INDEX(LISTA_EX,MATCH('T1'!$J30&amp;"|"&amp;54,LISTA_KLUCZ,0))),"")</f>
        <v>Dumbbell lateral raise</v>
      </c>
      <c r="BE30" s="5" t="str">
        <f t="array" ref="BE30">IFERROR(IF('T1'!$J30="",INDEX(LISTA_EX,55),INDEX(LISTA_EX,MATCH('T1'!$J30&amp;"|"&amp;55,LISTA_KLUCZ,0))),"")</f>
        <v>Dumbbell lunges</v>
      </c>
      <c r="BF30" s="5" t="str">
        <f t="array" ref="BF30">IFERROR(IF('T1'!$J30="",INDEX(LISTA_EX,56),INDEX(LISTA_EX,MATCH('T1'!$J30&amp;"|"&amp;56,LISTA_KLUCZ,0))),"")</f>
        <v>Dumbbell OH press</v>
      </c>
      <c r="BG30" s="5" t="str">
        <f t="array" ref="BG30">IFERROR(IF('T1'!$J30="",INDEX(LISTA_EX,57),INDEX(LISTA_EX,MATCH('T1'!$J30&amp;"|"&amp;57,LISTA_KLUCZ,0))),"")</f>
        <v>Dumbbell over head press</v>
      </c>
      <c r="BH30" s="5" t="str">
        <f t="array" ref="BH30">IFERROR(IF('T1'!$J30="",INDEX(LISTA_EX,58),INDEX(LISTA_EX,MATCH('T1'!$J30&amp;"|"&amp;58,LISTA_KLUCZ,0))),"")</f>
        <v>Dumbbell over head press alternating</v>
      </c>
      <c r="BI30" s="5" t="str">
        <f t="array" ref="BI30">IFERROR(IF('T1'!$J30="",INDEX(LISTA_EX,59),INDEX(LISTA_EX,MATCH('T1'!$J30&amp;"|"&amp;59,LISTA_KLUCZ,0))),"")</f>
        <v>Dumbbell row</v>
      </c>
      <c r="BJ30" s="5" t="str">
        <f t="array" ref="BJ30">IFERROR(IF('T1'!$J30="",INDEX(LISTA_EX,60),INDEX(LISTA_EX,MATCH('T1'!$J30&amp;"|"&amp;60,LISTA_KLUCZ,0))),"")</f>
        <v>Dumbbell s/a Arnold press</v>
      </c>
      <c r="BK30" s="5" t="str">
        <f t="array" ref="BK30">IFERROR(IF('T1'!$J30="",INDEX(LISTA_EX,61),INDEX(LISTA_EX,MATCH('T1'!$J30&amp;"|"&amp;61,LISTA_KLUCZ,0))),"")</f>
        <v>Dumbbell s/a row</v>
      </c>
      <c r="BL30" s="5" t="str">
        <f t="array" ref="BL30">IFERROR(IF('T1'!$J30="",INDEX(LISTA_EX,62),INDEX(LISTA_EX,MATCH('T1'!$J30&amp;"|"&amp;62,LISTA_KLUCZ,0))),"")</f>
        <v>Dumbbell seal row</v>
      </c>
      <c r="BM30" s="5" t="str">
        <f t="array" ref="BM30">IFERROR(IF('T1'!$J30="",INDEX(LISTA_EX,63),INDEX(LISTA_EX,MATCH('T1'!$J30&amp;"|"&amp;63,LISTA_KLUCZ,0))),"")</f>
        <v>Dumbbells jumps</v>
      </c>
      <c r="BN30" s="5" t="str">
        <f t="array" ref="BN30">IFERROR(IF('T1'!$J30="",INDEX(LISTA_EX,64),INDEX(LISTA_EX,MATCH('T1'!$J30&amp;"|"&amp;64,LISTA_KLUCZ,0))),"")</f>
        <v>Eccentric pull up</v>
      </c>
      <c r="BO30" s="5" t="str">
        <f t="array" ref="BO30">IFERROR(IF('T1'!$J30="",INDEX(LISTA_EX,65),INDEX(LISTA_EX,MATCH('T1'!$J30&amp;"|"&amp;65,LISTA_KLUCZ,0))),"")</f>
        <v>Eccentric push up (5 sek w dół)</v>
      </c>
      <c r="BP30" s="5" t="str">
        <f t="array" ref="BP30">IFERROR(IF('T1'!$J30="",INDEX(LISTA_EX,66),INDEX(LISTA_EX,MATCH('T1'!$J30&amp;"|"&amp;66,LISTA_KLUCZ,0))),"")</f>
        <v>Extensive plyo jumps s/l</v>
      </c>
      <c r="BQ30" s="5" t="str">
        <f t="array" ref="BQ30">IFERROR(IF('T1'!$J30="",INDEX(LISTA_EX,67),INDEX(LISTA_EX,MATCH('T1'!$J30&amp;"|"&amp;67,LISTA_KLUCZ,0))),"")</f>
        <v>Ez bar curl</v>
      </c>
      <c r="BR30" s="5" t="str">
        <f t="array" ref="BR30">IFERROR(IF('T1'!$J30="",INDEX(LISTA_EX,68),INDEX(LISTA_EX,MATCH('T1'!$J30&amp;"|"&amp;68,LISTA_KLUCZ,0))),"")</f>
        <v>Facepull chest supported</v>
      </c>
      <c r="BS30" s="5" t="str">
        <f t="array" ref="BS30">IFERROR(IF('T1'!$J30="",INDEX(LISTA_EX,69),INDEX(LISTA_EX,MATCH('T1'!$J30&amp;"|"&amp;69,LISTA_KLUCZ,0))),"")</f>
        <v>Front foot elevated split squat</v>
      </c>
      <c r="BT30" s="5" t="str">
        <f t="array" ref="BT30">IFERROR(IF('T1'!$J30="",INDEX(LISTA_EX,70),INDEX(LISTA_EX,MATCH('T1'!$J30&amp;"|"&amp;70,LISTA_KLUCZ,0))),"")</f>
        <v>Front squat</v>
      </c>
      <c r="BU30" s="5" t="str">
        <f t="array" ref="BU30">IFERROR(IF('T1'!$J30="",INDEX(LISTA_EX,71),INDEX(LISTA_EX,MATCH('T1'!$J30&amp;"|"&amp;71,LISTA_KLUCZ,0))),"")</f>
        <v>GHD flexion</v>
      </c>
      <c r="BV30" s="5" t="str">
        <f t="array" ref="BV30">IFERROR(IF('T1'!$J30="",INDEX(LISTA_EX,72),INDEX(LISTA_EX,MATCH('T1'!$J30&amp;"|"&amp;72,LISTA_KLUCZ,0))),"")</f>
        <v>Glute bridge hamstrings izo + OH</v>
      </c>
      <c r="BW30" s="5" t="str">
        <f t="array" ref="BW30">IFERROR(IF('T1'!$J30="",INDEX(LISTA_EX,73),INDEX(LISTA_EX,MATCH('T1'!$J30&amp;"|"&amp;73,LISTA_KLUCZ,0))),"")</f>
        <v>Glute crusher</v>
      </c>
      <c r="BX30" s="5" t="str">
        <f t="array" ref="BX30">IFERROR(IF('T1'!$J30="",INDEX(LISTA_EX,74),INDEX(LISTA_EX,MATCH('T1'!$J30&amp;"|"&amp;74,LISTA_KLUCZ,0))),"")</f>
        <v>Gorilla row</v>
      </c>
      <c r="BY30" s="5" t="str">
        <f t="array" ref="BY30">IFERROR(IF('T1'!$J30="",INDEX(LISTA_EX,75),INDEX(LISTA_EX,MATCH('T1'!$J30&amp;"|"&amp;75,LISTA_KLUCZ,0))),"")</f>
        <v>Halfkneeling s/a cable pull</v>
      </c>
      <c r="BZ30" s="5" t="str">
        <f t="array" ref="BZ30">IFERROR(IF('T1'!$J30="",INDEX(LISTA_EX,76),INDEX(LISTA_EX,MATCH('T1'!$J30&amp;"|"&amp;76,LISTA_KLUCZ,0))),"")</f>
        <v>Halfkneeling wood chopper</v>
      </c>
      <c r="CA30" s="5" t="str">
        <f t="array" ref="CA30">IFERROR(IF('T1'!$J30="",INDEX(LISTA_EX,77),INDEX(LISTA_EX,MATCH('T1'!$J30&amp;"|"&amp;77,LISTA_KLUCZ,0))),"")</f>
        <v>Hinged dumbbell row</v>
      </c>
      <c r="CB30" s="5" t="str">
        <f t="array" ref="CB30">IFERROR(IF('T1'!$J30="",INDEX(LISTA_EX,78),INDEX(LISTA_EX,MATCH('T1'!$J30&amp;"|"&amp;78,LISTA_KLUCZ,0))),"")</f>
        <v>Hip aeroplane</v>
      </c>
      <c r="CC30" s="5" t="str">
        <f t="array" ref="CC30">IFERROR(IF('T1'!$J30="",INDEX(LISTA_EX,79),INDEX(LISTA_EX,MATCH('T1'!$J30&amp;"|"&amp;79,LISTA_KLUCZ,0))),"")</f>
        <v>Hip flexors cable</v>
      </c>
      <c r="CD30" s="5" t="str">
        <f t="array" ref="CD30">IFERROR(IF('T1'!$J30="",INDEX(LISTA_EX,80),INDEX(LISTA_EX,MATCH('T1'!$J30&amp;"|"&amp;80,LISTA_KLUCZ,0))),"")</f>
        <v>Hip thrust barbell</v>
      </c>
      <c r="CE30" s="5" t="str">
        <f t="array" ref="CE30">IFERROR(IF('T1'!$J30="",INDEX(LISTA_EX,81),INDEX(LISTA_EX,MATCH('T1'!$J30&amp;"|"&amp;81,LISTA_KLUCZ,0))),"")</f>
        <v>Hollow body + OH</v>
      </c>
      <c r="CF30" s="5" t="str">
        <f t="array" ref="CF30">IFERROR(IF('T1'!$J30="",INDEX(LISTA_EX,82),INDEX(LISTA_EX,MATCH('T1'!$J30&amp;"|"&amp;82,LISTA_KLUCZ,0))),"")</f>
        <v>Horizontal jump</v>
      </c>
      <c r="CG30" s="5" t="str">
        <f t="array" ref="CG30">IFERROR(IF('T1'!$J30="",INDEX(LISTA_EX,83),INDEX(LISTA_EX,MATCH('T1'!$J30&amp;"|"&amp;83,LISTA_KLUCZ,0))),"")</f>
        <v>Incline bench lateral raise s/a</v>
      </c>
      <c r="CH30" s="5" t="str">
        <f t="array" ref="CH30">IFERROR(IF('T1'!$J30="",INDEX(LISTA_EX,84),INDEX(LISTA_EX,MATCH('T1'!$J30&amp;"|"&amp;84,LISTA_KLUCZ,0))),"")</f>
        <v>Incline curl + OHP</v>
      </c>
      <c r="CI30" s="5" t="str">
        <f t="array" ref="CI30">IFERROR(IF('T1'!$J30="",INDEX(LISTA_EX,85),INDEX(LISTA_EX,MATCH('T1'!$J30&amp;"|"&amp;85,LISTA_KLUCZ,0))),"")</f>
        <v>Incline dumbbell curl</v>
      </c>
      <c r="CJ30" s="5" t="str">
        <f t="array" ref="CJ30">IFERROR(IF('T1'!$J30="",INDEX(LISTA_EX,86),INDEX(LISTA_EX,MATCH('T1'!$J30&amp;"|"&amp;86,LISTA_KLUCZ,0))),"")</f>
        <v>Incline dumbbell curl (back)</v>
      </c>
      <c r="CK30" s="5" t="str">
        <f t="array" ref="CK30">IFERROR(IF('T1'!$J30="",INDEX(LISTA_EX,87),INDEX(LISTA_EX,MATCH('T1'!$J30&amp;"|"&amp;87,LISTA_KLUCZ,0))),"")</f>
        <v>Incline dumbbell curl (front)</v>
      </c>
      <c r="CL30" s="5" t="str">
        <f t="array" ref="CL30">IFERROR(IF('T1'!$J30="",INDEX(LISTA_EX,88),INDEX(LISTA_EX,MATCH('T1'!$J30&amp;"|"&amp;88,LISTA_KLUCZ,0))),"")</f>
        <v>Incline dumbbell fly</v>
      </c>
      <c r="CM30" s="5" t="str">
        <f t="array" ref="CM30">IFERROR(IF('T1'!$J30="",INDEX(LISTA_EX,89),INDEX(LISTA_EX,MATCH('T1'!$J30&amp;"|"&amp;89,LISTA_KLUCZ,0))),"")</f>
        <v>Incline dumbbell press</v>
      </c>
      <c r="CN30" s="5" t="str">
        <f t="array" ref="CN30">IFERROR(IF('T1'!$J30="",INDEX(LISTA_EX,90),INDEX(LISTA_EX,MATCH('T1'!$J30&amp;"|"&amp;90,LISTA_KLUCZ,0))),"")</f>
        <v>Incline dumbbell press alternating</v>
      </c>
      <c r="CO30" s="5" t="str">
        <f t="array" ref="CO30">IFERROR(IF('T1'!$J30="",INDEX(LISTA_EX,91),INDEX(LISTA_EX,MATCH('T1'!$J30&amp;"|"&amp;91,LISTA_KLUCZ,0))),"")</f>
        <v>Incline sit-ups</v>
      </c>
      <c r="CP30" s="5" t="str">
        <f t="array" ref="CP30">IFERROR(IF('T1'!$J30="",INDEX(LISTA_EX,92),INDEX(LISTA_EX,MATCH('T1'!$J30&amp;"|"&amp;92,LISTA_KLUCZ,0))),"")</f>
        <v>Jefferson cable</v>
      </c>
      <c r="CQ30" s="5" t="str">
        <f t="array" ref="CQ30">IFERROR(IF('T1'!$J30="",INDEX(LISTA_EX,93),INDEX(LISTA_EX,MATCH('T1'!$J30&amp;"|"&amp;93,LISTA_KLUCZ,0))),"")</f>
        <v>Kettlebell march</v>
      </c>
      <c r="CR30" s="5" t="str">
        <f t="array" ref="CR30">IFERROR(IF('T1'!$J30="",INDEX(LISTA_EX,94),INDEX(LISTA_EX,MATCH('T1'!$J30&amp;"|"&amp;94,LISTA_KLUCZ,0))),"")</f>
        <v>Kickbacks</v>
      </c>
      <c r="CS30" s="5" t="str">
        <f t="array" ref="CS30">IFERROR(IF('T1'!$J30="",INDEX(LISTA_EX,95),INDEX(LISTA_EX,MATCH('T1'!$J30&amp;"|"&amp;95,LISTA_KLUCZ,0))),"")</f>
        <v>Knee extension machine</v>
      </c>
      <c r="CT30" s="5" t="str">
        <f t="array" ref="CT30">IFERROR(IF('T1'!$J30="",INDEX(LISTA_EX,96),INDEX(LISTA_EX,MATCH('T1'!$J30&amp;"|"&amp;96,LISTA_KLUCZ,0))),"")</f>
        <v>Knee flexion machine</v>
      </c>
      <c r="CU30" s="5" t="str">
        <f t="array" ref="CU30">IFERROR(IF('T1'!$J30="",INDEX(LISTA_EX,97),INDEX(LISTA_EX,MATCH('T1'!$J30&amp;"|"&amp;97,LISTA_KLUCZ,0))),"")</f>
        <v>Knee raises</v>
      </c>
      <c r="CV30" s="5" t="str">
        <f t="array" ref="CV30">IFERROR(IF('T1'!$J30="",INDEX(LISTA_EX,98),INDEX(LISTA_EX,MATCH('T1'!$J30&amp;"|"&amp;98,LISTA_KLUCZ,0))),"")</f>
        <v>Landmine core</v>
      </c>
      <c r="CW30" s="5" t="str">
        <f t="array" ref="CW30">IFERROR(IF('T1'!$J30="",INDEX(LISTA_EX,99),INDEX(LISTA_EX,MATCH('T1'!$J30&amp;"|"&amp;99,LISTA_KLUCZ,0))),"")</f>
        <v>Landmine press</v>
      </c>
      <c r="CX30" s="5" t="str">
        <f t="array" ref="CX30">IFERROR(IF('T1'!$J30="",INDEX(LISTA_EX,100),INDEX(LISTA_EX,MATCH('T1'!$J30&amp;"|"&amp;100,LISTA_KLUCZ,0))),"")</f>
        <v>Landmine rotations (powtórzenia x2)</v>
      </c>
      <c r="CY30" s="5" t="str">
        <f t="array" ref="CY30">IFERROR(IF('T1'!$J30="",INDEX(LISTA_EX,101),INDEX(LISTA_EX,MATCH('T1'!$J30&amp;"|"&amp;101,LISTA_KLUCZ,0))),"")</f>
        <v>Landmine SLDL</v>
      </c>
      <c r="CZ30" s="5" t="str">
        <f t="array" ref="CZ30">IFERROR(IF('T1'!$J30="",INDEX(LISTA_EX,102),INDEX(LISTA_EX,MATCH('T1'!$J30&amp;"|"&amp;102,LISTA_KLUCZ,0))),"")</f>
        <v>Lat pulldown</v>
      </c>
      <c r="DA30" s="5" t="str">
        <f t="array" ref="DA30">IFERROR(IF('T1'!$J30="",INDEX(LISTA_EX,103),INDEX(LISTA_EX,MATCH('T1'!$J30&amp;"|"&amp;103,LISTA_KLUCZ,0))),"")</f>
        <v>Lat pulldown behind the head</v>
      </c>
      <c r="DB30" s="5" t="str">
        <f t="array" ref="DB30">IFERROR(IF('T1'!$J30="",INDEX(LISTA_EX,104),INDEX(LISTA_EX,MATCH('T1'!$J30&amp;"|"&amp;104,LISTA_KLUCZ,0))),"")</f>
        <v>Lat pulldown s/a</v>
      </c>
      <c r="DC30" s="5" t="str">
        <f t="array" ref="DC30">IFERROR(IF('T1'!$J30="",INDEX(LISTA_EX,105),INDEX(LISTA_EX,MATCH('T1'!$J30&amp;"|"&amp;105,LISTA_KLUCZ,0))),"")</f>
        <v>Lateral raise s/a</v>
      </c>
      <c r="DD30" s="5" t="str">
        <f t="array" ref="DD30">IFERROR(IF('T1'!$J30="",INDEX(LISTA_EX,106),INDEX(LISTA_EX,MATCH('T1'!$J30&amp;"|"&amp;106,LISTA_KLUCZ,0))),"")</f>
        <v>Lateral raises</v>
      </c>
      <c r="DE30" s="5" t="str">
        <f t="array" ref="DE30">IFERROR(IF('T1'!$J30="",INDEX(LISTA_EX,107),INDEX(LISTA_EX,MATCH('T1'!$J30&amp;"|"&amp;107,LISTA_KLUCZ,0))),"")</f>
        <v>Lateral raises 2</v>
      </c>
      <c r="DF30" s="5" t="str">
        <f t="array" ref="DF30">IFERROR(IF('T1'!$J30="",INDEX(LISTA_EX,108),INDEX(LISTA_EX,MATCH('T1'!$J30&amp;"|"&amp;108,LISTA_KLUCZ,0))),"")</f>
        <v>Lateral raises full ROM</v>
      </c>
      <c r="DG30" s="5" t="str">
        <f t="array" ref="DG30">IFERROR(IF('T1'!$J30="",INDEX(LISTA_EX,109),INDEX(LISTA_EX,MATCH('T1'!$J30&amp;"|"&amp;109,LISTA_KLUCZ,0))),"")</f>
        <v>Lateral raises hinged</v>
      </c>
      <c r="DH30" s="5" t="str">
        <f t="array" ref="DH30">IFERROR(IF('T1'!$J30="",INDEX(LISTA_EX,110),INDEX(LISTA_EX,MATCH('T1'!$J30&amp;"|"&amp;110,LISTA_KLUCZ,0))),"")</f>
        <v>Lateral raises incline s/a</v>
      </c>
      <c r="DI30" s="5" t="str">
        <f t="array" ref="DI30">IFERROR(IF('T1'!$J30="",INDEX(LISTA_EX,111),INDEX(LISTA_EX,MATCH('T1'!$J30&amp;"|"&amp;111,LISTA_KLUCZ,0))),"")</f>
        <v>Leg curl</v>
      </c>
      <c r="DJ30" s="5" t="str">
        <f t="array" ref="DJ30">IFERROR(IF('T1'!$J30="",INDEX(LISTA_EX,112),INDEX(LISTA_EX,MATCH('T1'!$J30&amp;"|"&amp;112,LISTA_KLUCZ,0))),"")</f>
        <v>Machine row</v>
      </c>
      <c r="DK30" s="5" t="str">
        <f t="array" ref="DK30">IFERROR(IF('T1'!$J30="",INDEX(LISTA_EX,113),INDEX(LISTA_EX,MATCH('T1'!$J30&amp;"|"&amp;113,LISTA_KLUCZ,0))),"")</f>
        <v>Machine row s/a</v>
      </c>
      <c r="DL30" s="5" t="str">
        <f t="array" ref="DL30">IFERROR(IF('T1'!$J30="",INDEX(LISTA_EX,114),INDEX(LISTA_EX,MATCH('T1'!$J30&amp;"|"&amp;114,LISTA_KLUCZ,0))),"")</f>
        <v>Meadows row</v>
      </c>
      <c r="DM30" s="5" t="str">
        <f t="array" ref="DM30">IFERROR(IF('T1'!$J30="",INDEX(LISTA_EX,115),INDEX(LISTA_EX,MATCH('T1'!$J30&amp;"|"&amp;115,LISTA_KLUCZ,0))),"")</f>
        <v>Med ball slam</v>
      </c>
      <c r="DN30" s="5" t="str">
        <f t="array" ref="DN30">IFERROR(IF('T1'!$J30="",INDEX(LISTA_EX,116),INDEX(LISTA_EX,MATCH('T1'!$J30&amp;"|"&amp;116,LISTA_KLUCZ,0))),"")</f>
        <v>OH skullcrushers</v>
      </c>
      <c r="DO30" s="5" t="str">
        <f t="array" ref="DO30">IFERROR(IF('T1'!$J30="",INDEX(LISTA_EX,117),INDEX(LISTA_EX,MATCH('T1'!$J30&amp;"|"&amp;117,LISTA_KLUCZ,0))),"")</f>
        <v>OHP barbell squat 15kg</v>
      </c>
      <c r="DP30" s="5" t="str">
        <f t="array" ref="DP30">IFERROR(IF('T1'!$J30="",INDEX(LISTA_EX,118),INDEX(LISTA_EX,MATCH('T1'!$J30&amp;"|"&amp;118,LISTA_KLUCZ,0))),"")</f>
        <v>Pistol squat eccentric</v>
      </c>
      <c r="DQ30" s="5" t="str">
        <f t="array" ref="DQ30">IFERROR(IF('T1'!$J30="",INDEX(LISTA_EX,119),INDEX(LISTA_EX,MATCH('T1'!$J30&amp;"|"&amp;119,LISTA_KLUCZ,0))),"")</f>
        <v>Plank contralateral</v>
      </c>
      <c r="DR30" s="5" t="str">
        <f t="array" ref="DR30">IFERROR(IF('T1'!$J30="",INDEX(LISTA_EX,120),INDEX(LISTA_EX,MATCH('T1'!$J30&amp;"|"&amp;120,LISTA_KLUCZ,0))),"")</f>
        <v>Plank dumbbell rotation</v>
      </c>
      <c r="DS30" s="5" t="str">
        <f t="array" ref="DS30">IFERROR(IF('T1'!$J30="",INDEX(LISTA_EX,121),INDEX(LISTA_EX,MATCH('T1'!$J30&amp;"|"&amp;121,LISTA_KLUCZ,0))),"")</f>
        <v>Plank leg raises</v>
      </c>
      <c r="DT30" s="5" t="str">
        <f t="array" ref="DT30">IFERROR(IF('T1'!$J30="",INDEX(LISTA_EX,122),INDEX(LISTA_EX,MATCH('T1'!$J30&amp;"|"&amp;122,LISTA_KLUCZ,0))),"")</f>
        <v>Poliquin step up</v>
      </c>
      <c r="DU30" s="5" t="str">
        <f t="array" ref="DU30">IFERROR(IF('T1'!$J30="",INDEX(LISTA_EX,123),INDEX(LISTA_EX,MATCH('T1'!$J30&amp;"|"&amp;123,LISTA_KLUCZ,0))),"")</f>
        <v>Poliquin step up paused 3sec</v>
      </c>
      <c r="DV30" s="5" t="str">
        <f t="array" ref="DV30">IFERROR(IF('T1'!$J30="",INDEX(LISTA_EX,124),INDEX(LISTA_EX,MATCH('T1'!$J30&amp;"|"&amp;124,LISTA_KLUCZ,0))),"")</f>
        <v>Pronation/Supination</v>
      </c>
      <c r="DW30" s="5" t="str">
        <f t="array" ref="DW30">IFERROR(IF('T1'!$J30="",INDEX(LISTA_EX,125),INDEX(LISTA_EX,MATCH('T1'!$J30&amp;"|"&amp;125,LISTA_KLUCZ,0))),"")</f>
        <v>Pull up</v>
      </c>
      <c r="DX30" s="5" t="str">
        <f t="array" ref="DX30">IFERROR(IF('T1'!$J30="",INDEX(LISTA_EX,126),INDEX(LISTA_EX,MATCH('T1'!$J30&amp;"|"&amp;126,LISTA_KLUCZ,0))),"")</f>
        <v>Pull up eccentric weighted</v>
      </c>
      <c r="DY30" s="5" t="str">
        <f t="array" ref="DY30">IFERROR(IF('T1'!$J30="",INDEX(LISTA_EX,127),INDEX(LISTA_EX,MATCH('T1'!$J30&amp;"|"&amp;127,LISTA_KLUCZ,0))),"")</f>
        <v>Pull up eccentric weighted (5 sek w dół)</v>
      </c>
      <c r="DZ30" s="5" t="str">
        <f t="array" ref="DZ30">IFERROR(IF('T1'!$J30="",INDEX(LISTA_EX,128),INDEX(LISTA_EX,MATCH('T1'!$J30&amp;"|"&amp;128,LISTA_KLUCZ,0))),"")</f>
        <v>Pull up weighted</v>
      </c>
      <c r="EA30" s="5" t="str">
        <f t="array" ref="EA30">IFERROR(IF('T1'!$J30="",INDEX(LISTA_EX,129),INDEX(LISTA_EX,MATCH('T1'!$J30&amp;"|"&amp;129,LISTA_KLUCZ,0))),"")</f>
        <v>Pull ups (paused)</v>
      </c>
      <c r="EB30" s="5" t="str">
        <f t="array" ref="EB30">IFERROR(IF('T1'!$J30="",INDEX(LISTA_EX,130),INDEX(LISTA_EX,MATCH('T1'!$J30&amp;"|"&amp;130,LISTA_KLUCZ,0))),"")</f>
        <v>Push press barbell</v>
      </c>
      <c r="EC30" s="5" t="str">
        <f t="array" ref="EC30">IFERROR(IF('T1'!$J30="",INDEX(LISTA_EX,131),INDEX(LISTA_EX,MATCH('T1'!$J30&amp;"|"&amp;131,LISTA_KLUCZ,0))),"")</f>
        <v>Push up</v>
      </c>
      <c r="ED30" s="5" t="str">
        <f t="array" ref="ED30">IFERROR(IF('T1'!$J30="",INDEX(LISTA_EX,132),INDEX(LISTA_EX,MATCH('T1'!$J30&amp;"|"&amp;132,LISTA_KLUCZ,0))),"")</f>
        <v>Raised bird dog</v>
      </c>
      <c r="EE30" s="5" t="str">
        <f t="array" ref="EE30">IFERROR(IF('T1'!$J30="",INDEX(LISTA_EX,133),INDEX(LISTA_EX,MATCH('T1'!$J30&amp;"|"&amp;133,LISTA_KLUCZ,0))),"")</f>
        <v>RDL</v>
      </c>
      <c r="EF30" s="5" t="str">
        <f t="array" ref="EF30">IFERROR(IF('T1'!$J30="",INDEX(LISTA_EX,134),INDEX(LISTA_EX,MATCH('T1'!$J30&amp;"|"&amp;134,LISTA_KLUCZ,0))),"")</f>
        <v>Reverse Nordic</v>
      </c>
      <c r="EG30" s="5" t="str">
        <f t="array" ref="EG30">IFERROR(IF('T1'!$J30="",INDEX(LISTA_EX,135),INDEX(LISTA_EX,MATCH('T1'!$J30&amp;"|"&amp;135,LISTA_KLUCZ,0))),"")</f>
        <v>Rope pushdown</v>
      </c>
      <c r="EH30" s="5" t="str">
        <f t="array" ref="EH30">IFERROR(IF('T1'!$J30="",INDEX(LISTA_EX,136),INDEX(LISTA_EX,MATCH('T1'!$J30&amp;"|"&amp;136,LISTA_KLUCZ,0))),"")</f>
        <v>Rope pushdown OH</v>
      </c>
      <c r="EI30" s="5" t="str">
        <f t="array" ref="EI30">IFERROR(IF('T1'!$J30="",INDEX(LISTA_EX,137),INDEX(LISTA_EX,MATCH('T1'!$J30&amp;"|"&amp;137,LISTA_KLUCZ,0))),"")</f>
        <v>S/a cable pulldown incline bench</v>
      </c>
      <c r="EJ30" s="5" t="str">
        <f t="array" ref="EJ30">IFERROR(IF('T1'!$J30="",INDEX(LISTA_EX,138),INDEX(LISTA_EX,MATCH('T1'!$J30&amp;"|"&amp;138,LISTA_KLUCZ,0))),"")</f>
        <v>S/a lat pulldown incline bench</v>
      </c>
      <c r="EK30" s="5" t="str">
        <f t="array" ref="EK30">IFERROR(IF('T1'!$J30="",INDEX(LISTA_EX,139),INDEX(LISTA_EX,MATCH('T1'!$J30&amp;"|"&amp;139,LISTA_KLUCZ,0))),"")</f>
        <v>S/l dragonflag eccentric</v>
      </c>
      <c r="EL30" s="5" t="str">
        <f t="array" ref="EL30">IFERROR(IF('T1'!$J30="",INDEX(LISTA_EX,140),INDEX(LISTA_EX,MATCH('T1'!$J30&amp;"|"&amp;140,LISTA_KLUCZ,0))),"")</f>
        <v>S/l hip thrust</v>
      </c>
      <c r="EM30" s="5" t="str">
        <f t="array" ref="EM30">IFERROR(IF('T1'!$J30="",INDEX(LISTA_EX,141),INDEX(LISTA_EX,MATCH('T1'!$J30&amp;"|"&amp;141,LISTA_KLUCZ,0))),"")</f>
        <v>Seated broad jump</v>
      </c>
      <c r="EN30" s="5" t="str">
        <f t="array" ref="EN30">IFERROR(IF('T1'!$J30="",INDEX(LISTA_EX,142),INDEX(LISTA_EX,MATCH('T1'!$J30&amp;"|"&amp;142,LISTA_KLUCZ,0))),"")</f>
        <v>Seated cable facepull</v>
      </c>
      <c r="EO30" s="5" t="str">
        <f t="array" ref="EO30">IFERROR(IF('T1'!$J30="",INDEX(LISTA_EX,143),INDEX(LISTA_EX,MATCH('T1'!$J30&amp;"|"&amp;143,LISTA_KLUCZ,0))),"")</f>
        <v>Seated seesaw press (nogi proste)</v>
      </c>
      <c r="EP30" s="5" t="str">
        <f t="array" ref="EP30">IFERROR(IF('T1'!$J30="",INDEX(LISTA_EX,144),INDEX(LISTA_EX,MATCH('T1'!$J30&amp;"|"&amp;144,LISTA_KLUCZ,0))),"")</f>
        <v>Seesaw press</v>
      </c>
      <c r="EQ30" s="5" t="str">
        <f t="array" ref="EQ30">IFERROR(IF('T1'!$J30="",INDEX(LISTA_EX,145),INDEX(LISTA_EX,MATCH('T1'!$J30&amp;"|"&amp;145,LISTA_KLUCZ,0))),"")</f>
        <v>Side crunches</v>
      </c>
      <c r="ER30" s="5" t="str">
        <f t="array" ref="ER30">IFERROR(IF('T1'!$J30="",INDEX(LISTA_EX,146),INDEX(LISTA_EX,MATCH('T1'!$J30&amp;"|"&amp;146,LISTA_KLUCZ,0))),"")</f>
        <v>Side plank hip drop</v>
      </c>
      <c r="ES30" s="5" t="str">
        <f t="array" ref="ES30">IFERROR(IF('T1'!$J30="",INDEX(LISTA_EX,147),INDEX(LISTA_EX,MATCH('T1'!$J30&amp;"|"&amp;147,LISTA_KLUCZ,0))),"")</f>
        <v>Side plank rotations</v>
      </c>
      <c r="ET30" s="5" t="str">
        <f t="array" ref="ET30">IFERROR(IF('T1'!$J30="",INDEX(LISTA_EX,148),INDEX(LISTA_EX,MATCH('T1'!$J30&amp;"|"&amp;148,LISTA_KLUCZ,0))),"")</f>
        <v>SLDL balance</v>
      </c>
      <c r="EU30" s="5" t="str">
        <f t="array" ref="EU30">IFERROR(IF('T1'!$J30="",INDEX(LISTA_EX,149),INDEX(LISTA_EX,MATCH('T1'!$J30&amp;"|"&amp;149,LISTA_KLUCZ,0))),"")</f>
        <v>Split squat</v>
      </c>
      <c r="EV30" s="5" t="str">
        <f t="array" ref="EV30">IFERROR(IF('T1'!$J30="",INDEX(LISTA_EX,150),INDEX(LISTA_EX,MATCH('T1'!$J30&amp;"|"&amp;150,LISTA_KLUCZ,0))),"")</f>
        <v>Split stance SLDL</v>
      </c>
      <c r="EW30" s="5" t="str">
        <f t="array" ref="EW30">IFERROR(IF('T1'!$J30="",INDEX(LISTA_EX,151),INDEX(LISTA_EX,MATCH('T1'!$J30&amp;"|"&amp;151,LISTA_KLUCZ,0))),"")</f>
        <v>Squat izo (15 sek)</v>
      </c>
      <c r="EX30" s="5" t="str">
        <f t="array" ref="EX30">IFERROR(IF('T1'!$J30="",INDEX(LISTA_EX,152),INDEX(LISTA_EX,MATCH('T1'!$J30&amp;"|"&amp;152,LISTA_KLUCZ,0))),"")</f>
        <v>Standing landmine press</v>
      </c>
      <c r="EY30" s="5" t="str">
        <f t="array" ref="EY30">IFERROR(IF('T1'!$J30="",INDEX(LISTA_EX,153),INDEX(LISTA_EX,MATCH('T1'!$J30&amp;"|"&amp;153,LISTA_KLUCZ,0))),"")</f>
        <v>Suitcase carry</v>
      </c>
      <c r="EZ30" s="5" t="str">
        <f t="array" ref="EZ30">IFERROR(IF('T1'!$J30="",INDEX(LISTA_EX,154),INDEX(LISTA_EX,MATCH('T1'!$J30&amp;"|"&amp;154,LISTA_KLUCZ,0))),"")</f>
        <v>Supine pigeon abs</v>
      </c>
      <c r="FA30" s="5" t="str">
        <f t="array" ref="FA30">IFERROR(IF('T1'!$J30="",INDEX(LISTA_EX,155),INDEX(LISTA_EX,MATCH('T1'!$J30&amp;"|"&amp;155,LISTA_KLUCZ,0))),"")</f>
        <v>Swiss ball leg curl</v>
      </c>
      <c r="FB30" s="5" t="str">
        <f t="array" ref="FB30">IFERROR(IF('T1'!$J30="",INDEX(LISTA_EX,156),INDEX(LISTA_EX,MATCH('T1'!$J30&amp;"|"&amp;156,LISTA_KLUCZ,0))),"")</f>
        <v>Toes to bar</v>
      </c>
      <c r="FC30" s="5" t="str">
        <f t="array" ref="FC30">IFERROR(IF('T1'!$J30="",INDEX(LISTA_EX,157),INDEX(LISTA_EX,MATCH('T1'!$J30&amp;"|"&amp;157,LISTA_KLUCZ,0))),"")</f>
        <v>Trap bar deadlift</v>
      </c>
      <c r="FD30" s="5" t="str">
        <f t="array" ref="FD30">IFERROR(IF('T1'!$J30="",INDEX(LISTA_EX,158),INDEX(LISTA_EX,MATCH('T1'!$J30&amp;"|"&amp;158,LISTA_KLUCZ,0))),"")</f>
        <v>Tricep cable pushdown</v>
      </c>
      <c r="FE30" s="5" t="str">
        <f t="array" ref="FE30">IFERROR(IF('T1'!$J30="",INDEX(LISTA_EX,159),INDEX(LISTA_EX,MATCH('T1'!$J30&amp;"|"&amp;159,LISTA_KLUCZ,0))),"")</f>
        <v>Tricep JM press</v>
      </c>
      <c r="FF30" s="5" t="str">
        <f t="array" ref="FF30">IFERROR(IF('T1'!$J30="",INDEX(LISTA_EX,160),INDEX(LISTA_EX,MATCH('T1'!$J30&amp;"|"&amp;160,LISTA_KLUCZ,0))),"")</f>
        <v>Tricep OH cable</v>
      </c>
      <c r="FG30" s="5" t="str">
        <f t="array" ref="FG30">IFERROR(IF('T1'!$J30="",INDEX(LISTA_EX,161),INDEX(LISTA_EX,MATCH('T1'!$J30&amp;"|"&amp;161,LISTA_KLUCZ,0))),"")</f>
        <v>Tricep OH ez bar</v>
      </c>
      <c r="FH30" s="5" t="str">
        <f t="array" ref="FH30">IFERROR(IF('T1'!$J30="",INDEX(LISTA_EX,162),INDEX(LISTA_EX,MATCH('T1'!$J30&amp;"|"&amp;162,LISTA_KLUCZ,0))),"")</f>
        <v>Walking lunges</v>
      </c>
      <c r="FI30" s="5" t="str">
        <f t="array" ref="FI30">IFERROR(IF('T1'!$J30="",INDEX(LISTA_EX,163),INDEX(LISTA_EX,MATCH('T1'!$J30&amp;"|"&amp;163,LISTA_KLUCZ,0))),"")</f>
        <v>Wipers kettle</v>
      </c>
      <c r="FJ30" s="5" t="str">
        <f t="array" ref="FJ30">IFERROR(IF('T1'!$J30="",INDEX(LISTA_EX,164),INDEX(LISTA_EX,MATCH('T1'!$J30&amp;"|"&amp;164,LISTA_KLUCZ,0))),"")</f>
        <v>Zercher jumps</v>
      </c>
      <c r="FK30" s="5" t="str">
        <f t="array" ref="FK30">IFERROR(IF('T1'!$J30="",INDEX(LISTA_EX,165),INDEX(LISTA_EX,MATCH('T1'!$J30&amp;"|"&amp;165,LISTA_KLUCZ,0))),"")</f>
        <v/>
      </c>
      <c r="FL30" s="5" t="str">
        <f t="array" ref="FL30">IFERROR(IF('T1'!$J30="",INDEX(LISTA_EX,166),INDEX(LISTA_EX,MATCH('T1'!$J30&amp;"|"&amp;166,LISTA_KLUCZ,0))),"")</f>
        <v/>
      </c>
      <c r="FM30" s="5" t="str">
        <f t="array" ref="FM30">IFERROR(IF('T1'!$J30="",INDEX(LISTA_EX,167),INDEX(LISTA_EX,MATCH('T1'!$J30&amp;"|"&amp;167,LISTA_KLUCZ,0))),"")</f>
        <v/>
      </c>
      <c r="FN30" s="5" t="str">
        <f t="array" ref="FN30">IFERROR(IF('T1'!$J30="",INDEX(LISTA_EX,168),INDEX(LISTA_EX,MATCH('T1'!$J30&amp;"|"&amp;168,LISTA_KLUCZ,0))),"")</f>
        <v/>
      </c>
      <c r="FO30" s="5" t="str">
        <f t="array" ref="FO30">IFERROR(IF('T1'!$J30="",INDEX(LISTA_EX,169),INDEX(LISTA_EX,MATCH('T1'!$J30&amp;"|"&amp;169,LISTA_KLUCZ,0))),"")</f>
        <v/>
      </c>
      <c r="FP30" s="5" t="str">
        <f t="array" ref="FP30">IFERROR(IF('T1'!$J30="",INDEX(LISTA_EX,170),INDEX(LISTA_EX,MATCH('T1'!$J30&amp;"|"&amp;170,LISTA_KLUCZ,0))),"")</f>
        <v/>
      </c>
      <c r="FQ30" s="5" t="str">
        <f t="array" ref="FQ30">IFERROR(IF('T1'!$J30="",INDEX(LISTA_EX,171),INDEX(LISTA_EX,MATCH('T1'!$J30&amp;"|"&amp;171,LISTA_KLUCZ,0))),"")</f>
        <v/>
      </c>
      <c r="FR30" s="5" t="str">
        <f t="array" ref="FR30">IFERROR(IF('T1'!$J30="",INDEX(LISTA_EX,172),INDEX(LISTA_EX,MATCH('T1'!$J30&amp;"|"&amp;172,LISTA_KLUCZ,0))),"")</f>
        <v/>
      </c>
      <c r="FS30" s="5" t="str">
        <f t="array" ref="FS30">IFERROR(IF('T1'!$J30="",INDEX(LISTA_EX,173),INDEX(LISTA_EX,MATCH('T1'!$J30&amp;"|"&amp;173,LISTA_KLUCZ,0))),"")</f>
        <v/>
      </c>
      <c r="FT30" s="5" t="str">
        <f t="array" ref="FT30">IFERROR(IF('T1'!$J30="",INDEX(LISTA_EX,174),INDEX(LISTA_EX,MATCH('T1'!$J30&amp;"|"&amp;174,LISTA_KLUCZ,0))),"")</f>
        <v/>
      </c>
      <c r="FU30" s="5" t="str">
        <f t="array" ref="FU30">IFERROR(IF('T1'!$J30="",INDEX(LISTA_EX,175),INDEX(LISTA_EX,MATCH('T1'!$J30&amp;"|"&amp;175,LISTA_KLUCZ,0))),"")</f>
        <v/>
      </c>
      <c r="FV30" s="5" t="str">
        <f t="array" ref="FV30">IFERROR(IF('T1'!$J30="",INDEX(LISTA_EX,176),INDEX(LISTA_EX,MATCH('T1'!$J30&amp;"|"&amp;176,LISTA_KLUCZ,0))),"")</f>
        <v/>
      </c>
      <c r="FW30" s="5" t="str">
        <f t="array" ref="FW30">IFERROR(IF('T1'!$J30="",INDEX(LISTA_EX,177),INDEX(LISTA_EX,MATCH('T1'!$J30&amp;"|"&amp;177,LISTA_KLUCZ,0))),"")</f>
        <v/>
      </c>
      <c r="FX30" s="5" t="str">
        <f t="array" ref="FX30">IFERROR(IF('T1'!$J30="",INDEX(LISTA_EX,178),INDEX(LISTA_EX,MATCH('T1'!$J30&amp;"|"&amp;178,LISTA_KLUCZ,0))),"")</f>
        <v/>
      </c>
      <c r="FY30" s="5" t="str">
        <f t="array" ref="FY30">IFERROR(IF('T1'!$J30="",INDEX(LISTA_EX,179),INDEX(LISTA_EX,MATCH('T1'!$J30&amp;"|"&amp;179,LISTA_KLUCZ,0))),"")</f>
        <v/>
      </c>
      <c r="FZ30" s="5" t="str">
        <f t="array" ref="FZ30">IFERROR(IF('T1'!$J30="",INDEX(LISTA_EX,180),INDEX(LISTA_EX,MATCH('T1'!$J30&amp;"|"&amp;180,LISTA_KLUCZ,0))),"")</f>
        <v/>
      </c>
      <c r="GA30" s="5" t="str">
        <f t="array" ref="GA30">IFERROR(IF('T1'!$J30="",INDEX(LISTA_EX,181),INDEX(LISTA_EX,MATCH('T1'!$J30&amp;"|"&amp;181,LISTA_KLUCZ,0))),"")</f>
        <v/>
      </c>
      <c r="GB30" s="5" t="str">
        <f t="array" ref="GB30">IFERROR(IF('T1'!$J30="",INDEX(LISTA_EX,182),INDEX(LISTA_EX,MATCH('T1'!$J30&amp;"|"&amp;182,LISTA_KLUCZ,0))),"")</f>
        <v/>
      </c>
      <c r="GC30" s="5" t="str">
        <f t="array" ref="GC30">IFERROR(IF('T1'!$J30="",INDEX(LISTA_EX,183),INDEX(LISTA_EX,MATCH('T1'!$J30&amp;"|"&amp;183,LISTA_KLUCZ,0))),"")</f>
        <v/>
      </c>
      <c r="GD30" s="5" t="str">
        <f t="array" ref="GD30">IFERROR(IF('T1'!$J30="",INDEX(LISTA_EX,184),INDEX(LISTA_EX,MATCH('T1'!$J30&amp;"|"&amp;184,LISTA_KLUCZ,0))),"")</f>
        <v/>
      </c>
      <c r="GE30" s="5" t="str">
        <f t="array" ref="GE30">IFERROR(IF('T1'!$J30="",INDEX(LISTA_EX,185),INDEX(LISTA_EX,MATCH('T1'!$J30&amp;"|"&amp;185,LISTA_KLUCZ,0))),"")</f>
        <v/>
      </c>
      <c r="GF30" s="5" t="str">
        <f t="array" ref="GF30">IFERROR(IF('T1'!$J30="",INDEX(LISTA_EX,186),INDEX(LISTA_EX,MATCH('T1'!$J30&amp;"|"&amp;186,LISTA_KLUCZ,0))),"")</f>
        <v/>
      </c>
      <c r="GG30" s="5" t="str">
        <f t="array" ref="GG30">IFERROR(IF('T1'!$J30="",INDEX(LISTA_EX,187),INDEX(LISTA_EX,MATCH('T1'!$J30&amp;"|"&amp;187,LISTA_KLUCZ,0))),"")</f>
        <v/>
      </c>
      <c r="GH30" s="5" t="str">
        <f t="array" ref="GH30">IFERROR(IF('T1'!$J30="",INDEX(LISTA_EX,188),INDEX(LISTA_EX,MATCH('T1'!$J30&amp;"|"&amp;188,LISTA_KLUCZ,0))),"")</f>
        <v/>
      </c>
      <c r="GI30" s="5" t="str">
        <f t="array" ref="GI30">IFERROR(IF('T1'!$J30="",INDEX(LISTA_EX,189),INDEX(LISTA_EX,MATCH('T1'!$J30&amp;"|"&amp;189,LISTA_KLUCZ,0))),"")</f>
        <v/>
      </c>
      <c r="GJ30" s="5" t="str">
        <f t="array" ref="GJ30">IFERROR(IF('T1'!$J30="",INDEX(LISTA_EX,190),INDEX(LISTA_EX,MATCH('T1'!$J30&amp;"|"&amp;190,LISTA_KLUCZ,0))),"")</f>
        <v/>
      </c>
      <c r="GK30" s="5" t="str">
        <f t="array" ref="GK30">IFERROR(IF('T1'!$J30="",INDEX(LISTA_EX,191),INDEX(LISTA_EX,MATCH('T1'!$J30&amp;"|"&amp;191,LISTA_KLUCZ,0))),"")</f>
        <v/>
      </c>
      <c r="GL30" s="5" t="str">
        <f t="array" ref="GL30">IFERROR(IF('T1'!$J30="",INDEX(LISTA_EX,192),INDEX(LISTA_EX,MATCH('T1'!$J30&amp;"|"&amp;192,LISTA_KLUCZ,0))),"")</f>
        <v/>
      </c>
      <c r="GM30" s="5" t="str">
        <f t="array" ref="GM30">IFERROR(IF('T1'!$J30="",INDEX(LISTA_EX,193),INDEX(LISTA_EX,MATCH('T1'!$J30&amp;"|"&amp;193,LISTA_KLUCZ,0))),"")</f>
        <v/>
      </c>
      <c r="GN30" s="5" t="str">
        <f t="array" ref="GN30">IFERROR(IF('T1'!$J30="",INDEX(LISTA_EX,194),INDEX(LISTA_EX,MATCH('T1'!$J30&amp;"|"&amp;194,LISTA_KLUCZ,0))),"")</f>
        <v/>
      </c>
      <c r="GO30" s="5" t="str">
        <f t="array" ref="GO30">IFERROR(IF('T1'!$J30="",INDEX(LISTA_EX,195),INDEX(LISTA_EX,MATCH('T1'!$J30&amp;"|"&amp;195,LISTA_KLUCZ,0))),"")</f>
        <v/>
      </c>
      <c r="GP30" s="5" t="str">
        <f t="array" ref="GP30">IFERROR(IF('T1'!$J30="",INDEX(LISTA_EX,196),INDEX(LISTA_EX,MATCH('T1'!$J30&amp;"|"&amp;196,LISTA_KLUCZ,0))),"")</f>
        <v/>
      </c>
      <c r="GQ30" s="5" t="str">
        <f t="array" ref="GQ30">IFERROR(IF('T1'!$J30="",INDEX(LISTA_EX,197),INDEX(LISTA_EX,MATCH('T1'!$J30&amp;"|"&amp;197,LISTA_KLUCZ,0))),"")</f>
        <v/>
      </c>
      <c r="GR30" s="5" t="str">
        <f t="array" ref="GR30">IFERROR(IF('T1'!$J30="",INDEX(LISTA_EX,198),INDEX(LISTA_EX,MATCH('T1'!$J30&amp;"|"&amp;198,LISTA_KLUCZ,0))),"")</f>
        <v/>
      </c>
      <c r="GS30" s="5" t="str">
        <f t="array" ref="GS30">IFERROR(IF('T1'!$J30="",INDEX(LISTA_EX,199),INDEX(LISTA_EX,MATCH('T1'!$J30&amp;"|"&amp;199,LISTA_KLUCZ,0))),"")</f>
        <v/>
      </c>
      <c r="GT30" s="5" t="str">
        <f t="array" ref="GT30">IFERROR(IF('T1'!$J30="",INDEX(LISTA_EX,200),INDEX(LISTA_EX,MATCH('T1'!$J30&amp;"|"&amp;200,LISTA_KLUCZ,0))),"")</f>
        <v/>
      </c>
      <c r="GV30" s="5" t="str">
        <f>IF(BAZA!$A30="","",BAZA!$A30)</f>
        <v>Cable biceps curl</v>
      </c>
      <c r="GW30" s="5" t="str">
        <f>IF(BAZA!$B30="","",BAZA!$B30&amp;"|"&amp;COUNTIF(BAZA!$B$3:$B30,BAZA!$B30))</f>
        <v>Bicep|5</v>
      </c>
    </row>
    <row r="31" ht="15.0" customHeight="1">
      <c r="A31" s="5" t="str">
        <f>IF('T1'!$K31="","",'T1'!$K31)</f>
        <v>D2-S09</v>
      </c>
      <c r="B31" s="5" t="str">
        <f>IF('T1'!$J31="","(wszystkie)",'T1'!$J31)</f>
        <v>(wszystkie)</v>
      </c>
      <c r="C31" s="5" t="str">
        <f t="array" ref="C31">IFERROR(IF('T1'!$J31="",INDEX(LISTA_EX,1),INDEX(LISTA_EX,MATCH('T1'!$J31&amp;"|"&amp;1,LISTA_KLUCZ,0))),"")</f>
        <v>Abduction machine</v>
      </c>
      <c r="D31" s="5" t="str">
        <f t="array" ref="D31">IFERROR(IF('T1'!$J31="",INDEX(LISTA_EX,2),INDEX(LISTA_EX,MATCH('T1'!$J31&amp;"|"&amp;2,LISTA_KLUCZ,0))),"")</f>
        <v>Adduction machine</v>
      </c>
      <c r="E31" s="5" t="str">
        <f t="array" ref="E31">IFERROR(IF('T1'!$J31="",INDEX(LISTA_EX,3),INDEX(LISTA_EX,MATCH('T1'!$J31&amp;"|"&amp;3,LISTA_KLUCZ,0))),"")</f>
        <v>Allah</v>
      </c>
      <c r="F31" s="5" t="str">
        <f t="array" ref="F31">IFERROR(IF('T1'!$J31="",INDEX(LISTA_EX,4),INDEX(LISTA_EX,MATCH('T1'!$J31&amp;"|"&amp;4,LISTA_KLUCZ,0))),"")</f>
        <v>Arnold press</v>
      </c>
      <c r="G31" s="5" t="str">
        <f t="array" ref="G31">IFERROR(IF('T1'!$J31="",INDEX(LISTA_EX,5),INDEX(LISTA_EX,MATCH('T1'!$J31&amp;"|"&amp;5,LISTA_KLUCZ,0))),"")</f>
        <v>Arnold press alternating</v>
      </c>
      <c r="H31" s="5" t="str">
        <f t="array" ref="H31">IFERROR(IF('T1'!$J31="",INDEX(LISTA_EX,6),INDEX(LISTA_EX,MATCH('T1'!$J31&amp;"|"&amp;6,LISTA_KLUCZ,0))),"")</f>
        <v>B/l dragonflag eccentric</v>
      </c>
      <c r="I31" s="5" t="str">
        <f t="array" ref="I31">IFERROR(IF('T1'!$J31="",INDEX(LISTA_EX,7),INDEX(LISTA_EX,MATCH('T1'!$J31&amp;"|"&amp;7,LISTA_KLUCZ,0))),"")</f>
        <v>Back extension</v>
      </c>
      <c r="J31" s="5" t="str">
        <f t="array" ref="J31">IFERROR(IF('T1'!$J31="",INDEX(LISTA_EX,8),INDEX(LISTA_EX,MATCH('T1'!$J31&amp;"|"&amp;8,LISTA_KLUCZ,0))),"")</f>
        <v>Banded pistol squat</v>
      </c>
      <c r="K31" s="5" t="str">
        <f t="array" ref="K31">IFERROR(IF('T1'!$J31="",INDEX(LISTA_EX,9),INDEX(LISTA_EX,MATCH('T1'!$J31&amp;"|"&amp;9,LISTA_KLUCZ,0))),"")</f>
        <v>Banded pull ups</v>
      </c>
      <c r="L31" s="5" t="str">
        <f t="array" ref="L31">IFERROR(IF('T1'!$J31="",INDEX(LISTA_EX,10),INDEX(LISTA_EX,MATCH('T1'!$J31&amp;"|"&amp;10,LISTA_KLUCZ,0))),"")</f>
        <v>Barbell back squat</v>
      </c>
      <c r="M31" s="5" t="str">
        <f t="array" ref="M31">IFERROR(IF('T1'!$J31="",INDEX(LISTA_EX,11),INDEX(LISTA_EX,MATCH('T1'!$J31&amp;"|"&amp;11,LISTA_KLUCZ,0))),"")</f>
        <v>Barbell bench press</v>
      </c>
      <c r="N31" s="5" t="str">
        <f t="array" ref="N31">IFERROR(IF('T1'!$J31="",INDEX(LISTA_EX,12),INDEX(LISTA_EX,MATCH('T1'!$J31&amp;"|"&amp;12,LISTA_KLUCZ,0))),"")</f>
        <v>Barbell curl</v>
      </c>
      <c r="O31" s="5" t="str">
        <f t="array" ref="O31">IFERROR(IF('T1'!$J31="",INDEX(LISTA_EX,13),INDEX(LISTA_EX,MATCH('T1'!$J31&amp;"|"&amp;13,LISTA_KLUCZ,0))),"")</f>
        <v>Barbell low bar squat</v>
      </c>
      <c r="P31" s="5" t="str">
        <f t="array" ref="P31">IFERROR(IF('T1'!$J31="",INDEX(LISTA_EX,14),INDEX(LISTA_EX,MATCH('T1'!$J31&amp;"|"&amp;14,LISTA_KLUCZ,0))),"")</f>
        <v>Barbell OHP</v>
      </c>
      <c r="Q31" s="5" t="str">
        <f t="array" ref="Q31">IFERROR(IF('T1'!$J31="",INDEX(LISTA_EX,15),INDEX(LISTA_EX,MATCH('T1'!$J31&amp;"|"&amp;15,LISTA_KLUCZ,0))),"")</f>
        <v>Barbell oscilation</v>
      </c>
      <c r="R31" s="5" t="str">
        <f t="array" ref="R31">IFERROR(IF('T1'!$J31="",INDEX(LISTA_EX,16),INDEX(LISTA_EX,MATCH('T1'!$J31&amp;"|"&amp;16,LISTA_KLUCZ,0))),"")</f>
        <v>Barbell row</v>
      </c>
      <c r="S31" s="5" t="str">
        <f t="array" ref="S31">IFERROR(IF('T1'!$J31="",INDEX(LISTA_EX,17),INDEX(LISTA_EX,MATCH('T1'!$J31&amp;"|"&amp;17,LISTA_KLUCZ,0))),"")</f>
        <v>Barbell row dead stop pins</v>
      </c>
      <c r="T31" s="5" t="str">
        <f t="array" ref="T31">IFERROR(IF('T1'!$J31="",INDEX(LISTA_EX,18),INDEX(LISTA_EX,MATCH('T1'!$J31&amp;"|"&amp;18,LISTA_KLUCZ,0))),"")</f>
        <v>Barbell SLDL</v>
      </c>
      <c r="U31" s="5" t="str">
        <f t="array" ref="U31">IFERROR(IF('T1'!$J31="",INDEX(LISTA_EX,19),INDEX(LISTA_EX,MATCH('T1'!$J31&amp;"|"&amp;19,LISTA_KLUCZ,0))),"")</f>
        <v>Bayesian curl</v>
      </c>
      <c r="V31" s="5" t="str">
        <f t="array" ref="V31">IFERROR(IF('T1'!$J31="",INDEX(LISTA_EX,20),INDEX(LISTA_EX,MATCH('T1'!$J31&amp;"|"&amp;20,LISTA_KLUCZ,0))),"")</f>
        <v>Bear renegade row</v>
      </c>
      <c r="W31" s="5" t="str">
        <f t="array" ref="W31">IFERROR(IF('T1'!$J31="",INDEX(LISTA_EX,21),INDEX(LISTA_EX,MATCH('T1'!$J31&amp;"|"&amp;21,LISTA_KLUCZ,0))),"")</f>
        <v>Bench press paused 3sec</v>
      </c>
      <c r="X31" s="5" t="str">
        <f t="array" ref="X31">IFERROR(IF('T1'!$J31="",INDEX(LISTA_EX,22),INDEX(LISTA_EX,MATCH('T1'!$J31&amp;"|"&amp;22,LISTA_KLUCZ,0))),"")</f>
        <v>Bicep hammer curl</v>
      </c>
      <c r="Y31" s="5" t="str">
        <f t="array" ref="Y31">IFERROR(IF('T1'!$J31="",INDEX(LISTA_EX,23),INDEX(LISTA_EX,MATCH('T1'!$J31&amp;"|"&amp;23,LISTA_KLUCZ,0))),"")</f>
        <v>Bicep squat cable curl</v>
      </c>
      <c r="Z31" s="5" t="str">
        <f t="array" ref="Z31">IFERROR(IF('T1'!$J31="",INDEX(LISTA_EX,24),INDEX(LISTA_EX,MATCH('T1'!$J31&amp;"|"&amp;24,LISTA_KLUCZ,0))),"")</f>
        <v>Bird dog row</v>
      </c>
      <c r="AA31" s="5" t="str">
        <f t="array" ref="AA31">IFERROR(IF('T1'!$J31="",INDEX(LISTA_EX,25),INDEX(LISTA_EX,MATCH('T1'!$J31&amp;"|"&amp;25,LISTA_KLUCZ,0))),"")</f>
        <v>Box jump</v>
      </c>
      <c r="AB31" s="5" t="str">
        <f t="array" ref="AB31">IFERROR(IF('T1'!$J31="",INDEX(LISTA_EX,26),INDEX(LISTA_EX,MATCH('T1'!$J31&amp;"|"&amp;26,LISTA_KLUCZ,0))),"")</f>
        <v>Bulgarian clean plyo</v>
      </c>
      <c r="AC31" s="5" t="str">
        <f t="array" ref="AC31">IFERROR(IF('T1'!$J31="",INDEX(LISTA_EX,27),INDEX(LISTA_EX,MATCH('T1'!$J31&amp;"|"&amp;27,LISTA_KLUCZ,0))),"")</f>
        <v>Bulgarian squat assisted</v>
      </c>
      <c r="AD31" s="5" t="str">
        <f t="array" ref="AD31">IFERROR(IF('T1'!$J31="",INDEX(LISTA_EX,28),INDEX(LISTA_EX,MATCH('T1'!$J31&amp;"|"&amp;28,LISTA_KLUCZ,0))),"")</f>
        <v>Cable biceps curl</v>
      </c>
      <c r="AE31" s="5" t="str">
        <f t="array" ref="AE31">IFERROR(IF('T1'!$J31="",INDEX(LISTA_EX,29),INDEX(LISTA_EX,MATCH('T1'!$J31&amp;"|"&amp;29,LISTA_KLUCZ,0))),"")</f>
        <v>Cable fly</v>
      </c>
      <c r="AF31" s="5" t="str">
        <f t="array" ref="AF31">IFERROR(IF('T1'!$J31="",INDEX(LISTA_EX,30),INDEX(LISTA_EX,MATCH('T1'!$J31&amp;"|"&amp;30,LISTA_KLUCZ,0))),"")</f>
        <v>Cable lateral raise s/a</v>
      </c>
      <c r="AG31" s="5" t="str">
        <f t="array" ref="AG31">IFERROR(IF('T1'!$J31="",INDEX(LISTA_EX,31),INDEX(LISTA_EX,MATCH('T1'!$J31&amp;"|"&amp;31,LISTA_KLUCZ,0))),"")</f>
        <v>Cable row</v>
      </c>
      <c r="AH31" s="5" t="str">
        <f t="array" ref="AH31">IFERROR(IF('T1'!$J31="",INDEX(LISTA_EX,32),INDEX(LISTA_EX,MATCH('T1'!$J31&amp;"|"&amp;32,LISTA_KLUCZ,0))),"")</f>
        <v>Cable row s/a</v>
      </c>
      <c r="AI31" s="5" t="str">
        <f t="array" ref="AI31">IFERROR(IF('T1'!$J31="",INDEX(LISTA_EX,33),INDEX(LISTA_EX,MATCH('T1'!$J31&amp;"|"&amp;33,LISTA_KLUCZ,0))),"")</f>
        <v>Calf raises</v>
      </c>
      <c r="AJ31" s="5" t="str">
        <f t="array" ref="AJ31">IFERROR(IF('T1'!$J31="",INDEX(LISTA_EX,34),INDEX(LISTA_EX,MATCH('T1'!$J31&amp;"|"&amp;34,LISTA_KLUCZ,0))),"")</f>
        <v>Chest fly machine</v>
      </c>
      <c r="AK31" s="5" t="str">
        <f t="array" ref="AK31">IFERROR(IF('T1'!$J31="",INDEX(LISTA_EX,35),INDEX(LISTA_EX,MATCH('T1'!$J31&amp;"|"&amp;35,LISTA_KLUCZ,0))),"")</f>
        <v>Clean</v>
      </c>
      <c r="AL31" s="5" t="str">
        <f t="array" ref="AL31">IFERROR(IF('T1'!$J31="",INDEX(LISTA_EX,36),INDEX(LISTA_EX,MATCH('T1'!$J31&amp;"|"&amp;36,LISTA_KLUCZ,0))),"")</f>
        <v>Clean pins</v>
      </c>
      <c r="AM31" s="5" t="str">
        <f t="array" ref="AM31">IFERROR(IF('T1'!$J31="",INDEX(LISTA_EX,37),INDEX(LISTA_EX,MATCH('T1'!$J31&amp;"|"&amp;37,LISTA_KLUCZ,0))),"")</f>
        <v>Copenhagen plank</v>
      </c>
      <c r="AN31" s="5" t="str">
        <f t="array" ref="AN31">IFERROR(IF('T1'!$J31="",INDEX(LISTA_EX,38),INDEX(LISTA_EX,MATCH('T1'!$J31&amp;"|"&amp;38,LISTA_KLUCZ,0))),"")</f>
        <v>Dead bug izo + OH</v>
      </c>
      <c r="AO31" s="5" t="str">
        <f t="array" ref="AO31">IFERROR(IF('T1'!$J31="",INDEX(LISTA_EX,39),INDEX(LISTA_EX,MATCH('T1'!$J31&amp;"|"&amp;39,LISTA_KLUCZ,0))),"")</f>
        <v>Dead bug straight legs</v>
      </c>
      <c r="AP31" s="5" t="str">
        <f t="array" ref="AP31">IFERROR(IF('T1'!$J31="",INDEX(LISTA_EX,40),INDEX(LISTA_EX,MATCH('T1'!$J31&amp;"|"&amp;40,LISTA_KLUCZ,0))),"")</f>
        <v>Dead stop barbell row</v>
      </c>
      <c r="AQ31" s="5" t="str">
        <f t="array" ref="AQ31">IFERROR(IF('T1'!$J31="",INDEX(LISTA_EX,41),INDEX(LISTA_EX,MATCH('T1'!$J31&amp;"|"&amp;41,LISTA_KLUCZ,0))),"")</f>
        <v>Deadbug OH</v>
      </c>
      <c r="AR31" s="5" t="str">
        <f t="array" ref="AR31">IFERROR(IF('T1'!$J31="",INDEX(LISTA_EX,42),INDEX(LISTA_EX,MATCH('T1'!$J31&amp;"|"&amp;42,LISTA_KLUCZ,0))),"")</f>
        <v>Deadlift</v>
      </c>
      <c r="AS31" s="5" t="str">
        <f t="array" ref="AS31">IFERROR(IF('T1'!$J31="",INDEX(LISTA_EX,43),INDEX(LISTA_EX,MATCH('T1'!$J31&amp;"|"&amp;43,LISTA_KLUCZ,0))),"")</f>
        <v>Deficit push up</v>
      </c>
      <c r="AT31" s="5" t="str">
        <f t="array" ref="AT31">IFERROR(IF('T1'!$J31="",INDEX(LISTA_EX,44),INDEX(LISTA_EX,MATCH('T1'!$J31&amp;"|"&amp;44,LISTA_KLUCZ,0))),"")</f>
        <v>Deficit reverse lunge</v>
      </c>
      <c r="AU31" s="5" t="str">
        <f t="array" ref="AU31">IFERROR(IF('T1'!$J31="",INDEX(LISTA_EX,45),INDEX(LISTA_EX,MATCH('T1'!$J31&amp;"|"&amp;45,LISTA_KLUCZ,0))),"")</f>
        <v>Dips</v>
      </c>
      <c r="AV31" s="5" t="str">
        <f t="array" ref="AV31">IFERROR(IF('T1'!$J31="",INDEX(LISTA_EX,46),INDEX(LISTA_EX,MATCH('T1'!$J31&amp;"|"&amp;46,LISTA_KLUCZ,0))),"")</f>
        <v>Dips weighted</v>
      </c>
      <c r="AW31" s="5" t="str">
        <f t="array" ref="AW31">IFERROR(IF('T1'!$J31="",INDEX(LISTA_EX,47),INDEX(LISTA_EX,MATCH('T1'!$J31&amp;"|"&amp;47,LISTA_KLUCZ,0))),"")</f>
        <v>Dumbbell bench press</v>
      </c>
      <c r="AX31" s="5" t="str">
        <f t="array" ref="AX31">IFERROR(IF('T1'!$J31="",INDEX(LISTA_EX,48),INDEX(LISTA_EX,MATCH('T1'!$J31&amp;"|"&amp;48,LISTA_KLUCZ,0))),"")</f>
        <v>Dumbbell bench press alternating</v>
      </c>
      <c r="AY31" s="5" t="str">
        <f t="array" ref="AY31">IFERROR(IF('T1'!$J31="",INDEX(LISTA_EX,49),INDEX(LISTA_EX,MATCH('T1'!$J31&amp;"|"&amp;49,LISTA_KLUCZ,0))),"")</f>
        <v>Dumbbell curl</v>
      </c>
      <c r="AZ31" s="5" t="str">
        <f t="array" ref="AZ31">IFERROR(IF('T1'!$J31="",INDEX(LISTA_EX,50),INDEX(LISTA_EX,MATCH('T1'!$J31&amp;"|"&amp;50,LISTA_KLUCZ,0))),"")</f>
        <v>Dumbbell external rotation</v>
      </c>
      <c r="BA31" s="5" t="str">
        <f t="array" ref="BA31">IFERROR(IF('T1'!$J31="",INDEX(LISTA_EX,51),INDEX(LISTA_EX,MATCH('T1'!$J31&amp;"|"&amp;51,LISTA_KLUCZ,0))),"")</f>
        <v>Dumbbell face down curl</v>
      </c>
      <c r="BB31" s="5" t="str">
        <f t="array" ref="BB31">IFERROR(IF('T1'!$J31="",INDEX(LISTA_EX,52),INDEX(LISTA_EX,MATCH('T1'!$J31&amp;"|"&amp;52,LISTA_KLUCZ,0))),"")</f>
        <v>Dumbbell fly</v>
      </c>
      <c r="BC31" s="5" t="str">
        <f t="array" ref="BC31">IFERROR(IF('T1'!$J31="",INDEX(LISTA_EX,53),INDEX(LISTA_EX,MATCH('T1'!$J31&amp;"|"&amp;53,LISTA_KLUCZ,0))),"")</f>
        <v>Dumbbell french press</v>
      </c>
      <c r="BD31" s="5" t="str">
        <f t="array" ref="BD31">IFERROR(IF('T1'!$J31="",INDEX(LISTA_EX,54),INDEX(LISTA_EX,MATCH('T1'!$J31&amp;"|"&amp;54,LISTA_KLUCZ,0))),"")</f>
        <v>Dumbbell lateral raise</v>
      </c>
      <c r="BE31" s="5" t="str">
        <f t="array" ref="BE31">IFERROR(IF('T1'!$J31="",INDEX(LISTA_EX,55),INDEX(LISTA_EX,MATCH('T1'!$J31&amp;"|"&amp;55,LISTA_KLUCZ,0))),"")</f>
        <v>Dumbbell lunges</v>
      </c>
      <c r="BF31" s="5" t="str">
        <f t="array" ref="BF31">IFERROR(IF('T1'!$J31="",INDEX(LISTA_EX,56),INDEX(LISTA_EX,MATCH('T1'!$J31&amp;"|"&amp;56,LISTA_KLUCZ,0))),"")</f>
        <v>Dumbbell OH press</v>
      </c>
      <c r="BG31" s="5" t="str">
        <f t="array" ref="BG31">IFERROR(IF('T1'!$J31="",INDEX(LISTA_EX,57),INDEX(LISTA_EX,MATCH('T1'!$J31&amp;"|"&amp;57,LISTA_KLUCZ,0))),"")</f>
        <v>Dumbbell over head press</v>
      </c>
      <c r="BH31" s="5" t="str">
        <f t="array" ref="BH31">IFERROR(IF('T1'!$J31="",INDEX(LISTA_EX,58),INDEX(LISTA_EX,MATCH('T1'!$J31&amp;"|"&amp;58,LISTA_KLUCZ,0))),"")</f>
        <v>Dumbbell over head press alternating</v>
      </c>
      <c r="BI31" s="5" t="str">
        <f t="array" ref="BI31">IFERROR(IF('T1'!$J31="",INDEX(LISTA_EX,59),INDEX(LISTA_EX,MATCH('T1'!$J31&amp;"|"&amp;59,LISTA_KLUCZ,0))),"")</f>
        <v>Dumbbell row</v>
      </c>
      <c r="BJ31" s="5" t="str">
        <f t="array" ref="BJ31">IFERROR(IF('T1'!$J31="",INDEX(LISTA_EX,60),INDEX(LISTA_EX,MATCH('T1'!$J31&amp;"|"&amp;60,LISTA_KLUCZ,0))),"")</f>
        <v>Dumbbell s/a Arnold press</v>
      </c>
      <c r="BK31" s="5" t="str">
        <f t="array" ref="BK31">IFERROR(IF('T1'!$J31="",INDEX(LISTA_EX,61),INDEX(LISTA_EX,MATCH('T1'!$J31&amp;"|"&amp;61,LISTA_KLUCZ,0))),"")</f>
        <v>Dumbbell s/a row</v>
      </c>
      <c r="BL31" s="5" t="str">
        <f t="array" ref="BL31">IFERROR(IF('T1'!$J31="",INDEX(LISTA_EX,62),INDEX(LISTA_EX,MATCH('T1'!$J31&amp;"|"&amp;62,LISTA_KLUCZ,0))),"")</f>
        <v>Dumbbell seal row</v>
      </c>
      <c r="BM31" s="5" t="str">
        <f t="array" ref="BM31">IFERROR(IF('T1'!$J31="",INDEX(LISTA_EX,63),INDEX(LISTA_EX,MATCH('T1'!$J31&amp;"|"&amp;63,LISTA_KLUCZ,0))),"")</f>
        <v>Dumbbells jumps</v>
      </c>
      <c r="BN31" s="5" t="str">
        <f t="array" ref="BN31">IFERROR(IF('T1'!$J31="",INDEX(LISTA_EX,64),INDEX(LISTA_EX,MATCH('T1'!$J31&amp;"|"&amp;64,LISTA_KLUCZ,0))),"")</f>
        <v>Eccentric pull up</v>
      </c>
      <c r="BO31" s="5" t="str">
        <f t="array" ref="BO31">IFERROR(IF('T1'!$J31="",INDEX(LISTA_EX,65),INDEX(LISTA_EX,MATCH('T1'!$J31&amp;"|"&amp;65,LISTA_KLUCZ,0))),"")</f>
        <v>Eccentric push up (5 sek w dół)</v>
      </c>
      <c r="BP31" s="5" t="str">
        <f t="array" ref="BP31">IFERROR(IF('T1'!$J31="",INDEX(LISTA_EX,66),INDEX(LISTA_EX,MATCH('T1'!$J31&amp;"|"&amp;66,LISTA_KLUCZ,0))),"")</f>
        <v>Extensive plyo jumps s/l</v>
      </c>
      <c r="BQ31" s="5" t="str">
        <f t="array" ref="BQ31">IFERROR(IF('T1'!$J31="",INDEX(LISTA_EX,67),INDEX(LISTA_EX,MATCH('T1'!$J31&amp;"|"&amp;67,LISTA_KLUCZ,0))),"")</f>
        <v>Ez bar curl</v>
      </c>
      <c r="BR31" s="5" t="str">
        <f t="array" ref="BR31">IFERROR(IF('T1'!$J31="",INDEX(LISTA_EX,68),INDEX(LISTA_EX,MATCH('T1'!$J31&amp;"|"&amp;68,LISTA_KLUCZ,0))),"")</f>
        <v>Facepull chest supported</v>
      </c>
      <c r="BS31" s="5" t="str">
        <f t="array" ref="BS31">IFERROR(IF('T1'!$J31="",INDEX(LISTA_EX,69),INDEX(LISTA_EX,MATCH('T1'!$J31&amp;"|"&amp;69,LISTA_KLUCZ,0))),"")</f>
        <v>Front foot elevated split squat</v>
      </c>
      <c r="BT31" s="5" t="str">
        <f t="array" ref="BT31">IFERROR(IF('T1'!$J31="",INDEX(LISTA_EX,70),INDEX(LISTA_EX,MATCH('T1'!$J31&amp;"|"&amp;70,LISTA_KLUCZ,0))),"")</f>
        <v>Front squat</v>
      </c>
      <c r="BU31" s="5" t="str">
        <f t="array" ref="BU31">IFERROR(IF('T1'!$J31="",INDEX(LISTA_EX,71),INDEX(LISTA_EX,MATCH('T1'!$J31&amp;"|"&amp;71,LISTA_KLUCZ,0))),"")</f>
        <v>GHD flexion</v>
      </c>
      <c r="BV31" s="5" t="str">
        <f t="array" ref="BV31">IFERROR(IF('T1'!$J31="",INDEX(LISTA_EX,72),INDEX(LISTA_EX,MATCH('T1'!$J31&amp;"|"&amp;72,LISTA_KLUCZ,0))),"")</f>
        <v>Glute bridge hamstrings izo + OH</v>
      </c>
      <c r="BW31" s="5" t="str">
        <f t="array" ref="BW31">IFERROR(IF('T1'!$J31="",INDEX(LISTA_EX,73),INDEX(LISTA_EX,MATCH('T1'!$J31&amp;"|"&amp;73,LISTA_KLUCZ,0))),"")</f>
        <v>Glute crusher</v>
      </c>
      <c r="BX31" s="5" t="str">
        <f t="array" ref="BX31">IFERROR(IF('T1'!$J31="",INDEX(LISTA_EX,74),INDEX(LISTA_EX,MATCH('T1'!$J31&amp;"|"&amp;74,LISTA_KLUCZ,0))),"")</f>
        <v>Gorilla row</v>
      </c>
      <c r="BY31" s="5" t="str">
        <f t="array" ref="BY31">IFERROR(IF('T1'!$J31="",INDEX(LISTA_EX,75),INDEX(LISTA_EX,MATCH('T1'!$J31&amp;"|"&amp;75,LISTA_KLUCZ,0))),"")</f>
        <v>Halfkneeling s/a cable pull</v>
      </c>
      <c r="BZ31" s="5" t="str">
        <f t="array" ref="BZ31">IFERROR(IF('T1'!$J31="",INDEX(LISTA_EX,76),INDEX(LISTA_EX,MATCH('T1'!$J31&amp;"|"&amp;76,LISTA_KLUCZ,0))),"")</f>
        <v>Halfkneeling wood chopper</v>
      </c>
      <c r="CA31" s="5" t="str">
        <f t="array" ref="CA31">IFERROR(IF('T1'!$J31="",INDEX(LISTA_EX,77),INDEX(LISTA_EX,MATCH('T1'!$J31&amp;"|"&amp;77,LISTA_KLUCZ,0))),"")</f>
        <v>Hinged dumbbell row</v>
      </c>
      <c r="CB31" s="5" t="str">
        <f t="array" ref="CB31">IFERROR(IF('T1'!$J31="",INDEX(LISTA_EX,78),INDEX(LISTA_EX,MATCH('T1'!$J31&amp;"|"&amp;78,LISTA_KLUCZ,0))),"")</f>
        <v>Hip aeroplane</v>
      </c>
      <c r="CC31" s="5" t="str">
        <f t="array" ref="CC31">IFERROR(IF('T1'!$J31="",INDEX(LISTA_EX,79),INDEX(LISTA_EX,MATCH('T1'!$J31&amp;"|"&amp;79,LISTA_KLUCZ,0))),"")</f>
        <v>Hip flexors cable</v>
      </c>
      <c r="CD31" s="5" t="str">
        <f t="array" ref="CD31">IFERROR(IF('T1'!$J31="",INDEX(LISTA_EX,80),INDEX(LISTA_EX,MATCH('T1'!$J31&amp;"|"&amp;80,LISTA_KLUCZ,0))),"")</f>
        <v>Hip thrust barbell</v>
      </c>
      <c r="CE31" s="5" t="str">
        <f t="array" ref="CE31">IFERROR(IF('T1'!$J31="",INDEX(LISTA_EX,81),INDEX(LISTA_EX,MATCH('T1'!$J31&amp;"|"&amp;81,LISTA_KLUCZ,0))),"")</f>
        <v>Hollow body + OH</v>
      </c>
      <c r="CF31" s="5" t="str">
        <f t="array" ref="CF31">IFERROR(IF('T1'!$J31="",INDEX(LISTA_EX,82),INDEX(LISTA_EX,MATCH('T1'!$J31&amp;"|"&amp;82,LISTA_KLUCZ,0))),"")</f>
        <v>Horizontal jump</v>
      </c>
      <c r="CG31" s="5" t="str">
        <f t="array" ref="CG31">IFERROR(IF('T1'!$J31="",INDEX(LISTA_EX,83),INDEX(LISTA_EX,MATCH('T1'!$J31&amp;"|"&amp;83,LISTA_KLUCZ,0))),"")</f>
        <v>Incline bench lateral raise s/a</v>
      </c>
      <c r="CH31" s="5" t="str">
        <f t="array" ref="CH31">IFERROR(IF('T1'!$J31="",INDEX(LISTA_EX,84),INDEX(LISTA_EX,MATCH('T1'!$J31&amp;"|"&amp;84,LISTA_KLUCZ,0))),"")</f>
        <v>Incline curl + OHP</v>
      </c>
      <c r="CI31" s="5" t="str">
        <f t="array" ref="CI31">IFERROR(IF('T1'!$J31="",INDEX(LISTA_EX,85),INDEX(LISTA_EX,MATCH('T1'!$J31&amp;"|"&amp;85,LISTA_KLUCZ,0))),"")</f>
        <v>Incline dumbbell curl</v>
      </c>
      <c r="CJ31" s="5" t="str">
        <f t="array" ref="CJ31">IFERROR(IF('T1'!$J31="",INDEX(LISTA_EX,86),INDEX(LISTA_EX,MATCH('T1'!$J31&amp;"|"&amp;86,LISTA_KLUCZ,0))),"")</f>
        <v>Incline dumbbell curl (back)</v>
      </c>
      <c r="CK31" s="5" t="str">
        <f t="array" ref="CK31">IFERROR(IF('T1'!$J31="",INDEX(LISTA_EX,87),INDEX(LISTA_EX,MATCH('T1'!$J31&amp;"|"&amp;87,LISTA_KLUCZ,0))),"")</f>
        <v>Incline dumbbell curl (front)</v>
      </c>
      <c r="CL31" s="5" t="str">
        <f t="array" ref="CL31">IFERROR(IF('T1'!$J31="",INDEX(LISTA_EX,88),INDEX(LISTA_EX,MATCH('T1'!$J31&amp;"|"&amp;88,LISTA_KLUCZ,0))),"")</f>
        <v>Incline dumbbell fly</v>
      </c>
      <c r="CM31" s="5" t="str">
        <f t="array" ref="CM31">IFERROR(IF('T1'!$J31="",INDEX(LISTA_EX,89),INDEX(LISTA_EX,MATCH('T1'!$J31&amp;"|"&amp;89,LISTA_KLUCZ,0))),"")</f>
        <v>Incline dumbbell press</v>
      </c>
      <c r="CN31" s="5" t="str">
        <f t="array" ref="CN31">IFERROR(IF('T1'!$J31="",INDEX(LISTA_EX,90),INDEX(LISTA_EX,MATCH('T1'!$J31&amp;"|"&amp;90,LISTA_KLUCZ,0))),"")</f>
        <v>Incline dumbbell press alternating</v>
      </c>
      <c r="CO31" s="5" t="str">
        <f t="array" ref="CO31">IFERROR(IF('T1'!$J31="",INDEX(LISTA_EX,91),INDEX(LISTA_EX,MATCH('T1'!$J31&amp;"|"&amp;91,LISTA_KLUCZ,0))),"")</f>
        <v>Incline sit-ups</v>
      </c>
      <c r="CP31" s="5" t="str">
        <f t="array" ref="CP31">IFERROR(IF('T1'!$J31="",INDEX(LISTA_EX,92),INDEX(LISTA_EX,MATCH('T1'!$J31&amp;"|"&amp;92,LISTA_KLUCZ,0))),"")</f>
        <v>Jefferson cable</v>
      </c>
      <c r="CQ31" s="5" t="str">
        <f t="array" ref="CQ31">IFERROR(IF('T1'!$J31="",INDEX(LISTA_EX,93),INDEX(LISTA_EX,MATCH('T1'!$J31&amp;"|"&amp;93,LISTA_KLUCZ,0))),"")</f>
        <v>Kettlebell march</v>
      </c>
      <c r="CR31" s="5" t="str">
        <f t="array" ref="CR31">IFERROR(IF('T1'!$J31="",INDEX(LISTA_EX,94),INDEX(LISTA_EX,MATCH('T1'!$J31&amp;"|"&amp;94,LISTA_KLUCZ,0))),"")</f>
        <v>Kickbacks</v>
      </c>
      <c r="CS31" s="5" t="str">
        <f t="array" ref="CS31">IFERROR(IF('T1'!$J31="",INDEX(LISTA_EX,95),INDEX(LISTA_EX,MATCH('T1'!$J31&amp;"|"&amp;95,LISTA_KLUCZ,0))),"")</f>
        <v>Knee extension machine</v>
      </c>
      <c r="CT31" s="5" t="str">
        <f t="array" ref="CT31">IFERROR(IF('T1'!$J31="",INDEX(LISTA_EX,96),INDEX(LISTA_EX,MATCH('T1'!$J31&amp;"|"&amp;96,LISTA_KLUCZ,0))),"")</f>
        <v>Knee flexion machine</v>
      </c>
      <c r="CU31" s="5" t="str">
        <f t="array" ref="CU31">IFERROR(IF('T1'!$J31="",INDEX(LISTA_EX,97),INDEX(LISTA_EX,MATCH('T1'!$J31&amp;"|"&amp;97,LISTA_KLUCZ,0))),"")</f>
        <v>Knee raises</v>
      </c>
      <c r="CV31" s="5" t="str">
        <f t="array" ref="CV31">IFERROR(IF('T1'!$J31="",INDEX(LISTA_EX,98),INDEX(LISTA_EX,MATCH('T1'!$J31&amp;"|"&amp;98,LISTA_KLUCZ,0))),"")</f>
        <v>Landmine core</v>
      </c>
      <c r="CW31" s="5" t="str">
        <f t="array" ref="CW31">IFERROR(IF('T1'!$J31="",INDEX(LISTA_EX,99),INDEX(LISTA_EX,MATCH('T1'!$J31&amp;"|"&amp;99,LISTA_KLUCZ,0))),"")</f>
        <v>Landmine press</v>
      </c>
      <c r="CX31" s="5" t="str">
        <f t="array" ref="CX31">IFERROR(IF('T1'!$J31="",INDEX(LISTA_EX,100),INDEX(LISTA_EX,MATCH('T1'!$J31&amp;"|"&amp;100,LISTA_KLUCZ,0))),"")</f>
        <v>Landmine rotations (powtórzenia x2)</v>
      </c>
      <c r="CY31" s="5" t="str">
        <f t="array" ref="CY31">IFERROR(IF('T1'!$J31="",INDEX(LISTA_EX,101),INDEX(LISTA_EX,MATCH('T1'!$J31&amp;"|"&amp;101,LISTA_KLUCZ,0))),"")</f>
        <v>Landmine SLDL</v>
      </c>
      <c r="CZ31" s="5" t="str">
        <f t="array" ref="CZ31">IFERROR(IF('T1'!$J31="",INDEX(LISTA_EX,102),INDEX(LISTA_EX,MATCH('T1'!$J31&amp;"|"&amp;102,LISTA_KLUCZ,0))),"")</f>
        <v>Lat pulldown</v>
      </c>
      <c r="DA31" s="5" t="str">
        <f t="array" ref="DA31">IFERROR(IF('T1'!$J31="",INDEX(LISTA_EX,103),INDEX(LISTA_EX,MATCH('T1'!$J31&amp;"|"&amp;103,LISTA_KLUCZ,0))),"")</f>
        <v>Lat pulldown behind the head</v>
      </c>
      <c r="DB31" s="5" t="str">
        <f t="array" ref="DB31">IFERROR(IF('T1'!$J31="",INDEX(LISTA_EX,104),INDEX(LISTA_EX,MATCH('T1'!$J31&amp;"|"&amp;104,LISTA_KLUCZ,0))),"")</f>
        <v>Lat pulldown s/a</v>
      </c>
      <c r="DC31" s="5" t="str">
        <f t="array" ref="DC31">IFERROR(IF('T1'!$J31="",INDEX(LISTA_EX,105),INDEX(LISTA_EX,MATCH('T1'!$J31&amp;"|"&amp;105,LISTA_KLUCZ,0))),"")</f>
        <v>Lateral raise s/a</v>
      </c>
      <c r="DD31" s="5" t="str">
        <f t="array" ref="DD31">IFERROR(IF('T1'!$J31="",INDEX(LISTA_EX,106),INDEX(LISTA_EX,MATCH('T1'!$J31&amp;"|"&amp;106,LISTA_KLUCZ,0))),"")</f>
        <v>Lateral raises</v>
      </c>
      <c r="DE31" s="5" t="str">
        <f t="array" ref="DE31">IFERROR(IF('T1'!$J31="",INDEX(LISTA_EX,107),INDEX(LISTA_EX,MATCH('T1'!$J31&amp;"|"&amp;107,LISTA_KLUCZ,0))),"")</f>
        <v>Lateral raises 2</v>
      </c>
      <c r="DF31" s="5" t="str">
        <f t="array" ref="DF31">IFERROR(IF('T1'!$J31="",INDEX(LISTA_EX,108),INDEX(LISTA_EX,MATCH('T1'!$J31&amp;"|"&amp;108,LISTA_KLUCZ,0))),"")</f>
        <v>Lateral raises full ROM</v>
      </c>
      <c r="DG31" s="5" t="str">
        <f t="array" ref="DG31">IFERROR(IF('T1'!$J31="",INDEX(LISTA_EX,109),INDEX(LISTA_EX,MATCH('T1'!$J31&amp;"|"&amp;109,LISTA_KLUCZ,0))),"")</f>
        <v>Lateral raises hinged</v>
      </c>
      <c r="DH31" s="5" t="str">
        <f t="array" ref="DH31">IFERROR(IF('T1'!$J31="",INDEX(LISTA_EX,110),INDEX(LISTA_EX,MATCH('T1'!$J31&amp;"|"&amp;110,LISTA_KLUCZ,0))),"")</f>
        <v>Lateral raises incline s/a</v>
      </c>
      <c r="DI31" s="5" t="str">
        <f t="array" ref="DI31">IFERROR(IF('T1'!$J31="",INDEX(LISTA_EX,111),INDEX(LISTA_EX,MATCH('T1'!$J31&amp;"|"&amp;111,LISTA_KLUCZ,0))),"")</f>
        <v>Leg curl</v>
      </c>
      <c r="DJ31" s="5" t="str">
        <f t="array" ref="DJ31">IFERROR(IF('T1'!$J31="",INDEX(LISTA_EX,112),INDEX(LISTA_EX,MATCH('T1'!$J31&amp;"|"&amp;112,LISTA_KLUCZ,0))),"")</f>
        <v>Machine row</v>
      </c>
      <c r="DK31" s="5" t="str">
        <f t="array" ref="DK31">IFERROR(IF('T1'!$J31="",INDEX(LISTA_EX,113),INDEX(LISTA_EX,MATCH('T1'!$J31&amp;"|"&amp;113,LISTA_KLUCZ,0))),"")</f>
        <v>Machine row s/a</v>
      </c>
      <c r="DL31" s="5" t="str">
        <f t="array" ref="DL31">IFERROR(IF('T1'!$J31="",INDEX(LISTA_EX,114),INDEX(LISTA_EX,MATCH('T1'!$J31&amp;"|"&amp;114,LISTA_KLUCZ,0))),"")</f>
        <v>Meadows row</v>
      </c>
      <c r="DM31" s="5" t="str">
        <f t="array" ref="DM31">IFERROR(IF('T1'!$J31="",INDEX(LISTA_EX,115),INDEX(LISTA_EX,MATCH('T1'!$J31&amp;"|"&amp;115,LISTA_KLUCZ,0))),"")</f>
        <v>Med ball slam</v>
      </c>
      <c r="DN31" s="5" t="str">
        <f t="array" ref="DN31">IFERROR(IF('T1'!$J31="",INDEX(LISTA_EX,116),INDEX(LISTA_EX,MATCH('T1'!$J31&amp;"|"&amp;116,LISTA_KLUCZ,0))),"")</f>
        <v>OH skullcrushers</v>
      </c>
      <c r="DO31" s="5" t="str">
        <f t="array" ref="DO31">IFERROR(IF('T1'!$J31="",INDEX(LISTA_EX,117),INDEX(LISTA_EX,MATCH('T1'!$J31&amp;"|"&amp;117,LISTA_KLUCZ,0))),"")</f>
        <v>OHP barbell squat 15kg</v>
      </c>
      <c r="DP31" s="5" t="str">
        <f t="array" ref="DP31">IFERROR(IF('T1'!$J31="",INDEX(LISTA_EX,118),INDEX(LISTA_EX,MATCH('T1'!$J31&amp;"|"&amp;118,LISTA_KLUCZ,0))),"")</f>
        <v>Pistol squat eccentric</v>
      </c>
      <c r="DQ31" s="5" t="str">
        <f t="array" ref="DQ31">IFERROR(IF('T1'!$J31="",INDEX(LISTA_EX,119),INDEX(LISTA_EX,MATCH('T1'!$J31&amp;"|"&amp;119,LISTA_KLUCZ,0))),"")</f>
        <v>Plank contralateral</v>
      </c>
      <c r="DR31" s="5" t="str">
        <f t="array" ref="DR31">IFERROR(IF('T1'!$J31="",INDEX(LISTA_EX,120),INDEX(LISTA_EX,MATCH('T1'!$J31&amp;"|"&amp;120,LISTA_KLUCZ,0))),"")</f>
        <v>Plank dumbbell rotation</v>
      </c>
      <c r="DS31" s="5" t="str">
        <f t="array" ref="DS31">IFERROR(IF('T1'!$J31="",INDEX(LISTA_EX,121),INDEX(LISTA_EX,MATCH('T1'!$J31&amp;"|"&amp;121,LISTA_KLUCZ,0))),"")</f>
        <v>Plank leg raises</v>
      </c>
      <c r="DT31" s="5" t="str">
        <f t="array" ref="DT31">IFERROR(IF('T1'!$J31="",INDEX(LISTA_EX,122),INDEX(LISTA_EX,MATCH('T1'!$J31&amp;"|"&amp;122,LISTA_KLUCZ,0))),"")</f>
        <v>Poliquin step up</v>
      </c>
      <c r="DU31" s="5" t="str">
        <f t="array" ref="DU31">IFERROR(IF('T1'!$J31="",INDEX(LISTA_EX,123),INDEX(LISTA_EX,MATCH('T1'!$J31&amp;"|"&amp;123,LISTA_KLUCZ,0))),"")</f>
        <v>Poliquin step up paused 3sec</v>
      </c>
      <c r="DV31" s="5" t="str">
        <f t="array" ref="DV31">IFERROR(IF('T1'!$J31="",INDEX(LISTA_EX,124),INDEX(LISTA_EX,MATCH('T1'!$J31&amp;"|"&amp;124,LISTA_KLUCZ,0))),"")</f>
        <v>Pronation/Supination</v>
      </c>
      <c r="DW31" s="5" t="str">
        <f t="array" ref="DW31">IFERROR(IF('T1'!$J31="",INDEX(LISTA_EX,125),INDEX(LISTA_EX,MATCH('T1'!$J31&amp;"|"&amp;125,LISTA_KLUCZ,0))),"")</f>
        <v>Pull up</v>
      </c>
      <c r="DX31" s="5" t="str">
        <f t="array" ref="DX31">IFERROR(IF('T1'!$J31="",INDEX(LISTA_EX,126),INDEX(LISTA_EX,MATCH('T1'!$J31&amp;"|"&amp;126,LISTA_KLUCZ,0))),"")</f>
        <v>Pull up eccentric weighted</v>
      </c>
      <c r="DY31" s="5" t="str">
        <f t="array" ref="DY31">IFERROR(IF('T1'!$J31="",INDEX(LISTA_EX,127),INDEX(LISTA_EX,MATCH('T1'!$J31&amp;"|"&amp;127,LISTA_KLUCZ,0))),"")</f>
        <v>Pull up eccentric weighted (5 sek w dół)</v>
      </c>
      <c r="DZ31" s="5" t="str">
        <f t="array" ref="DZ31">IFERROR(IF('T1'!$J31="",INDEX(LISTA_EX,128),INDEX(LISTA_EX,MATCH('T1'!$J31&amp;"|"&amp;128,LISTA_KLUCZ,0))),"")</f>
        <v>Pull up weighted</v>
      </c>
      <c r="EA31" s="5" t="str">
        <f t="array" ref="EA31">IFERROR(IF('T1'!$J31="",INDEX(LISTA_EX,129),INDEX(LISTA_EX,MATCH('T1'!$J31&amp;"|"&amp;129,LISTA_KLUCZ,0))),"")</f>
        <v>Pull ups (paused)</v>
      </c>
      <c r="EB31" s="5" t="str">
        <f t="array" ref="EB31">IFERROR(IF('T1'!$J31="",INDEX(LISTA_EX,130),INDEX(LISTA_EX,MATCH('T1'!$J31&amp;"|"&amp;130,LISTA_KLUCZ,0))),"")</f>
        <v>Push press barbell</v>
      </c>
      <c r="EC31" s="5" t="str">
        <f t="array" ref="EC31">IFERROR(IF('T1'!$J31="",INDEX(LISTA_EX,131),INDEX(LISTA_EX,MATCH('T1'!$J31&amp;"|"&amp;131,LISTA_KLUCZ,0))),"")</f>
        <v>Push up</v>
      </c>
      <c r="ED31" s="5" t="str">
        <f t="array" ref="ED31">IFERROR(IF('T1'!$J31="",INDEX(LISTA_EX,132),INDEX(LISTA_EX,MATCH('T1'!$J31&amp;"|"&amp;132,LISTA_KLUCZ,0))),"")</f>
        <v>Raised bird dog</v>
      </c>
      <c r="EE31" s="5" t="str">
        <f t="array" ref="EE31">IFERROR(IF('T1'!$J31="",INDEX(LISTA_EX,133),INDEX(LISTA_EX,MATCH('T1'!$J31&amp;"|"&amp;133,LISTA_KLUCZ,0))),"")</f>
        <v>RDL</v>
      </c>
      <c r="EF31" s="5" t="str">
        <f t="array" ref="EF31">IFERROR(IF('T1'!$J31="",INDEX(LISTA_EX,134),INDEX(LISTA_EX,MATCH('T1'!$J31&amp;"|"&amp;134,LISTA_KLUCZ,0))),"")</f>
        <v>Reverse Nordic</v>
      </c>
      <c r="EG31" s="5" t="str">
        <f t="array" ref="EG31">IFERROR(IF('T1'!$J31="",INDEX(LISTA_EX,135),INDEX(LISTA_EX,MATCH('T1'!$J31&amp;"|"&amp;135,LISTA_KLUCZ,0))),"")</f>
        <v>Rope pushdown</v>
      </c>
      <c r="EH31" s="5" t="str">
        <f t="array" ref="EH31">IFERROR(IF('T1'!$J31="",INDEX(LISTA_EX,136),INDEX(LISTA_EX,MATCH('T1'!$J31&amp;"|"&amp;136,LISTA_KLUCZ,0))),"")</f>
        <v>Rope pushdown OH</v>
      </c>
      <c r="EI31" s="5" t="str">
        <f t="array" ref="EI31">IFERROR(IF('T1'!$J31="",INDEX(LISTA_EX,137),INDEX(LISTA_EX,MATCH('T1'!$J31&amp;"|"&amp;137,LISTA_KLUCZ,0))),"")</f>
        <v>S/a cable pulldown incline bench</v>
      </c>
      <c r="EJ31" s="5" t="str">
        <f t="array" ref="EJ31">IFERROR(IF('T1'!$J31="",INDEX(LISTA_EX,138),INDEX(LISTA_EX,MATCH('T1'!$J31&amp;"|"&amp;138,LISTA_KLUCZ,0))),"")</f>
        <v>S/a lat pulldown incline bench</v>
      </c>
      <c r="EK31" s="5" t="str">
        <f t="array" ref="EK31">IFERROR(IF('T1'!$J31="",INDEX(LISTA_EX,139),INDEX(LISTA_EX,MATCH('T1'!$J31&amp;"|"&amp;139,LISTA_KLUCZ,0))),"")</f>
        <v>S/l dragonflag eccentric</v>
      </c>
      <c r="EL31" s="5" t="str">
        <f t="array" ref="EL31">IFERROR(IF('T1'!$J31="",INDEX(LISTA_EX,140),INDEX(LISTA_EX,MATCH('T1'!$J31&amp;"|"&amp;140,LISTA_KLUCZ,0))),"")</f>
        <v>S/l hip thrust</v>
      </c>
      <c r="EM31" s="5" t="str">
        <f t="array" ref="EM31">IFERROR(IF('T1'!$J31="",INDEX(LISTA_EX,141),INDEX(LISTA_EX,MATCH('T1'!$J31&amp;"|"&amp;141,LISTA_KLUCZ,0))),"")</f>
        <v>Seated broad jump</v>
      </c>
      <c r="EN31" s="5" t="str">
        <f t="array" ref="EN31">IFERROR(IF('T1'!$J31="",INDEX(LISTA_EX,142),INDEX(LISTA_EX,MATCH('T1'!$J31&amp;"|"&amp;142,LISTA_KLUCZ,0))),"")</f>
        <v>Seated cable facepull</v>
      </c>
      <c r="EO31" s="5" t="str">
        <f t="array" ref="EO31">IFERROR(IF('T1'!$J31="",INDEX(LISTA_EX,143),INDEX(LISTA_EX,MATCH('T1'!$J31&amp;"|"&amp;143,LISTA_KLUCZ,0))),"")</f>
        <v>Seated seesaw press (nogi proste)</v>
      </c>
      <c r="EP31" s="5" t="str">
        <f t="array" ref="EP31">IFERROR(IF('T1'!$J31="",INDEX(LISTA_EX,144),INDEX(LISTA_EX,MATCH('T1'!$J31&amp;"|"&amp;144,LISTA_KLUCZ,0))),"")</f>
        <v>Seesaw press</v>
      </c>
      <c r="EQ31" s="5" t="str">
        <f t="array" ref="EQ31">IFERROR(IF('T1'!$J31="",INDEX(LISTA_EX,145),INDEX(LISTA_EX,MATCH('T1'!$J31&amp;"|"&amp;145,LISTA_KLUCZ,0))),"")</f>
        <v>Side crunches</v>
      </c>
      <c r="ER31" s="5" t="str">
        <f t="array" ref="ER31">IFERROR(IF('T1'!$J31="",INDEX(LISTA_EX,146),INDEX(LISTA_EX,MATCH('T1'!$J31&amp;"|"&amp;146,LISTA_KLUCZ,0))),"")</f>
        <v>Side plank hip drop</v>
      </c>
      <c r="ES31" s="5" t="str">
        <f t="array" ref="ES31">IFERROR(IF('T1'!$J31="",INDEX(LISTA_EX,147),INDEX(LISTA_EX,MATCH('T1'!$J31&amp;"|"&amp;147,LISTA_KLUCZ,0))),"")</f>
        <v>Side plank rotations</v>
      </c>
      <c r="ET31" s="5" t="str">
        <f t="array" ref="ET31">IFERROR(IF('T1'!$J31="",INDEX(LISTA_EX,148),INDEX(LISTA_EX,MATCH('T1'!$J31&amp;"|"&amp;148,LISTA_KLUCZ,0))),"")</f>
        <v>SLDL balance</v>
      </c>
      <c r="EU31" s="5" t="str">
        <f t="array" ref="EU31">IFERROR(IF('T1'!$J31="",INDEX(LISTA_EX,149),INDEX(LISTA_EX,MATCH('T1'!$J31&amp;"|"&amp;149,LISTA_KLUCZ,0))),"")</f>
        <v>Split squat</v>
      </c>
      <c r="EV31" s="5" t="str">
        <f t="array" ref="EV31">IFERROR(IF('T1'!$J31="",INDEX(LISTA_EX,150),INDEX(LISTA_EX,MATCH('T1'!$J31&amp;"|"&amp;150,LISTA_KLUCZ,0))),"")</f>
        <v>Split stance SLDL</v>
      </c>
      <c r="EW31" s="5" t="str">
        <f t="array" ref="EW31">IFERROR(IF('T1'!$J31="",INDEX(LISTA_EX,151),INDEX(LISTA_EX,MATCH('T1'!$J31&amp;"|"&amp;151,LISTA_KLUCZ,0))),"")</f>
        <v>Squat izo (15 sek)</v>
      </c>
      <c r="EX31" s="5" t="str">
        <f t="array" ref="EX31">IFERROR(IF('T1'!$J31="",INDEX(LISTA_EX,152),INDEX(LISTA_EX,MATCH('T1'!$J31&amp;"|"&amp;152,LISTA_KLUCZ,0))),"")</f>
        <v>Standing landmine press</v>
      </c>
      <c r="EY31" s="5" t="str">
        <f t="array" ref="EY31">IFERROR(IF('T1'!$J31="",INDEX(LISTA_EX,153),INDEX(LISTA_EX,MATCH('T1'!$J31&amp;"|"&amp;153,LISTA_KLUCZ,0))),"")</f>
        <v>Suitcase carry</v>
      </c>
      <c r="EZ31" s="5" t="str">
        <f t="array" ref="EZ31">IFERROR(IF('T1'!$J31="",INDEX(LISTA_EX,154),INDEX(LISTA_EX,MATCH('T1'!$J31&amp;"|"&amp;154,LISTA_KLUCZ,0))),"")</f>
        <v>Supine pigeon abs</v>
      </c>
      <c r="FA31" s="5" t="str">
        <f t="array" ref="FA31">IFERROR(IF('T1'!$J31="",INDEX(LISTA_EX,155),INDEX(LISTA_EX,MATCH('T1'!$J31&amp;"|"&amp;155,LISTA_KLUCZ,0))),"")</f>
        <v>Swiss ball leg curl</v>
      </c>
      <c r="FB31" s="5" t="str">
        <f t="array" ref="FB31">IFERROR(IF('T1'!$J31="",INDEX(LISTA_EX,156),INDEX(LISTA_EX,MATCH('T1'!$J31&amp;"|"&amp;156,LISTA_KLUCZ,0))),"")</f>
        <v>Toes to bar</v>
      </c>
      <c r="FC31" s="5" t="str">
        <f t="array" ref="FC31">IFERROR(IF('T1'!$J31="",INDEX(LISTA_EX,157),INDEX(LISTA_EX,MATCH('T1'!$J31&amp;"|"&amp;157,LISTA_KLUCZ,0))),"")</f>
        <v>Trap bar deadlift</v>
      </c>
      <c r="FD31" s="5" t="str">
        <f t="array" ref="FD31">IFERROR(IF('T1'!$J31="",INDEX(LISTA_EX,158),INDEX(LISTA_EX,MATCH('T1'!$J31&amp;"|"&amp;158,LISTA_KLUCZ,0))),"")</f>
        <v>Tricep cable pushdown</v>
      </c>
      <c r="FE31" s="5" t="str">
        <f t="array" ref="FE31">IFERROR(IF('T1'!$J31="",INDEX(LISTA_EX,159),INDEX(LISTA_EX,MATCH('T1'!$J31&amp;"|"&amp;159,LISTA_KLUCZ,0))),"")</f>
        <v>Tricep JM press</v>
      </c>
      <c r="FF31" s="5" t="str">
        <f t="array" ref="FF31">IFERROR(IF('T1'!$J31="",INDEX(LISTA_EX,160),INDEX(LISTA_EX,MATCH('T1'!$J31&amp;"|"&amp;160,LISTA_KLUCZ,0))),"")</f>
        <v>Tricep OH cable</v>
      </c>
      <c r="FG31" s="5" t="str">
        <f t="array" ref="FG31">IFERROR(IF('T1'!$J31="",INDEX(LISTA_EX,161),INDEX(LISTA_EX,MATCH('T1'!$J31&amp;"|"&amp;161,LISTA_KLUCZ,0))),"")</f>
        <v>Tricep OH ez bar</v>
      </c>
      <c r="FH31" s="5" t="str">
        <f t="array" ref="FH31">IFERROR(IF('T1'!$J31="",INDEX(LISTA_EX,162),INDEX(LISTA_EX,MATCH('T1'!$J31&amp;"|"&amp;162,LISTA_KLUCZ,0))),"")</f>
        <v>Walking lunges</v>
      </c>
      <c r="FI31" s="5" t="str">
        <f t="array" ref="FI31">IFERROR(IF('T1'!$J31="",INDEX(LISTA_EX,163),INDEX(LISTA_EX,MATCH('T1'!$J31&amp;"|"&amp;163,LISTA_KLUCZ,0))),"")</f>
        <v>Wipers kettle</v>
      </c>
      <c r="FJ31" s="5" t="str">
        <f t="array" ref="FJ31">IFERROR(IF('T1'!$J31="",INDEX(LISTA_EX,164),INDEX(LISTA_EX,MATCH('T1'!$J31&amp;"|"&amp;164,LISTA_KLUCZ,0))),"")</f>
        <v>Zercher jumps</v>
      </c>
      <c r="FK31" s="5" t="str">
        <f t="array" ref="FK31">IFERROR(IF('T1'!$J31="",INDEX(LISTA_EX,165),INDEX(LISTA_EX,MATCH('T1'!$J31&amp;"|"&amp;165,LISTA_KLUCZ,0))),"")</f>
        <v/>
      </c>
      <c r="FL31" s="5" t="str">
        <f t="array" ref="FL31">IFERROR(IF('T1'!$J31="",INDEX(LISTA_EX,166),INDEX(LISTA_EX,MATCH('T1'!$J31&amp;"|"&amp;166,LISTA_KLUCZ,0))),"")</f>
        <v/>
      </c>
      <c r="FM31" s="5" t="str">
        <f t="array" ref="FM31">IFERROR(IF('T1'!$J31="",INDEX(LISTA_EX,167),INDEX(LISTA_EX,MATCH('T1'!$J31&amp;"|"&amp;167,LISTA_KLUCZ,0))),"")</f>
        <v/>
      </c>
      <c r="FN31" s="5" t="str">
        <f t="array" ref="FN31">IFERROR(IF('T1'!$J31="",INDEX(LISTA_EX,168),INDEX(LISTA_EX,MATCH('T1'!$J31&amp;"|"&amp;168,LISTA_KLUCZ,0))),"")</f>
        <v/>
      </c>
      <c r="FO31" s="5" t="str">
        <f t="array" ref="FO31">IFERROR(IF('T1'!$J31="",INDEX(LISTA_EX,169),INDEX(LISTA_EX,MATCH('T1'!$J31&amp;"|"&amp;169,LISTA_KLUCZ,0))),"")</f>
        <v/>
      </c>
      <c r="FP31" s="5" t="str">
        <f t="array" ref="FP31">IFERROR(IF('T1'!$J31="",INDEX(LISTA_EX,170),INDEX(LISTA_EX,MATCH('T1'!$J31&amp;"|"&amp;170,LISTA_KLUCZ,0))),"")</f>
        <v/>
      </c>
      <c r="FQ31" s="5" t="str">
        <f t="array" ref="FQ31">IFERROR(IF('T1'!$J31="",INDEX(LISTA_EX,171),INDEX(LISTA_EX,MATCH('T1'!$J31&amp;"|"&amp;171,LISTA_KLUCZ,0))),"")</f>
        <v/>
      </c>
      <c r="FR31" s="5" t="str">
        <f t="array" ref="FR31">IFERROR(IF('T1'!$J31="",INDEX(LISTA_EX,172),INDEX(LISTA_EX,MATCH('T1'!$J31&amp;"|"&amp;172,LISTA_KLUCZ,0))),"")</f>
        <v/>
      </c>
      <c r="FS31" s="5" t="str">
        <f t="array" ref="FS31">IFERROR(IF('T1'!$J31="",INDEX(LISTA_EX,173),INDEX(LISTA_EX,MATCH('T1'!$J31&amp;"|"&amp;173,LISTA_KLUCZ,0))),"")</f>
        <v/>
      </c>
      <c r="FT31" s="5" t="str">
        <f t="array" ref="FT31">IFERROR(IF('T1'!$J31="",INDEX(LISTA_EX,174),INDEX(LISTA_EX,MATCH('T1'!$J31&amp;"|"&amp;174,LISTA_KLUCZ,0))),"")</f>
        <v/>
      </c>
      <c r="FU31" s="5" t="str">
        <f t="array" ref="FU31">IFERROR(IF('T1'!$J31="",INDEX(LISTA_EX,175),INDEX(LISTA_EX,MATCH('T1'!$J31&amp;"|"&amp;175,LISTA_KLUCZ,0))),"")</f>
        <v/>
      </c>
      <c r="FV31" s="5" t="str">
        <f t="array" ref="FV31">IFERROR(IF('T1'!$J31="",INDEX(LISTA_EX,176),INDEX(LISTA_EX,MATCH('T1'!$J31&amp;"|"&amp;176,LISTA_KLUCZ,0))),"")</f>
        <v/>
      </c>
      <c r="FW31" s="5" t="str">
        <f t="array" ref="FW31">IFERROR(IF('T1'!$J31="",INDEX(LISTA_EX,177),INDEX(LISTA_EX,MATCH('T1'!$J31&amp;"|"&amp;177,LISTA_KLUCZ,0))),"")</f>
        <v/>
      </c>
      <c r="FX31" s="5" t="str">
        <f t="array" ref="FX31">IFERROR(IF('T1'!$J31="",INDEX(LISTA_EX,178),INDEX(LISTA_EX,MATCH('T1'!$J31&amp;"|"&amp;178,LISTA_KLUCZ,0))),"")</f>
        <v/>
      </c>
      <c r="FY31" s="5" t="str">
        <f t="array" ref="FY31">IFERROR(IF('T1'!$J31="",INDEX(LISTA_EX,179),INDEX(LISTA_EX,MATCH('T1'!$J31&amp;"|"&amp;179,LISTA_KLUCZ,0))),"")</f>
        <v/>
      </c>
      <c r="FZ31" s="5" t="str">
        <f t="array" ref="FZ31">IFERROR(IF('T1'!$J31="",INDEX(LISTA_EX,180),INDEX(LISTA_EX,MATCH('T1'!$J31&amp;"|"&amp;180,LISTA_KLUCZ,0))),"")</f>
        <v/>
      </c>
      <c r="GA31" s="5" t="str">
        <f t="array" ref="GA31">IFERROR(IF('T1'!$J31="",INDEX(LISTA_EX,181),INDEX(LISTA_EX,MATCH('T1'!$J31&amp;"|"&amp;181,LISTA_KLUCZ,0))),"")</f>
        <v/>
      </c>
      <c r="GB31" s="5" t="str">
        <f t="array" ref="GB31">IFERROR(IF('T1'!$J31="",INDEX(LISTA_EX,182),INDEX(LISTA_EX,MATCH('T1'!$J31&amp;"|"&amp;182,LISTA_KLUCZ,0))),"")</f>
        <v/>
      </c>
      <c r="GC31" s="5" t="str">
        <f t="array" ref="GC31">IFERROR(IF('T1'!$J31="",INDEX(LISTA_EX,183),INDEX(LISTA_EX,MATCH('T1'!$J31&amp;"|"&amp;183,LISTA_KLUCZ,0))),"")</f>
        <v/>
      </c>
      <c r="GD31" s="5" t="str">
        <f t="array" ref="GD31">IFERROR(IF('T1'!$J31="",INDEX(LISTA_EX,184),INDEX(LISTA_EX,MATCH('T1'!$J31&amp;"|"&amp;184,LISTA_KLUCZ,0))),"")</f>
        <v/>
      </c>
      <c r="GE31" s="5" t="str">
        <f t="array" ref="GE31">IFERROR(IF('T1'!$J31="",INDEX(LISTA_EX,185),INDEX(LISTA_EX,MATCH('T1'!$J31&amp;"|"&amp;185,LISTA_KLUCZ,0))),"")</f>
        <v/>
      </c>
      <c r="GF31" s="5" t="str">
        <f t="array" ref="GF31">IFERROR(IF('T1'!$J31="",INDEX(LISTA_EX,186),INDEX(LISTA_EX,MATCH('T1'!$J31&amp;"|"&amp;186,LISTA_KLUCZ,0))),"")</f>
        <v/>
      </c>
      <c r="GG31" s="5" t="str">
        <f t="array" ref="GG31">IFERROR(IF('T1'!$J31="",INDEX(LISTA_EX,187),INDEX(LISTA_EX,MATCH('T1'!$J31&amp;"|"&amp;187,LISTA_KLUCZ,0))),"")</f>
        <v/>
      </c>
      <c r="GH31" s="5" t="str">
        <f t="array" ref="GH31">IFERROR(IF('T1'!$J31="",INDEX(LISTA_EX,188),INDEX(LISTA_EX,MATCH('T1'!$J31&amp;"|"&amp;188,LISTA_KLUCZ,0))),"")</f>
        <v/>
      </c>
      <c r="GI31" s="5" t="str">
        <f t="array" ref="GI31">IFERROR(IF('T1'!$J31="",INDEX(LISTA_EX,189),INDEX(LISTA_EX,MATCH('T1'!$J31&amp;"|"&amp;189,LISTA_KLUCZ,0))),"")</f>
        <v/>
      </c>
      <c r="GJ31" s="5" t="str">
        <f t="array" ref="GJ31">IFERROR(IF('T1'!$J31="",INDEX(LISTA_EX,190),INDEX(LISTA_EX,MATCH('T1'!$J31&amp;"|"&amp;190,LISTA_KLUCZ,0))),"")</f>
        <v/>
      </c>
      <c r="GK31" s="5" t="str">
        <f t="array" ref="GK31">IFERROR(IF('T1'!$J31="",INDEX(LISTA_EX,191),INDEX(LISTA_EX,MATCH('T1'!$J31&amp;"|"&amp;191,LISTA_KLUCZ,0))),"")</f>
        <v/>
      </c>
      <c r="GL31" s="5" t="str">
        <f t="array" ref="GL31">IFERROR(IF('T1'!$J31="",INDEX(LISTA_EX,192),INDEX(LISTA_EX,MATCH('T1'!$J31&amp;"|"&amp;192,LISTA_KLUCZ,0))),"")</f>
        <v/>
      </c>
      <c r="GM31" s="5" t="str">
        <f t="array" ref="GM31">IFERROR(IF('T1'!$J31="",INDEX(LISTA_EX,193),INDEX(LISTA_EX,MATCH('T1'!$J31&amp;"|"&amp;193,LISTA_KLUCZ,0))),"")</f>
        <v/>
      </c>
      <c r="GN31" s="5" t="str">
        <f t="array" ref="GN31">IFERROR(IF('T1'!$J31="",INDEX(LISTA_EX,194),INDEX(LISTA_EX,MATCH('T1'!$J31&amp;"|"&amp;194,LISTA_KLUCZ,0))),"")</f>
        <v/>
      </c>
      <c r="GO31" s="5" t="str">
        <f t="array" ref="GO31">IFERROR(IF('T1'!$J31="",INDEX(LISTA_EX,195),INDEX(LISTA_EX,MATCH('T1'!$J31&amp;"|"&amp;195,LISTA_KLUCZ,0))),"")</f>
        <v/>
      </c>
      <c r="GP31" s="5" t="str">
        <f t="array" ref="GP31">IFERROR(IF('T1'!$J31="",INDEX(LISTA_EX,196),INDEX(LISTA_EX,MATCH('T1'!$J31&amp;"|"&amp;196,LISTA_KLUCZ,0))),"")</f>
        <v/>
      </c>
      <c r="GQ31" s="5" t="str">
        <f t="array" ref="GQ31">IFERROR(IF('T1'!$J31="",INDEX(LISTA_EX,197),INDEX(LISTA_EX,MATCH('T1'!$J31&amp;"|"&amp;197,LISTA_KLUCZ,0))),"")</f>
        <v/>
      </c>
      <c r="GR31" s="5" t="str">
        <f t="array" ref="GR31">IFERROR(IF('T1'!$J31="",INDEX(LISTA_EX,198),INDEX(LISTA_EX,MATCH('T1'!$J31&amp;"|"&amp;198,LISTA_KLUCZ,0))),"")</f>
        <v/>
      </c>
      <c r="GS31" s="5" t="str">
        <f t="array" ref="GS31">IFERROR(IF('T1'!$J31="",INDEX(LISTA_EX,199),INDEX(LISTA_EX,MATCH('T1'!$J31&amp;"|"&amp;199,LISTA_KLUCZ,0))),"")</f>
        <v/>
      </c>
      <c r="GT31" s="5" t="str">
        <f t="array" ref="GT31">IFERROR(IF('T1'!$J31="",INDEX(LISTA_EX,200),INDEX(LISTA_EX,MATCH('T1'!$J31&amp;"|"&amp;200,LISTA_KLUCZ,0))),"")</f>
        <v/>
      </c>
      <c r="GV31" s="5" t="str">
        <f>IF(BAZA!$A31="","",BAZA!$A31)</f>
        <v>Cable fly</v>
      </c>
      <c r="GW31" s="5" t="str">
        <f>IF(BAZA!$B31="","",BAZA!$B31&amp;"|"&amp;COUNTIF(BAZA!$B$3:$B31,BAZA!$B31))</f>
        <v>Upper push horizontal|3</v>
      </c>
    </row>
    <row r="32" ht="15.0" customHeight="1">
      <c r="A32" s="5" t="str">
        <f>IF('T1'!$K32="","",'T1'!$K32)</f>
        <v>D2-S10</v>
      </c>
      <c r="B32" s="5" t="str">
        <f>IF('T1'!$J32="","(wszystkie)",'T1'!$J32)</f>
        <v>(wszystkie)</v>
      </c>
      <c r="C32" s="5" t="str">
        <f t="array" ref="C32">IFERROR(IF('T1'!$J32="",INDEX(LISTA_EX,1),INDEX(LISTA_EX,MATCH('T1'!$J32&amp;"|"&amp;1,LISTA_KLUCZ,0))),"")</f>
        <v>Abduction machine</v>
      </c>
      <c r="D32" s="5" t="str">
        <f t="array" ref="D32">IFERROR(IF('T1'!$J32="",INDEX(LISTA_EX,2),INDEX(LISTA_EX,MATCH('T1'!$J32&amp;"|"&amp;2,LISTA_KLUCZ,0))),"")</f>
        <v>Adduction machine</v>
      </c>
      <c r="E32" s="5" t="str">
        <f t="array" ref="E32">IFERROR(IF('T1'!$J32="",INDEX(LISTA_EX,3),INDEX(LISTA_EX,MATCH('T1'!$J32&amp;"|"&amp;3,LISTA_KLUCZ,0))),"")</f>
        <v>Allah</v>
      </c>
      <c r="F32" s="5" t="str">
        <f t="array" ref="F32">IFERROR(IF('T1'!$J32="",INDEX(LISTA_EX,4),INDEX(LISTA_EX,MATCH('T1'!$J32&amp;"|"&amp;4,LISTA_KLUCZ,0))),"")</f>
        <v>Arnold press</v>
      </c>
      <c r="G32" s="5" t="str">
        <f t="array" ref="G32">IFERROR(IF('T1'!$J32="",INDEX(LISTA_EX,5),INDEX(LISTA_EX,MATCH('T1'!$J32&amp;"|"&amp;5,LISTA_KLUCZ,0))),"")</f>
        <v>Arnold press alternating</v>
      </c>
      <c r="H32" s="5" t="str">
        <f t="array" ref="H32">IFERROR(IF('T1'!$J32="",INDEX(LISTA_EX,6),INDEX(LISTA_EX,MATCH('T1'!$J32&amp;"|"&amp;6,LISTA_KLUCZ,0))),"")</f>
        <v>B/l dragonflag eccentric</v>
      </c>
      <c r="I32" s="5" t="str">
        <f t="array" ref="I32">IFERROR(IF('T1'!$J32="",INDEX(LISTA_EX,7),INDEX(LISTA_EX,MATCH('T1'!$J32&amp;"|"&amp;7,LISTA_KLUCZ,0))),"")</f>
        <v>Back extension</v>
      </c>
      <c r="J32" s="5" t="str">
        <f t="array" ref="J32">IFERROR(IF('T1'!$J32="",INDEX(LISTA_EX,8),INDEX(LISTA_EX,MATCH('T1'!$J32&amp;"|"&amp;8,LISTA_KLUCZ,0))),"")</f>
        <v>Banded pistol squat</v>
      </c>
      <c r="K32" s="5" t="str">
        <f t="array" ref="K32">IFERROR(IF('T1'!$J32="",INDEX(LISTA_EX,9),INDEX(LISTA_EX,MATCH('T1'!$J32&amp;"|"&amp;9,LISTA_KLUCZ,0))),"")</f>
        <v>Banded pull ups</v>
      </c>
      <c r="L32" s="5" t="str">
        <f t="array" ref="L32">IFERROR(IF('T1'!$J32="",INDEX(LISTA_EX,10),INDEX(LISTA_EX,MATCH('T1'!$J32&amp;"|"&amp;10,LISTA_KLUCZ,0))),"")</f>
        <v>Barbell back squat</v>
      </c>
      <c r="M32" s="5" t="str">
        <f t="array" ref="M32">IFERROR(IF('T1'!$J32="",INDEX(LISTA_EX,11),INDEX(LISTA_EX,MATCH('T1'!$J32&amp;"|"&amp;11,LISTA_KLUCZ,0))),"")</f>
        <v>Barbell bench press</v>
      </c>
      <c r="N32" s="5" t="str">
        <f t="array" ref="N32">IFERROR(IF('T1'!$J32="",INDEX(LISTA_EX,12),INDEX(LISTA_EX,MATCH('T1'!$J32&amp;"|"&amp;12,LISTA_KLUCZ,0))),"")</f>
        <v>Barbell curl</v>
      </c>
      <c r="O32" s="5" t="str">
        <f t="array" ref="O32">IFERROR(IF('T1'!$J32="",INDEX(LISTA_EX,13),INDEX(LISTA_EX,MATCH('T1'!$J32&amp;"|"&amp;13,LISTA_KLUCZ,0))),"")</f>
        <v>Barbell low bar squat</v>
      </c>
      <c r="P32" s="5" t="str">
        <f t="array" ref="P32">IFERROR(IF('T1'!$J32="",INDEX(LISTA_EX,14),INDEX(LISTA_EX,MATCH('T1'!$J32&amp;"|"&amp;14,LISTA_KLUCZ,0))),"")</f>
        <v>Barbell OHP</v>
      </c>
      <c r="Q32" s="5" t="str">
        <f t="array" ref="Q32">IFERROR(IF('T1'!$J32="",INDEX(LISTA_EX,15),INDEX(LISTA_EX,MATCH('T1'!$J32&amp;"|"&amp;15,LISTA_KLUCZ,0))),"")</f>
        <v>Barbell oscilation</v>
      </c>
      <c r="R32" s="5" t="str">
        <f t="array" ref="R32">IFERROR(IF('T1'!$J32="",INDEX(LISTA_EX,16),INDEX(LISTA_EX,MATCH('T1'!$J32&amp;"|"&amp;16,LISTA_KLUCZ,0))),"")</f>
        <v>Barbell row</v>
      </c>
      <c r="S32" s="5" t="str">
        <f t="array" ref="S32">IFERROR(IF('T1'!$J32="",INDEX(LISTA_EX,17),INDEX(LISTA_EX,MATCH('T1'!$J32&amp;"|"&amp;17,LISTA_KLUCZ,0))),"")</f>
        <v>Barbell row dead stop pins</v>
      </c>
      <c r="T32" s="5" t="str">
        <f t="array" ref="T32">IFERROR(IF('T1'!$J32="",INDEX(LISTA_EX,18),INDEX(LISTA_EX,MATCH('T1'!$J32&amp;"|"&amp;18,LISTA_KLUCZ,0))),"")</f>
        <v>Barbell SLDL</v>
      </c>
      <c r="U32" s="5" t="str">
        <f t="array" ref="U32">IFERROR(IF('T1'!$J32="",INDEX(LISTA_EX,19),INDEX(LISTA_EX,MATCH('T1'!$J32&amp;"|"&amp;19,LISTA_KLUCZ,0))),"")</f>
        <v>Bayesian curl</v>
      </c>
      <c r="V32" s="5" t="str">
        <f t="array" ref="V32">IFERROR(IF('T1'!$J32="",INDEX(LISTA_EX,20),INDEX(LISTA_EX,MATCH('T1'!$J32&amp;"|"&amp;20,LISTA_KLUCZ,0))),"")</f>
        <v>Bear renegade row</v>
      </c>
      <c r="W32" s="5" t="str">
        <f t="array" ref="W32">IFERROR(IF('T1'!$J32="",INDEX(LISTA_EX,21),INDEX(LISTA_EX,MATCH('T1'!$J32&amp;"|"&amp;21,LISTA_KLUCZ,0))),"")</f>
        <v>Bench press paused 3sec</v>
      </c>
      <c r="X32" s="5" t="str">
        <f t="array" ref="X32">IFERROR(IF('T1'!$J32="",INDEX(LISTA_EX,22),INDEX(LISTA_EX,MATCH('T1'!$J32&amp;"|"&amp;22,LISTA_KLUCZ,0))),"")</f>
        <v>Bicep hammer curl</v>
      </c>
      <c r="Y32" s="5" t="str">
        <f t="array" ref="Y32">IFERROR(IF('T1'!$J32="",INDEX(LISTA_EX,23),INDEX(LISTA_EX,MATCH('T1'!$J32&amp;"|"&amp;23,LISTA_KLUCZ,0))),"")</f>
        <v>Bicep squat cable curl</v>
      </c>
      <c r="Z32" s="5" t="str">
        <f t="array" ref="Z32">IFERROR(IF('T1'!$J32="",INDEX(LISTA_EX,24),INDEX(LISTA_EX,MATCH('T1'!$J32&amp;"|"&amp;24,LISTA_KLUCZ,0))),"")</f>
        <v>Bird dog row</v>
      </c>
      <c r="AA32" s="5" t="str">
        <f t="array" ref="AA32">IFERROR(IF('T1'!$J32="",INDEX(LISTA_EX,25),INDEX(LISTA_EX,MATCH('T1'!$J32&amp;"|"&amp;25,LISTA_KLUCZ,0))),"")</f>
        <v>Box jump</v>
      </c>
      <c r="AB32" s="5" t="str">
        <f t="array" ref="AB32">IFERROR(IF('T1'!$J32="",INDEX(LISTA_EX,26),INDEX(LISTA_EX,MATCH('T1'!$J32&amp;"|"&amp;26,LISTA_KLUCZ,0))),"")</f>
        <v>Bulgarian clean plyo</v>
      </c>
      <c r="AC32" s="5" t="str">
        <f t="array" ref="AC32">IFERROR(IF('T1'!$J32="",INDEX(LISTA_EX,27),INDEX(LISTA_EX,MATCH('T1'!$J32&amp;"|"&amp;27,LISTA_KLUCZ,0))),"")</f>
        <v>Bulgarian squat assisted</v>
      </c>
      <c r="AD32" s="5" t="str">
        <f t="array" ref="AD32">IFERROR(IF('T1'!$J32="",INDEX(LISTA_EX,28),INDEX(LISTA_EX,MATCH('T1'!$J32&amp;"|"&amp;28,LISTA_KLUCZ,0))),"")</f>
        <v>Cable biceps curl</v>
      </c>
      <c r="AE32" s="5" t="str">
        <f t="array" ref="AE32">IFERROR(IF('T1'!$J32="",INDEX(LISTA_EX,29),INDEX(LISTA_EX,MATCH('T1'!$J32&amp;"|"&amp;29,LISTA_KLUCZ,0))),"")</f>
        <v>Cable fly</v>
      </c>
      <c r="AF32" s="5" t="str">
        <f t="array" ref="AF32">IFERROR(IF('T1'!$J32="",INDEX(LISTA_EX,30),INDEX(LISTA_EX,MATCH('T1'!$J32&amp;"|"&amp;30,LISTA_KLUCZ,0))),"")</f>
        <v>Cable lateral raise s/a</v>
      </c>
      <c r="AG32" s="5" t="str">
        <f t="array" ref="AG32">IFERROR(IF('T1'!$J32="",INDEX(LISTA_EX,31),INDEX(LISTA_EX,MATCH('T1'!$J32&amp;"|"&amp;31,LISTA_KLUCZ,0))),"")</f>
        <v>Cable row</v>
      </c>
      <c r="AH32" s="5" t="str">
        <f t="array" ref="AH32">IFERROR(IF('T1'!$J32="",INDEX(LISTA_EX,32),INDEX(LISTA_EX,MATCH('T1'!$J32&amp;"|"&amp;32,LISTA_KLUCZ,0))),"")</f>
        <v>Cable row s/a</v>
      </c>
      <c r="AI32" s="5" t="str">
        <f t="array" ref="AI32">IFERROR(IF('T1'!$J32="",INDEX(LISTA_EX,33),INDEX(LISTA_EX,MATCH('T1'!$J32&amp;"|"&amp;33,LISTA_KLUCZ,0))),"")</f>
        <v>Calf raises</v>
      </c>
      <c r="AJ32" s="5" t="str">
        <f t="array" ref="AJ32">IFERROR(IF('T1'!$J32="",INDEX(LISTA_EX,34),INDEX(LISTA_EX,MATCH('T1'!$J32&amp;"|"&amp;34,LISTA_KLUCZ,0))),"")</f>
        <v>Chest fly machine</v>
      </c>
      <c r="AK32" s="5" t="str">
        <f t="array" ref="AK32">IFERROR(IF('T1'!$J32="",INDEX(LISTA_EX,35),INDEX(LISTA_EX,MATCH('T1'!$J32&amp;"|"&amp;35,LISTA_KLUCZ,0))),"")</f>
        <v>Clean</v>
      </c>
      <c r="AL32" s="5" t="str">
        <f t="array" ref="AL32">IFERROR(IF('T1'!$J32="",INDEX(LISTA_EX,36),INDEX(LISTA_EX,MATCH('T1'!$J32&amp;"|"&amp;36,LISTA_KLUCZ,0))),"")</f>
        <v>Clean pins</v>
      </c>
      <c r="AM32" s="5" t="str">
        <f t="array" ref="AM32">IFERROR(IF('T1'!$J32="",INDEX(LISTA_EX,37),INDEX(LISTA_EX,MATCH('T1'!$J32&amp;"|"&amp;37,LISTA_KLUCZ,0))),"")</f>
        <v>Copenhagen plank</v>
      </c>
      <c r="AN32" s="5" t="str">
        <f t="array" ref="AN32">IFERROR(IF('T1'!$J32="",INDEX(LISTA_EX,38),INDEX(LISTA_EX,MATCH('T1'!$J32&amp;"|"&amp;38,LISTA_KLUCZ,0))),"")</f>
        <v>Dead bug izo + OH</v>
      </c>
      <c r="AO32" s="5" t="str">
        <f t="array" ref="AO32">IFERROR(IF('T1'!$J32="",INDEX(LISTA_EX,39),INDEX(LISTA_EX,MATCH('T1'!$J32&amp;"|"&amp;39,LISTA_KLUCZ,0))),"")</f>
        <v>Dead bug straight legs</v>
      </c>
      <c r="AP32" s="5" t="str">
        <f t="array" ref="AP32">IFERROR(IF('T1'!$J32="",INDEX(LISTA_EX,40),INDEX(LISTA_EX,MATCH('T1'!$J32&amp;"|"&amp;40,LISTA_KLUCZ,0))),"")</f>
        <v>Dead stop barbell row</v>
      </c>
      <c r="AQ32" s="5" t="str">
        <f t="array" ref="AQ32">IFERROR(IF('T1'!$J32="",INDEX(LISTA_EX,41),INDEX(LISTA_EX,MATCH('T1'!$J32&amp;"|"&amp;41,LISTA_KLUCZ,0))),"")</f>
        <v>Deadbug OH</v>
      </c>
      <c r="AR32" s="5" t="str">
        <f t="array" ref="AR32">IFERROR(IF('T1'!$J32="",INDEX(LISTA_EX,42),INDEX(LISTA_EX,MATCH('T1'!$J32&amp;"|"&amp;42,LISTA_KLUCZ,0))),"")</f>
        <v>Deadlift</v>
      </c>
      <c r="AS32" s="5" t="str">
        <f t="array" ref="AS32">IFERROR(IF('T1'!$J32="",INDEX(LISTA_EX,43),INDEX(LISTA_EX,MATCH('T1'!$J32&amp;"|"&amp;43,LISTA_KLUCZ,0))),"")</f>
        <v>Deficit push up</v>
      </c>
      <c r="AT32" s="5" t="str">
        <f t="array" ref="AT32">IFERROR(IF('T1'!$J32="",INDEX(LISTA_EX,44),INDEX(LISTA_EX,MATCH('T1'!$J32&amp;"|"&amp;44,LISTA_KLUCZ,0))),"")</f>
        <v>Deficit reverse lunge</v>
      </c>
      <c r="AU32" s="5" t="str">
        <f t="array" ref="AU32">IFERROR(IF('T1'!$J32="",INDEX(LISTA_EX,45),INDEX(LISTA_EX,MATCH('T1'!$J32&amp;"|"&amp;45,LISTA_KLUCZ,0))),"")</f>
        <v>Dips</v>
      </c>
      <c r="AV32" s="5" t="str">
        <f t="array" ref="AV32">IFERROR(IF('T1'!$J32="",INDEX(LISTA_EX,46),INDEX(LISTA_EX,MATCH('T1'!$J32&amp;"|"&amp;46,LISTA_KLUCZ,0))),"")</f>
        <v>Dips weighted</v>
      </c>
      <c r="AW32" s="5" t="str">
        <f t="array" ref="AW32">IFERROR(IF('T1'!$J32="",INDEX(LISTA_EX,47),INDEX(LISTA_EX,MATCH('T1'!$J32&amp;"|"&amp;47,LISTA_KLUCZ,0))),"")</f>
        <v>Dumbbell bench press</v>
      </c>
      <c r="AX32" s="5" t="str">
        <f t="array" ref="AX32">IFERROR(IF('T1'!$J32="",INDEX(LISTA_EX,48),INDEX(LISTA_EX,MATCH('T1'!$J32&amp;"|"&amp;48,LISTA_KLUCZ,0))),"")</f>
        <v>Dumbbell bench press alternating</v>
      </c>
      <c r="AY32" s="5" t="str">
        <f t="array" ref="AY32">IFERROR(IF('T1'!$J32="",INDEX(LISTA_EX,49),INDEX(LISTA_EX,MATCH('T1'!$J32&amp;"|"&amp;49,LISTA_KLUCZ,0))),"")</f>
        <v>Dumbbell curl</v>
      </c>
      <c r="AZ32" s="5" t="str">
        <f t="array" ref="AZ32">IFERROR(IF('T1'!$J32="",INDEX(LISTA_EX,50),INDEX(LISTA_EX,MATCH('T1'!$J32&amp;"|"&amp;50,LISTA_KLUCZ,0))),"")</f>
        <v>Dumbbell external rotation</v>
      </c>
      <c r="BA32" s="5" t="str">
        <f t="array" ref="BA32">IFERROR(IF('T1'!$J32="",INDEX(LISTA_EX,51),INDEX(LISTA_EX,MATCH('T1'!$J32&amp;"|"&amp;51,LISTA_KLUCZ,0))),"")</f>
        <v>Dumbbell face down curl</v>
      </c>
      <c r="BB32" s="5" t="str">
        <f t="array" ref="BB32">IFERROR(IF('T1'!$J32="",INDEX(LISTA_EX,52),INDEX(LISTA_EX,MATCH('T1'!$J32&amp;"|"&amp;52,LISTA_KLUCZ,0))),"")</f>
        <v>Dumbbell fly</v>
      </c>
      <c r="BC32" s="5" t="str">
        <f t="array" ref="BC32">IFERROR(IF('T1'!$J32="",INDEX(LISTA_EX,53),INDEX(LISTA_EX,MATCH('T1'!$J32&amp;"|"&amp;53,LISTA_KLUCZ,0))),"")</f>
        <v>Dumbbell french press</v>
      </c>
      <c r="BD32" s="5" t="str">
        <f t="array" ref="BD32">IFERROR(IF('T1'!$J32="",INDEX(LISTA_EX,54),INDEX(LISTA_EX,MATCH('T1'!$J32&amp;"|"&amp;54,LISTA_KLUCZ,0))),"")</f>
        <v>Dumbbell lateral raise</v>
      </c>
      <c r="BE32" s="5" t="str">
        <f t="array" ref="BE32">IFERROR(IF('T1'!$J32="",INDEX(LISTA_EX,55),INDEX(LISTA_EX,MATCH('T1'!$J32&amp;"|"&amp;55,LISTA_KLUCZ,0))),"")</f>
        <v>Dumbbell lunges</v>
      </c>
      <c r="BF32" s="5" t="str">
        <f t="array" ref="BF32">IFERROR(IF('T1'!$J32="",INDEX(LISTA_EX,56),INDEX(LISTA_EX,MATCH('T1'!$J32&amp;"|"&amp;56,LISTA_KLUCZ,0))),"")</f>
        <v>Dumbbell OH press</v>
      </c>
      <c r="BG32" s="5" t="str">
        <f t="array" ref="BG32">IFERROR(IF('T1'!$J32="",INDEX(LISTA_EX,57),INDEX(LISTA_EX,MATCH('T1'!$J32&amp;"|"&amp;57,LISTA_KLUCZ,0))),"")</f>
        <v>Dumbbell over head press</v>
      </c>
      <c r="BH32" s="5" t="str">
        <f t="array" ref="BH32">IFERROR(IF('T1'!$J32="",INDEX(LISTA_EX,58),INDEX(LISTA_EX,MATCH('T1'!$J32&amp;"|"&amp;58,LISTA_KLUCZ,0))),"")</f>
        <v>Dumbbell over head press alternating</v>
      </c>
      <c r="BI32" s="5" t="str">
        <f t="array" ref="BI32">IFERROR(IF('T1'!$J32="",INDEX(LISTA_EX,59),INDEX(LISTA_EX,MATCH('T1'!$J32&amp;"|"&amp;59,LISTA_KLUCZ,0))),"")</f>
        <v>Dumbbell row</v>
      </c>
      <c r="BJ32" s="5" t="str">
        <f t="array" ref="BJ32">IFERROR(IF('T1'!$J32="",INDEX(LISTA_EX,60),INDEX(LISTA_EX,MATCH('T1'!$J32&amp;"|"&amp;60,LISTA_KLUCZ,0))),"")</f>
        <v>Dumbbell s/a Arnold press</v>
      </c>
      <c r="BK32" s="5" t="str">
        <f t="array" ref="BK32">IFERROR(IF('T1'!$J32="",INDEX(LISTA_EX,61),INDEX(LISTA_EX,MATCH('T1'!$J32&amp;"|"&amp;61,LISTA_KLUCZ,0))),"")</f>
        <v>Dumbbell s/a row</v>
      </c>
      <c r="BL32" s="5" t="str">
        <f t="array" ref="BL32">IFERROR(IF('T1'!$J32="",INDEX(LISTA_EX,62),INDEX(LISTA_EX,MATCH('T1'!$J32&amp;"|"&amp;62,LISTA_KLUCZ,0))),"")</f>
        <v>Dumbbell seal row</v>
      </c>
      <c r="BM32" s="5" t="str">
        <f t="array" ref="BM32">IFERROR(IF('T1'!$J32="",INDEX(LISTA_EX,63),INDEX(LISTA_EX,MATCH('T1'!$J32&amp;"|"&amp;63,LISTA_KLUCZ,0))),"")</f>
        <v>Dumbbells jumps</v>
      </c>
      <c r="BN32" s="5" t="str">
        <f t="array" ref="BN32">IFERROR(IF('T1'!$J32="",INDEX(LISTA_EX,64),INDEX(LISTA_EX,MATCH('T1'!$J32&amp;"|"&amp;64,LISTA_KLUCZ,0))),"")</f>
        <v>Eccentric pull up</v>
      </c>
      <c r="BO32" s="5" t="str">
        <f t="array" ref="BO32">IFERROR(IF('T1'!$J32="",INDEX(LISTA_EX,65),INDEX(LISTA_EX,MATCH('T1'!$J32&amp;"|"&amp;65,LISTA_KLUCZ,0))),"")</f>
        <v>Eccentric push up (5 sek w dół)</v>
      </c>
      <c r="BP32" s="5" t="str">
        <f t="array" ref="BP32">IFERROR(IF('T1'!$J32="",INDEX(LISTA_EX,66),INDEX(LISTA_EX,MATCH('T1'!$J32&amp;"|"&amp;66,LISTA_KLUCZ,0))),"")</f>
        <v>Extensive plyo jumps s/l</v>
      </c>
      <c r="BQ32" s="5" t="str">
        <f t="array" ref="BQ32">IFERROR(IF('T1'!$J32="",INDEX(LISTA_EX,67),INDEX(LISTA_EX,MATCH('T1'!$J32&amp;"|"&amp;67,LISTA_KLUCZ,0))),"")</f>
        <v>Ez bar curl</v>
      </c>
      <c r="BR32" s="5" t="str">
        <f t="array" ref="BR32">IFERROR(IF('T1'!$J32="",INDEX(LISTA_EX,68),INDEX(LISTA_EX,MATCH('T1'!$J32&amp;"|"&amp;68,LISTA_KLUCZ,0))),"")</f>
        <v>Facepull chest supported</v>
      </c>
      <c r="BS32" s="5" t="str">
        <f t="array" ref="BS32">IFERROR(IF('T1'!$J32="",INDEX(LISTA_EX,69),INDEX(LISTA_EX,MATCH('T1'!$J32&amp;"|"&amp;69,LISTA_KLUCZ,0))),"")</f>
        <v>Front foot elevated split squat</v>
      </c>
      <c r="BT32" s="5" t="str">
        <f t="array" ref="BT32">IFERROR(IF('T1'!$J32="",INDEX(LISTA_EX,70),INDEX(LISTA_EX,MATCH('T1'!$J32&amp;"|"&amp;70,LISTA_KLUCZ,0))),"")</f>
        <v>Front squat</v>
      </c>
      <c r="BU32" s="5" t="str">
        <f t="array" ref="BU32">IFERROR(IF('T1'!$J32="",INDEX(LISTA_EX,71),INDEX(LISTA_EX,MATCH('T1'!$J32&amp;"|"&amp;71,LISTA_KLUCZ,0))),"")</f>
        <v>GHD flexion</v>
      </c>
      <c r="BV32" s="5" t="str">
        <f t="array" ref="BV32">IFERROR(IF('T1'!$J32="",INDEX(LISTA_EX,72),INDEX(LISTA_EX,MATCH('T1'!$J32&amp;"|"&amp;72,LISTA_KLUCZ,0))),"")</f>
        <v>Glute bridge hamstrings izo + OH</v>
      </c>
      <c r="BW32" s="5" t="str">
        <f t="array" ref="BW32">IFERROR(IF('T1'!$J32="",INDEX(LISTA_EX,73),INDEX(LISTA_EX,MATCH('T1'!$J32&amp;"|"&amp;73,LISTA_KLUCZ,0))),"")</f>
        <v>Glute crusher</v>
      </c>
      <c r="BX32" s="5" t="str">
        <f t="array" ref="BX32">IFERROR(IF('T1'!$J32="",INDEX(LISTA_EX,74),INDEX(LISTA_EX,MATCH('T1'!$J32&amp;"|"&amp;74,LISTA_KLUCZ,0))),"")</f>
        <v>Gorilla row</v>
      </c>
      <c r="BY32" s="5" t="str">
        <f t="array" ref="BY32">IFERROR(IF('T1'!$J32="",INDEX(LISTA_EX,75),INDEX(LISTA_EX,MATCH('T1'!$J32&amp;"|"&amp;75,LISTA_KLUCZ,0))),"")</f>
        <v>Halfkneeling s/a cable pull</v>
      </c>
      <c r="BZ32" s="5" t="str">
        <f t="array" ref="BZ32">IFERROR(IF('T1'!$J32="",INDEX(LISTA_EX,76),INDEX(LISTA_EX,MATCH('T1'!$J32&amp;"|"&amp;76,LISTA_KLUCZ,0))),"")</f>
        <v>Halfkneeling wood chopper</v>
      </c>
      <c r="CA32" s="5" t="str">
        <f t="array" ref="CA32">IFERROR(IF('T1'!$J32="",INDEX(LISTA_EX,77),INDEX(LISTA_EX,MATCH('T1'!$J32&amp;"|"&amp;77,LISTA_KLUCZ,0))),"")</f>
        <v>Hinged dumbbell row</v>
      </c>
      <c r="CB32" s="5" t="str">
        <f t="array" ref="CB32">IFERROR(IF('T1'!$J32="",INDEX(LISTA_EX,78),INDEX(LISTA_EX,MATCH('T1'!$J32&amp;"|"&amp;78,LISTA_KLUCZ,0))),"")</f>
        <v>Hip aeroplane</v>
      </c>
      <c r="CC32" s="5" t="str">
        <f t="array" ref="CC32">IFERROR(IF('T1'!$J32="",INDEX(LISTA_EX,79),INDEX(LISTA_EX,MATCH('T1'!$J32&amp;"|"&amp;79,LISTA_KLUCZ,0))),"")</f>
        <v>Hip flexors cable</v>
      </c>
      <c r="CD32" s="5" t="str">
        <f t="array" ref="CD32">IFERROR(IF('T1'!$J32="",INDEX(LISTA_EX,80),INDEX(LISTA_EX,MATCH('T1'!$J32&amp;"|"&amp;80,LISTA_KLUCZ,0))),"")</f>
        <v>Hip thrust barbell</v>
      </c>
      <c r="CE32" s="5" t="str">
        <f t="array" ref="CE32">IFERROR(IF('T1'!$J32="",INDEX(LISTA_EX,81),INDEX(LISTA_EX,MATCH('T1'!$J32&amp;"|"&amp;81,LISTA_KLUCZ,0))),"")</f>
        <v>Hollow body + OH</v>
      </c>
      <c r="CF32" s="5" t="str">
        <f t="array" ref="CF32">IFERROR(IF('T1'!$J32="",INDEX(LISTA_EX,82),INDEX(LISTA_EX,MATCH('T1'!$J32&amp;"|"&amp;82,LISTA_KLUCZ,0))),"")</f>
        <v>Horizontal jump</v>
      </c>
      <c r="CG32" s="5" t="str">
        <f t="array" ref="CG32">IFERROR(IF('T1'!$J32="",INDEX(LISTA_EX,83),INDEX(LISTA_EX,MATCH('T1'!$J32&amp;"|"&amp;83,LISTA_KLUCZ,0))),"")</f>
        <v>Incline bench lateral raise s/a</v>
      </c>
      <c r="CH32" s="5" t="str">
        <f t="array" ref="CH32">IFERROR(IF('T1'!$J32="",INDEX(LISTA_EX,84),INDEX(LISTA_EX,MATCH('T1'!$J32&amp;"|"&amp;84,LISTA_KLUCZ,0))),"")</f>
        <v>Incline curl + OHP</v>
      </c>
      <c r="CI32" s="5" t="str">
        <f t="array" ref="CI32">IFERROR(IF('T1'!$J32="",INDEX(LISTA_EX,85),INDEX(LISTA_EX,MATCH('T1'!$J32&amp;"|"&amp;85,LISTA_KLUCZ,0))),"")</f>
        <v>Incline dumbbell curl</v>
      </c>
      <c r="CJ32" s="5" t="str">
        <f t="array" ref="CJ32">IFERROR(IF('T1'!$J32="",INDEX(LISTA_EX,86),INDEX(LISTA_EX,MATCH('T1'!$J32&amp;"|"&amp;86,LISTA_KLUCZ,0))),"")</f>
        <v>Incline dumbbell curl (back)</v>
      </c>
      <c r="CK32" s="5" t="str">
        <f t="array" ref="CK32">IFERROR(IF('T1'!$J32="",INDEX(LISTA_EX,87),INDEX(LISTA_EX,MATCH('T1'!$J32&amp;"|"&amp;87,LISTA_KLUCZ,0))),"")</f>
        <v>Incline dumbbell curl (front)</v>
      </c>
      <c r="CL32" s="5" t="str">
        <f t="array" ref="CL32">IFERROR(IF('T1'!$J32="",INDEX(LISTA_EX,88),INDEX(LISTA_EX,MATCH('T1'!$J32&amp;"|"&amp;88,LISTA_KLUCZ,0))),"")</f>
        <v>Incline dumbbell fly</v>
      </c>
      <c r="CM32" s="5" t="str">
        <f t="array" ref="CM32">IFERROR(IF('T1'!$J32="",INDEX(LISTA_EX,89),INDEX(LISTA_EX,MATCH('T1'!$J32&amp;"|"&amp;89,LISTA_KLUCZ,0))),"")</f>
        <v>Incline dumbbell press</v>
      </c>
      <c r="CN32" s="5" t="str">
        <f t="array" ref="CN32">IFERROR(IF('T1'!$J32="",INDEX(LISTA_EX,90),INDEX(LISTA_EX,MATCH('T1'!$J32&amp;"|"&amp;90,LISTA_KLUCZ,0))),"")</f>
        <v>Incline dumbbell press alternating</v>
      </c>
      <c r="CO32" s="5" t="str">
        <f t="array" ref="CO32">IFERROR(IF('T1'!$J32="",INDEX(LISTA_EX,91),INDEX(LISTA_EX,MATCH('T1'!$J32&amp;"|"&amp;91,LISTA_KLUCZ,0))),"")</f>
        <v>Incline sit-ups</v>
      </c>
      <c r="CP32" s="5" t="str">
        <f t="array" ref="CP32">IFERROR(IF('T1'!$J32="",INDEX(LISTA_EX,92),INDEX(LISTA_EX,MATCH('T1'!$J32&amp;"|"&amp;92,LISTA_KLUCZ,0))),"")</f>
        <v>Jefferson cable</v>
      </c>
      <c r="CQ32" s="5" t="str">
        <f t="array" ref="CQ32">IFERROR(IF('T1'!$J32="",INDEX(LISTA_EX,93),INDEX(LISTA_EX,MATCH('T1'!$J32&amp;"|"&amp;93,LISTA_KLUCZ,0))),"")</f>
        <v>Kettlebell march</v>
      </c>
      <c r="CR32" s="5" t="str">
        <f t="array" ref="CR32">IFERROR(IF('T1'!$J32="",INDEX(LISTA_EX,94),INDEX(LISTA_EX,MATCH('T1'!$J32&amp;"|"&amp;94,LISTA_KLUCZ,0))),"")</f>
        <v>Kickbacks</v>
      </c>
      <c r="CS32" s="5" t="str">
        <f t="array" ref="CS32">IFERROR(IF('T1'!$J32="",INDEX(LISTA_EX,95),INDEX(LISTA_EX,MATCH('T1'!$J32&amp;"|"&amp;95,LISTA_KLUCZ,0))),"")</f>
        <v>Knee extension machine</v>
      </c>
      <c r="CT32" s="5" t="str">
        <f t="array" ref="CT32">IFERROR(IF('T1'!$J32="",INDEX(LISTA_EX,96),INDEX(LISTA_EX,MATCH('T1'!$J32&amp;"|"&amp;96,LISTA_KLUCZ,0))),"")</f>
        <v>Knee flexion machine</v>
      </c>
      <c r="CU32" s="5" t="str">
        <f t="array" ref="CU32">IFERROR(IF('T1'!$J32="",INDEX(LISTA_EX,97),INDEX(LISTA_EX,MATCH('T1'!$J32&amp;"|"&amp;97,LISTA_KLUCZ,0))),"")</f>
        <v>Knee raises</v>
      </c>
      <c r="CV32" s="5" t="str">
        <f t="array" ref="CV32">IFERROR(IF('T1'!$J32="",INDEX(LISTA_EX,98),INDEX(LISTA_EX,MATCH('T1'!$J32&amp;"|"&amp;98,LISTA_KLUCZ,0))),"")</f>
        <v>Landmine core</v>
      </c>
      <c r="CW32" s="5" t="str">
        <f t="array" ref="CW32">IFERROR(IF('T1'!$J32="",INDEX(LISTA_EX,99),INDEX(LISTA_EX,MATCH('T1'!$J32&amp;"|"&amp;99,LISTA_KLUCZ,0))),"")</f>
        <v>Landmine press</v>
      </c>
      <c r="CX32" s="5" t="str">
        <f t="array" ref="CX32">IFERROR(IF('T1'!$J32="",INDEX(LISTA_EX,100),INDEX(LISTA_EX,MATCH('T1'!$J32&amp;"|"&amp;100,LISTA_KLUCZ,0))),"")</f>
        <v>Landmine rotations (powtórzenia x2)</v>
      </c>
      <c r="CY32" s="5" t="str">
        <f t="array" ref="CY32">IFERROR(IF('T1'!$J32="",INDEX(LISTA_EX,101),INDEX(LISTA_EX,MATCH('T1'!$J32&amp;"|"&amp;101,LISTA_KLUCZ,0))),"")</f>
        <v>Landmine SLDL</v>
      </c>
      <c r="CZ32" s="5" t="str">
        <f t="array" ref="CZ32">IFERROR(IF('T1'!$J32="",INDEX(LISTA_EX,102),INDEX(LISTA_EX,MATCH('T1'!$J32&amp;"|"&amp;102,LISTA_KLUCZ,0))),"")</f>
        <v>Lat pulldown</v>
      </c>
      <c r="DA32" s="5" t="str">
        <f t="array" ref="DA32">IFERROR(IF('T1'!$J32="",INDEX(LISTA_EX,103),INDEX(LISTA_EX,MATCH('T1'!$J32&amp;"|"&amp;103,LISTA_KLUCZ,0))),"")</f>
        <v>Lat pulldown behind the head</v>
      </c>
      <c r="DB32" s="5" t="str">
        <f t="array" ref="DB32">IFERROR(IF('T1'!$J32="",INDEX(LISTA_EX,104),INDEX(LISTA_EX,MATCH('T1'!$J32&amp;"|"&amp;104,LISTA_KLUCZ,0))),"")</f>
        <v>Lat pulldown s/a</v>
      </c>
      <c r="DC32" s="5" t="str">
        <f t="array" ref="DC32">IFERROR(IF('T1'!$J32="",INDEX(LISTA_EX,105),INDEX(LISTA_EX,MATCH('T1'!$J32&amp;"|"&amp;105,LISTA_KLUCZ,0))),"")</f>
        <v>Lateral raise s/a</v>
      </c>
      <c r="DD32" s="5" t="str">
        <f t="array" ref="DD32">IFERROR(IF('T1'!$J32="",INDEX(LISTA_EX,106),INDEX(LISTA_EX,MATCH('T1'!$J32&amp;"|"&amp;106,LISTA_KLUCZ,0))),"")</f>
        <v>Lateral raises</v>
      </c>
      <c r="DE32" s="5" t="str">
        <f t="array" ref="DE32">IFERROR(IF('T1'!$J32="",INDEX(LISTA_EX,107),INDEX(LISTA_EX,MATCH('T1'!$J32&amp;"|"&amp;107,LISTA_KLUCZ,0))),"")</f>
        <v>Lateral raises 2</v>
      </c>
      <c r="DF32" s="5" t="str">
        <f t="array" ref="DF32">IFERROR(IF('T1'!$J32="",INDEX(LISTA_EX,108),INDEX(LISTA_EX,MATCH('T1'!$J32&amp;"|"&amp;108,LISTA_KLUCZ,0))),"")</f>
        <v>Lateral raises full ROM</v>
      </c>
      <c r="DG32" s="5" t="str">
        <f t="array" ref="DG32">IFERROR(IF('T1'!$J32="",INDEX(LISTA_EX,109),INDEX(LISTA_EX,MATCH('T1'!$J32&amp;"|"&amp;109,LISTA_KLUCZ,0))),"")</f>
        <v>Lateral raises hinged</v>
      </c>
      <c r="DH32" s="5" t="str">
        <f t="array" ref="DH32">IFERROR(IF('T1'!$J32="",INDEX(LISTA_EX,110),INDEX(LISTA_EX,MATCH('T1'!$J32&amp;"|"&amp;110,LISTA_KLUCZ,0))),"")</f>
        <v>Lateral raises incline s/a</v>
      </c>
      <c r="DI32" s="5" t="str">
        <f t="array" ref="DI32">IFERROR(IF('T1'!$J32="",INDEX(LISTA_EX,111),INDEX(LISTA_EX,MATCH('T1'!$J32&amp;"|"&amp;111,LISTA_KLUCZ,0))),"")</f>
        <v>Leg curl</v>
      </c>
      <c r="DJ32" s="5" t="str">
        <f t="array" ref="DJ32">IFERROR(IF('T1'!$J32="",INDEX(LISTA_EX,112),INDEX(LISTA_EX,MATCH('T1'!$J32&amp;"|"&amp;112,LISTA_KLUCZ,0))),"")</f>
        <v>Machine row</v>
      </c>
      <c r="DK32" s="5" t="str">
        <f t="array" ref="DK32">IFERROR(IF('T1'!$J32="",INDEX(LISTA_EX,113),INDEX(LISTA_EX,MATCH('T1'!$J32&amp;"|"&amp;113,LISTA_KLUCZ,0))),"")</f>
        <v>Machine row s/a</v>
      </c>
      <c r="DL32" s="5" t="str">
        <f t="array" ref="DL32">IFERROR(IF('T1'!$J32="",INDEX(LISTA_EX,114),INDEX(LISTA_EX,MATCH('T1'!$J32&amp;"|"&amp;114,LISTA_KLUCZ,0))),"")</f>
        <v>Meadows row</v>
      </c>
      <c r="DM32" s="5" t="str">
        <f t="array" ref="DM32">IFERROR(IF('T1'!$J32="",INDEX(LISTA_EX,115),INDEX(LISTA_EX,MATCH('T1'!$J32&amp;"|"&amp;115,LISTA_KLUCZ,0))),"")</f>
        <v>Med ball slam</v>
      </c>
      <c r="DN32" s="5" t="str">
        <f t="array" ref="DN32">IFERROR(IF('T1'!$J32="",INDEX(LISTA_EX,116),INDEX(LISTA_EX,MATCH('T1'!$J32&amp;"|"&amp;116,LISTA_KLUCZ,0))),"")</f>
        <v>OH skullcrushers</v>
      </c>
      <c r="DO32" s="5" t="str">
        <f t="array" ref="DO32">IFERROR(IF('T1'!$J32="",INDEX(LISTA_EX,117),INDEX(LISTA_EX,MATCH('T1'!$J32&amp;"|"&amp;117,LISTA_KLUCZ,0))),"")</f>
        <v>OHP barbell squat 15kg</v>
      </c>
      <c r="DP32" s="5" t="str">
        <f t="array" ref="DP32">IFERROR(IF('T1'!$J32="",INDEX(LISTA_EX,118),INDEX(LISTA_EX,MATCH('T1'!$J32&amp;"|"&amp;118,LISTA_KLUCZ,0))),"")</f>
        <v>Pistol squat eccentric</v>
      </c>
      <c r="DQ32" s="5" t="str">
        <f t="array" ref="DQ32">IFERROR(IF('T1'!$J32="",INDEX(LISTA_EX,119),INDEX(LISTA_EX,MATCH('T1'!$J32&amp;"|"&amp;119,LISTA_KLUCZ,0))),"")</f>
        <v>Plank contralateral</v>
      </c>
      <c r="DR32" s="5" t="str">
        <f t="array" ref="DR32">IFERROR(IF('T1'!$J32="",INDEX(LISTA_EX,120),INDEX(LISTA_EX,MATCH('T1'!$J32&amp;"|"&amp;120,LISTA_KLUCZ,0))),"")</f>
        <v>Plank dumbbell rotation</v>
      </c>
      <c r="DS32" s="5" t="str">
        <f t="array" ref="DS32">IFERROR(IF('T1'!$J32="",INDEX(LISTA_EX,121),INDEX(LISTA_EX,MATCH('T1'!$J32&amp;"|"&amp;121,LISTA_KLUCZ,0))),"")</f>
        <v>Plank leg raises</v>
      </c>
      <c r="DT32" s="5" t="str">
        <f t="array" ref="DT32">IFERROR(IF('T1'!$J32="",INDEX(LISTA_EX,122),INDEX(LISTA_EX,MATCH('T1'!$J32&amp;"|"&amp;122,LISTA_KLUCZ,0))),"")</f>
        <v>Poliquin step up</v>
      </c>
      <c r="DU32" s="5" t="str">
        <f t="array" ref="DU32">IFERROR(IF('T1'!$J32="",INDEX(LISTA_EX,123),INDEX(LISTA_EX,MATCH('T1'!$J32&amp;"|"&amp;123,LISTA_KLUCZ,0))),"")</f>
        <v>Poliquin step up paused 3sec</v>
      </c>
      <c r="DV32" s="5" t="str">
        <f t="array" ref="DV32">IFERROR(IF('T1'!$J32="",INDEX(LISTA_EX,124),INDEX(LISTA_EX,MATCH('T1'!$J32&amp;"|"&amp;124,LISTA_KLUCZ,0))),"")</f>
        <v>Pronation/Supination</v>
      </c>
      <c r="DW32" s="5" t="str">
        <f t="array" ref="DW32">IFERROR(IF('T1'!$J32="",INDEX(LISTA_EX,125),INDEX(LISTA_EX,MATCH('T1'!$J32&amp;"|"&amp;125,LISTA_KLUCZ,0))),"")</f>
        <v>Pull up</v>
      </c>
      <c r="DX32" s="5" t="str">
        <f t="array" ref="DX32">IFERROR(IF('T1'!$J32="",INDEX(LISTA_EX,126),INDEX(LISTA_EX,MATCH('T1'!$J32&amp;"|"&amp;126,LISTA_KLUCZ,0))),"")</f>
        <v>Pull up eccentric weighted</v>
      </c>
      <c r="DY32" s="5" t="str">
        <f t="array" ref="DY32">IFERROR(IF('T1'!$J32="",INDEX(LISTA_EX,127),INDEX(LISTA_EX,MATCH('T1'!$J32&amp;"|"&amp;127,LISTA_KLUCZ,0))),"")</f>
        <v>Pull up eccentric weighted (5 sek w dół)</v>
      </c>
      <c r="DZ32" s="5" t="str">
        <f t="array" ref="DZ32">IFERROR(IF('T1'!$J32="",INDEX(LISTA_EX,128),INDEX(LISTA_EX,MATCH('T1'!$J32&amp;"|"&amp;128,LISTA_KLUCZ,0))),"")</f>
        <v>Pull up weighted</v>
      </c>
      <c r="EA32" s="5" t="str">
        <f t="array" ref="EA32">IFERROR(IF('T1'!$J32="",INDEX(LISTA_EX,129),INDEX(LISTA_EX,MATCH('T1'!$J32&amp;"|"&amp;129,LISTA_KLUCZ,0))),"")</f>
        <v>Pull ups (paused)</v>
      </c>
      <c r="EB32" s="5" t="str">
        <f t="array" ref="EB32">IFERROR(IF('T1'!$J32="",INDEX(LISTA_EX,130),INDEX(LISTA_EX,MATCH('T1'!$J32&amp;"|"&amp;130,LISTA_KLUCZ,0))),"")</f>
        <v>Push press barbell</v>
      </c>
      <c r="EC32" s="5" t="str">
        <f t="array" ref="EC32">IFERROR(IF('T1'!$J32="",INDEX(LISTA_EX,131),INDEX(LISTA_EX,MATCH('T1'!$J32&amp;"|"&amp;131,LISTA_KLUCZ,0))),"")</f>
        <v>Push up</v>
      </c>
      <c r="ED32" s="5" t="str">
        <f t="array" ref="ED32">IFERROR(IF('T1'!$J32="",INDEX(LISTA_EX,132),INDEX(LISTA_EX,MATCH('T1'!$J32&amp;"|"&amp;132,LISTA_KLUCZ,0))),"")</f>
        <v>Raised bird dog</v>
      </c>
      <c r="EE32" s="5" t="str">
        <f t="array" ref="EE32">IFERROR(IF('T1'!$J32="",INDEX(LISTA_EX,133),INDEX(LISTA_EX,MATCH('T1'!$J32&amp;"|"&amp;133,LISTA_KLUCZ,0))),"")</f>
        <v>RDL</v>
      </c>
      <c r="EF32" s="5" t="str">
        <f t="array" ref="EF32">IFERROR(IF('T1'!$J32="",INDEX(LISTA_EX,134),INDEX(LISTA_EX,MATCH('T1'!$J32&amp;"|"&amp;134,LISTA_KLUCZ,0))),"")</f>
        <v>Reverse Nordic</v>
      </c>
      <c r="EG32" s="5" t="str">
        <f t="array" ref="EG32">IFERROR(IF('T1'!$J32="",INDEX(LISTA_EX,135),INDEX(LISTA_EX,MATCH('T1'!$J32&amp;"|"&amp;135,LISTA_KLUCZ,0))),"")</f>
        <v>Rope pushdown</v>
      </c>
      <c r="EH32" s="5" t="str">
        <f t="array" ref="EH32">IFERROR(IF('T1'!$J32="",INDEX(LISTA_EX,136),INDEX(LISTA_EX,MATCH('T1'!$J32&amp;"|"&amp;136,LISTA_KLUCZ,0))),"")</f>
        <v>Rope pushdown OH</v>
      </c>
      <c r="EI32" s="5" t="str">
        <f t="array" ref="EI32">IFERROR(IF('T1'!$J32="",INDEX(LISTA_EX,137),INDEX(LISTA_EX,MATCH('T1'!$J32&amp;"|"&amp;137,LISTA_KLUCZ,0))),"")</f>
        <v>S/a cable pulldown incline bench</v>
      </c>
      <c r="EJ32" s="5" t="str">
        <f t="array" ref="EJ32">IFERROR(IF('T1'!$J32="",INDEX(LISTA_EX,138),INDEX(LISTA_EX,MATCH('T1'!$J32&amp;"|"&amp;138,LISTA_KLUCZ,0))),"")</f>
        <v>S/a lat pulldown incline bench</v>
      </c>
      <c r="EK32" s="5" t="str">
        <f t="array" ref="EK32">IFERROR(IF('T1'!$J32="",INDEX(LISTA_EX,139),INDEX(LISTA_EX,MATCH('T1'!$J32&amp;"|"&amp;139,LISTA_KLUCZ,0))),"")</f>
        <v>S/l dragonflag eccentric</v>
      </c>
      <c r="EL32" s="5" t="str">
        <f t="array" ref="EL32">IFERROR(IF('T1'!$J32="",INDEX(LISTA_EX,140),INDEX(LISTA_EX,MATCH('T1'!$J32&amp;"|"&amp;140,LISTA_KLUCZ,0))),"")</f>
        <v>S/l hip thrust</v>
      </c>
      <c r="EM32" s="5" t="str">
        <f t="array" ref="EM32">IFERROR(IF('T1'!$J32="",INDEX(LISTA_EX,141),INDEX(LISTA_EX,MATCH('T1'!$J32&amp;"|"&amp;141,LISTA_KLUCZ,0))),"")</f>
        <v>Seated broad jump</v>
      </c>
      <c r="EN32" s="5" t="str">
        <f t="array" ref="EN32">IFERROR(IF('T1'!$J32="",INDEX(LISTA_EX,142),INDEX(LISTA_EX,MATCH('T1'!$J32&amp;"|"&amp;142,LISTA_KLUCZ,0))),"")</f>
        <v>Seated cable facepull</v>
      </c>
      <c r="EO32" s="5" t="str">
        <f t="array" ref="EO32">IFERROR(IF('T1'!$J32="",INDEX(LISTA_EX,143),INDEX(LISTA_EX,MATCH('T1'!$J32&amp;"|"&amp;143,LISTA_KLUCZ,0))),"")</f>
        <v>Seated seesaw press (nogi proste)</v>
      </c>
      <c r="EP32" s="5" t="str">
        <f t="array" ref="EP32">IFERROR(IF('T1'!$J32="",INDEX(LISTA_EX,144),INDEX(LISTA_EX,MATCH('T1'!$J32&amp;"|"&amp;144,LISTA_KLUCZ,0))),"")</f>
        <v>Seesaw press</v>
      </c>
      <c r="EQ32" s="5" t="str">
        <f t="array" ref="EQ32">IFERROR(IF('T1'!$J32="",INDEX(LISTA_EX,145),INDEX(LISTA_EX,MATCH('T1'!$J32&amp;"|"&amp;145,LISTA_KLUCZ,0))),"")</f>
        <v>Side crunches</v>
      </c>
      <c r="ER32" s="5" t="str">
        <f t="array" ref="ER32">IFERROR(IF('T1'!$J32="",INDEX(LISTA_EX,146),INDEX(LISTA_EX,MATCH('T1'!$J32&amp;"|"&amp;146,LISTA_KLUCZ,0))),"")</f>
        <v>Side plank hip drop</v>
      </c>
      <c r="ES32" s="5" t="str">
        <f t="array" ref="ES32">IFERROR(IF('T1'!$J32="",INDEX(LISTA_EX,147),INDEX(LISTA_EX,MATCH('T1'!$J32&amp;"|"&amp;147,LISTA_KLUCZ,0))),"")</f>
        <v>Side plank rotations</v>
      </c>
      <c r="ET32" s="5" t="str">
        <f t="array" ref="ET32">IFERROR(IF('T1'!$J32="",INDEX(LISTA_EX,148),INDEX(LISTA_EX,MATCH('T1'!$J32&amp;"|"&amp;148,LISTA_KLUCZ,0))),"")</f>
        <v>SLDL balance</v>
      </c>
      <c r="EU32" s="5" t="str">
        <f t="array" ref="EU32">IFERROR(IF('T1'!$J32="",INDEX(LISTA_EX,149),INDEX(LISTA_EX,MATCH('T1'!$J32&amp;"|"&amp;149,LISTA_KLUCZ,0))),"")</f>
        <v>Split squat</v>
      </c>
      <c r="EV32" s="5" t="str">
        <f t="array" ref="EV32">IFERROR(IF('T1'!$J32="",INDEX(LISTA_EX,150),INDEX(LISTA_EX,MATCH('T1'!$J32&amp;"|"&amp;150,LISTA_KLUCZ,0))),"")</f>
        <v>Split stance SLDL</v>
      </c>
      <c r="EW32" s="5" t="str">
        <f t="array" ref="EW32">IFERROR(IF('T1'!$J32="",INDEX(LISTA_EX,151),INDEX(LISTA_EX,MATCH('T1'!$J32&amp;"|"&amp;151,LISTA_KLUCZ,0))),"")</f>
        <v>Squat izo (15 sek)</v>
      </c>
      <c r="EX32" s="5" t="str">
        <f t="array" ref="EX32">IFERROR(IF('T1'!$J32="",INDEX(LISTA_EX,152),INDEX(LISTA_EX,MATCH('T1'!$J32&amp;"|"&amp;152,LISTA_KLUCZ,0))),"")</f>
        <v>Standing landmine press</v>
      </c>
      <c r="EY32" s="5" t="str">
        <f t="array" ref="EY32">IFERROR(IF('T1'!$J32="",INDEX(LISTA_EX,153),INDEX(LISTA_EX,MATCH('T1'!$J32&amp;"|"&amp;153,LISTA_KLUCZ,0))),"")</f>
        <v>Suitcase carry</v>
      </c>
      <c r="EZ32" s="5" t="str">
        <f t="array" ref="EZ32">IFERROR(IF('T1'!$J32="",INDEX(LISTA_EX,154),INDEX(LISTA_EX,MATCH('T1'!$J32&amp;"|"&amp;154,LISTA_KLUCZ,0))),"")</f>
        <v>Supine pigeon abs</v>
      </c>
      <c r="FA32" s="5" t="str">
        <f t="array" ref="FA32">IFERROR(IF('T1'!$J32="",INDEX(LISTA_EX,155),INDEX(LISTA_EX,MATCH('T1'!$J32&amp;"|"&amp;155,LISTA_KLUCZ,0))),"")</f>
        <v>Swiss ball leg curl</v>
      </c>
      <c r="FB32" s="5" t="str">
        <f t="array" ref="FB32">IFERROR(IF('T1'!$J32="",INDEX(LISTA_EX,156),INDEX(LISTA_EX,MATCH('T1'!$J32&amp;"|"&amp;156,LISTA_KLUCZ,0))),"")</f>
        <v>Toes to bar</v>
      </c>
      <c r="FC32" s="5" t="str">
        <f t="array" ref="FC32">IFERROR(IF('T1'!$J32="",INDEX(LISTA_EX,157),INDEX(LISTA_EX,MATCH('T1'!$J32&amp;"|"&amp;157,LISTA_KLUCZ,0))),"")</f>
        <v>Trap bar deadlift</v>
      </c>
      <c r="FD32" s="5" t="str">
        <f t="array" ref="FD32">IFERROR(IF('T1'!$J32="",INDEX(LISTA_EX,158),INDEX(LISTA_EX,MATCH('T1'!$J32&amp;"|"&amp;158,LISTA_KLUCZ,0))),"")</f>
        <v>Tricep cable pushdown</v>
      </c>
      <c r="FE32" s="5" t="str">
        <f t="array" ref="FE32">IFERROR(IF('T1'!$J32="",INDEX(LISTA_EX,159),INDEX(LISTA_EX,MATCH('T1'!$J32&amp;"|"&amp;159,LISTA_KLUCZ,0))),"")</f>
        <v>Tricep JM press</v>
      </c>
      <c r="FF32" s="5" t="str">
        <f t="array" ref="FF32">IFERROR(IF('T1'!$J32="",INDEX(LISTA_EX,160),INDEX(LISTA_EX,MATCH('T1'!$J32&amp;"|"&amp;160,LISTA_KLUCZ,0))),"")</f>
        <v>Tricep OH cable</v>
      </c>
      <c r="FG32" s="5" t="str">
        <f t="array" ref="FG32">IFERROR(IF('T1'!$J32="",INDEX(LISTA_EX,161),INDEX(LISTA_EX,MATCH('T1'!$J32&amp;"|"&amp;161,LISTA_KLUCZ,0))),"")</f>
        <v>Tricep OH ez bar</v>
      </c>
      <c r="FH32" s="5" t="str">
        <f t="array" ref="FH32">IFERROR(IF('T1'!$J32="",INDEX(LISTA_EX,162),INDEX(LISTA_EX,MATCH('T1'!$J32&amp;"|"&amp;162,LISTA_KLUCZ,0))),"")</f>
        <v>Walking lunges</v>
      </c>
      <c r="FI32" s="5" t="str">
        <f t="array" ref="FI32">IFERROR(IF('T1'!$J32="",INDEX(LISTA_EX,163),INDEX(LISTA_EX,MATCH('T1'!$J32&amp;"|"&amp;163,LISTA_KLUCZ,0))),"")</f>
        <v>Wipers kettle</v>
      </c>
      <c r="FJ32" s="5" t="str">
        <f t="array" ref="FJ32">IFERROR(IF('T1'!$J32="",INDEX(LISTA_EX,164),INDEX(LISTA_EX,MATCH('T1'!$J32&amp;"|"&amp;164,LISTA_KLUCZ,0))),"")</f>
        <v>Zercher jumps</v>
      </c>
      <c r="FK32" s="5" t="str">
        <f t="array" ref="FK32">IFERROR(IF('T1'!$J32="",INDEX(LISTA_EX,165),INDEX(LISTA_EX,MATCH('T1'!$J32&amp;"|"&amp;165,LISTA_KLUCZ,0))),"")</f>
        <v/>
      </c>
      <c r="FL32" s="5" t="str">
        <f t="array" ref="FL32">IFERROR(IF('T1'!$J32="",INDEX(LISTA_EX,166),INDEX(LISTA_EX,MATCH('T1'!$J32&amp;"|"&amp;166,LISTA_KLUCZ,0))),"")</f>
        <v/>
      </c>
      <c r="FM32" s="5" t="str">
        <f t="array" ref="FM32">IFERROR(IF('T1'!$J32="",INDEX(LISTA_EX,167),INDEX(LISTA_EX,MATCH('T1'!$J32&amp;"|"&amp;167,LISTA_KLUCZ,0))),"")</f>
        <v/>
      </c>
      <c r="FN32" s="5" t="str">
        <f t="array" ref="FN32">IFERROR(IF('T1'!$J32="",INDEX(LISTA_EX,168),INDEX(LISTA_EX,MATCH('T1'!$J32&amp;"|"&amp;168,LISTA_KLUCZ,0))),"")</f>
        <v/>
      </c>
      <c r="FO32" s="5" t="str">
        <f t="array" ref="FO32">IFERROR(IF('T1'!$J32="",INDEX(LISTA_EX,169),INDEX(LISTA_EX,MATCH('T1'!$J32&amp;"|"&amp;169,LISTA_KLUCZ,0))),"")</f>
        <v/>
      </c>
      <c r="FP32" s="5" t="str">
        <f t="array" ref="FP32">IFERROR(IF('T1'!$J32="",INDEX(LISTA_EX,170),INDEX(LISTA_EX,MATCH('T1'!$J32&amp;"|"&amp;170,LISTA_KLUCZ,0))),"")</f>
        <v/>
      </c>
      <c r="FQ32" s="5" t="str">
        <f t="array" ref="FQ32">IFERROR(IF('T1'!$J32="",INDEX(LISTA_EX,171),INDEX(LISTA_EX,MATCH('T1'!$J32&amp;"|"&amp;171,LISTA_KLUCZ,0))),"")</f>
        <v/>
      </c>
      <c r="FR32" s="5" t="str">
        <f t="array" ref="FR32">IFERROR(IF('T1'!$J32="",INDEX(LISTA_EX,172),INDEX(LISTA_EX,MATCH('T1'!$J32&amp;"|"&amp;172,LISTA_KLUCZ,0))),"")</f>
        <v/>
      </c>
      <c r="FS32" s="5" t="str">
        <f t="array" ref="FS32">IFERROR(IF('T1'!$J32="",INDEX(LISTA_EX,173),INDEX(LISTA_EX,MATCH('T1'!$J32&amp;"|"&amp;173,LISTA_KLUCZ,0))),"")</f>
        <v/>
      </c>
      <c r="FT32" s="5" t="str">
        <f t="array" ref="FT32">IFERROR(IF('T1'!$J32="",INDEX(LISTA_EX,174),INDEX(LISTA_EX,MATCH('T1'!$J32&amp;"|"&amp;174,LISTA_KLUCZ,0))),"")</f>
        <v/>
      </c>
      <c r="FU32" s="5" t="str">
        <f t="array" ref="FU32">IFERROR(IF('T1'!$J32="",INDEX(LISTA_EX,175),INDEX(LISTA_EX,MATCH('T1'!$J32&amp;"|"&amp;175,LISTA_KLUCZ,0))),"")</f>
        <v/>
      </c>
      <c r="FV32" s="5" t="str">
        <f t="array" ref="FV32">IFERROR(IF('T1'!$J32="",INDEX(LISTA_EX,176),INDEX(LISTA_EX,MATCH('T1'!$J32&amp;"|"&amp;176,LISTA_KLUCZ,0))),"")</f>
        <v/>
      </c>
      <c r="FW32" s="5" t="str">
        <f t="array" ref="FW32">IFERROR(IF('T1'!$J32="",INDEX(LISTA_EX,177),INDEX(LISTA_EX,MATCH('T1'!$J32&amp;"|"&amp;177,LISTA_KLUCZ,0))),"")</f>
        <v/>
      </c>
      <c r="FX32" s="5" t="str">
        <f t="array" ref="FX32">IFERROR(IF('T1'!$J32="",INDEX(LISTA_EX,178),INDEX(LISTA_EX,MATCH('T1'!$J32&amp;"|"&amp;178,LISTA_KLUCZ,0))),"")</f>
        <v/>
      </c>
      <c r="FY32" s="5" t="str">
        <f t="array" ref="FY32">IFERROR(IF('T1'!$J32="",INDEX(LISTA_EX,179),INDEX(LISTA_EX,MATCH('T1'!$J32&amp;"|"&amp;179,LISTA_KLUCZ,0))),"")</f>
        <v/>
      </c>
      <c r="FZ32" s="5" t="str">
        <f t="array" ref="FZ32">IFERROR(IF('T1'!$J32="",INDEX(LISTA_EX,180),INDEX(LISTA_EX,MATCH('T1'!$J32&amp;"|"&amp;180,LISTA_KLUCZ,0))),"")</f>
        <v/>
      </c>
      <c r="GA32" s="5" t="str">
        <f t="array" ref="GA32">IFERROR(IF('T1'!$J32="",INDEX(LISTA_EX,181),INDEX(LISTA_EX,MATCH('T1'!$J32&amp;"|"&amp;181,LISTA_KLUCZ,0))),"")</f>
        <v/>
      </c>
      <c r="GB32" s="5" t="str">
        <f t="array" ref="GB32">IFERROR(IF('T1'!$J32="",INDEX(LISTA_EX,182),INDEX(LISTA_EX,MATCH('T1'!$J32&amp;"|"&amp;182,LISTA_KLUCZ,0))),"")</f>
        <v/>
      </c>
      <c r="GC32" s="5" t="str">
        <f t="array" ref="GC32">IFERROR(IF('T1'!$J32="",INDEX(LISTA_EX,183),INDEX(LISTA_EX,MATCH('T1'!$J32&amp;"|"&amp;183,LISTA_KLUCZ,0))),"")</f>
        <v/>
      </c>
      <c r="GD32" s="5" t="str">
        <f t="array" ref="GD32">IFERROR(IF('T1'!$J32="",INDEX(LISTA_EX,184),INDEX(LISTA_EX,MATCH('T1'!$J32&amp;"|"&amp;184,LISTA_KLUCZ,0))),"")</f>
        <v/>
      </c>
      <c r="GE32" s="5" t="str">
        <f t="array" ref="GE32">IFERROR(IF('T1'!$J32="",INDEX(LISTA_EX,185),INDEX(LISTA_EX,MATCH('T1'!$J32&amp;"|"&amp;185,LISTA_KLUCZ,0))),"")</f>
        <v/>
      </c>
      <c r="GF32" s="5" t="str">
        <f t="array" ref="GF32">IFERROR(IF('T1'!$J32="",INDEX(LISTA_EX,186),INDEX(LISTA_EX,MATCH('T1'!$J32&amp;"|"&amp;186,LISTA_KLUCZ,0))),"")</f>
        <v/>
      </c>
      <c r="GG32" s="5" t="str">
        <f t="array" ref="GG32">IFERROR(IF('T1'!$J32="",INDEX(LISTA_EX,187),INDEX(LISTA_EX,MATCH('T1'!$J32&amp;"|"&amp;187,LISTA_KLUCZ,0))),"")</f>
        <v/>
      </c>
      <c r="GH32" s="5" t="str">
        <f t="array" ref="GH32">IFERROR(IF('T1'!$J32="",INDEX(LISTA_EX,188),INDEX(LISTA_EX,MATCH('T1'!$J32&amp;"|"&amp;188,LISTA_KLUCZ,0))),"")</f>
        <v/>
      </c>
      <c r="GI32" s="5" t="str">
        <f t="array" ref="GI32">IFERROR(IF('T1'!$J32="",INDEX(LISTA_EX,189),INDEX(LISTA_EX,MATCH('T1'!$J32&amp;"|"&amp;189,LISTA_KLUCZ,0))),"")</f>
        <v/>
      </c>
      <c r="GJ32" s="5" t="str">
        <f t="array" ref="GJ32">IFERROR(IF('T1'!$J32="",INDEX(LISTA_EX,190),INDEX(LISTA_EX,MATCH('T1'!$J32&amp;"|"&amp;190,LISTA_KLUCZ,0))),"")</f>
        <v/>
      </c>
      <c r="GK32" s="5" t="str">
        <f t="array" ref="GK32">IFERROR(IF('T1'!$J32="",INDEX(LISTA_EX,191),INDEX(LISTA_EX,MATCH('T1'!$J32&amp;"|"&amp;191,LISTA_KLUCZ,0))),"")</f>
        <v/>
      </c>
      <c r="GL32" s="5" t="str">
        <f t="array" ref="GL32">IFERROR(IF('T1'!$J32="",INDEX(LISTA_EX,192),INDEX(LISTA_EX,MATCH('T1'!$J32&amp;"|"&amp;192,LISTA_KLUCZ,0))),"")</f>
        <v/>
      </c>
      <c r="GM32" s="5" t="str">
        <f t="array" ref="GM32">IFERROR(IF('T1'!$J32="",INDEX(LISTA_EX,193),INDEX(LISTA_EX,MATCH('T1'!$J32&amp;"|"&amp;193,LISTA_KLUCZ,0))),"")</f>
        <v/>
      </c>
      <c r="GN32" s="5" t="str">
        <f t="array" ref="GN32">IFERROR(IF('T1'!$J32="",INDEX(LISTA_EX,194),INDEX(LISTA_EX,MATCH('T1'!$J32&amp;"|"&amp;194,LISTA_KLUCZ,0))),"")</f>
        <v/>
      </c>
      <c r="GO32" s="5" t="str">
        <f t="array" ref="GO32">IFERROR(IF('T1'!$J32="",INDEX(LISTA_EX,195),INDEX(LISTA_EX,MATCH('T1'!$J32&amp;"|"&amp;195,LISTA_KLUCZ,0))),"")</f>
        <v/>
      </c>
      <c r="GP32" s="5" t="str">
        <f t="array" ref="GP32">IFERROR(IF('T1'!$J32="",INDEX(LISTA_EX,196),INDEX(LISTA_EX,MATCH('T1'!$J32&amp;"|"&amp;196,LISTA_KLUCZ,0))),"")</f>
        <v/>
      </c>
      <c r="GQ32" s="5" t="str">
        <f t="array" ref="GQ32">IFERROR(IF('T1'!$J32="",INDEX(LISTA_EX,197),INDEX(LISTA_EX,MATCH('T1'!$J32&amp;"|"&amp;197,LISTA_KLUCZ,0))),"")</f>
        <v/>
      </c>
      <c r="GR32" s="5" t="str">
        <f t="array" ref="GR32">IFERROR(IF('T1'!$J32="",INDEX(LISTA_EX,198),INDEX(LISTA_EX,MATCH('T1'!$J32&amp;"|"&amp;198,LISTA_KLUCZ,0))),"")</f>
        <v/>
      </c>
      <c r="GS32" s="5" t="str">
        <f t="array" ref="GS32">IFERROR(IF('T1'!$J32="",INDEX(LISTA_EX,199),INDEX(LISTA_EX,MATCH('T1'!$J32&amp;"|"&amp;199,LISTA_KLUCZ,0))),"")</f>
        <v/>
      </c>
      <c r="GT32" s="5" t="str">
        <f t="array" ref="GT32">IFERROR(IF('T1'!$J32="",INDEX(LISTA_EX,200),INDEX(LISTA_EX,MATCH('T1'!$J32&amp;"|"&amp;200,LISTA_KLUCZ,0))),"")</f>
        <v/>
      </c>
      <c r="GV32" s="5" t="str">
        <f>IF(BAZA!$A32="","",BAZA!$A32)</f>
        <v>Cable lateral raise s/a</v>
      </c>
      <c r="GW32" s="5" t="str">
        <f>IF(BAZA!$B32="","",BAZA!$B32&amp;"|"&amp;COUNTIF(BAZA!$B$3:$B32,BAZA!$B32))</f>
        <v>Upper push vertical|4</v>
      </c>
    </row>
    <row r="33" ht="15.0" customHeight="1">
      <c r="A33" s="5" t="str">
        <f>IF('T1'!$K33="","",'T1'!$K33)</f>
        <v>D2-S11</v>
      </c>
      <c r="B33" s="5" t="str">
        <f>IF('T1'!$J33="","(wszystkie)",'T1'!$J33)</f>
        <v>(wszystkie)</v>
      </c>
      <c r="C33" s="5" t="str">
        <f t="array" ref="C33">IFERROR(IF('T1'!$J33="",INDEX(LISTA_EX,1),INDEX(LISTA_EX,MATCH('T1'!$J33&amp;"|"&amp;1,LISTA_KLUCZ,0))),"")</f>
        <v>Abduction machine</v>
      </c>
      <c r="D33" s="5" t="str">
        <f t="array" ref="D33">IFERROR(IF('T1'!$J33="",INDEX(LISTA_EX,2),INDEX(LISTA_EX,MATCH('T1'!$J33&amp;"|"&amp;2,LISTA_KLUCZ,0))),"")</f>
        <v>Adduction machine</v>
      </c>
      <c r="E33" s="5" t="str">
        <f t="array" ref="E33">IFERROR(IF('T1'!$J33="",INDEX(LISTA_EX,3),INDEX(LISTA_EX,MATCH('T1'!$J33&amp;"|"&amp;3,LISTA_KLUCZ,0))),"")</f>
        <v>Allah</v>
      </c>
      <c r="F33" s="5" t="str">
        <f t="array" ref="F33">IFERROR(IF('T1'!$J33="",INDEX(LISTA_EX,4),INDEX(LISTA_EX,MATCH('T1'!$J33&amp;"|"&amp;4,LISTA_KLUCZ,0))),"")</f>
        <v>Arnold press</v>
      </c>
      <c r="G33" s="5" t="str">
        <f t="array" ref="G33">IFERROR(IF('T1'!$J33="",INDEX(LISTA_EX,5),INDEX(LISTA_EX,MATCH('T1'!$J33&amp;"|"&amp;5,LISTA_KLUCZ,0))),"")</f>
        <v>Arnold press alternating</v>
      </c>
      <c r="H33" s="5" t="str">
        <f t="array" ref="H33">IFERROR(IF('T1'!$J33="",INDEX(LISTA_EX,6),INDEX(LISTA_EX,MATCH('T1'!$J33&amp;"|"&amp;6,LISTA_KLUCZ,0))),"")</f>
        <v>B/l dragonflag eccentric</v>
      </c>
      <c r="I33" s="5" t="str">
        <f t="array" ref="I33">IFERROR(IF('T1'!$J33="",INDEX(LISTA_EX,7),INDEX(LISTA_EX,MATCH('T1'!$J33&amp;"|"&amp;7,LISTA_KLUCZ,0))),"")</f>
        <v>Back extension</v>
      </c>
      <c r="J33" s="5" t="str">
        <f t="array" ref="J33">IFERROR(IF('T1'!$J33="",INDEX(LISTA_EX,8),INDEX(LISTA_EX,MATCH('T1'!$J33&amp;"|"&amp;8,LISTA_KLUCZ,0))),"")</f>
        <v>Banded pistol squat</v>
      </c>
      <c r="K33" s="5" t="str">
        <f t="array" ref="K33">IFERROR(IF('T1'!$J33="",INDEX(LISTA_EX,9),INDEX(LISTA_EX,MATCH('T1'!$J33&amp;"|"&amp;9,LISTA_KLUCZ,0))),"")</f>
        <v>Banded pull ups</v>
      </c>
      <c r="L33" s="5" t="str">
        <f t="array" ref="L33">IFERROR(IF('T1'!$J33="",INDEX(LISTA_EX,10),INDEX(LISTA_EX,MATCH('T1'!$J33&amp;"|"&amp;10,LISTA_KLUCZ,0))),"")</f>
        <v>Barbell back squat</v>
      </c>
      <c r="M33" s="5" t="str">
        <f t="array" ref="M33">IFERROR(IF('T1'!$J33="",INDEX(LISTA_EX,11),INDEX(LISTA_EX,MATCH('T1'!$J33&amp;"|"&amp;11,LISTA_KLUCZ,0))),"")</f>
        <v>Barbell bench press</v>
      </c>
      <c r="N33" s="5" t="str">
        <f t="array" ref="N33">IFERROR(IF('T1'!$J33="",INDEX(LISTA_EX,12),INDEX(LISTA_EX,MATCH('T1'!$J33&amp;"|"&amp;12,LISTA_KLUCZ,0))),"")</f>
        <v>Barbell curl</v>
      </c>
      <c r="O33" s="5" t="str">
        <f t="array" ref="O33">IFERROR(IF('T1'!$J33="",INDEX(LISTA_EX,13),INDEX(LISTA_EX,MATCH('T1'!$J33&amp;"|"&amp;13,LISTA_KLUCZ,0))),"")</f>
        <v>Barbell low bar squat</v>
      </c>
      <c r="P33" s="5" t="str">
        <f t="array" ref="P33">IFERROR(IF('T1'!$J33="",INDEX(LISTA_EX,14),INDEX(LISTA_EX,MATCH('T1'!$J33&amp;"|"&amp;14,LISTA_KLUCZ,0))),"")</f>
        <v>Barbell OHP</v>
      </c>
      <c r="Q33" s="5" t="str">
        <f t="array" ref="Q33">IFERROR(IF('T1'!$J33="",INDEX(LISTA_EX,15),INDEX(LISTA_EX,MATCH('T1'!$J33&amp;"|"&amp;15,LISTA_KLUCZ,0))),"")</f>
        <v>Barbell oscilation</v>
      </c>
      <c r="R33" s="5" t="str">
        <f t="array" ref="R33">IFERROR(IF('T1'!$J33="",INDEX(LISTA_EX,16),INDEX(LISTA_EX,MATCH('T1'!$J33&amp;"|"&amp;16,LISTA_KLUCZ,0))),"")</f>
        <v>Barbell row</v>
      </c>
      <c r="S33" s="5" t="str">
        <f t="array" ref="S33">IFERROR(IF('T1'!$J33="",INDEX(LISTA_EX,17),INDEX(LISTA_EX,MATCH('T1'!$J33&amp;"|"&amp;17,LISTA_KLUCZ,0))),"")</f>
        <v>Barbell row dead stop pins</v>
      </c>
      <c r="T33" s="5" t="str">
        <f t="array" ref="T33">IFERROR(IF('T1'!$J33="",INDEX(LISTA_EX,18),INDEX(LISTA_EX,MATCH('T1'!$J33&amp;"|"&amp;18,LISTA_KLUCZ,0))),"")</f>
        <v>Barbell SLDL</v>
      </c>
      <c r="U33" s="5" t="str">
        <f t="array" ref="U33">IFERROR(IF('T1'!$J33="",INDEX(LISTA_EX,19),INDEX(LISTA_EX,MATCH('T1'!$J33&amp;"|"&amp;19,LISTA_KLUCZ,0))),"")</f>
        <v>Bayesian curl</v>
      </c>
      <c r="V33" s="5" t="str">
        <f t="array" ref="V33">IFERROR(IF('T1'!$J33="",INDEX(LISTA_EX,20),INDEX(LISTA_EX,MATCH('T1'!$J33&amp;"|"&amp;20,LISTA_KLUCZ,0))),"")</f>
        <v>Bear renegade row</v>
      </c>
      <c r="W33" s="5" t="str">
        <f t="array" ref="W33">IFERROR(IF('T1'!$J33="",INDEX(LISTA_EX,21),INDEX(LISTA_EX,MATCH('T1'!$J33&amp;"|"&amp;21,LISTA_KLUCZ,0))),"")</f>
        <v>Bench press paused 3sec</v>
      </c>
      <c r="X33" s="5" t="str">
        <f t="array" ref="X33">IFERROR(IF('T1'!$J33="",INDEX(LISTA_EX,22),INDEX(LISTA_EX,MATCH('T1'!$J33&amp;"|"&amp;22,LISTA_KLUCZ,0))),"")</f>
        <v>Bicep hammer curl</v>
      </c>
      <c r="Y33" s="5" t="str">
        <f t="array" ref="Y33">IFERROR(IF('T1'!$J33="",INDEX(LISTA_EX,23),INDEX(LISTA_EX,MATCH('T1'!$J33&amp;"|"&amp;23,LISTA_KLUCZ,0))),"")</f>
        <v>Bicep squat cable curl</v>
      </c>
      <c r="Z33" s="5" t="str">
        <f t="array" ref="Z33">IFERROR(IF('T1'!$J33="",INDEX(LISTA_EX,24),INDEX(LISTA_EX,MATCH('T1'!$J33&amp;"|"&amp;24,LISTA_KLUCZ,0))),"")</f>
        <v>Bird dog row</v>
      </c>
      <c r="AA33" s="5" t="str">
        <f t="array" ref="AA33">IFERROR(IF('T1'!$J33="",INDEX(LISTA_EX,25),INDEX(LISTA_EX,MATCH('T1'!$J33&amp;"|"&amp;25,LISTA_KLUCZ,0))),"")</f>
        <v>Box jump</v>
      </c>
      <c r="AB33" s="5" t="str">
        <f t="array" ref="AB33">IFERROR(IF('T1'!$J33="",INDEX(LISTA_EX,26),INDEX(LISTA_EX,MATCH('T1'!$J33&amp;"|"&amp;26,LISTA_KLUCZ,0))),"")</f>
        <v>Bulgarian clean plyo</v>
      </c>
      <c r="AC33" s="5" t="str">
        <f t="array" ref="AC33">IFERROR(IF('T1'!$J33="",INDEX(LISTA_EX,27),INDEX(LISTA_EX,MATCH('T1'!$J33&amp;"|"&amp;27,LISTA_KLUCZ,0))),"")</f>
        <v>Bulgarian squat assisted</v>
      </c>
      <c r="AD33" s="5" t="str">
        <f t="array" ref="AD33">IFERROR(IF('T1'!$J33="",INDEX(LISTA_EX,28),INDEX(LISTA_EX,MATCH('T1'!$J33&amp;"|"&amp;28,LISTA_KLUCZ,0))),"")</f>
        <v>Cable biceps curl</v>
      </c>
      <c r="AE33" s="5" t="str">
        <f t="array" ref="AE33">IFERROR(IF('T1'!$J33="",INDEX(LISTA_EX,29),INDEX(LISTA_EX,MATCH('T1'!$J33&amp;"|"&amp;29,LISTA_KLUCZ,0))),"")</f>
        <v>Cable fly</v>
      </c>
      <c r="AF33" s="5" t="str">
        <f t="array" ref="AF33">IFERROR(IF('T1'!$J33="",INDEX(LISTA_EX,30),INDEX(LISTA_EX,MATCH('T1'!$J33&amp;"|"&amp;30,LISTA_KLUCZ,0))),"")</f>
        <v>Cable lateral raise s/a</v>
      </c>
      <c r="AG33" s="5" t="str">
        <f t="array" ref="AG33">IFERROR(IF('T1'!$J33="",INDEX(LISTA_EX,31),INDEX(LISTA_EX,MATCH('T1'!$J33&amp;"|"&amp;31,LISTA_KLUCZ,0))),"")</f>
        <v>Cable row</v>
      </c>
      <c r="AH33" s="5" t="str">
        <f t="array" ref="AH33">IFERROR(IF('T1'!$J33="",INDEX(LISTA_EX,32),INDEX(LISTA_EX,MATCH('T1'!$J33&amp;"|"&amp;32,LISTA_KLUCZ,0))),"")</f>
        <v>Cable row s/a</v>
      </c>
      <c r="AI33" s="5" t="str">
        <f t="array" ref="AI33">IFERROR(IF('T1'!$J33="",INDEX(LISTA_EX,33),INDEX(LISTA_EX,MATCH('T1'!$J33&amp;"|"&amp;33,LISTA_KLUCZ,0))),"")</f>
        <v>Calf raises</v>
      </c>
      <c r="AJ33" s="5" t="str">
        <f t="array" ref="AJ33">IFERROR(IF('T1'!$J33="",INDEX(LISTA_EX,34),INDEX(LISTA_EX,MATCH('T1'!$J33&amp;"|"&amp;34,LISTA_KLUCZ,0))),"")</f>
        <v>Chest fly machine</v>
      </c>
      <c r="AK33" s="5" t="str">
        <f t="array" ref="AK33">IFERROR(IF('T1'!$J33="",INDEX(LISTA_EX,35),INDEX(LISTA_EX,MATCH('T1'!$J33&amp;"|"&amp;35,LISTA_KLUCZ,0))),"")</f>
        <v>Clean</v>
      </c>
      <c r="AL33" s="5" t="str">
        <f t="array" ref="AL33">IFERROR(IF('T1'!$J33="",INDEX(LISTA_EX,36),INDEX(LISTA_EX,MATCH('T1'!$J33&amp;"|"&amp;36,LISTA_KLUCZ,0))),"")</f>
        <v>Clean pins</v>
      </c>
      <c r="AM33" s="5" t="str">
        <f t="array" ref="AM33">IFERROR(IF('T1'!$J33="",INDEX(LISTA_EX,37),INDEX(LISTA_EX,MATCH('T1'!$J33&amp;"|"&amp;37,LISTA_KLUCZ,0))),"")</f>
        <v>Copenhagen plank</v>
      </c>
      <c r="AN33" s="5" t="str">
        <f t="array" ref="AN33">IFERROR(IF('T1'!$J33="",INDEX(LISTA_EX,38),INDEX(LISTA_EX,MATCH('T1'!$J33&amp;"|"&amp;38,LISTA_KLUCZ,0))),"")</f>
        <v>Dead bug izo + OH</v>
      </c>
      <c r="AO33" s="5" t="str">
        <f t="array" ref="AO33">IFERROR(IF('T1'!$J33="",INDEX(LISTA_EX,39),INDEX(LISTA_EX,MATCH('T1'!$J33&amp;"|"&amp;39,LISTA_KLUCZ,0))),"")</f>
        <v>Dead bug straight legs</v>
      </c>
      <c r="AP33" s="5" t="str">
        <f t="array" ref="AP33">IFERROR(IF('T1'!$J33="",INDEX(LISTA_EX,40),INDEX(LISTA_EX,MATCH('T1'!$J33&amp;"|"&amp;40,LISTA_KLUCZ,0))),"")</f>
        <v>Dead stop barbell row</v>
      </c>
      <c r="AQ33" s="5" t="str">
        <f t="array" ref="AQ33">IFERROR(IF('T1'!$J33="",INDEX(LISTA_EX,41),INDEX(LISTA_EX,MATCH('T1'!$J33&amp;"|"&amp;41,LISTA_KLUCZ,0))),"")</f>
        <v>Deadbug OH</v>
      </c>
      <c r="AR33" s="5" t="str">
        <f t="array" ref="AR33">IFERROR(IF('T1'!$J33="",INDEX(LISTA_EX,42),INDEX(LISTA_EX,MATCH('T1'!$J33&amp;"|"&amp;42,LISTA_KLUCZ,0))),"")</f>
        <v>Deadlift</v>
      </c>
      <c r="AS33" s="5" t="str">
        <f t="array" ref="AS33">IFERROR(IF('T1'!$J33="",INDEX(LISTA_EX,43),INDEX(LISTA_EX,MATCH('T1'!$J33&amp;"|"&amp;43,LISTA_KLUCZ,0))),"")</f>
        <v>Deficit push up</v>
      </c>
      <c r="AT33" s="5" t="str">
        <f t="array" ref="AT33">IFERROR(IF('T1'!$J33="",INDEX(LISTA_EX,44),INDEX(LISTA_EX,MATCH('T1'!$J33&amp;"|"&amp;44,LISTA_KLUCZ,0))),"")</f>
        <v>Deficit reverse lunge</v>
      </c>
      <c r="AU33" s="5" t="str">
        <f t="array" ref="AU33">IFERROR(IF('T1'!$J33="",INDEX(LISTA_EX,45),INDEX(LISTA_EX,MATCH('T1'!$J33&amp;"|"&amp;45,LISTA_KLUCZ,0))),"")</f>
        <v>Dips</v>
      </c>
      <c r="AV33" s="5" t="str">
        <f t="array" ref="AV33">IFERROR(IF('T1'!$J33="",INDEX(LISTA_EX,46),INDEX(LISTA_EX,MATCH('T1'!$J33&amp;"|"&amp;46,LISTA_KLUCZ,0))),"")</f>
        <v>Dips weighted</v>
      </c>
      <c r="AW33" s="5" t="str">
        <f t="array" ref="AW33">IFERROR(IF('T1'!$J33="",INDEX(LISTA_EX,47),INDEX(LISTA_EX,MATCH('T1'!$J33&amp;"|"&amp;47,LISTA_KLUCZ,0))),"")</f>
        <v>Dumbbell bench press</v>
      </c>
      <c r="AX33" s="5" t="str">
        <f t="array" ref="AX33">IFERROR(IF('T1'!$J33="",INDEX(LISTA_EX,48),INDEX(LISTA_EX,MATCH('T1'!$J33&amp;"|"&amp;48,LISTA_KLUCZ,0))),"")</f>
        <v>Dumbbell bench press alternating</v>
      </c>
      <c r="AY33" s="5" t="str">
        <f t="array" ref="AY33">IFERROR(IF('T1'!$J33="",INDEX(LISTA_EX,49),INDEX(LISTA_EX,MATCH('T1'!$J33&amp;"|"&amp;49,LISTA_KLUCZ,0))),"")</f>
        <v>Dumbbell curl</v>
      </c>
      <c r="AZ33" s="5" t="str">
        <f t="array" ref="AZ33">IFERROR(IF('T1'!$J33="",INDEX(LISTA_EX,50),INDEX(LISTA_EX,MATCH('T1'!$J33&amp;"|"&amp;50,LISTA_KLUCZ,0))),"")</f>
        <v>Dumbbell external rotation</v>
      </c>
      <c r="BA33" s="5" t="str">
        <f t="array" ref="BA33">IFERROR(IF('T1'!$J33="",INDEX(LISTA_EX,51),INDEX(LISTA_EX,MATCH('T1'!$J33&amp;"|"&amp;51,LISTA_KLUCZ,0))),"")</f>
        <v>Dumbbell face down curl</v>
      </c>
      <c r="BB33" s="5" t="str">
        <f t="array" ref="BB33">IFERROR(IF('T1'!$J33="",INDEX(LISTA_EX,52),INDEX(LISTA_EX,MATCH('T1'!$J33&amp;"|"&amp;52,LISTA_KLUCZ,0))),"")</f>
        <v>Dumbbell fly</v>
      </c>
      <c r="BC33" s="5" t="str">
        <f t="array" ref="BC33">IFERROR(IF('T1'!$J33="",INDEX(LISTA_EX,53),INDEX(LISTA_EX,MATCH('T1'!$J33&amp;"|"&amp;53,LISTA_KLUCZ,0))),"")</f>
        <v>Dumbbell french press</v>
      </c>
      <c r="BD33" s="5" t="str">
        <f t="array" ref="BD33">IFERROR(IF('T1'!$J33="",INDEX(LISTA_EX,54),INDEX(LISTA_EX,MATCH('T1'!$J33&amp;"|"&amp;54,LISTA_KLUCZ,0))),"")</f>
        <v>Dumbbell lateral raise</v>
      </c>
      <c r="BE33" s="5" t="str">
        <f t="array" ref="BE33">IFERROR(IF('T1'!$J33="",INDEX(LISTA_EX,55),INDEX(LISTA_EX,MATCH('T1'!$J33&amp;"|"&amp;55,LISTA_KLUCZ,0))),"")</f>
        <v>Dumbbell lunges</v>
      </c>
      <c r="BF33" s="5" t="str">
        <f t="array" ref="BF33">IFERROR(IF('T1'!$J33="",INDEX(LISTA_EX,56),INDEX(LISTA_EX,MATCH('T1'!$J33&amp;"|"&amp;56,LISTA_KLUCZ,0))),"")</f>
        <v>Dumbbell OH press</v>
      </c>
      <c r="BG33" s="5" t="str">
        <f t="array" ref="BG33">IFERROR(IF('T1'!$J33="",INDEX(LISTA_EX,57),INDEX(LISTA_EX,MATCH('T1'!$J33&amp;"|"&amp;57,LISTA_KLUCZ,0))),"")</f>
        <v>Dumbbell over head press</v>
      </c>
      <c r="BH33" s="5" t="str">
        <f t="array" ref="BH33">IFERROR(IF('T1'!$J33="",INDEX(LISTA_EX,58),INDEX(LISTA_EX,MATCH('T1'!$J33&amp;"|"&amp;58,LISTA_KLUCZ,0))),"")</f>
        <v>Dumbbell over head press alternating</v>
      </c>
      <c r="BI33" s="5" t="str">
        <f t="array" ref="BI33">IFERROR(IF('T1'!$J33="",INDEX(LISTA_EX,59),INDEX(LISTA_EX,MATCH('T1'!$J33&amp;"|"&amp;59,LISTA_KLUCZ,0))),"")</f>
        <v>Dumbbell row</v>
      </c>
      <c r="BJ33" s="5" t="str">
        <f t="array" ref="BJ33">IFERROR(IF('T1'!$J33="",INDEX(LISTA_EX,60),INDEX(LISTA_EX,MATCH('T1'!$J33&amp;"|"&amp;60,LISTA_KLUCZ,0))),"")</f>
        <v>Dumbbell s/a Arnold press</v>
      </c>
      <c r="BK33" s="5" t="str">
        <f t="array" ref="BK33">IFERROR(IF('T1'!$J33="",INDEX(LISTA_EX,61),INDEX(LISTA_EX,MATCH('T1'!$J33&amp;"|"&amp;61,LISTA_KLUCZ,0))),"")</f>
        <v>Dumbbell s/a row</v>
      </c>
      <c r="BL33" s="5" t="str">
        <f t="array" ref="BL33">IFERROR(IF('T1'!$J33="",INDEX(LISTA_EX,62),INDEX(LISTA_EX,MATCH('T1'!$J33&amp;"|"&amp;62,LISTA_KLUCZ,0))),"")</f>
        <v>Dumbbell seal row</v>
      </c>
      <c r="BM33" s="5" t="str">
        <f t="array" ref="BM33">IFERROR(IF('T1'!$J33="",INDEX(LISTA_EX,63),INDEX(LISTA_EX,MATCH('T1'!$J33&amp;"|"&amp;63,LISTA_KLUCZ,0))),"")</f>
        <v>Dumbbells jumps</v>
      </c>
      <c r="BN33" s="5" t="str">
        <f t="array" ref="BN33">IFERROR(IF('T1'!$J33="",INDEX(LISTA_EX,64),INDEX(LISTA_EX,MATCH('T1'!$J33&amp;"|"&amp;64,LISTA_KLUCZ,0))),"")</f>
        <v>Eccentric pull up</v>
      </c>
      <c r="BO33" s="5" t="str">
        <f t="array" ref="BO33">IFERROR(IF('T1'!$J33="",INDEX(LISTA_EX,65),INDEX(LISTA_EX,MATCH('T1'!$J33&amp;"|"&amp;65,LISTA_KLUCZ,0))),"")</f>
        <v>Eccentric push up (5 sek w dół)</v>
      </c>
      <c r="BP33" s="5" t="str">
        <f t="array" ref="BP33">IFERROR(IF('T1'!$J33="",INDEX(LISTA_EX,66),INDEX(LISTA_EX,MATCH('T1'!$J33&amp;"|"&amp;66,LISTA_KLUCZ,0))),"")</f>
        <v>Extensive plyo jumps s/l</v>
      </c>
      <c r="BQ33" s="5" t="str">
        <f t="array" ref="BQ33">IFERROR(IF('T1'!$J33="",INDEX(LISTA_EX,67),INDEX(LISTA_EX,MATCH('T1'!$J33&amp;"|"&amp;67,LISTA_KLUCZ,0))),"")</f>
        <v>Ez bar curl</v>
      </c>
      <c r="BR33" s="5" t="str">
        <f t="array" ref="BR33">IFERROR(IF('T1'!$J33="",INDEX(LISTA_EX,68),INDEX(LISTA_EX,MATCH('T1'!$J33&amp;"|"&amp;68,LISTA_KLUCZ,0))),"")</f>
        <v>Facepull chest supported</v>
      </c>
      <c r="BS33" s="5" t="str">
        <f t="array" ref="BS33">IFERROR(IF('T1'!$J33="",INDEX(LISTA_EX,69),INDEX(LISTA_EX,MATCH('T1'!$J33&amp;"|"&amp;69,LISTA_KLUCZ,0))),"")</f>
        <v>Front foot elevated split squat</v>
      </c>
      <c r="BT33" s="5" t="str">
        <f t="array" ref="BT33">IFERROR(IF('T1'!$J33="",INDEX(LISTA_EX,70),INDEX(LISTA_EX,MATCH('T1'!$J33&amp;"|"&amp;70,LISTA_KLUCZ,0))),"")</f>
        <v>Front squat</v>
      </c>
      <c r="BU33" s="5" t="str">
        <f t="array" ref="BU33">IFERROR(IF('T1'!$J33="",INDEX(LISTA_EX,71),INDEX(LISTA_EX,MATCH('T1'!$J33&amp;"|"&amp;71,LISTA_KLUCZ,0))),"")</f>
        <v>GHD flexion</v>
      </c>
      <c r="BV33" s="5" t="str">
        <f t="array" ref="BV33">IFERROR(IF('T1'!$J33="",INDEX(LISTA_EX,72),INDEX(LISTA_EX,MATCH('T1'!$J33&amp;"|"&amp;72,LISTA_KLUCZ,0))),"")</f>
        <v>Glute bridge hamstrings izo + OH</v>
      </c>
      <c r="BW33" s="5" t="str">
        <f t="array" ref="BW33">IFERROR(IF('T1'!$J33="",INDEX(LISTA_EX,73),INDEX(LISTA_EX,MATCH('T1'!$J33&amp;"|"&amp;73,LISTA_KLUCZ,0))),"")</f>
        <v>Glute crusher</v>
      </c>
      <c r="BX33" s="5" t="str">
        <f t="array" ref="BX33">IFERROR(IF('T1'!$J33="",INDEX(LISTA_EX,74),INDEX(LISTA_EX,MATCH('T1'!$J33&amp;"|"&amp;74,LISTA_KLUCZ,0))),"")</f>
        <v>Gorilla row</v>
      </c>
      <c r="BY33" s="5" t="str">
        <f t="array" ref="BY33">IFERROR(IF('T1'!$J33="",INDEX(LISTA_EX,75),INDEX(LISTA_EX,MATCH('T1'!$J33&amp;"|"&amp;75,LISTA_KLUCZ,0))),"")</f>
        <v>Halfkneeling s/a cable pull</v>
      </c>
      <c r="BZ33" s="5" t="str">
        <f t="array" ref="BZ33">IFERROR(IF('T1'!$J33="",INDEX(LISTA_EX,76),INDEX(LISTA_EX,MATCH('T1'!$J33&amp;"|"&amp;76,LISTA_KLUCZ,0))),"")</f>
        <v>Halfkneeling wood chopper</v>
      </c>
      <c r="CA33" s="5" t="str">
        <f t="array" ref="CA33">IFERROR(IF('T1'!$J33="",INDEX(LISTA_EX,77),INDEX(LISTA_EX,MATCH('T1'!$J33&amp;"|"&amp;77,LISTA_KLUCZ,0))),"")</f>
        <v>Hinged dumbbell row</v>
      </c>
      <c r="CB33" s="5" t="str">
        <f t="array" ref="CB33">IFERROR(IF('T1'!$J33="",INDEX(LISTA_EX,78),INDEX(LISTA_EX,MATCH('T1'!$J33&amp;"|"&amp;78,LISTA_KLUCZ,0))),"")</f>
        <v>Hip aeroplane</v>
      </c>
      <c r="CC33" s="5" t="str">
        <f t="array" ref="CC33">IFERROR(IF('T1'!$J33="",INDEX(LISTA_EX,79),INDEX(LISTA_EX,MATCH('T1'!$J33&amp;"|"&amp;79,LISTA_KLUCZ,0))),"")</f>
        <v>Hip flexors cable</v>
      </c>
      <c r="CD33" s="5" t="str">
        <f t="array" ref="CD33">IFERROR(IF('T1'!$J33="",INDEX(LISTA_EX,80),INDEX(LISTA_EX,MATCH('T1'!$J33&amp;"|"&amp;80,LISTA_KLUCZ,0))),"")</f>
        <v>Hip thrust barbell</v>
      </c>
      <c r="CE33" s="5" t="str">
        <f t="array" ref="CE33">IFERROR(IF('T1'!$J33="",INDEX(LISTA_EX,81),INDEX(LISTA_EX,MATCH('T1'!$J33&amp;"|"&amp;81,LISTA_KLUCZ,0))),"")</f>
        <v>Hollow body + OH</v>
      </c>
      <c r="CF33" s="5" t="str">
        <f t="array" ref="CF33">IFERROR(IF('T1'!$J33="",INDEX(LISTA_EX,82),INDEX(LISTA_EX,MATCH('T1'!$J33&amp;"|"&amp;82,LISTA_KLUCZ,0))),"")</f>
        <v>Horizontal jump</v>
      </c>
      <c r="CG33" s="5" t="str">
        <f t="array" ref="CG33">IFERROR(IF('T1'!$J33="",INDEX(LISTA_EX,83),INDEX(LISTA_EX,MATCH('T1'!$J33&amp;"|"&amp;83,LISTA_KLUCZ,0))),"")</f>
        <v>Incline bench lateral raise s/a</v>
      </c>
      <c r="CH33" s="5" t="str">
        <f t="array" ref="CH33">IFERROR(IF('T1'!$J33="",INDEX(LISTA_EX,84),INDEX(LISTA_EX,MATCH('T1'!$J33&amp;"|"&amp;84,LISTA_KLUCZ,0))),"")</f>
        <v>Incline curl + OHP</v>
      </c>
      <c r="CI33" s="5" t="str">
        <f t="array" ref="CI33">IFERROR(IF('T1'!$J33="",INDEX(LISTA_EX,85),INDEX(LISTA_EX,MATCH('T1'!$J33&amp;"|"&amp;85,LISTA_KLUCZ,0))),"")</f>
        <v>Incline dumbbell curl</v>
      </c>
      <c r="CJ33" s="5" t="str">
        <f t="array" ref="CJ33">IFERROR(IF('T1'!$J33="",INDEX(LISTA_EX,86),INDEX(LISTA_EX,MATCH('T1'!$J33&amp;"|"&amp;86,LISTA_KLUCZ,0))),"")</f>
        <v>Incline dumbbell curl (back)</v>
      </c>
      <c r="CK33" s="5" t="str">
        <f t="array" ref="CK33">IFERROR(IF('T1'!$J33="",INDEX(LISTA_EX,87),INDEX(LISTA_EX,MATCH('T1'!$J33&amp;"|"&amp;87,LISTA_KLUCZ,0))),"")</f>
        <v>Incline dumbbell curl (front)</v>
      </c>
      <c r="CL33" s="5" t="str">
        <f t="array" ref="CL33">IFERROR(IF('T1'!$J33="",INDEX(LISTA_EX,88),INDEX(LISTA_EX,MATCH('T1'!$J33&amp;"|"&amp;88,LISTA_KLUCZ,0))),"")</f>
        <v>Incline dumbbell fly</v>
      </c>
      <c r="CM33" s="5" t="str">
        <f t="array" ref="CM33">IFERROR(IF('T1'!$J33="",INDEX(LISTA_EX,89),INDEX(LISTA_EX,MATCH('T1'!$J33&amp;"|"&amp;89,LISTA_KLUCZ,0))),"")</f>
        <v>Incline dumbbell press</v>
      </c>
      <c r="CN33" s="5" t="str">
        <f t="array" ref="CN33">IFERROR(IF('T1'!$J33="",INDEX(LISTA_EX,90),INDEX(LISTA_EX,MATCH('T1'!$J33&amp;"|"&amp;90,LISTA_KLUCZ,0))),"")</f>
        <v>Incline dumbbell press alternating</v>
      </c>
      <c r="CO33" s="5" t="str">
        <f t="array" ref="CO33">IFERROR(IF('T1'!$J33="",INDEX(LISTA_EX,91),INDEX(LISTA_EX,MATCH('T1'!$J33&amp;"|"&amp;91,LISTA_KLUCZ,0))),"")</f>
        <v>Incline sit-ups</v>
      </c>
      <c r="CP33" s="5" t="str">
        <f t="array" ref="CP33">IFERROR(IF('T1'!$J33="",INDEX(LISTA_EX,92),INDEX(LISTA_EX,MATCH('T1'!$J33&amp;"|"&amp;92,LISTA_KLUCZ,0))),"")</f>
        <v>Jefferson cable</v>
      </c>
      <c r="CQ33" s="5" t="str">
        <f t="array" ref="CQ33">IFERROR(IF('T1'!$J33="",INDEX(LISTA_EX,93),INDEX(LISTA_EX,MATCH('T1'!$J33&amp;"|"&amp;93,LISTA_KLUCZ,0))),"")</f>
        <v>Kettlebell march</v>
      </c>
      <c r="CR33" s="5" t="str">
        <f t="array" ref="CR33">IFERROR(IF('T1'!$J33="",INDEX(LISTA_EX,94),INDEX(LISTA_EX,MATCH('T1'!$J33&amp;"|"&amp;94,LISTA_KLUCZ,0))),"")</f>
        <v>Kickbacks</v>
      </c>
      <c r="CS33" s="5" t="str">
        <f t="array" ref="CS33">IFERROR(IF('T1'!$J33="",INDEX(LISTA_EX,95),INDEX(LISTA_EX,MATCH('T1'!$J33&amp;"|"&amp;95,LISTA_KLUCZ,0))),"")</f>
        <v>Knee extension machine</v>
      </c>
      <c r="CT33" s="5" t="str">
        <f t="array" ref="CT33">IFERROR(IF('T1'!$J33="",INDEX(LISTA_EX,96),INDEX(LISTA_EX,MATCH('T1'!$J33&amp;"|"&amp;96,LISTA_KLUCZ,0))),"")</f>
        <v>Knee flexion machine</v>
      </c>
      <c r="CU33" s="5" t="str">
        <f t="array" ref="CU33">IFERROR(IF('T1'!$J33="",INDEX(LISTA_EX,97),INDEX(LISTA_EX,MATCH('T1'!$J33&amp;"|"&amp;97,LISTA_KLUCZ,0))),"")</f>
        <v>Knee raises</v>
      </c>
      <c r="CV33" s="5" t="str">
        <f t="array" ref="CV33">IFERROR(IF('T1'!$J33="",INDEX(LISTA_EX,98),INDEX(LISTA_EX,MATCH('T1'!$J33&amp;"|"&amp;98,LISTA_KLUCZ,0))),"")</f>
        <v>Landmine core</v>
      </c>
      <c r="CW33" s="5" t="str">
        <f t="array" ref="CW33">IFERROR(IF('T1'!$J33="",INDEX(LISTA_EX,99),INDEX(LISTA_EX,MATCH('T1'!$J33&amp;"|"&amp;99,LISTA_KLUCZ,0))),"")</f>
        <v>Landmine press</v>
      </c>
      <c r="CX33" s="5" t="str">
        <f t="array" ref="CX33">IFERROR(IF('T1'!$J33="",INDEX(LISTA_EX,100),INDEX(LISTA_EX,MATCH('T1'!$J33&amp;"|"&amp;100,LISTA_KLUCZ,0))),"")</f>
        <v>Landmine rotations (powtórzenia x2)</v>
      </c>
      <c r="CY33" s="5" t="str">
        <f t="array" ref="CY33">IFERROR(IF('T1'!$J33="",INDEX(LISTA_EX,101),INDEX(LISTA_EX,MATCH('T1'!$J33&amp;"|"&amp;101,LISTA_KLUCZ,0))),"")</f>
        <v>Landmine SLDL</v>
      </c>
      <c r="CZ33" s="5" t="str">
        <f t="array" ref="CZ33">IFERROR(IF('T1'!$J33="",INDEX(LISTA_EX,102),INDEX(LISTA_EX,MATCH('T1'!$J33&amp;"|"&amp;102,LISTA_KLUCZ,0))),"")</f>
        <v>Lat pulldown</v>
      </c>
      <c r="DA33" s="5" t="str">
        <f t="array" ref="DA33">IFERROR(IF('T1'!$J33="",INDEX(LISTA_EX,103),INDEX(LISTA_EX,MATCH('T1'!$J33&amp;"|"&amp;103,LISTA_KLUCZ,0))),"")</f>
        <v>Lat pulldown behind the head</v>
      </c>
      <c r="DB33" s="5" t="str">
        <f t="array" ref="DB33">IFERROR(IF('T1'!$J33="",INDEX(LISTA_EX,104),INDEX(LISTA_EX,MATCH('T1'!$J33&amp;"|"&amp;104,LISTA_KLUCZ,0))),"")</f>
        <v>Lat pulldown s/a</v>
      </c>
      <c r="DC33" s="5" t="str">
        <f t="array" ref="DC33">IFERROR(IF('T1'!$J33="",INDEX(LISTA_EX,105),INDEX(LISTA_EX,MATCH('T1'!$J33&amp;"|"&amp;105,LISTA_KLUCZ,0))),"")</f>
        <v>Lateral raise s/a</v>
      </c>
      <c r="DD33" s="5" t="str">
        <f t="array" ref="DD33">IFERROR(IF('T1'!$J33="",INDEX(LISTA_EX,106),INDEX(LISTA_EX,MATCH('T1'!$J33&amp;"|"&amp;106,LISTA_KLUCZ,0))),"")</f>
        <v>Lateral raises</v>
      </c>
      <c r="DE33" s="5" t="str">
        <f t="array" ref="DE33">IFERROR(IF('T1'!$J33="",INDEX(LISTA_EX,107),INDEX(LISTA_EX,MATCH('T1'!$J33&amp;"|"&amp;107,LISTA_KLUCZ,0))),"")</f>
        <v>Lateral raises 2</v>
      </c>
      <c r="DF33" s="5" t="str">
        <f t="array" ref="DF33">IFERROR(IF('T1'!$J33="",INDEX(LISTA_EX,108),INDEX(LISTA_EX,MATCH('T1'!$J33&amp;"|"&amp;108,LISTA_KLUCZ,0))),"")</f>
        <v>Lateral raises full ROM</v>
      </c>
      <c r="DG33" s="5" t="str">
        <f t="array" ref="DG33">IFERROR(IF('T1'!$J33="",INDEX(LISTA_EX,109),INDEX(LISTA_EX,MATCH('T1'!$J33&amp;"|"&amp;109,LISTA_KLUCZ,0))),"")</f>
        <v>Lateral raises hinged</v>
      </c>
      <c r="DH33" s="5" t="str">
        <f t="array" ref="DH33">IFERROR(IF('T1'!$J33="",INDEX(LISTA_EX,110),INDEX(LISTA_EX,MATCH('T1'!$J33&amp;"|"&amp;110,LISTA_KLUCZ,0))),"")</f>
        <v>Lateral raises incline s/a</v>
      </c>
      <c r="DI33" s="5" t="str">
        <f t="array" ref="DI33">IFERROR(IF('T1'!$J33="",INDEX(LISTA_EX,111),INDEX(LISTA_EX,MATCH('T1'!$J33&amp;"|"&amp;111,LISTA_KLUCZ,0))),"")</f>
        <v>Leg curl</v>
      </c>
      <c r="DJ33" s="5" t="str">
        <f t="array" ref="DJ33">IFERROR(IF('T1'!$J33="",INDEX(LISTA_EX,112),INDEX(LISTA_EX,MATCH('T1'!$J33&amp;"|"&amp;112,LISTA_KLUCZ,0))),"")</f>
        <v>Machine row</v>
      </c>
      <c r="DK33" s="5" t="str">
        <f t="array" ref="DK33">IFERROR(IF('T1'!$J33="",INDEX(LISTA_EX,113),INDEX(LISTA_EX,MATCH('T1'!$J33&amp;"|"&amp;113,LISTA_KLUCZ,0))),"")</f>
        <v>Machine row s/a</v>
      </c>
      <c r="DL33" s="5" t="str">
        <f t="array" ref="DL33">IFERROR(IF('T1'!$J33="",INDEX(LISTA_EX,114),INDEX(LISTA_EX,MATCH('T1'!$J33&amp;"|"&amp;114,LISTA_KLUCZ,0))),"")</f>
        <v>Meadows row</v>
      </c>
      <c r="DM33" s="5" t="str">
        <f t="array" ref="DM33">IFERROR(IF('T1'!$J33="",INDEX(LISTA_EX,115),INDEX(LISTA_EX,MATCH('T1'!$J33&amp;"|"&amp;115,LISTA_KLUCZ,0))),"")</f>
        <v>Med ball slam</v>
      </c>
      <c r="DN33" s="5" t="str">
        <f t="array" ref="DN33">IFERROR(IF('T1'!$J33="",INDEX(LISTA_EX,116),INDEX(LISTA_EX,MATCH('T1'!$J33&amp;"|"&amp;116,LISTA_KLUCZ,0))),"")</f>
        <v>OH skullcrushers</v>
      </c>
      <c r="DO33" s="5" t="str">
        <f t="array" ref="DO33">IFERROR(IF('T1'!$J33="",INDEX(LISTA_EX,117),INDEX(LISTA_EX,MATCH('T1'!$J33&amp;"|"&amp;117,LISTA_KLUCZ,0))),"")</f>
        <v>OHP barbell squat 15kg</v>
      </c>
      <c r="DP33" s="5" t="str">
        <f t="array" ref="DP33">IFERROR(IF('T1'!$J33="",INDEX(LISTA_EX,118),INDEX(LISTA_EX,MATCH('T1'!$J33&amp;"|"&amp;118,LISTA_KLUCZ,0))),"")</f>
        <v>Pistol squat eccentric</v>
      </c>
      <c r="DQ33" s="5" t="str">
        <f t="array" ref="DQ33">IFERROR(IF('T1'!$J33="",INDEX(LISTA_EX,119),INDEX(LISTA_EX,MATCH('T1'!$J33&amp;"|"&amp;119,LISTA_KLUCZ,0))),"")</f>
        <v>Plank contralateral</v>
      </c>
      <c r="DR33" s="5" t="str">
        <f t="array" ref="DR33">IFERROR(IF('T1'!$J33="",INDEX(LISTA_EX,120),INDEX(LISTA_EX,MATCH('T1'!$J33&amp;"|"&amp;120,LISTA_KLUCZ,0))),"")</f>
        <v>Plank dumbbell rotation</v>
      </c>
      <c r="DS33" s="5" t="str">
        <f t="array" ref="DS33">IFERROR(IF('T1'!$J33="",INDEX(LISTA_EX,121),INDEX(LISTA_EX,MATCH('T1'!$J33&amp;"|"&amp;121,LISTA_KLUCZ,0))),"")</f>
        <v>Plank leg raises</v>
      </c>
      <c r="DT33" s="5" t="str">
        <f t="array" ref="DT33">IFERROR(IF('T1'!$J33="",INDEX(LISTA_EX,122),INDEX(LISTA_EX,MATCH('T1'!$J33&amp;"|"&amp;122,LISTA_KLUCZ,0))),"")</f>
        <v>Poliquin step up</v>
      </c>
      <c r="DU33" s="5" t="str">
        <f t="array" ref="DU33">IFERROR(IF('T1'!$J33="",INDEX(LISTA_EX,123),INDEX(LISTA_EX,MATCH('T1'!$J33&amp;"|"&amp;123,LISTA_KLUCZ,0))),"")</f>
        <v>Poliquin step up paused 3sec</v>
      </c>
      <c r="DV33" s="5" t="str">
        <f t="array" ref="DV33">IFERROR(IF('T1'!$J33="",INDEX(LISTA_EX,124),INDEX(LISTA_EX,MATCH('T1'!$J33&amp;"|"&amp;124,LISTA_KLUCZ,0))),"")</f>
        <v>Pronation/Supination</v>
      </c>
      <c r="DW33" s="5" t="str">
        <f t="array" ref="DW33">IFERROR(IF('T1'!$J33="",INDEX(LISTA_EX,125),INDEX(LISTA_EX,MATCH('T1'!$J33&amp;"|"&amp;125,LISTA_KLUCZ,0))),"")</f>
        <v>Pull up</v>
      </c>
      <c r="DX33" s="5" t="str">
        <f t="array" ref="DX33">IFERROR(IF('T1'!$J33="",INDEX(LISTA_EX,126),INDEX(LISTA_EX,MATCH('T1'!$J33&amp;"|"&amp;126,LISTA_KLUCZ,0))),"")</f>
        <v>Pull up eccentric weighted</v>
      </c>
      <c r="DY33" s="5" t="str">
        <f t="array" ref="DY33">IFERROR(IF('T1'!$J33="",INDEX(LISTA_EX,127),INDEX(LISTA_EX,MATCH('T1'!$J33&amp;"|"&amp;127,LISTA_KLUCZ,0))),"")</f>
        <v>Pull up eccentric weighted (5 sek w dół)</v>
      </c>
      <c r="DZ33" s="5" t="str">
        <f t="array" ref="DZ33">IFERROR(IF('T1'!$J33="",INDEX(LISTA_EX,128),INDEX(LISTA_EX,MATCH('T1'!$J33&amp;"|"&amp;128,LISTA_KLUCZ,0))),"")</f>
        <v>Pull up weighted</v>
      </c>
      <c r="EA33" s="5" t="str">
        <f t="array" ref="EA33">IFERROR(IF('T1'!$J33="",INDEX(LISTA_EX,129),INDEX(LISTA_EX,MATCH('T1'!$J33&amp;"|"&amp;129,LISTA_KLUCZ,0))),"")</f>
        <v>Pull ups (paused)</v>
      </c>
      <c r="EB33" s="5" t="str">
        <f t="array" ref="EB33">IFERROR(IF('T1'!$J33="",INDEX(LISTA_EX,130),INDEX(LISTA_EX,MATCH('T1'!$J33&amp;"|"&amp;130,LISTA_KLUCZ,0))),"")</f>
        <v>Push press barbell</v>
      </c>
      <c r="EC33" s="5" t="str">
        <f t="array" ref="EC33">IFERROR(IF('T1'!$J33="",INDEX(LISTA_EX,131),INDEX(LISTA_EX,MATCH('T1'!$J33&amp;"|"&amp;131,LISTA_KLUCZ,0))),"")</f>
        <v>Push up</v>
      </c>
      <c r="ED33" s="5" t="str">
        <f t="array" ref="ED33">IFERROR(IF('T1'!$J33="",INDEX(LISTA_EX,132),INDEX(LISTA_EX,MATCH('T1'!$J33&amp;"|"&amp;132,LISTA_KLUCZ,0))),"")</f>
        <v>Raised bird dog</v>
      </c>
      <c r="EE33" s="5" t="str">
        <f t="array" ref="EE33">IFERROR(IF('T1'!$J33="",INDEX(LISTA_EX,133),INDEX(LISTA_EX,MATCH('T1'!$J33&amp;"|"&amp;133,LISTA_KLUCZ,0))),"")</f>
        <v>RDL</v>
      </c>
      <c r="EF33" s="5" t="str">
        <f t="array" ref="EF33">IFERROR(IF('T1'!$J33="",INDEX(LISTA_EX,134),INDEX(LISTA_EX,MATCH('T1'!$J33&amp;"|"&amp;134,LISTA_KLUCZ,0))),"")</f>
        <v>Reverse Nordic</v>
      </c>
      <c r="EG33" s="5" t="str">
        <f t="array" ref="EG33">IFERROR(IF('T1'!$J33="",INDEX(LISTA_EX,135),INDEX(LISTA_EX,MATCH('T1'!$J33&amp;"|"&amp;135,LISTA_KLUCZ,0))),"")</f>
        <v>Rope pushdown</v>
      </c>
      <c r="EH33" s="5" t="str">
        <f t="array" ref="EH33">IFERROR(IF('T1'!$J33="",INDEX(LISTA_EX,136),INDEX(LISTA_EX,MATCH('T1'!$J33&amp;"|"&amp;136,LISTA_KLUCZ,0))),"")</f>
        <v>Rope pushdown OH</v>
      </c>
      <c r="EI33" s="5" t="str">
        <f t="array" ref="EI33">IFERROR(IF('T1'!$J33="",INDEX(LISTA_EX,137),INDEX(LISTA_EX,MATCH('T1'!$J33&amp;"|"&amp;137,LISTA_KLUCZ,0))),"")</f>
        <v>S/a cable pulldown incline bench</v>
      </c>
      <c r="EJ33" s="5" t="str">
        <f t="array" ref="EJ33">IFERROR(IF('T1'!$J33="",INDEX(LISTA_EX,138),INDEX(LISTA_EX,MATCH('T1'!$J33&amp;"|"&amp;138,LISTA_KLUCZ,0))),"")</f>
        <v>S/a lat pulldown incline bench</v>
      </c>
      <c r="EK33" s="5" t="str">
        <f t="array" ref="EK33">IFERROR(IF('T1'!$J33="",INDEX(LISTA_EX,139),INDEX(LISTA_EX,MATCH('T1'!$J33&amp;"|"&amp;139,LISTA_KLUCZ,0))),"")</f>
        <v>S/l dragonflag eccentric</v>
      </c>
      <c r="EL33" s="5" t="str">
        <f t="array" ref="EL33">IFERROR(IF('T1'!$J33="",INDEX(LISTA_EX,140),INDEX(LISTA_EX,MATCH('T1'!$J33&amp;"|"&amp;140,LISTA_KLUCZ,0))),"")</f>
        <v>S/l hip thrust</v>
      </c>
      <c r="EM33" s="5" t="str">
        <f t="array" ref="EM33">IFERROR(IF('T1'!$J33="",INDEX(LISTA_EX,141),INDEX(LISTA_EX,MATCH('T1'!$J33&amp;"|"&amp;141,LISTA_KLUCZ,0))),"")</f>
        <v>Seated broad jump</v>
      </c>
      <c r="EN33" s="5" t="str">
        <f t="array" ref="EN33">IFERROR(IF('T1'!$J33="",INDEX(LISTA_EX,142),INDEX(LISTA_EX,MATCH('T1'!$J33&amp;"|"&amp;142,LISTA_KLUCZ,0))),"")</f>
        <v>Seated cable facepull</v>
      </c>
      <c r="EO33" s="5" t="str">
        <f t="array" ref="EO33">IFERROR(IF('T1'!$J33="",INDEX(LISTA_EX,143),INDEX(LISTA_EX,MATCH('T1'!$J33&amp;"|"&amp;143,LISTA_KLUCZ,0))),"")</f>
        <v>Seated seesaw press (nogi proste)</v>
      </c>
      <c r="EP33" s="5" t="str">
        <f t="array" ref="EP33">IFERROR(IF('T1'!$J33="",INDEX(LISTA_EX,144),INDEX(LISTA_EX,MATCH('T1'!$J33&amp;"|"&amp;144,LISTA_KLUCZ,0))),"")</f>
        <v>Seesaw press</v>
      </c>
      <c r="EQ33" s="5" t="str">
        <f t="array" ref="EQ33">IFERROR(IF('T1'!$J33="",INDEX(LISTA_EX,145),INDEX(LISTA_EX,MATCH('T1'!$J33&amp;"|"&amp;145,LISTA_KLUCZ,0))),"")</f>
        <v>Side crunches</v>
      </c>
      <c r="ER33" s="5" t="str">
        <f t="array" ref="ER33">IFERROR(IF('T1'!$J33="",INDEX(LISTA_EX,146),INDEX(LISTA_EX,MATCH('T1'!$J33&amp;"|"&amp;146,LISTA_KLUCZ,0))),"")</f>
        <v>Side plank hip drop</v>
      </c>
      <c r="ES33" s="5" t="str">
        <f t="array" ref="ES33">IFERROR(IF('T1'!$J33="",INDEX(LISTA_EX,147),INDEX(LISTA_EX,MATCH('T1'!$J33&amp;"|"&amp;147,LISTA_KLUCZ,0))),"")</f>
        <v>Side plank rotations</v>
      </c>
      <c r="ET33" s="5" t="str">
        <f t="array" ref="ET33">IFERROR(IF('T1'!$J33="",INDEX(LISTA_EX,148),INDEX(LISTA_EX,MATCH('T1'!$J33&amp;"|"&amp;148,LISTA_KLUCZ,0))),"")</f>
        <v>SLDL balance</v>
      </c>
      <c r="EU33" s="5" t="str">
        <f t="array" ref="EU33">IFERROR(IF('T1'!$J33="",INDEX(LISTA_EX,149),INDEX(LISTA_EX,MATCH('T1'!$J33&amp;"|"&amp;149,LISTA_KLUCZ,0))),"")</f>
        <v>Split squat</v>
      </c>
      <c r="EV33" s="5" t="str">
        <f t="array" ref="EV33">IFERROR(IF('T1'!$J33="",INDEX(LISTA_EX,150),INDEX(LISTA_EX,MATCH('T1'!$J33&amp;"|"&amp;150,LISTA_KLUCZ,0))),"")</f>
        <v>Split stance SLDL</v>
      </c>
      <c r="EW33" s="5" t="str">
        <f t="array" ref="EW33">IFERROR(IF('T1'!$J33="",INDEX(LISTA_EX,151),INDEX(LISTA_EX,MATCH('T1'!$J33&amp;"|"&amp;151,LISTA_KLUCZ,0))),"")</f>
        <v>Squat izo (15 sek)</v>
      </c>
      <c r="EX33" s="5" t="str">
        <f t="array" ref="EX33">IFERROR(IF('T1'!$J33="",INDEX(LISTA_EX,152),INDEX(LISTA_EX,MATCH('T1'!$J33&amp;"|"&amp;152,LISTA_KLUCZ,0))),"")</f>
        <v>Standing landmine press</v>
      </c>
      <c r="EY33" s="5" t="str">
        <f t="array" ref="EY33">IFERROR(IF('T1'!$J33="",INDEX(LISTA_EX,153),INDEX(LISTA_EX,MATCH('T1'!$J33&amp;"|"&amp;153,LISTA_KLUCZ,0))),"")</f>
        <v>Suitcase carry</v>
      </c>
      <c r="EZ33" s="5" t="str">
        <f t="array" ref="EZ33">IFERROR(IF('T1'!$J33="",INDEX(LISTA_EX,154),INDEX(LISTA_EX,MATCH('T1'!$J33&amp;"|"&amp;154,LISTA_KLUCZ,0))),"")</f>
        <v>Supine pigeon abs</v>
      </c>
      <c r="FA33" s="5" t="str">
        <f t="array" ref="FA33">IFERROR(IF('T1'!$J33="",INDEX(LISTA_EX,155),INDEX(LISTA_EX,MATCH('T1'!$J33&amp;"|"&amp;155,LISTA_KLUCZ,0))),"")</f>
        <v>Swiss ball leg curl</v>
      </c>
      <c r="FB33" s="5" t="str">
        <f t="array" ref="FB33">IFERROR(IF('T1'!$J33="",INDEX(LISTA_EX,156),INDEX(LISTA_EX,MATCH('T1'!$J33&amp;"|"&amp;156,LISTA_KLUCZ,0))),"")</f>
        <v>Toes to bar</v>
      </c>
      <c r="FC33" s="5" t="str">
        <f t="array" ref="FC33">IFERROR(IF('T1'!$J33="",INDEX(LISTA_EX,157),INDEX(LISTA_EX,MATCH('T1'!$J33&amp;"|"&amp;157,LISTA_KLUCZ,0))),"")</f>
        <v>Trap bar deadlift</v>
      </c>
      <c r="FD33" s="5" t="str">
        <f t="array" ref="FD33">IFERROR(IF('T1'!$J33="",INDEX(LISTA_EX,158),INDEX(LISTA_EX,MATCH('T1'!$J33&amp;"|"&amp;158,LISTA_KLUCZ,0))),"")</f>
        <v>Tricep cable pushdown</v>
      </c>
      <c r="FE33" s="5" t="str">
        <f t="array" ref="FE33">IFERROR(IF('T1'!$J33="",INDEX(LISTA_EX,159),INDEX(LISTA_EX,MATCH('T1'!$J33&amp;"|"&amp;159,LISTA_KLUCZ,0))),"")</f>
        <v>Tricep JM press</v>
      </c>
      <c r="FF33" s="5" t="str">
        <f t="array" ref="FF33">IFERROR(IF('T1'!$J33="",INDEX(LISTA_EX,160),INDEX(LISTA_EX,MATCH('T1'!$J33&amp;"|"&amp;160,LISTA_KLUCZ,0))),"")</f>
        <v>Tricep OH cable</v>
      </c>
      <c r="FG33" s="5" t="str">
        <f t="array" ref="FG33">IFERROR(IF('T1'!$J33="",INDEX(LISTA_EX,161),INDEX(LISTA_EX,MATCH('T1'!$J33&amp;"|"&amp;161,LISTA_KLUCZ,0))),"")</f>
        <v>Tricep OH ez bar</v>
      </c>
      <c r="FH33" s="5" t="str">
        <f t="array" ref="FH33">IFERROR(IF('T1'!$J33="",INDEX(LISTA_EX,162),INDEX(LISTA_EX,MATCH('T1'!$J33&amp;"|"&amp;162,LISTA_KLUCZ,0))),"")</f>
        <v>Walking lunges</v>
      </c>
      <c r="FI33" s="5" t="str">
        <f t="array" ref="FI33">IFERROR(IF('T1'!$J33="",INDEX(LISTA_EX,163),INDEX(LISTA_EX,MATCH('T1'!$J33&amp;"|"&amp;163,LISTA_KLUCZ,0))),"")</f>
        <v>Wipers kettle</v>
      </c>
      <c r="FJ33" s="5" t="str">
        <f t="array" ref="FJ33">IFERROR(IF('T1'!$J33="",INDEX(LISTA_EX,164),INDEX(LISTA_EX,MATCH('T1'!$J33&amp;"|"&amp;164,LISTA_KLUCZ,0))),"")</f>
        <v>Zercher jumps</v>
      </c>
      <c r="FK33" s="5" t="str">
        <f t="array" ref="FK33">IFERROR(IF('T1'!$J33="",INDEX(LISTA_EX,165),INDEX(LISTA_EX,MATCH('T1'!$J33&amp;"|"&amp;165,LISTA_KLUCZ,0))),"")</f>
        <v/>
      </c>
      <c r="FL33" s="5" t="str">
        <f t="array" ref="FL33">IFERROR(IF('T1'!$J33="",INDEX(LISTA_EX,166),INDEX(LISTA_EX,MATCH('T1'!$J33&amp;"|"&amp;166,LISTA_KLUCZ,0))),"")</f>
        <v/>
      </c>
      <c r="FM33" s="5" t="str">
        <f t="array" ref="FM33">IFERROR(IF('T1'!$J33="",INDEX(LISTA_EX,167),INDEX(LISTA_EX,MATCH('T1'!$J33&amp;"|"&amp;167,LISTA_KLUCZ,0))),"")</f>
        <v/>
      </c>
      <c r="FN33" s="5" t="str">
        <f t="array" ref="FN33">IFERROR(IF('T1'!$J33="",INDEX(LISTA_EX,168),INDEX(LISTA_EX,MATCH('T1'!$J33&amp;"|"&amp;168,LISTA_KLUCZ,0))),"")</f>
        <v/>
      </c>
      <c r="FO33" s="5" t="str">
        <f t="array" ref="FO33">IFERROR(IF('T1'!$J33="",INDEX(LISTA_EX,169),INDEX(LISTA_EX,MATCH('T1'!$J33&amp;"|"&amp;169,LISTA_KLUCZ,0))),"")</f>
        <v/>
      </c>
      <c r="FP33" s="5" t="str">
        <f t="array" ref="FP33">IFERROR(IF('T1'!$J33="",INDEX(LISTA_EX,170),INDEX(LISTA_EX,MATCH('T1'!$J33&amp;"|"&amp;170,LISTA_KLUCZ,0))),"")</f>
        <v/>
      </c>
      <c r="FQ33" s="5" t="str">
        <f t="array" ref="FQ33">IFERROR(IF('T1'!$J33="",INDEX(LISTA_EX,171),INDEX(LISTA_EX,MATCH('T1'!$J33&amp;"|"&amp;171,LISTA_KLUCZ,0))),"")</f>
        <v/>
      </c>
      <c r="FR33" s="5" t="str">
        <f t="array" ref="FR33">IFERROR(IF('T1'!$J33="",INDEX(LISTA_EX,172),INDEX(LISTA_EX,MATCH('T1'!$J33&amp;"|"&amp;172,LISTA_KLUCZ,0))),"")</f>
        <v/>
      </c>
      <c r="FS33" s="5" t="str">
        <f t="array" ref="FS33">IFERROR(IF('T1'!$J33="",INDEX(LISTA_EX,173),INDEX(LISTA_EX,MATCH('T1'!$J33&amp;"|"&amp;173,LISTA_KLUCZ,0))),"")</f>
        <v/>
      </c>
      <c r="FT33" s="5" t="str">
        <f t="array" ref="FT33">IFERROR(IF('T1'!$J33="",INDEX(LISTA_EX,174),INDEX(LISTA_EX,MATCH('T1'!$J33&amp;"|"&amp;174,LISTA_KLUCZ,0))),"")</f>
        <v/>
      </c>
      <c r="FU33" s="5" t="str">
        <f t="array" ref="FU33">IFERROR(IF('T1'!$J33="",INDEX(LISTA_EX,175),INDEX(LISTA_EX,MATCH('T1'!$J33&amp;"|"&amp;175,LISTA_KLUCZ,0))),"")</f>
        <v/>
      </c>
      <c r="FV33" s="5" t="str">
        <f t="array" ref="FV33">IFERROR(IF('T1'!$J33="",INDEX(LISTA_EX,176),INDEX(LISTA_EX,MATCH('T1'!$J33&amp;"|"&amp;176,LISTA_KLUCZ,0))),"")</f>
        <v/>
      </c>
      <c r="FW33" s="5" t="str">
        <f t="array" ref="FW33">IFERROR(IF('T1'!$J33="",INDEX(LISTA_EX,177),INDEX(LISTA_EX,MATCH('T1'!$J33&amp;"|"&amp;177,LISTA_KLUCZ,0))),"")</f>
        <v/>
      </c>
      <c r="FX33" s="5" t="str">
        <f t="array" ref="FX33">IFERROR(IF('T1'!$J33="",INDEX(LISTA_EX,178),INDEX(LISTA_EX,MATCH('T1'!$J33&amp;"|"&amp;178,LISTA_KLUCZ,0))),"")</f>
        <v/>
      </c>
      <c r="FY33" s="5" t="str">
        <f t="array" ref="FY33">IFERROR(IF('T1'!$J33="",INDEX(LISTA_EX,179),INDEX(LISTA_EX,MATCH('T1'!$J33&amp;"|"&amp;179,LISTA_KLUCZ,0))),"")</f>
        <v/>
      </c>
      <c r="FZ33" s="5" t="str">
        <f t="array" ref="FZ33">IFERROR(IF('T1'!$J33="",INDEX(LISTA_EX,180),INDEX(LISTA_EX,MATCH('T1'!$J33&amp;"|"&amp;180,LISTA_KLUCZ,0))),"")</f>
        <v/>
      </c>
      <c r="GA33" s="5" t="str">
        <f t="array" ref="GA33">IFERROR(IF('T1'!$J33="",INDEX(LISTA_EX,181),INDEX(LISTA_EX,MATCH('T1'!$J33&amp;"|"&amp;181,LISTA_KLUCZ,0))),"")</f>
        <v/>
      </c>
      <c r="GB33" s="5" t="str">
        <f t="array" ref="GB33">IFERROR(IF('T1'!$J33="",INDEX(LISTA_EX,182),INDEX(LISTA_EX,MATCH('T1'!$J33&amp;"|"&amp;182,LISTA_KLUCZ,0))),"")</f>
        <v/>
      </c>
      <c r="GC33" s="5" t="str">
        <f t="array" ref="GC33">IFERROR(IF('T1'!$J33="",INDEX(LISTA_EX,183),INDEX(LISTA_EX,MATCH('T1'!$J33&amp;"|"&amp;183,LISTA_KLUCZ,0))),"")</f>
        <v/>
      </c>
      <c r="GD33" s="5" t="str">
        <f t="array" ref="GD33">IFERROR(IF('T1'!$J33="",INDEX(LISTA_EX,184),INDEX(LISTA_EX,MATCH('T1'!$J33&amp;"|"&amp;184,LISTA_KLUCZ,0))),"")</f>
        <v/>
      </c>
      <c r="GE33" s="5" t="str">
        <f t="array" ref="GE33">IFERROR(IF('T1'!$J33="",INDEX(LISTA_EX,185),INDEX(LISTA_EX,MATCH('T1'!$J33&amp;"|"&amp;185,LISTA_KLUCZ,0))),"")</f>
        <v/>
      </c>
      <c r="GF33" s="5" t="str">
        <f t="array" ref="GF33">IFERROR(IF('T1'!$J33="",INDEX(LISTA_EX,186),INDEX(LISTA_EX,MATCH('T1'!$J33&amp;"|"&amp;186,LISTA_KLUCZ,0))),"")</f>
        <v/>
      </c>
      <c r="GG33" s="5" t="str">
        <f t="array" ref="GG33">IFERROR(IF('T1'!$J33="",INDEX(LISTA_EX,187),INDEX(LISTA_EX,MATCH('T1'!$J33&amp;"|"&amp;187,LISTA_KLUCZ,0))),"")</f>
        <v/>
      </c>
      <c r="GH33" s="5" t="str">
        <f t="array" ref="GH33">IFERROR(IF('T1'!$J33="",INDEX(LISTA_EX,188),INDEX(LISTA_EX,MATCH('T1'!$J33&amp;"|"&amp;188,LISTA_KLUCZ,0))),"")</f>
        <v/>
      </c>
      <c r="GI33" s="5" t="str">
        <f t="array" ref="GI33">IFERROR(IF('T1'!$J33="",INDEX(LISTA_EX,189),INDEX(LISTA_EX,MATCH('T1'!$J33&amp;"|"&amp;189,LISTA_KLUCZ,0))),"")</f>
        <v/>
      </c>
      <c r="GJ33" s="5" t="str">
        <f t="array" ref="GJ33">IFERROR(IF('T1'!$J33="",INDEX(LISTA_EX,190),INDEX(LISTA_EX,MATCH('T1'!$J33&amp;"|"&amp;190,LISTA_KLUCZ,0))),"")</f>
        <v/>
      </c>
      <c r="GK33" s="5" t="str">
        <f t="array" ref="GK33">IFERROR(IF('T1'!$J33="",INDEX(LISTA_EX,191),INDEX(LISTA_EX,MATCH('T1'!$J33&amp;"|"&amp;191,LISTA_KLUCZ,0))),"")</f>
        <v/>
      </c>
      <c r="GL33" s="5" t="str">
        <f t="array" ref="GL33">IFERROR(IF('T1'!$J33="",INDEX(LISTA_EX,192),INDEX(LISTA_EX,MATCH('T1'!$J33&amp;"|"&amp;192,LISTA_KLUCZ,0))),"")</f>
        <v/>
      </c>
      <c r="GM33" s="5" t="str">
        <f t="array" ref="GM33">IFERROR(IF('T1'!$J33="",INDEX(LISTA_EX,193),INDEX(LISTA_EX,MATCH('T1'!$J33&amp;"|"&amp;193,LISTA_KLUCZ,0))),"")</f>
        <v/>
      </c>
      <c r="GN33" s="5" t="str">
        <f t="array" ref="GN33">IFERROR(IF('T1'!$J33="",INDEX(LISTA_EX,194),INDEX(LISTA_EX,MATCH('T1'!$J33&amp;"|"&amp;194,LISTA_KLUCZ,0))),"")</f>
        <v/>
      </c>
      <c r="GO33" s="5" t="str">
        <f t="array" ref="GO33">IFERROR(IF('T1'!$J33="",INDEX(LISTA_EX,195),INDEX(LISTA_EX,MATCH('T1'!$J33&amp;"|"&amp;195,LISTA_KLUCZ,0))),"")</f>
        <v/>
      </c>
      <c r="GP33" s="5" t="str">
        <f t="array" ref="GP33">IFERROR(IF('T1'!$J33="",INDEX(LISTA_EX,196),INDEX(LISTA_EX,MATCH('T1'!$J33&amp;"|"&amp;196,LISTA_KLUCZ,0))),"")</f>
        <v/>
      </c>
      <c r="GQ33" s="5" t="str">
        <f t="array" ref="GQ33">IFERROR(IF('T1'!$J33="",INDEX(LISTA_EX,197),INDEX(LISTA_EX,MATCH('T1'!$J33&amp;"|"&amp;197,LISTA_KLUCZ,0))),"")</f>
        <v/>
      </c>
      <c r="GR33" s="5" t="str">
        <f t="array" ref="GR33">IFERROR(IF('T1'!$J33="",INDEX(LISTA_EX,198),INDEX(LISTA_EX,MATCH('T1'!$J33&amp;"|"&amp;198,LISTA_KLUCZ,0))),"")</f>
        <v/>
      </c>
      <c r="GS33" s="5" t="str">
        <f t="array" ref="GS33">IFERROR(IF('T1'!$J33="",INDEX(LISTA_EX,199),INDEX(LISTA_EX,MATCH('T1'!$J33&amp;"|"&amp;199,LISTA_KLUCZ,0))),"")</f>
        <v/>
      </c>
      <c r="GT33" s="5" t="str">
        <f t="array" ref="GT33">IFERROR(IF('T1'!$J33="",INDEX(LISTA_EX,200),INDEX(LISTA_EX,MATCH('T1'!$J33&amp;"|"&amp;200,LISTA_KLUCZ,0))),"")</f>
        <v/>
      </c>
      <c r="GV33" s="5" t="str">
        <f>IF(BAZA!$A33="","",BAZA!$A33)</f>
        <v>Cable row</v>
      </c>
      <c r="GW33" s="5" t="str">
        <f>IF(BAZA!$B33="","",BAZA!$B33&amp;"|"&amp;COUNTIF(BAZA!$B$3:$B33,BAZA!$B33))</f>
        <v>Upper pull horizontal|4</v>
      </c>
    </row>
    <row r="34" ht="15.0" customHeight="1">
      <c r="A34" s="5" t="str">
        <f>IF('T1'!$K34="","",'T1'!$K34)</f>
        <v>D2-S12</v>
      </c>
      <c r="B34" s="5" t="str">
        <f>IF('T1'!$J34="","(wszystkie)",'T1'!$J34)</f>
        <v>(wszystkie)</v>
      </c>
      <c r="C34" s="5" t="str">
        <f t="array" ref="C34">IFERROR(IF('T1'!$J34="",INDEX(LISTA_EX,1),INDEX(LISTA_EX,MATCH('T1'!$J34&amp;"|"&amp;1,LISTA_KLUCZ,0))),"")</f>
        <v>Abduction machine</v>
      </c>
      <c r="D34" s="5" t="str">
        <f t="array" ref="D34">IFERROR(IF('T1'!$J34="",INDEX(LISTA_EX,2),INDEX(LISTA_EX,MATCH('T1'!$J34&amp;"|"&amp;2,LISTA_KLUCZ,0))),"")</f>
        <v>Adduction machine</v>
      </c>
      <c r="E34" s="5" t="str">
        <f t="array" ref="E34">IFERROR(IF('T1'!$J34="",INDEX(LISTA_EX,3),INDEX(LISTA_EX,MATCH('T1'!$J34&amp;"|"&amp;3,LISTA_KLUCZ,0))),"")</f>
        <v>Allah</v>
      </c>
      <c r="F34" s="5" t="str">
        <f t="array" ref="F34">IFERROR(IF('T1'!$J34="",INDEX(LISTA_EX,4),INDEX(LISTA_EX,MATCH('T1'!$J34&amp;"|"&amp;4,LISTA_KLUCZ,0))),"")</f>
        <v>Arnold press</v>
      </c>
      <c r="G34" s="5" t="str">
        <f t="array" ref="G34">IFERROR(IF('T1'!$J34="",INDEX(LISTA_EX,5),INDEX(LISTA_EX,MATCH('T1'!$J34&amp;"|"&amp;5,LISTA_KLUCZ,0))),"")</f>
        <v>Arnold press alternating</v>
      </c>
      <c r="H34" s="5" t="str">
        <f t="array" ref="H34">IFERROR(IF('T1'!$J34="",INDEX(LISTA_EX,6),INDEX(LISTA_EX,MATCH('T1'!$J34&amp;"|"&amp;6,LISTA_KLUCZ,0))),"")</f>
        <v>B/l dragonflag eccentric</v>
      </c>
      <c r="I34" s="5" t="str">
        <f t="array" ref="I34">IFERROR(IF('T1'!$J34="",INDEX(LISTA_EX,7),INDEX(LISTA_EX,MATCH('T1'!$J34&amp;"|"&amp;7,LISTA_KLUCZ,0))),"")</f>
        <v>Back extension</v>
      </c>
      <c r="J34" s="5" t="str">
        <f t="array" ref="J34">IFERROR(IF('T1'!$J34="",INDEX(LISTA_EX,8),INDEX(LISTA_EX,MATCH('T1'!$J34&amp;"|"&amp;8,LISTA_KLUCZ,0))),"")</f>
        <v>Banded pistol squat</v>
      </c>
      <c r="K34" s="5" t="str">
        <f t="array" ref="K34">IFERROR(IF('T1'!$J34="",INDEX(LISTA_EX,9),INDEX(LISTA_EX,MATCH('T1'!$J34&amp;"|"&amp;9,LISTA_KLUCZ,0))),"")</f>
        <v>Banded pull ups</v>
      </c>
      <c r="L34" s="5" t="str">
        <f t="array" ref="L34">IFERROR(IF('T1'!$J34="",INDEX(LISTA_EX,10),INDEX(LISTA_EX,MATCH('T1'!$J34&amp;"|"&amp;10,LISTA_KLUCZ,0))),"")</f>
        <v>Barbell back squat</v>
      </c>
      <c r="M34" s="5" t="str">
        <f t="array" ref="M34">IFERROR(IF('T1'!$J34="",INDEX(LISTA_EX,11),INDEX(LISTA_EX,MATCH('T1'!$J34&amp;"|"&amp;11,LISTA_KLUCZ,0))),"")</f>
        <v>Barbell bench press</v>
      </c>
      <c r="N34" s="5" t="str">
        <f t="array" ref="N34">IFERROR(IF('T1'!$J34="",INDEX(LISTA_EX,12),INDEX(LISTA_EX,MATCH('T1'!$J34&amp;"|"&amp;12,LISTA_KLUCZ,0))),"")</f>
        <v>Barbell curl</v>
      </c>
      <c r="O34" s="5" t="str">
        <f t="array" ref="O34">IFERROR(IF('T1'!$J34="",INDEX(LISTA_EX,13),INDEX(LISTA_EX,MATCH('T1'!$J34&amp;"|"&amp;13,LISTA_KLUCZ,0))),"")</f>
        <v>Barbell low bar squat</v>
      </c>
      <c r="P34" s="5" t="str">
        <f t="array" ref="P34">IFERROR(IF('T1'!$J34="",INDEX(LISTA_EX,14),INDEX(LISTA_EX,MATCH('T1'!$J34&amp;"|"&amp;14,LISTA_KLUCZ,0))),"")</f>
        <v>Barbell OHP</v>
      </c>
      <c r="Q34" s="5" t="str">
        <f t="array" ref="Q34">IFERROR(IF('T1'!$J34="",INDEX(LISTA_EX,15),INDEX(LISTA_EX,MATCH('T1'!$J34&amp;"|"&amp;15,LISTA_KLUCZ,0))),"")</f>
        <v>Barbell oscilation</v>
      </c>
      <c r="R34" s="5" t="str">
        <f t="array" ref="R34">IFERROR(IF('T1'!$J34="",INDEX(LISTA_EX,16),INDEX(LISTA_EX,MATCH('T1'!$J34&amp;"|"&amp;16,LISTA_KLUCZ,0))),"")</f>
        <v>Barbell row</v>
      </c>
      <c r="S34" s="5" t="str">
        <f t="array" ref="S34">IFERROR(IF('T1'!$J34="",INDEX(LISTA_EX,17),INDEX(LISTA_EX,MATCH('T1'!$J34&amp;"|"&amp;17,LISTA_KLUCZ,0))),"")</f>
        <v>Barbell row dead stop pins</v>
      </c>
      <c r="T34" s="5" t="str">
        <f t="array" ref="T34">IFERROR(IF('T1'!$J34="",INDEX(LISTA_EX,18),INDEX(LISTA_EX,MATCH('T1'!$J34&amp;"|"&amp;18,LISTA_KLUCZ,0))),"")</f>
        <v>Barbell SLDL</v>
      </c>
      <c r="U34" s="5" t="str">
        <f t="array" ref="U34">IFERROR(IF('T1'!$J34="",INDEX(LISTA_EX,19),INDEX(LISTA_EX,MATCH('T1'!$J34&amp;"|"&amp;19,LISTA_KLUCZ,0))),"")</f>
        <v>Bayesian curl</v>
      </c>
      <c r="V34" s="5" t="str">
        <f t="array" ref="V34">IFERROR(IF('T1'!$J34="",INDEX(LISTA_EX,20),INDEX(LISTA_EX,MATCH('T1'!$J34&amp;"|"&amp;20,LISTA_KLUCZ,0))),"")</f>
        <v>Bear renegade row</v>
      </c>
      <c r="W34" s="5" t="str">
        <f t="array" ref="W34">IFERROR(IF('T1'!$J34="",INDEX(LISTA_EX,21),INDEX(LISTA_EX,MATCH('T1'!$J34&amp;"|"&amp;21,LISTA_KLUCZ,0))),"")</f>
        <v>Bench press paused 3sec</v>
      </c>
      <c r="X34" s="5" t="str">
        <f t="array" ref="X34">IFERROR(IF('T1'!$J34="",INDEX(LISTA_EX,22),INDEX(LISTA_EX,MATCH('T1'!$J34&amp;"|"&amp;22,LISTA_KLUCZ,0))),"")</f>
        <v>Bicep hammer curl</v>
      </c>
      <c r="Y34" s="5" t="str">
        <f t="array" ref="Y34">IFERROR(IF('T1'!$J34="",INDEX(LISTA_EX,23),INDEX(LISTA_EX,MATCH('T1'!$J34&amp;"|"&amp;23,LISTA_KLUCZ,0))),"")</f>
        <v>Bicep squat cable curl</v>
      </c>
      <c r="Z34" s="5" t="str">
        <f t="array" ref="Z34">IFERROR(IF('T1'!$J34="",INDEX(LISTA_EX,24),INDEX(LISTA_EX,MATCH('T1'!$J34&amp;"|"&amp;24,LISTA_KLUCZ,0))),"")</f>
        <v>Bird dog row</v>
      </c>
      <c r="AA34" s="5" t="str">
        <f t="array" ref="AA34">IFERROR(IF('T1'!$J34="",INDEX(LISTA_EX,25),INDEX(LISTA_EX,MATCH('T1'!$J34&amp;"|"&amp;25,LISTA_KLUCZ,0))),"")</f>
        <v>Box jump</v>
      </c>
      <c r="AB34" s="5" t="str">
        <f t="array" ref="AB34">IFERROR(IF('T1'!$J34="",INDEX(LISTA_EX,26),INDEX(LISTA_EX,MATCH('T1'!$J34&amp;"|"&amp;26,LISTA_KLUCZ,0))),"")</f>
        <v>Bulgarian clean plyo</v>
      </c>
      <c r="AC34" s="5" t="str">
        <f t="array" ref="AC34">IFERROR(IF('T1'!$J34="",INDEX(LISTA_EX,27),INDEX(LISTA_EX,MATCH('T1'!$J34&amp;"|"&amp;27,LISTA_KLUCZ,0))),"")</f>
        <v>Bulgarian squat assisted</v>
      </c>
      <c r="AD34" s="5" t="str">
        <f t="array" ref="AD34">IFERROR(IF('T1'!$J34="",INDEX(LISTA_EX,28),INDEX(LISTA_EX,MATCH('T1'!$J34&amp;"|"&amp;28,LISTA_KLUCZ,0))),"")</f>
        <v>Cable biceps curl</v>
      </c>
      <c r="AE34" s="5" t="str">
        <f t="array" ref="AE34">IFERROR(IF('T1'!$J34="",INDEX(LISTA_EX,29),INDEX(LISTA_EX,MATCH('T1'!$J34&amp;"|"&amp;29,LISTA_KLUCZ,0))),"")</f>
        <v>Cable fly</v>
      </c>
      <c r="AF34" s="5" t="str">
        <f t="array" ref="AF34">IFERROR(IF('T1'!$J34="",INDEX(LISTA_EX,30),INDEX(LISTA_EX,MATCH('T1'!$J34&amp;"|"&amp;30,LISTA_KLUCZ,0))),"")</f>
        <v>Cable lateral raise s/a</v>
      </c>
      <c r="AG34" s="5" t="str">
        <f t="array" ref="AG34">IFERROR(IF('T1'!$J34="",INDEX(LISTA_EX,31),INDEX(LISTA_EX,MATCH('T1'!$J34&amp;"|"&amp;31,LISTA_KLUCZ,0))),"")</f>
        <v>Cable row</v>
      </c>
      <c r="AH34" s="5" t="str">
        <f t="array" ref="AH34">IFERROR(IF('T1'!$J34="",INDEX(LISTA_EX,32),INDEX(LISTA_EX,MATCH('T1'!$J34&amp;"|"&amp;32,LISTA_KLUCZ,0))),"")</f>
        <v>Cable row s/a</v>
      </c>
      <c r="AI34" s="5" t="str">
        <f t="array" ref="AI34">IFERROR(IF('T1'!$J34="",INDEX(LISTA_EX,33),INDEX(LISTA_EX,MATCH('T1'!$J34&amp;"|"&amp;33,LISTA_KLUCZ,0))),"")</f>
        <v>Calf raises</v>
      </c>
      <c r="AJ34" s="5" t="str">
        <f t="array" ref="AJ34">IFERROR(IF('T1'!$J34="",INDEX(LISTA_EX,34),INDEX(LISTA_EX,MATCH('T1'!$J34&amp;"|"&amp;34,LISTA_KLUCZ,0))),"")</f>
        <v>Chest fly machine</v>
      </c>
      <c r="AK34" s="5" t="str">
        <f t="array" ref="AK34">IFERROR(IF('T1'!$J34="",INDEX(LISTA_EX,35),INDEX(LISTA_EX,MATCH('T1'!$J34&amp;"|"&amp;35,LISTA_KLUCZ,0))),"")</f>
        <v>Clean</v>
      </c>
      <c r="AL34" s="5" t="str">
        <f t="array" ref="AL34">IFERROR(IF('T1'!$J34="",INDEX(LISTA_EX,36),INDEX(LISTA_EX,MATCH('T1'!$J34&amp;"|"&amp;36,LISTA_KLUCZ,0))),"")</f>
        <v>Clean pins</v>
      </c>
      <c r="AM34" s="5" t="str">
        <f t="array" ref="AM34">IFERROR(IF('T1'!$J34="",INDEX(LISTA_EX,37),INDEX(LISTA_EX,MATCH('T1'!$J34&amp;"|"&amp;37,LISTA_KLUCZ,0))),"")</f>
        <v>Copenhagen plank</v>
      </c>
      <c r="AN34" s="5" t="str">
        <f t="array" ref="AN34">IFERROR(IF('T1'!$J34="",INDEX(LISTA_EX,38),INDEX(LISTA_EX,MATCH('T1'!$J34&amp;"|"&amp;38,LISTA_KLUCZ,0))),"")</f>
        <v>Dead bug izo + OH</v>
      </c>
      <c r="AO34" s="5" t="str">
        <f t="array" ref="AO34">IFERROR(IF('T1'!$J34="",INDEX(LISTA_EX,39),INDEX(LISTA_EX,MATCH('T1'!$J34&amp;"|"&amp;39,LISTA_KLUCZ,0))),"")</f>
        <v>Dead bug straight legs</v>
      </c>
      <c r="AP34" s="5" t="str">
        <f t="array" ref="AP34">IFERROR(IF('T1'!$J34="",INDEX(LISTA_EX,40),INDEX(LISTA_EX,MATCH('T1'!$J34&amp;"|"&amp;40,LISTA_KLUCZ,0))),"")</f>
        <v>Dead stop barbell row</v>
      </c>
      <c r="AQ34" s="5" t="str">
        <f t="array" ref="AQ34">IFERROR(IF('T1'!$J34="",INDEX(LISTA_EX,41),INDEX(LISTA_EX,MATCH('T1'!$J34&amp;"|"&amp;41,LISTA_KLUCZ,0))),"")</f>
        <v>Deadbug OH</v>
      </c>
      <c r="AR34" s="5" t="str">
        <f t="array" ref="AR34">IFERROR(IF('T1'!$J34="",INDEX(LISTA_EX,42),INDEX(LISTA_EX,MATCH('T1'!$J34&amp;"|"&amp;42,LISTA_KLUCZ,0))),"")</f>
        <v>Deadlift</v>
      </c>
      <c r="AS34" s="5" t="str">
        <f t="array" ref="AS34">IFERROR(IF('T1'!$J34="",INDEX(LISTA_EX,43),INDEX(LISTA_EX,MATCH('T1'!$J34&amp;"|"&amp;43,LISTA_KLUCZ,0))),"")</f>
        <v>Deficit push up</v>
      </c>
      <c r="AT34" s="5" t="str">
        <f t="array" ref="AT34">IFERROR(IF('T1'!$J34="",INDEX(LISTA_EX,44),INDEX(LISTA_EX,MATCH('T1'!$J34&amp;"|"&amp;44,LISTA_KLUCZ,0))),"")</f>
        <v>Deficit reverse lunge</v>
      </c>
      <c r="AU34" s="5" t="str">
        <f t="array" ref="AU34">IFERROR(IF('T1'!$J34="",INDEX(LISTA_EX,45),INDEX(LISTA_EX,MATCH('T1'!$J34&amp;"|"&amp;45,LISTA_KLUCZ,0))),"")</f>
        <v>Dips</v>
      </c>
      <c r="AV34" s="5" t="str">
        <f t="array" ref="AV34">IFERROR(IF('T1'!$J34="",INDEX(LISTA_EX,46),INDEX(LISTA_EX,MATCH('T1'!$J34&amp;"|"&amp;46,LISTA_KLUCZ,0))),"")</f>
        <v>Dips weighted</v>
      </c>
      <c r="AW34" s="5" t="str">
        <f t="array" ref="AW34">IFERROR(IF('T1'!$J34="",INDEX(LISTA_EX,47),INDEX(LISTA_EX,MATCH('T1'!$J34&amp;"|"&amp;47,LISTA_KLUCZ,0))),"")</f>
        <v>Dumbbell bench press</v>
      </c>
      <c r="AX34" s="5" t="str">
        <f t="array" ref="AX34">IFERROR(IF('T1'!$J34="",INDEX(LISTA_EX,48),INDEX(LISTA_EX,MATCH('T1'!$J34&amp;"|"&amp;48,LISTA_KLUCZ,0))),"")</f>
        <v>Dumbbell bench press alternating</v>
      </c>
      <c r="AY34" s="5" t="str">
        <f t="array" ref="AY34">IFERROR(IF('T1'!$J34="",INDEX(LISTA_EX,49),INDEX(LISTA_EX,MATCH('T1'!$J34&amp;"|"&amp;49,LISTA_KLUCZ,0))),"")</f>
        <v>Dumbbell curl</v>
      </c>
      <c r="AZ34" s="5" t="str">
        <f t="array" ref="AZ34">IFERROR(IF('T1'!$J34="",INDEX(LISTA_EX,50),INDEX(LISTA_EX,MATCH('T1'!$J34&amp;"|"&amp;50,LISTA_KLUCZ,0))),"")</f>
        <v>Dumbbell external rotation</v>
      </c>
      <c r="BA34" s="5" t="str">
        <f t="array" ref="BA34">IFERROR(IF('T1'!$J34="",INDEX(LISTA_EX,51),INDEX(LISTA_EX,MATCH('T1'!$J34&amp;"|"&amp;51,LISTA_KLUCZ,0))),"")</f>
        <v>Dumbbell face down curl</v>
      </c>
      <c r="BB34" s="5" t="str">
        <f t="array" ref="BB34">IFERROR(IF('T1'!$J34="",INDEX(LISTA_EX,52),INDEX(LISTA_EX,MATCH('T1'!$J34&amp;"|"&amp;52,LISTA_KLUCZ,0))),"")</f>
        <v>Dumbbell fly</v>
      </c>
      <c r="BC34" s="5" t="str">
        <f t="array" ref="BC34">IFERROR(IF('T1'!$J34="",INDEX(LISTA_EX,53),INDEX(LISTA_EX,MATCH('T1'!$J34&amp;"|"&amp;53,LISTA_KLUCZ,0))),"")</f>
        <v>Dumbbell french press</v>
      </c>
      <c r="BD34" s="5" t="str">
        <f t="array" ref="BD34">IFERROR(IF('T1'!$J34="",INDEX(LISTA_EX,54),INDEX(LISTA_EX,MATCH('T1'!$J34&amp;"|"&amp;54,LISTA_KLUCZ,0))),"")</f>
        <v>Dumbbell lateral raise</v>
      </c>
      <c r="BE34" s="5" t="str">
        <f t="array" ref="BE34">IFERROR(IF('T1'!$J34="",INDEX(LISTA_EX,55),INDEX(LISTA_EX,MATCH('T1'!$J34&amp;"|"&amp;55,LISTA_KLUCZ,0))),"")</f>
        <v>Dumbbell lunges</v>
      </c>
      <c r="BF34" s="5" t="str">
        <f t="array" ref="BF34">IFERROR(IF('T1'!$J34="",INDEX(LISTA_EX,56),INDEX(LISTA_EX,MATCH('T1'!$J34&amp;"|"&amp;56,LISTA_KLUCZ,0))),"")</f>
        <v>Dumbbell OH press</v>
      </c>
      <c r="BG34" s="5" t="str">
        <f t="array" ref="BG34">IFERROR(IF('T1'!$J34="",INDEX(LISTA_EX,57),INDEX(LISTA_EX,MATCH('T1'!$J34&amp;"|"&amp;57,LISTA_KLUCZ,0))),"")</f>
        <v>Dumbbell over head press</v>
      </c>
      <c r="BH34" s="5" t="str">
        <f t="array" ref="BH34">IFERROR(IF('T1'!$J34="",INDEX(LISTA_EX,58),INDEX(LISTA_EX,MATCH('T1'!$J34&amp;"|"&amp;58,LISTA_KLUCZ,0))),"")</f>
        <v>Dumbbell over head press alternating</v>
      </c>
      <c r="BI34" s="5" t="str">
        <f t="array" ref="BI34">IFERROR(IF('T1'!$J34="",INDEX(LISTA_EX,59),INDEX(LISTA_EX,MATCH('T1'!$J34&amp;"|"&amp;59,LISTA_KLUCZ,0))),"")</f>
        <v>Dumbbell row</v>
      </c>
      <c r="BJ34" s="5" t="str">
        <f t="array" ref="BJ34">IFERROR(IF('T1'!$J34="",INDEX(LISTA_EX,60),INDEX(LISTA_EX,MATCH('T1'!$J34&amp;"|"&amp;60,LISTA_KLUCZ,0))),"")</f>
        <v>Dumbbell s/a Arnold press</v>
      </c>
      <c r="BK34" s="5" t="str">
        <f t="array" ref="BK34">IFERROR(IF('T1'!$J34="",INDEX(LISTA_EX,61),INDEX(LISTA_EX,MATCH('T1'!$J34&amp;"|"&amp;61,LISTA_KLUCZ,0))),"")</f>
        <v>Dumbbell s/a row</v>
      </c>
      <c r="BL34" s="5" t="str">
        <f t="array" ref="BL34">IFERROR(IF('T1'!$J34="",INDEX(LISTA_EX,62),INDEX(LISTA_EX,MATCH('T1'!$J34&amp;"|"&amp;62,LISTA_KLUCZ,0))),"")</f>
        <v>Dumbbell seal row</v>
      </c>
      <c r="BM34" s="5" t="str">
        <f t="array" ref="BM34">IFERROR(IF('T1'!$J34="",INDEX(LISTA_EX,63),INDEX(LISTA_EX,MATCH('T1'!$J34&amp;"|"&amp;63,LISTA_KLUCZ,0))),"")</f>
        <v>Dumbbells jumps</v>
      </c>
      <c r="BN34" s="5" t="str">
        <f t="array" ref="BN34">IFERROR(IF('T1'!$J34="",INDEX(LISTA_EX,64),INDEX(LISTA_EX,MATCH('T1'!$J34&amp;"|"&amp;64,LISTA_KLUCZ,0))),"")</f>
        <v>Eccentric pull up</v>
      </c>
      <c r="BO34" s="5" t="str">
        <f t="array" ref="BO34">IFERROR(IF('T1'!$J34="",INDEX(LISTA_EX,65),INDEX(LISTA_EX,MATCH('T1'!$J34&amp;"|"&amp;65,LISTA_KLUCZ,0))),"")</f>
        <v>Eccentric push up (5 sek w dół)</v>
      </c>
      <c r="BP34" s="5" t="str">
        <f t="array" ref="BP34">IFERROR(IF('T1'!$J34="",INDEX(LISTA_EX,66),INDEX(LISTA_EX,MATCH('T1'!$J34&amp;"|"&amp;66,LISTA_KLUCZ,0))),"")</f>
        <v>Extensive plyo jumps s/l</v>
      </c>
      <c r="BQ34" s="5" t="str">
        <f t="array" ref="BQ34">IFERROR(IF('T1'!$J34="",INDEX(LISTA_EX,67),INDEX(LISTA_EX,MATCH('T1'!$J34&amp;"|"&amp;67,LISTA_KLUCZ,0))),"")</f>
        <v>Ez bar curl</v>
      </c>
      <c r="BR34" s="5" t="str">
        <f t="array" ref="BR34">IFERROR(IF('T1'!$J34="",INDEX(LISTA_EX,68),INDEX(LISTA_EX,MATCH('T1'!$J34&amp;"|"&amp;68,LISTA_KLUCZ,0))),"")</f>
        <v>Facepull chest supported</v>
      </c>
      <c r="BS34" s="5" t="str">
        <f t="array" ref="BS34">IFERROR(IF('T1'!$J34="",INDEX(LISTA_EX,69),INDEX(LISTA_EX,MATCH('T1'!$J34&amp;"|"&amp;69,LISTA_KLUCZ,0))),"")</f>
        <v>Front foot elevated split squat</v>
      </c>
      <c r="BT34" s="5" t="str">
        <f t="array" ref="BT34">IFERROR(IF('T1'!$J34="",INDEX(LISTA_EX,70),INDEX(LISTA_EX,MATCH('T1'!$J34&amp;"|"&amp;70,LISTA_KLUCZ,0))),"")</f>
        <v>Front squat</v>
      </c>
      <c r="BU34" s="5" t="str">
        <f t="array" ref="BU34">IFERROR(IF('T1'!$J34="",INDEX(LISTA_EX,71),INDEX(LISTA_EX,MATCH('T1'!$J34&amp;"|"&amp;71,LISTA_KLUCZ,0))),"")</f>
        <v>GHD flexion</v>
      </c>
      <c r="BV34" s="5" t="str">
        <f t="array" ref="BV34">IFERROR(IF('T1'!$J34="",INDEX(LISTA_EX,72),INDEX(LISTA_EX,MATCH('T1'!$J34&amp;"|"&amp;72,LISTA_KLUCZ,0))),"")</f>
        <v>Glute bridge hamstrings izo + OH</v>
      </c>
      <c r="BW34" s="5" t="str">
        <f t="array" ref="BW34">IFERROR(IF('T1'!$J34="",INDEX(LISTA_EX,73),INDEX(LISTA_EX,MATCH('T1'!$J34&amp;"|"&amp;73,LISTA_KLUCZ,0))),"")</f>
        <v>Glute crusher</v>
      </c>
      <c r="BX34" s="5" t="str">
        <f t="array" ref="BX34">IFERROR(IF('T1'!$J34="",INDEX(LISTA_EX,74),INDEX(LISTA_EX,MATCH('T1'!$J34&amp;"|"&amp;74,LISTA_KLUCZ,0))),"")</f>
        <v>Gorilla row</v>
      </c>
      <c r="BY34" s="5" t="str">
        <f t="array" ref="BY34">IFERROR(IF('T1'!$J34="",INDEX(LISTA_EX,75),INDEX(LISTA_EX,MATCH('T1'!$J34&amp;"|"&amp;75,LISTA_KLUCZ,0))),"")</f>
        <v>Halfkneeling s/a cable pull</v>
      </c>
      <c r="BZ34" s="5" t="str">
        <f t="array" ref="BZ34">IFERROR(IF('T1'!$J34="",INDEX(LISTA_EX,76),INDEX(LISTA_EX,MATCH('T1'!$J34&amp;"|"&amp;76,LISTA_KLUCZ,0))),"")</f>
        <v>Halfkneeling wood chopper</v>
      </c>
      <c r="CA34" s="5" t="str">
        <f t="array" ref="CA34">IFERROR(IF('T1'!$J34="",INDEX(LISTA_EX,77),INDEX(LISTA_EX,MATCH('T1'!$J34&amp;"|"&amp;77,LISTA_KLUCZ,0))),"")</f>
        <v>Hinged dumbbell row</v>
      </c>
      <c r="CB34" s="5" t="str">
        <f t="array" ref="CB34">IFERROR(IF('T1'!$J34="",INDEX(LISTA_EX,78),INDEX(LISTA_EX,MATCH('T1'!$J34&amp;"|"&amp;78,LISTA_KLUCZ,0))),"")</f>
        <v>Hip aeroplane</v>
      </c>
      <c r="CC34" s="5" t="str">
        <f t="array" ref="CC34">IFERROR(IF('T1'!$J34="",INDEX(LISTA_EX,79),INDEX(LISTA_EX,MATCH('T1'!$J34&amp;"|"&amp;79,LISTA_KLUCZ,0))),"")</f>
        <v>Hip flexors cable</v>
      </c>
      <c r="CD34" s="5" t="str">
        <f t="array" ref="CD34">IFERROR(IF('T1'!$J34="",INDEX(LISTA_EX,80),INDEX(LISTA_EX,MATCH('T1'!$J34&amp;"|"&amp;80,LISTA_KLUCZ,0))),"")</f>
        <v>Hip thrust barbell</v>
      </c>
      <c r="CE34" s="5" t="str">
        <f t="array" ref="CE34">IFERROR(IF('T1'!$J34="",INDEX(LISTA_EX,81),INDEX(LISTA_EX,MATCH('T1'!$J34&amp;"|"&amp;81,LISTA_KLUCZ,0))),"")</f>
        <v>Hollow body + OH</v>
      </c>
      <c r="CF34" s="5" t="str">
        <f t="array" ref="CF34">IFERROR(IF('T1'!$J34="",INDEX(LISTA_EX,82),INDEX(LISTA_EX,MATCH('T1'!$J34&amp;"|"&amp;82,LISTA_KLUCZ,0))),"")</f>
        <v>Horizontal jump</v>
      </c>
      <c r="CG34" s="5" t="str">
        <f t="array" ref="CG34">IFERROR(IF('T1'!$J34="",INDEX(LISTA_EX,83),INDEX(LISTA_EX,MATCH('T1'!$J34&amp;"|"&amp;83,LISTA_KLUCZ,0))),"")</f>
        <v>Incline bench lateral raise s/a</v>
      </c>
      <c r="CH34" s="5" t="str">
        <f t="array" ref="CH34">IFERROR(IF('T1'!$J34="",INDEX(LISTA_EX,84),INDEX(LISTA_EX,MATCH('T1'!$J34&amp;"|"&amp;84,LISTA_KLUCZ,0))),"")</f>
        <v>Incline curl + OHP</v>
      </c>
      <c r="CI34" s="5" t="str">
        <f t="array" ref="CI34">IFERROR(IF('T1'!$J34="",INDEX(LISTA_EX,85),INDEX(LISTA_EX,MATCH('T1'!$J34&amp;"|"&amp;85,LISTA_KLUCZ,0))),"")</f>
        <v>Incline dumbbell curl</v>
      </c>
      <c r="CJ34" s="5" t="str">
        <f t="array" ref="CJ34">IFERROR(IF('T1'!$J34="",INDEX(LISTA_EX,86),INDEX(LISTA_EX,MATCH('T1'!$J34&amp;"|"&amp;86,LISTA_KLUCZ,0))),"")</f>
        <v>Incline dumbbell curl (back)</v>
      </c>
      <c r="CK34" s="5" t="str">
        <f t="array" ref="CK34">IFERROR(IF('T1'!$J34="",INDEX(LISTA_EX,87),INDEX(LISTA_EX,MATCH('T1'!$J34&amp;"|"&amp;87,LISTA_KLUCZ,0))),"")</f>
        <v>Incline dumbbell curl (front)</v>
      </c>
      <c r="CL34" s="5" t="str">
        <f t="array" ref="CL34">IFERROR(IF('T1'!$J34="",INDEX(LISTA_EX,88),INDEX(LISTA_EX,MATCH('T1'!$J34&amp;"|"&amp;88,LISTA_KLUCZ,0))),"")</f>
        <v>Incline dumbbell fly</v>
      </c>
      <c r="CM34" s="5" t="str">
        <f t="array" ref="CM34">IFERROR(IF('T1'!$J34="",INDEX(LISTA_EX,89),INDEX(LISTA_EX,MATCH('T1'!$J34&amp;"|"&amp;89,LISTA_KLUCZ,0))),"")</f>
        <v>Incline dumbbell press</v>
      </c>
      <c r="CN34" s="5" t="str">
        <f t="array" ref="CN34">IFERROR(IF('T1'!$J34="",INDEX(LISTA_EX,90),INDEX(LISTA_EX,MATCH('T1'!$J34&amp;"|"&amp;90,LISTA_KLUCZ,0))),"")</f>
        <v>Incline dumbbell press alternating</v>
      </c>
      <c r="CO34" s="5" t="str">
        <f t="array" ref="CO34">IFERROR(IF('T1'!$J34="",INDEX(LISTA_EX,91),INDEX(LISTA_EX,MATCH('T1'!$J34&amp;"|"&amp;91,LISTA_KLUCZ,0))),"")</f>
        <v>Incline sit-ups</v>
      </c>
      <c r="CP34" s="5" t="str">
        <f t="array" ref="CP34">IFERROR(IF('T1'!$J34="",INDEX(LISTA_EX,92),INDEX(LISTA_EX,MATCH('T1'!$J34&amp;"|"&amp;92,LISTA_KLUCZ,0))),"")</f>
        <v>Jefferson cable</v>
      </c>
      <c r="CQ34" s="5" t="str">
        <f t="array" ref="CQ34">IFERROR(IF('T1'!$J34="",INDEX(LISTA_EX,93),INDEX(LISTA_EX,MATCH('T1'!$J34&amp;"|"&amp;93,LISTA_KLUCZ,0))),"")</f>
        <v>Kettlebell march</v>
      </c>
      <c r="CR34" s="5" t="str">
        <f t="array" ref="CR34">IFERROR(IF('T1'!$J34="",INDEX(LISTA_EX,94),INDEX(LISTA_EX,MATCH('T1'!$J34&amp;"|"&amp;94,LISTA_KLUCZ,0))),"")</f>
        <v>Kickbacks</v>
      </c>
      <c r="CS34" s="5" t="str">
        <f t="array" ref="CS34">IFERROR(IF('T1'!$J34="",INDEX(LISTA_EX,95),INDEX(LISTA_EX,MATCH('T1'!$J34&amp;"|"&amp;95,LISTA_KLUCZ,0))),"")</f>
        <v>Knee extension machine</v>
      </c>
      <c r="CT34" s="5" t="str">
        <f t="array" ref="CT34">IFERROR(IF('T1'!$J34="",INDEX(LISTA_EX,96),INDEX(LISTA_EX,MATCH('T1'!$J34&amp;"|"&amp;96,LISTA_KLUCZ,0))),"")</f>
        <v>Knee flexion machine</v>
      </c>
      <c r="CU34" s="5" t="str">
        <f t="array" ref="CU34">IFERROR(IF('T1'!$J34="",INDEX(LISTA_EX,97),INDEX(LISTA_EX,MATCH('T1'!$J34&amp;"|"&amp;97,LISTA_KLUCZ,0))),"")</f>
        <v>Knee raises</v>
      </c>
      <c r="CV34" s="5" t="str">
        <f t="array" ref="CV34">IFERROR(IF('T1'!$J34="",INDEX(LISTA_EX,98),INDEX(LISTA_EX,MATCH('T1'!$J34&amp;"|"&amp;98,LISTA_KLUCZ,0))),"")</f>
        <v>Landmine core</v>
      </c>
      <c r="CW34" s="5" t="str">
        <f t="array" ref="CW34">IFERROR(IF('T1'!$J34="",INDEX(LISTA_EX,99),INDEX(LISTA_EX,MATCH('T1'!$J34&amp;"|"&amp;99,LISTA_KLUCZ,0))),"")</f>
        <v>Landmine press</v>
      </c>
      <c r="CX34" s="5" t="str">
        <f t="array" ref="CX34">IFERROR(IF('T1'!$J34="",INDEX(LISTA_EX,100),INDEX(LISTA_EX,MATCH('T1'!$J34&amp;"|"&amp;100,LISTA_KLUCZ,0))),"")</f>
        <v>Landmine rotations (powtórzenia x2)</v>
      </c>
      <c r="CY34" s="5" t="str">
        <f t="array" ref="CY34">IFERROR(IF('T1'!$J34="",INDEX(LISTA_EX,101),INDEX(LISTA_EX,MATCH('T1'!$J34&amp;"|"&amp;101,LISTA_KLUCZ,0))),"")</f>
        <v>Landmine SLDL</v>
      </c>
      <c r="CZ34" s="5" t="str">
        <f t="array" ref="CZ34">IFERROR(IF('T1'!$J34="",INDEX(LISTA_EX,102),INDEX(LISTA_EX,MATCH('T1'!$J34&amp;"|"&amp;102,LISTA_KLUCZ,0))),"")</f>
        <v>Lat pulldown</v>
      </c>
      <c r="DA34" s="5" t="str">
        <f t="array" ref="DA34">IFERROR(IF('T1'!$J34="",INDEX(LISTA_EX,103),INDEX(LISTA_EX,MATCH('T1'!$J34&amp;"|"&amp;103,LISTA_KLUCZ,0))),"")</f>
        <v>Lat pulldown behind the head</v>
      </c>
      <c r="DB34" s="5" t="str">
        <f t="array" ref="DB34">IFERROR(IF('T1'!$J34="",INDEX(LISTA_EX,104),INDEX(LISTA_EX,MATCH('T1'!$J34&amp;"|"&amp;104,LISTA_KLUCZ,0))),"")</f>
        <v>Lat pulldown s/a</v>
      </c>
      <c r="DC34" s="5" t="str">
        <f t="array" ref="DC34">IFERROR(IF('T1'!$J34="",INDEX(LISTA_EX,105),INDEX(LISTA_EX,MATCH('T1'!$J34&amp;"|"&amp;105,LISTA_KLUCZ,0))),"")</f>
        <v>Lateral raise s/a</v>
      </c>
      <c r="DD34" s="5" t="str">
        <f t="array" ref="DD34">IFERROR(IF('T1'!$J34="",INDEX(LISTA_EX,106),INDEX(LISTA_EX,MATCH('T1'!$J34&amp;"|"&amp;106,LISTA_KLUCZ,0))),"")</f>
        <v>Lateral raises</v>
      </c>
      <c r="DE34" s="5" t="str">
        <f t="array" ref="DE34">IFERROR(IF('T1'!$J34="",INDEX(LISTA_EX,107),INDEX(LISTA_EX,MATCH('T1'!$J34&amp;"|"&amp;107,LISTA_KLUCZ,0))),"")</f>
        <v>Lateral raises 2</v>
      </c>
      <c r="DF34" s="5" t="str">
        <f t="array" ref="DF34">IFERROR(IF('T1'!$J34="",INDEX(LISTA_EX,108),INDEX(LISTA_EX,MATCH('T1'!$J34&amp;"|"&amp;108,LISTA_KLUCZ,0))),"")</f>
        <v>Lateral raises full ROM</v>
      </c>
      <c r="DG34" s="5" t="str">
        <f t="array" ref="DG34">IFERROR(IF('T1'!$J34="",INDEX(LISTA_EX,109),INDEX(LISTA_EX,MATCH('T1'!$J34&amp;"|"&amp;109,LISTA_KLUCZ,0))),"")</f>
        <v>Lateral raises hinged</v>
      </c>
      <c r="DH34" s="5" t="str">
        <f t="array" ref="DH34">IFERROR(IF('T1'!$J34="",INDEX(LISTA_EX,110),INDEX(LISTA_EX,MATCH('T1'!$J34&amp;"|"&amp;110,LISTA_KLUCZ,0))),"")</f>
        <v>Lateral raises incline s/a</v>
      </c>
      <c r="DI34" s="5" t="str">
        <f t="array" ref="DI34">IFERROR(IF('T1'!$J34="",INDEX(LISTA_EX,111),INDEX(LISTA_EX,MATCH('T1'!$J34&amp;"|"&amp;111,LISTA_KLUCZ,0))),"")</f>
        <v>Leg curl</v>
      </c>
      <c r="DJ34" s="5" t="str">
        <f t="array" ref="DJ34">IFERROR(IF('T1'!$J34="",INDEX(LISTA_EX,112),INDEX(LISTA_EX,MATCH('T1'!$J34&amp;"|"&amp;112,LISTA_KLUCZ,0))),"")</f>
        <v>Machine row</v>
      </c>
      <c r="DK34" s="5" t="str">
        <f t="array" ref="DK34">IFERROR(IF('T1'!$J34="",INDEX(LISTA_EX,113),INDEX(LISTA_EX,MATCH('T1'!$J34&amp;"|"&amp;113,LISTA_KLUCZ,0))),"")</f>
        <v>Machine row s/a</v>
      </c>
      <c r="DL34" s="5" t="str">
        <f t="array" ref="DL34">IFERROR(IF('T1'!$J34="",INDEX(LISTA_EX,114),INDEX(LISTA_EX,MATCH('T1'!$J34&amp;"|"&amp;114,LISTA_KLUCZ,0))),"")</f>
        <v>Meadows row</v>
      </c>
      <c r="DM34" s="5" t="str">
        <f t="array" ref="DM34">IFERROR(IF('T1'!$J34="",INDEX(LISTA_EX,115),INDEX(LISTA_EX,MATCH('T1'!$J34&amp;"|"&amp;115,LISTA_KLUCZ,0))),"")</f>
        <v>Med ball slam</v>
      </c>
      <c r="DN34" s="5" t="str">
        <f t="array" ref="DN34">IFERROR(IF('T1'!$J34="",INDEX(LISTA_EX,116),INDEX(LISTA_EX,MATCH('T1'!$J34&amp;"|"&amp;116,LISTA_KLUCZ,0))),"")</f>
        <v>OH skullcrushers</v>
      </c>
      <c r="DO34" s="5" t="str">
        <f t="array" ref="DO34">IFERROR(IF('T1'!$J34="",INDEX(LISTA_EX,117),INDEX(LISTA_EX,MATCH('T1'!$J34&amp;"|"&amp;117,LISTA_KLUCZ,0))),"")</f>
        <v>OHP barbell squat 15kg</v>
      </c>
      <c r="DP34" s="5" t="str">
        <f t="array" ref="DP34">IFERROR(IF('T1'!$J34="",INDEX(LISTA_EX,118),INDEX(LISTA_EX,MATCH('T1'!$J34&amp;"|"&amp;118,LISTA_KLUCZ,0))),"")</f>
        <v>Pistol squat eccentric</v>
      </c>
      <c r="DQ34" s="5" t="str">
        <f t="array" ref="DQ34">IFERROR(IF('T1'!$J34="",INDEX(LISTA_EX,119),INDEX(LISTA_EX,MATCH('T1'!$J34&amp;"|"&amp;119,LISTA_KLUCZ,0))),"")</f>
        <v>Plank contralateral</v>
      </c>
      <c r="DR34" s="5" t="str">
        <f t="array" ref="DR34">IFERROR(IF('T1'!$J34="",INDEX(LISTA_EX,120),INDEX(LISTA_EX,MATCH('T1'!$J34&amp;"|"&amp;120,LISTA_KLUCZ,0))),"")</f>
        <v>Plank dumbbell rotation</v>
      </c>
      <c r="DS34" s="5" t="str">
        <f t="array" ref="DS34">IFERROR(IF('T1'!$J34="",INDEX(LISTA_EX,121),INDEX(LISTA_EX,MATCH('T1'!$J34&amp;"|"&amp;121,LISTA_KLUCZ,0))),"")</f>
        <v>Plank leg raises</v>
      </c>
      <c r="DT34" s="5" t="str">
        <f t="array" ref="DT34">IFERROR(IF('T1'!$J34="",INDEX(LISTA_EX,122),INDEX(LISTA_EX,MATCH('T1'!$J34&amp;"|"&amp;122,LISTA_KLUCZ,0))),"")</f>
        <v>Poliquin step up</v>
      </c>
      <c r="DU34" s="5" t="str">
        <f t="array" ref="DU34">IFERROR(IF('T1'!$J34="",INDEX(LISTA_EX,123),INDEX(LISTA_EX,MATCH('T1'!$J34&amp;"|"&amp;123,LISTA_KLUCZ,0))),"")</f>
        <v>Poliquin step up paused 3sec</v>
      </c>
      <c r="DV34" s="5" t="str">
        <f t="array" ref="DV34">IFERROR(IF('T1'!$J34="",INDEX(LISTA_EX,124),INDEX(LISTA_EX,MATCH('T1'!$J34&amp;"|"&amp;124,LISTA_KLUCZ,0))),"")</f>
        <v>Pronation/Supination</v>
      </c>
      <c r="DW34" s="5" t="str">
        <f t="array" ref="DW34">IFERROR(IF('T1'!$J34="",INDEX(LISTA_EX,125),INDEX(LISTA_EX,MATCH('T1'!$J34&amp;"|"&amp;125,LISTA_KLUCZ,0))),"")</f>
        <v>Pull up</v>
      </c>
      <c r="DX34" s="5" t="str">
        <f t="array" ref="DX34">IFERROR(IF('T1'!$J34="",INDEX(LISTA_EX,126),INDEX(LISTA_EX,MATCH('T1'!$J34&amp;"|"&amp;126,LISTA_KLUCZ,0))),"")</f>
        <v>Pull up eccentric weighted</v>
      </c>
      <c r="DY34" s="5" t="str">
        <f t="array" ref="DY34">IFERROR(IF('T1'!$J34="",INDEX(LISTA_EX,127),INDEX(LISTA_EX,MATCH('T1'!$J34&amp;"|"&amp;127,LISTA_KLUCZ,0))),"")</f>
        <v>Pull up eccentric weighted (5 sek w dół)</v>
      </c>
      <c r="DZ34" s="5" t="str">
        <f t="array" ref="DZ34">IFERROR(IF('T1'!$J34="",INDEX(LISTA_EX,128),INDEX(LISTA_EX,MATCH('T1'!$J34&amp;"|"&amp;128,LISTA_KLUCZ,0))),"")</f>
        <v>Pull up weighted</v>
      </c>
      <c r="EA34" s="5" t="str">
        <f t="array" ref="EA34">IFERROR(IF('T1'!$J34="",INDEX(LISTA_EX,129),INDEX(LISTA_EX,MATCH('T1'!$J34&amp;"|"&amp;129,LISTA_KLUCZ,0))),"")</f>
        <v>Pull ups (paused)</v>
      </c>
      <c r="EB34" s="5" t="str">
        <f t="array" ref="EB34">IFERROR(IF('T1'!$J34="",INDEX(LISTA_EX,130),INDEX(LISTA_EX,MATCH('T1'!$J34&amp;"|"&amp;130,LISTA_KLUCZ,0))),"")</f>
        <v>Push press barbell</v>
      </c>
      <c r="EC34" s="5" t="str">
        <f t="array" ref="EC34">IFERROR(IF('T1'!$J34="",INDEX(LISTA_EX,131),INDEX(LISTA_EX,MATCH('T1'!$J34&amp;"|"&amp;131,LISTA_KLUCZ,0))),"")</f>
        <v>Push up</v>
      </c>
      <c r="ED34" s="5" t="str">
        <f t="array" ref="ED34">IFERROR(IF('T1'!$J34="",INDEX(LISTA_EX,132),INDEX(LISTA_EX,MATCH('T1'!$J34&amp;"|"&amp;132,LISTA_KLUCZ,0))),"")</f>
        <v>Raised bird dog</v>
      </c>
      <c r="EE34" s="5" t="str">
        <f t="array" ref="EE34">IFERROR(IF('T1'!$J34="",INDEX(LISTA_EX,133),INDEX(LISTA_EX,MATCH('T1'!$J34&amp;"|"&amp;133,LISTA_KLUCZ,0))),"")</f>
        <v>RDL</v>
      </c>
      <c r="EF34" s="5" t="str">
        <f t="array" ref="EF34">IFERROR(IF('T1'!$J34="",INDEX(LISTA_EX,134),INDEX(LISTA_EX,MATCH('T1'!$J34&amp;"|"&amp;134,LISTA_KLUCZ,0))),"")</f>
        <v>Reverse Nordic</v>
      </c>
      <c r="EG34" s="5" t="str">
        <f t="array" ref="EG34">IFERROR(IF('T1'!$J34="",INDEX(LISTA_EX,135),INDEX(LISTA_EX,MATCH('T1'!$J34&amp;"|"&amp;135,LISTA_KLUCZ,0))),"")</f>
        <v>Rope pushdown</v>
      </c>
      <c r="EH34" s="5" t="str">
        <f t="array" ref="EH34">IFERROR(IF('T1'!$J34="",INDEX(LISTA_EX,136),INDEX(LISTA_EX,MATCH('T1'!$J34&amp;"|"&amp;136,LISTA_KLUCZ,0))),"")</f>
        <v>Rope pushdown OH</v>
      </c>
      <c r="EI34" s="5" t="str">
        <f t="array" ref="EI34">IFERROR(IF('T1'!$J34="",INDEX(LISTA_EX,137),INDEX(LISTA_EX,MATCH('T1'!$J34&amp;"|"&amp;137,LISTA_KLUCZ,0))),"")</f>
        <v>S/a cable pulldown incline bench</v>
      </c>
      <c r="EJ34" s="5" t="str">
        <f t="array" ref="EJ34">IFERROR(IF('T1'!$J34="",INDEX(LISTA_EX,138),INDEX(LISTA_EX,MATCH('T1'!$J34&amp;"|"&amp;138,LISTA_KLUCZ,0))),"")</f>
        <v>S/a lat pulldown incline bench</v>
      </c>
      <c r="EK34" s="5" t="str">
        <f t="array" ref="EK34">IFERROR(IF('T1'!$J34="",INDEX(LISTA_EX,139),INDEX(LISTA_EX,MATCH('T1'!$J34&amp;"|"&amp;139,LISTA_KLUCZ,0))),"")</f>
        <v>S/l dragonflag eccentric</v>
      </c>
      <c r="EL34" s="5" t="str">
        <f t="array" ref="EL34">IFERROR(IF('T1'!$J34="",INDEX(LISTA_EX,140),INDEX(LISTA_EX,MATCH('T1'!$J34&amp;"|"&amp;140,LISTA_KLUCZ,0))),"")</f>
        <v>S/l hip thrust</v>
      </c>
      <c r="EM34" s="5" t="str">
        <f t="array" ref="EM34">IFERROR(IF('T1'!$J34="",INDEX(LISTA_EX,141),INDEX(LISTA_EX,MATCH('T1'!$J34&amp;"|"&amp;141,LISTA_KLUCZ,0))),"")</f>
        <v>Seated broad jump</v>
      </c>
      <c r="EN34" s="5" t="str">
        <f t="array" ref="EN34">IFERROR(IF('T1'!$J34="",INDEX(LISTA_EX,142),INDEX(LISTA_EX,MATCH('T1'!$J34&amp;"|"&amp;142,LISTA_KLUCZ,0))),"")</f>
        <v>Seated cable facepull</v>
      </c>
      <c r="EO34" s="5" t="str">
        <f t="array" ref="EO34">IFERROR(IF('T1'!$J34="",INDEX(LISTA_EX,143),INDEX(LISTA_EX,MATCH('T1'!$J34&amp;"|"&amp;143,LISTA_KLUCZ,0))),"")</f>
        <v>Seated seesaw press (nogi proste)</v>
      </c>
      <c r="EP34" s="5" t="str">
        <f t="array" ref="EP34">IFERROR(IF('T1'!$J34="",INDEX(LISTA_EX,144),INDEX(LISTA_EX,MATCH('T1'!$J34&amp;"|"&amp;144,LISTA_KLUCZ,0))),"")</f>
        <v>Seesaw press</v>
      </c>
      <c r="EQ34" s="5" t="str">
        <f t="array" ref="EQ34">IFERROR(IF('T1'!$J34="",INDEX(LISTA_EX,145),INDEX(LISTA_EX,MATCH('T1'!$J34&amp;"|"&amp;145,LISTA_KLUCZ,0))),"")</f>
        <v>Side crunches</v>
      </c>
      <c r="ER34" s="5" t="str">
        <f t="array" ref="ER34">IFERROR(IF('T1'!$J34="",INDEX(LISTA_EX,146),INDEX(LISTA_EX,MATCH('T1'!$J34&amp;"|"&amp;146,LISTA_KLUCZ,0))),"")</f>
        <v>Side plank hip drop</v>
      </c>
      <c r="ES34" s="5" t="str">
        <f t="array" ref="ES34">IFERROR(IF('T1'!$J34="",INDEX(LISTA_EX,147),INDEX(LISTA_EX,MATCH('T1'!$J34&amp;"|"&amp;147,LISTA_KLUCZ,0))),"")</f>
        <v>Side plank rotations</v>
      </c>
      <c r="ET34" s="5" t="str">
        <f t="array" ref="ET34">IFERROR(IF('T1'!$J34="",INDEX(LISTA_EX,148),INDEX(LISTA_EX,MATCH('T1'!$J34&amp;"|"&amp;148,LISTA_KLUCZ,0))),"")</f>
        <v>SLDL balance</v>
      </c>
      <c r="EU34" s="5" t="str">
        <f t="array" ref="EU34">IFERROR(IF('T1'!$J34="",INDEX(LISTA_EX,149),INDEX(LISTA_EX,MATCH('T1'!$J34&amp;"|"&amp;149,LISTA_KLUCZ,0))),"")</f>
        <v>Split squat</v>
      </c>
      <c r="EV34" s="5" t="str">
        <f t="array" ref="EV34">IFERROR(IF('T1'!$J34="",INDEX(LISTA_EX,150),INDEX(LISTA_EX,MATCH('T1'!$J34&amp;"|"&amp;150,LISTA_KLUCZ,0))),"")</f>
        <v>Split stance SLDL</v>
      </c>
      <c r="EW34" s="5" t="str">
        <f t="array" ref="EW34">IFERROR(IF('T1'!$J34="",INDEX(LISTA_EX,151),INDEX(LISTA_EX,MATCH('T1'!$J34&amp;"|"&amp;151,LISTA_KLUCZ,0))),"")</f>
        <v>Squat izo (15 sek)</v>
      </c>
      <c r="EX34" s="5" t="str">
        <f t="array" ref="EX34">IFERROR(IF('T1'!$J34="",INDEX(LISTA_EX,152),INDEX(LISTA_EX,MATCH('T1'!$J34&amp;"|"&amp;152,LISTA_KLUCZ,0))),"")</f>
        <v>Standing landmine press</v>
      </c>
      <c r="EY34" s="5" t="str">
        <f t="array" ref="EY34">IFERROR(IF('T1'!$J34="",INDEX(LISTA_EX,153),INDEX(LISTA_EX,MATCH('T1'!$J34&amp;"|"&amp;153,LISTA_KLUCZ,0))),"")</f>
        <v>Suitcase carry</v>
      </c>
      <c r="EZ34" s="5" t="str">
        <f t="array" ref="EZ34">IFERROR(IF('T1'!$J34="",INDEX(LISTA_EX,154),INDEX(LISTA_EX,MATCH('T1'!$J34&amp;"|"&amp;154,LISTA_KLUCZ,0))),"")</f>
        <v>Supine pigeon abs</v>
      </c>
      <c r="FA34" s="5" t="str">
        <f t="array" ref="FA34">IFERROR(IF('T1'!$J34="",INDEX(LISTA_EX,155),INDEX(LISTA_EX,MATCH('T1'!$J34&amp;"|"&amp;155,LISTA_KLUCZ,0))),"")</f>
        <v>Swiss ball leg curl</v>
      </c>
      <c r="FB34" s="5" t="str">
        <f t="array" ref="FB34">IFERROR(IF('T1'!$J34="",INDEX(LISTA_EX,156),INDEX(LISTA_EX,MATCH('T1'!$J34&amp;"|"&amp;156,LISTA_KLUCZ,0))),"")</f>
        <v>Toes to bar</v>
      </c>
      <c r="FC34" s="5" t="str">
        <f t="array" ref="FC34">IFERROR(IF('T1'!$J34="",INDEX(LISTA_EX,157),INDEX(LISTA_EX,MATCH('T1'!$J34&amp;"|"&amp;157,LISTA_KLUCZ,0))),"")</f>
        <v>Trap bar deadlift</v>
      </c>
      <c r="FD34" s="5" t="str">
        <f t="array" ref="FD34">IFERROR(IF('T1'!$J34="",INDEX(LISTA_EX,158),INDEX(LISTA_EX,MATCH('T1'!$J34&amp;"|"&amp;158,LISTA_KLUCZ,0))),"")</f>
        <v>Tricep cable pushdown</v>
      </c>
      <c r="FE34" s="5" t="str">
        <f t="array" ref="FE34">IFERROR(IF('T1'!$J34="",INDEX(LISTA_EX,159),INDEX(LISTA_EX,MATCH('T1'!$J34&amp;"|"&amp;159,LISTA_KLUCZ,0))),"")</f>
        <v>Tricep JM press</v>
      </c>
      <c r="FF34" s="5" t="str">
        <f t="array" ref="FF34">IFERROR(IF('T1'!$J34="",INDEX(LISTA_EX,160),INDEX(LISTA_EX,MATCH('T1'!$J34&amp;"|"&amp;160,LISTA_KLUCZ,0))),"")</f>
        <v>Tricep OH cable</v>
      </c>
      <c r="FG34" s="5" t="str">
        <f t="array" ref="FG34">IFERROR(IF('T1'!$J34="",INDEX(LISTA_EX,161),INDEX(LISTA_EX,MATCH('T1'!$J34&amp;"|"&amp;161,LISTA_KLUCZ,0))),"")</f>
        <v>Tricep OH ez bar</v>
      </c>
      <c r="FH34" s="5" t="str">
        <f t="array" ref="FH34">IFERROR(IF('T1'!$J34="",INDEX(LISTA_EX,162),INDEX(LISTA_EX,MATCH('T1'!$J34&amp;"|"&amp;162,LISTA_KLUCZ,0))),"")</f>
        <v>Walking lunges</v>
      </c>
      <c r="FI34" s="5" t="str">
        <f t="array" ref="FI34">IFERROR(IF('T1'!$J34="",INDEX(LISTA_EX,163),INDEX(LISTA_EX,MATCH('T1'!$J34&amp;"|"&amp;163,LISTA_KLUCZ,0))),"")</f>
        <v>Wipers kettle</v>
      </c>
      <c r="FJ34" s="5" t="str">
        <f t="array" ref="FJ34">IFERROR(IF('T1'!$J34="",INDEX(LISTA_EX,164),INDEX(LISTA_EX,MATCH('T1'!$J34&amp;"|"&amp;164,LISTA_KLUCZ,0))),"")</f>
        <v>Zercher jumps</v>
      </c>
      <c r="FK34" s="5" t="str">
        <f t="array" ref="FK34">IFERROR(IF('T1'!$J34="",INDEX(LISTA_EX,165),INDEX(LISTA_EX,MATCH('T1'!$J34&amp;"|"&amp;165,LISTA_KLUCZ,0))),"")</f>
        <v/>
      </c>
      <c r="FL34" s="5" t="str">
        <f t="array" ref="FL34">IFERROR(IF('T1'!$J34="",INDEX(LISTA_EX,166),INDEX(LISTA_EX,MATCH('T1'!$J34&amp;"|"&amp;166,LISTA_KLUCZ,0))),"")</f>
        <v/>
      </c>
      <c r="FM34" s="5" t="str">
        <f t="array" ref="FM34">IFERROR(IF('T1'!$J34="",INDEX(LISTA_EX,167),INDEX(LISTA_EX,MATCH('T1'!$J34&amp;"|"&amp;167,LISTA_KLUCZ,0))),"")</f>
        <v/>
      </c>
      <c r="FN34" s="5" t="str">
        <f t="array" ref="FN34">IFERROR(IF('T1'!$J34="",INDEX(LISTA_EX,168),INDEX(LISTA_EX,MATCH('T1'!$J34&amp;"|"&amp;168,LISTA_KLUCZ,0))),"")</f>
        <v/>
      </c>
      <c r="FO34" s="5" t="str">
        <f t="array" ref="FO34">IFERROR(IF('T1'!$J34="",INDEX(LISTA_EX,169),INDEX(LISTA_EX,MATCH('T1'!$J34&amp;"|"&amp;169,LISTA_KLUCZ,0))),"")</f>
        <v/>
      </c>
      <c r="FP34" s="5" t="str">
        <f t="array" ref="FP34">IFERROR(IF('T1'!$J34="",INDEX(LISTA_EX,170),INDEX(LISTA_EX,MATCH('T1'!$J34&amp;"|"&amp;170,LISTA_KLUCZ,0))),"")</f>
        <v/>
      </c>
      <c r="FQ34" s="5" t="str">
        <f t="array" ref="FQ34">IFERROR(IF('T1'!$J34="",INDEX(LISTA_EX,171),INDEX(LISTA_EX,MATCH('T1'!$J34&amp;"|"&amp;171,LISTA_KLUCZ,0))),"")</f>
        <v/>
      </c>
      <c r="FR34" s="5" t="str">
        <f t="array" ref="FR34">IFERROR(IF('T1'!$J34="",INDEX(LISTA_EX,172),INDEX(LISTA_EX,MATCH('T1'!$J34&amp;"|"&amp;172,LISTA_KLUCZ,0))),"")</f>
        <v/>
      </c>
      <c r="FS34" s="5" t="str">
        <f t="array" ref="FS34">IFERROR(IF('T1'!$J34="",INDEX(LISTA_EX,173),INDEX(LISTA_EX,MATCH('T1'!$J34&amp;"|"&amp;173,LISTA_KLUCZ,0))),"")</f>
        <v/>
      </c>
      <c r="FT34" s="5" t="str">
        <f t="array" ref="FT34">IFERROR(IF('T1'!$J34="",INDEX(LISTA_EX,174),INDEX(LISTA_EX,MATCH('T1'!$J34&amp;"|"&amp;174,LISTA_KLUCZ,0))),"")</f>
        <v/>
      </c>
      <c r="FU34" s="5" t="str">
        <f t="array" ref="FU34">IFERROR(IF('T1'!$J34="",INDEX(LISTA_EX,175),INDEX(LISTA_EX,MATCH('T1'!$J34&amp;"|"&amp;175,LISTA_KLUCZ,0))),"")</f>
        <v/>
      </c>
      <c r="FV34" s="5" t="str">
        <f t="array" ref="FV34">IFERROR(IF('T1'!$J34="",INDEX(LISTA_EX,176),INDEX(LISTA_EX,MATCH('T1'!$J34&amp;"|"&amp;176,LISTA_KLUCZ,0))),"")</f>
        <v/>
      </c>
      <c r="FW34" s="5" t="str">
        <f t="array" ref="FW34">IFERROR(IF('T1'!$J34="",INDEX(LISTA_EX,177),INDEX(LISTA_EX,MATCH('T1'!$J34&amp;"|"&amp;177,LISTA_KLUCZ,0))),"")</f>
        <v/>
      </c>
      <c r="FX34" s="5" t="str">
        <f t="array" ref="FX34">IFERROR(IF('T1'!$J34="",INDEX(LISTA_EX,178),INDEX(LISTA_EX,MATCH('T1'!$J34&amp;"|"&amp;178,LISTA_KLUCZ,0))),"")</f>
        <v/>
      </c>
      <c r="FY34" s="5" t="str">
        <f t="array" ref="FY34">IFERROR(IF('T1'!$J34="",INDEX(LISTA_EX,179),INDEX(LISTA_EX,MATCH('T1'!$J34&amp;"|"&amp;179,LISTA_KLUCZ,0))),"")</f>
        <v/>
      </c>
      <c r="FZ34" s="5" t="str">
        <f t="array" ref="FZ34">IFERROR(IF('T1'!$J34="",INDEX(LISTA_EX,180),INDEX(LISTA_EX,MATCH('T1'!$J34&amp;"|"&amp;180,LISTA_KLUCZ,0))),"")</f>
        <v/>
      </c>
      <c r="GA34" s="5" t="str">
        <f t="array" ref="GA34">IFERROR(IF('T1'!$J34="",INDEX(LISTA_EX,181),INDEX(LISTA_EX,MATCH('T1'!$J34&amp;"|"&amp;181,LISTA_KLUCZ,0))),"")</f>
        <v/>
      </c>
      <c r="GB34" s="5" t="str">
        <f t="array" ref="GB34">IFERROR(IF('T1'!$J34="",INDEX(LISTA_EX,182),INDEX(LISTA_EX,MATCH('T1'!$J34&amp;"|"&amp;182,LISTA_KLUCZ,0))),"")</f>
        <v/>
      </c>
      <c r="GC34" s="5" t="str">
        <f t="array" ref="GC34">IFERROR(IF('T1'!$J34="",INDEX(LISTA_EX,183),INDEX(LISTA_EX,MATCH('T1'!$J34&amp;"|"&amp;183,LISTA_KLUCZ,0))),"")</f>
        <v/>
      </c>
      <c r="GD34" s="5" t="str">
        <f t="array" ref="GD34">IFERROR(IF('T1'!$J34="",INDEX(LISTA_EX,184),INDEX(LISTA_EX,MATCH('T1'!$J34&amp;"|"&amp;184,LISTA_KLUCZ,0))),"")</f>
        <v/>
      </c>
      <c r="GE34" s="5" t="str">
        <f t="array" ref="GE34">IFERROR(IF('T1'!$J34="",INDEX(LISTA_EX,185),INDEX(LISTA_EX,MATCH('T1'!$J34&amp;"|"&amp;185,LISTA_KLUCZ,0))),"")</f>
        <v/>
      </c>
      <c r="GF34" s="5" t="str">
        <f t="array" ref="GF34">IFERROR(IF('T1'!$J34="",INDEX(LISTA_EX,186),INDEX(LISTA_EX,MATCH('T1'!$J34&amp;"|"&amp;186,LISTA_KLUCZ,0))),"")</f>
        <v/>
      </c>
      <c r="GG34" s="5" t="str">
        <f t="array" ref="GG34">IFERROR(IF('T1'!$J34="",INDEX(LISTA_EX,187),INDEX(LISTA_EX,MATCH('T1'!$J34&amp;"|"&amp;187,LISTA_KLUCZ,0))),"")</f>
        <v/>
      </c>
      <c r="GH34" s="5" t="str">
        <f t="array" ref="GH34">IFERROR(IF('T1'!$J34="",INDEX(LISTA_EX,188),INDEX(LISTA_EX,MATCH('T1'!$J34&amp;"|"&amp;188,LISTA_KLUCZ,0))),"")</f>
        <v/>
      </c>
      <c r="GI34" s="5" t="str">
        <f t="array" ref="GI34">IFERROR(IF('T1'!$J34="",INDEX(LISTA_EX,189),INDEX(LISTA_EX,MATCH('T1'!$J34&amp;"|"&amp;189,LISTA_KLUCZ,0))),"")</f>
        <v/>
      </c>
      <c r="GJ34" s="5" t="str">
        <f t="array" ref="GJ34">IFERROR(IF('T1'!$J34="",INDEX(LISTA_EX,190),INDEX(LISTA_EX,MATCH('T1'!$J34&amp;"|"&amp;190,LISTA_KLUCZ,0))),"")</f>
        <v/>
      </c>
      <c r="GK34" s="5" t="str">
        <f t="array" ref="GK34">IFERROR(IF('T1'!$J34="",INDEX(LISTA_EX,191),INDEX(LISTA_EX,MATCH('T1'!$J34&amp;"|"&amp;191,LISTA_KLUCZ,0))),"")</f>
        <v/>
      </c>
      <c r="GL34" s="5" t="str">
        <f t="array" ref="GL34">IFERROR(IF('T1'!$J34="",INDEX(LISTA_EX,192),INDEX(LISTA_EX,MATCH('T1'!$J34&amp;"|"&amp;192,LISTA_KLUCZ,0))),"")</f>
        <v/>
      </c>
      <c r="GM34" s="5" t="str">
        <f t="array" ref="GM34">IFERROR(IF('T1'!$J34="",INDEX(LISTA_EX,193),INDEX(LISTA_EX,MATCH('T1'!$J34&amp;"|"&amp;193,LISTA_KLUCZ,0))),"")</f>
        <v/>
      </c>
      <c r="GN34" s="5" t="str">
        <f t="array" ref="GN34">IFERROR(IF('T1'!$J34="",INDEX(LISTA_EX,194),INDEX(LISTA_EX,MATCH('T1'!$J34&amp;"|"&amp;194,LISTA_KLUCZ,0))),"")</f>
        <v/>
      </c>
      <c r="GO34" s="5" t="str">
        <f t="array" ref="GO34">IFERROR(IF('T1'!$J34="",INDEX(LISTA_EX,195),INDEX(LISTA_EX,MATCH('T1'!$J34&amp;"|"&amp;195,LISTA_KLUCZ,0))),"")</f>
        <v/>
      </c>
      <c r="GP34" s="5" t="str">
        <f t="array" ref="GP34">IFERROR(IF('T1'!$J34="",INDEX(LISTA_EX,196),INDEX(LISTA_EX,MATCH('T1'!$J34&amp;"|"&amp;196,LISTA_KLUCZ,0))),"")</f>
        <v/>
      </c>
      <c r="GQ34" s="5" t="str">
        <f t="array" ref="GQ34">IFERROR(IF('T1'!$J34="",INDEX(LISTA_EX,197),INDEX(LISTA_EX,MATCH('T1'!$J34&amp;"|"&amp;197,LISTA_KLUCZ,0))),"")</f>
        <v/>
      </c>
      <c r="GR34" s="5" t="str">
        <f t="array" ref="GR34">IFERROR(IF('T1'!$J34="",INDEX(LISTA_EX,198),INDEX(LISTA_EX,MATCH('T1'!$J34&amp;"|"&amp;198,LISTA_KLUCZ,0))),"")</f>
        <v/>
      </c>
      <c r="GS34" s="5" t="str">
        <f t="array" ref="GS34">IFERROR(IF('T1'!$J34="",INDEX(LISTA_EX,199),INDEX(LISTA_EX,MATCH('T1'!$J34&amp;"|"&amp;199,LISTA_KLUCZ,0))),"")</f>
        <v/>
      </c>
      <c r="GT34" s="5" t="str">
        <f t="array" ref="GT34">IFERROR(IF('T1'!$J34="",INDEX(LISTA_EX,200),INDEX(LISTA_EX,MATCH('T1'!$J34&amp;"|"&amp;200,LISTA_KLUCZ,0))),"")</f>
        <v/>
      </c>
      <c r="GV34" s="5" t="str">
        <f>IF(BAZA!$A34="","",BAZA!$A34)</f>
        <v>Cable row s/a</v>
      </c>
      <c r="GW34" s="5" t="str">
        <f>IF(BAZA!$B34="","",BAZA!$B34&amp;"|"&amp;COUNTIF(BAZA!$B$3:$B34,BAZA!$B34))</f>
        <v>Upper pull horizontal|5</v>
      </c>
    </row>
    <row r="35" ht="15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L35" s="5"/>
      <c r="FM35" s="5"/>
      <c r="GV35" s="5" t="str">
        <f>IF(BAZA!$A35="","",BAZA!$A35)</f>
        <v>Calf raises</v>
      </c>
      <c r="GW35" s="5" t="str">
        <f>IF(BAZA!$B35="","",BAZA!$B35&amp;"|"&amp;COUNTIF(BAZA!$B$3:$B35,BAZA!$B35))</f>
        <v>Lower push|7</v>
      </c>
    </row>
    <row r="36" ht="15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L36" s="5"/>
      <c r="FM36" s="5"/>
      <c r="GV36" s="5" t="str">
        <f>IF(BAZA!$A36="","",BAZA!$A36)</f>
        <v>Chest fly machine</v>
      </c>
      <c r="GW36" s="5" t="str">
        <f>IF(BAZA!$B36="","",BAZA!$B36&amp;"|"&amp;COUNTIF(BAZA!$B$3:$B36,BAZA!$B36))</f>
        <v>Upper push horizontal|4</v>
      </c>
    </row>
    <row r="37" ht="15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L37" s="5"/>
      <c r="FM37" s="5"/>
      <c r="GV37" s="5" t="str">
        <f>IF(BAZA!$A37="","",BAZA!$A37)</f>
        <v>Clean</v>
      </c>
      <c r="GW37" s="5" t="str">
        <f>IF(BAZA!$B37="","",BAZA!$B37&amp;"|"&amp;COUNTIF(BAZA!$B$3:$B37,BAZA!$B37))</f>
        <v>Lower pull|5</v>
      </c>
    </row>
    <row r="38" ht="15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L38" s="5"/>
      <c r="FM38" s="5"/>
      <c r="GV38" s="5" t="str">
        <f>IF(BAZA!$A38="","",BAZA!$A38)</f>
        <v>Clean pins</v>
      </c>
      <c r="GW38" s="5" t="str">
        <f>IF(BAZA!$B38="","",BAZA!$B38&amp;"|"&amp;COUNTIF(BAZA!$B$3:$B38,BAZA!$B38))</f>
        <v>Lower pull|6</v>
      </c>
    </row>
    <row r="39" ht="15.0" customHeight="1">
      <c r="A39" s="5" t="str">
        <f>IF('T1'!$K39="","",'T1'!$K39)</f>
        <v>D3-S01</v>
      </c>
      <c r="B39" s="5" t="str">
        <f>IF('T1'!$J39="","(wszystkie)",'T1'!$J39)</f>
        <v>(wszystkie)</v>
      </c>
      <c r="C39" s="5" t="str">
        <f t="array" ref="C39">IFERROR(IF('T1'!$J39="",INDEX(LISTA_EX,1),INDEX(LISTA_EX,MATCH('T1'!$J39&amp;"|"&amp;1,LISTA_KLUCZ,0))),"")</f>
        <v>Abduction machine</v>
      </c>
      <c r="D39" s="5" t="str">
        <f t="array" ref="D39">IFERROR(IF('T1'!$J39="",INDEX(LISTA_EX,2),INDEX(LISTA_EX,MATCH('T1'!$J39&amp;"|"&amp;2,LISTA_KLUCZ,0))),"")</f>
        <v>Adduction machine</v>
      </c>
      <c r="E39" s="5" t="str">
        <f t="array" ref="E39">IFERROR(IF('T1'!$J39="",INDEX(LISTA_EX,3),INDEX(LISTA_EX,MATCH('T1'!$J39&amp;"|"&amp;3,LISTA_KLUCZ,0))),"")</f>
        <v>Allah</v>
      </c>
      <c r="F39" s="5" t="str">
        <f t="array" ref="F39">IFERROR(IF('T1'!$J39="",INDEX(LISTA_EX,4),INDEX(LISTA_EX,MATCH('T1'!$J39&amp;"|"&amp;4,LISTA_KLUCZ,0))),"")</f>
        <v>Arnold press</v>
      </c>
      <c r="G39" s="5" t="str">
        <f t="array" ref="G39">IFERROR(IF('T1'!$J39="",INDEX(LISTA_EX,5),INDEX(LISTA_EX,MATCH('T1'!$J39&amp;"|"&amp;5,LISTA_KLUCZ,0))),"")</f>
        <v>Arnold press alternating</v>
      </c>
      <c r="H39" s="5" t="str">
        <f t="array" ref="H39">IFERROR(IF('T1'!$J39="",INDEX(LISTA_EX,6),INDEX(LISTA_EX,MATCH('T1'!$J39&amp;"|"&amp;6,LISTA_KLUCZ,0))),"")</f>
        <v>B/l dragonflag eccentric</v>
      </c>
      <c r="I39" s="5" t="str">
        <f t="array" ref="I39">IFERROR(IF('T1'!$J39="",INDEX(LISTA_EX,7),INDEX(LISTA_EX,MATCH('T1'!$J39&amp;"|"&amp;7,LISTA_KLUCZ,0))),"")</f>
        <v>Back extension</v>
      </c>
      <c r="J39" s="5" t="str">
        <f t="array" ref="J39">IFERROR(IF('T1'!$J39="",INDEX(LISTA_EX,8),INDEX(LISTA_EX,MATCH('T1'!$J39&amp;"|"&amp;8,LISTA_KLUCZ,0))),"")</f>
        <v>Banded pistol squat</v>
      </c>
      <c r="K39" s="5" t="str">
        <f t="array" ref="K39">IFERROR(IF('T1'!$J39="",INDEX(LISTA_EX,9),INDEX(LISTA_EX,MATCH('T1'!$J39&amp;"|"&amp;9,LISTA_KLUCZ,0))),"")</f>
        <v>Banded pull ups</v>
      </c>
      <c r="L39" s="5" t="str">
        <f t="array" ref="L39">IFERROR(IF('T1'!$J39="",INDEX(LISTA_EX,10),INDEX(LISTA_EX,MATCH('T1'!$J39&amp;"|"&amp;10,LISTA_KLUCZ,0))),"")</f>
        <v>Barbell back squat</v>
      </c>
      <c r="M39" s="5" t="str">
        <f t="array" ref="M39">IFERROR(IF('T1'!$J39="",INDEX(LISTA_EX,11),INDEX(LISTA_EX,MATCH('T1'!$J39&amp;"|"&amp;11,LISTA_KLUCZ,0))),"")</f>
        <v>Barbell bench press</v>
      </c>
      <c r="N39" s="5" t="str">
        <f t="array" ref="N39">IFERROR(IF('T1'!$J39="",INDEX(LISTA_EX,12),INDEX(LISTA_EX,MATCH('T1'!$J39&amp;"|"&amp;12,LISTA_KLUCZ,0))),"")</f>
        <v>Barbell curl</v>
      </c>
      <c r="O39" s="5" t="str">
        <f t="array" ref="O39">IFERROR(IF('T1'!$J39="",INDEX(LISTA_EX,13),INDEX(LISTA_EX,MATCH('T1'!$J39&amp;"|"&amp;13,LISTA_KLUCZ,0))),"")</f>
        <v>Barbell low bar squat</v>
      </c>
      <c r="P39" s="5" t="str">
        <f t="array" ref="P39">IFERROR(IF('T1'!$J39="",INDEX(LISTA_EX,14),INDEX(LISTA_EX,MATCH('T1'!$J39&amp;"|"&amp;14,LISTA_KLUCZ,0))),"")</f>
        <v>Barbell OHP</v>
      </c>
      <c r="Q39" s="5" t="str">
        <f t="array" ref="Q39">IFERROR(IF('T1'!$J39="",INDEX(LISTA_EX,15),INDEX(LISTA_EX,MATCH('T1'!$J39&amp;"|"&amp;15,LISTA_KLUCZ,0))),"")</f>
        <v>Barbell oscilation</v>
      </c>
      <c r="R39" s="5" t="str">
        <f t="array" ref="R39">IFERROR(IF('T1'!$J39="",INDEX(LISTA_EX,16),INDEX(LISTA_EX,MATCH('T1'!$J39&amp;"|"&amp;16,LISTA_KLUCZ,0))),"")</f>
        <v>Barbell row</v>
      </c>
      <c r="S39" s="5" t="str">
        <f t="array" ref="S39">IFERROR(IF('T1'!$J39="",INDEX(LISTA_EX,17),INDEX(LISTA_EX,MATCH('T1'!$J39&amp;"|"&amp;17,LISTA_KLUCZ,0))),"")</f>
        <v>Barbell row dead stop pins</v>
      </c>
      <c r="T39" s="5" t="str">
        <f t="array" ref="T39">IFERROR(IF('T1'!$J39="",INDEX(LISTA_EX,18),INDEX(LISTA_EX,MATCH('T1'!$J39&amp;"|"&amp;18,LISTA_KLUCZ,0))),"")</f>
        <v>Barbell SLDL</v>
      </c>
      <c r="U39" s="5" t="str">
        <f t="array" ref="U39">IFERROR(IF('T1'!$J39="",INDEX(LISTA_EX,19),INDEX(LISTA_EX,MATCH('T1'!$J39&amp;"|"&amp;19,LISTA_KLUCZ,0))),"")</f>
        <v>Bayesian curl</v>
      </c>
      <c r="V39" s="5" t="str">
        <f t="array" ref="V39">IFERROR(IF('T1'!$J39="",INDEX(LISTA_EX,20),INDEX(LISTA_EX,MATCH('T1'!$J39&amp;"|"&amp;20,LISTA_KLUCZ,0))),"")</f>
        <v>Bear renegade row</v>
      </c>
      <c r="W39" s="5" t="str">
        <f t="array" ref="W39">IFERROR(IF('T1'!$J39="",INDEX(LISTA_EX,21),INDEX(LISTA_EX,MATCH('T1'!$J39&amp;"|"&amp;21,LISTA_KLUCZ,0))),"")</f>
        <v>Bench press paused 3sec</v>
      </c>
      <c r="X39" s="5" t="str">
        <f t="array" ref="X39">IFERROR(IF('T1'!$J39="",INDEX(LISTA_EX,22),INDEX(LISTA_EX,MATCH('T1'!$J39&amp;"|"&amp;22,LISTA_KLUCZ,0))),"")</f>
        <v>Bicep hammer curl</v>
      </c>
      <c r="Y39" s="5" t="str">
        <f t="array" ref="Y39">IFERROR(IF('T1'!$J39="",INDEX(LISTA_EX,23),INDEX(LISTA_EX,MATCH('T1'!$J39&amp;"|"&amp;23,LISTA_KLUCZ,0))),"")</f>
        <v>Bicep squat cable curl</v>
      </c>
      <c r="Z39" s="5" t="str">
        <f t="array" ref="Z39">IFERROR(IF('T1'!$J39="",INDEX(LISTA_EX,24),INDEX(LISTA_EX,MATCH('T1'!$J39&amp;"|"&amp;24,LISTA_KLUCZ,0))),"")</f>
        <v>Bird dog row</v>
      </c>
      <c r="AA39" s="5" t="str">
        <f t="array" ref="AA39">IFERROR(IF('T1'!$J39="",INDEX(LISTA_EX,25),INDEX(LISTA_EX,MATCH('T1'!$J39&amp;"|"&amp;25,LISTA_KLUCZ,0))),"")</f>
        <v>Box jump</v>
      </c>
      <c r="AB39" s="5" t="str">
        <f t="array" ref="AB39">IFERROR(IF('T1'!$J39="",INDEX(LISTA_EX,26),INDEX(LISTA_EX,MATCH('T1'!$J39&amp;"|"&amp;26,LISTA_KLUCZ,0))),"")</f>
        <v>Bulgarian clean plyo</v>
      </c>
      <c r="AC39" s="5" t="str">
        <f t="array" ref="AC39">IFERROR(IF('T1'!$J39="",INDEX(LISTA_EX,27),INDEX(LISTA_EX,MATCH('T1'!$J39&amp;"|"&amp;27,LISTA_KLUCZ,0))),"")</f>
        <v>Bulgarian squat assisted</v>
      </c>
      <c r="AD39" s="5" t="str">
        <f t="array" ref="AD39">IFERROR(IF('T1'!$J39="",INDEX(LISTA_EX,28),INDEX(LISTA_EX,MATCH('T1'!$J39&amp;"|"&amp;28,LISTA_KLUCZ,0))),"")</f>
        <v>Cable biceps curl</v>
      </c>
      <c r="AE39" s="5" t="str">
        <f t="array" ref="AE39">IFERROR(IF('T1'!$J39="",INDEX(LISTA_EX,29),INDEX(LISTA_EX,MATCH('T1'!$J39&amp;"|"&amp;29,LISTA_KLUCZ,0))),"")</f>
        <v>Cable fly</v>
      </c>
      <c r="AF39" s="5" t="str">
        <f t="array" ref="AF39">IFERROR(IF('T1'!$J39="",INDEX(LISTA_EX,30),INDEX(LISTA_EX,MATCH('T1'!$J39&amp;"|"&amp;30,LISTA_KLUCZ,0))),"")</f>
        <v>Cable lateral raise s/a</v>
      </c>
      <c r="AG39" s="5" t="str">
        <f t="array" ref="AG39">IFERROR(IF('T1'!$J39="",INDEX(LISTA_EX,31),INDEX(LISTA_EX,MATCH('T1'!$J39&amp;"|"&amp;31,LISTA_KLUCZ,0))),"")</f>
        <v>Cable row</v>
      </c>
      <c r="AH39" s="5" t="str">
        <f t="array" ref="AH39">IFERROR(IF('T1'!$J39="",INDEX(LISTA_EX,32),INDEX(LISTA_EX,MATCH('T1'!$J39&amp;"|"&amp;32,LISTA_KLUCZ,0))),"")</f>
        <v>Cable row s/a</v>
      </c>
      <c r="AI39" s="5" t="str">
        <f t="array" ref="AI39">IFERROR(IF('T1'!$J39="",INDEX(LISTA_EX,33),INDEX(LISTA_EX,MATCH('T1'!$J39&amp;"|"&amp;33,LISTA_KLUCZ,0))),"")</f>
        <v>Calf raises</v>
      </c>
      <c r="AJ39" s="5" t="str">
        <f t="array" ref="AJ39">IFERROR(IF('T1'!$J39="",INDEX(LISTA_EX,34),INDEX(LISTA_EX,MATCH('T1'!$J39&amp;"|"&amp;34,LISTA_KLUCZ,0))),"")</f>
        <v>Chest fly machine</v>
      </c>
      <c r="AK39" s="5" t="str">
        <f t="array" ref="AK39">IFERROR(IF('T1'!$J39="",INDEX(LISTA_EX,35),INDEX(LISTA_EX,MATCH('T1'!$J39&amp;"|"&amp;35,LISTA_KLUCZ,0))),"")</f>
        <v>Clean</v>
      </c>
      <c r="AL39" s="5" t="str">
        <f t="array" ref="AL39">IFERROR(IF('T1'!$J39="",INDEX(LISTA_EX,36),INDEX(LISTA_EX,MATCH('T1'!$J39&amp;"|"&amp;36,LISTA_KLUCZ,0))),"")</f>
        <v>Clean pins</v>
      </c>
      <c r="AM39" s="5" t="str">
        <f t="array" ref="AM39">IFERROR(IF('T1'!$J39="",INDEX(LISTA_EX,37),INDEX(LISTA_EX,MATCH('T1'!$J39&amp;"|"&amp;37,LISTA_KLUCZ,0))),"")</f>
        <v>Copenhagen plank</v>
      </c>
      <c r="AN39" s="5" t="str">
        <f t="array" ref="AN39">IFERROR(IF('T1'!$J39="",INDEX(LISTA_EX,38),INDEX(LISTA_EX,MATCH('T1'!$J39&amp;"|"&amp;38,LISTA_KLUCZ,0))),"")</f>
        <v>Dead bug izo + OH</v>
      </c>
      <c r="AO39" s="5" t="str">
        <f t="array" ref="AO39">IFERROR(IF('T1'!$J39="",INDEX(LISTA_EX,39),INDEX(LISTA_EX,MATCH('T1'!$J39&amp;"|"&amp;39,LISTA_KLUCZ,0))),"")</f>
        <v>Dead bug straight legs</v>
      </c>
      <c r="AP39" s="5" t="str">
        <f t="array" ref="AP39">IFERROR(IF('T1'!$J39="",INDEX(LISTA_EX,40),INDEX(LISTA_EX,MATCH('T1'!$J39&amp;"|"&amp;40,LISTA_KLUCZ,0))),"")</f>
        <v>Dead stop barbell row</v>
      </c>
      <c r="AQ39" s="5" t="str">
        <f t="array" ref="AQ39">IFERROR(IF('T1'!$J39="",INDEX(LISTA_EX,41),INDEX(LISTA_EX,MATCH('T1'!$J39&amp;"|"&amp;41,LISTA_KLUCZ,0))),"")</f>
        <v>Deadbug OH</v>
      </c>
      <c r="AR39" s="5" t="str">
        <f t="array" ref="AR39">IFERROR(IF('T1'!$J39="",INDEX(LISTA_EX,42),INDEX(LISTA_EX,MATCH('T1'!$J39&amp;"|"&amp;42,LISTA_KLUCZ,0))),"")</f>
        <v>Deadlift</v>
      </c>
      <c r="AS39" s="5" t="str">
        <f t="array" ref="AS39">IFERROR(IF('T1'!$J39="",INDEX(LISTA_EX,43),INDEX(LISTA_EX,MATCH('T1'!$J39&amp;"|"&amp;43,LISTA_KLUCZ,0))),"")</f>
        <v>Deficit push up</v>
      </c>
      <c r="AT39" s="5" t="str">
        <f t="array" ref="AT39">IFERROR(IF('T1'!$J39="",INDEX(LISTA_EX,44),INDEX(LISTA_EX,MATCH('T1'!$J39&amp;"|"&amp;44,LISTA_KLUCZ,0))),"")</f>
        <v>Deficit reverse lunge</v>
      </c>
      <c r="AU39" s="5" t="str">
        <f t="array" ref="AU39">IFERROR(IF('T1'!$J39="",INDEX(LISTA_EX,45),INDEX(LISTA_EX,MATCH('T1'!$J39&amp;"|"&amp;45,LISTA_KLUCZ,0))),"")</f>
        <v>Dips</v>
      </c>
      <c r="AV39" s="5" t="str">
        <f t="array" ref="AV39">IFERROR(IF('T1'!$J39="",INDEX(LISTA_EX,46),INDEX(LISTA_EX,MATCH('T1'!$J39&amp;"|"&amp;46,LISTA_KLUCZ,0))),"")</f>
        <v>Dips weighted</v>
      </c>
      <c r="AW39" s="5" t="str">
        <f t="array" ref="AW39">IFERROR(IF('T1'!$J39="",INDEX(LISTA_EX,47),INDEX(LISTA_EX,MATCH('T1'!$J39&amp;"|"&amp;47,LISTA_KLUCZ,0))),"")</f>
        <v>Dumbbell bench press</v>
      </c>
      <c r="AX39" s="5" t="str">
        <f t="array" ref="AX39">IFERROR(IF('T1'!$J39="",INDEX(LISTA_EX,48),INDEX(LISTA_EX,MATCH('T1'!$J39&amp;"|"&amp;48,LISTA_KLUCZ,0))),"")</f>
        <v>Dumbbell bench press alternating</v>
      </c>
      <c r="AY39" s="5" t="str">
        <f t="array" ref="AY39">IFERROR(IF('T1'!$J39="",INDEX(LISTA_EX,49),INDEX(LISTA_EX,MATCH('T1'!$J39&amp;"|"&amp;49,LISTA_KLUCZ,0))),"")</f>
        <v>Dumbbell curl</v>
      </c>
      <c r="AZ39" s="5" t="str">
        <f t="array" ref="AZ39">IFERROR(IF('T1'!$J39="",INDEX(LISTA_EX,50),INDEX(LISTA_EX,MATCH('T1'!$J39&amp;"|"&amp;50,LISTA_KLUCZ,0))),"")</f>
        <v>Dumbbell external rotation</v>
      </c>
      <c r="BA39" s="5" t="str">
        <f t="array" ref="BA39">IFERROR(IF('T1'!$J39="",INDEX(LISTA_EX,51),INDEX(LISTA_EX,MATCH('T1'!$J39&amp;"|"&amp;51,LISTA_KLUCZ,0))),"")</f>
        <v>Dumbbell face down curl</v>
      </c>
      <c r="BB39" s="5" t="str">
        <f t="array" ref="BB39">IFERROR(IF('T1'!$J39="",INDEX(LISTA_EX,52),INDEX(LISTA_EX,MATCH('T1'!$J39&amp;"|"&amp;52,LISTA_KLUCZ,0))),"")</f>
        <v>Dumbbell fly</v>
      </c>
      <c r="BC39" s="5" t="str">
        <f t="array" ref="BC39">IFERROR(IF('T1'!$J39="",INDEX(LISTA_EX,53),INDEX(LISTA_EX,MATCH('T1'!$J39&amp;"|"&amp;53,LISTA_KLUCZ,0))),"")</f>
        <v>Dumbbell french press</v>
      </c>
      <c r="BD39" s="5" t="str">
        <f t="array" ref="BD39">IFERROR(IF('T1'!$J39="",INDEX(LISTA_EX,54),INDEX(LISTA_EX,MATCH('T1'!$J39&amp;"|"&amp;54,LISTA_KLUCZ,0))),"")</f>
        <v>Dumbbell lateral raise</v>
      </c>
      <c r="BE39" s="5" t="str">
        <f t="array" ref="BE39">IFERROR(IF('T1'!$J39="",INDEX(LISTA_EX,55),INDEX(LISTA_EX,MATCH('T1'!$J39&amp;"|"&amp;55,LISTA_KLUCZ,0))),"")</f>
        <v>Dumbbell lunges</v>
      </c>
      <c r="BF39" s="5" t="str">
        <f t="array" ref="BF39">IFERROR(IF('T1'!$J39="",INDEX(LISTA_EX,56),INDEX(LISTA_EX,MATCH('T1'!$J39&amp;"|"&amp;56,LISTA_KLUCZ,0))),"")</f>
        <v>Dumbbell OH press</v>
      </c>
      <c r="BG39" s="5" t="str">
        <f t="array" ref="BG39">IFERROR(IF('T1'!$J39="",INDEX(LISTA_EX,57),INDEX(LISTA_EX,MATCH('T1'!$J39&amp;"|"&amp;57,LISTA_KLUCZ,0))),"")</f>
        <v>Dumbbell over head press</v>
      </c>
      <c r="BH39" s="5" t="str">
        <f t="array" ref="BH39">IFERROR(IF('T1'!$J39="",INDEX(LISTA_EX,58),INDEX(LISTA_EX,MATCH('T1'!$J39&amp;"|"&amp;58,LISTA_KLUCZ,0))),"")</f>
        <v>Dumbbell over head press alternating</v>
      </c>
      <c r="BI39" s="5" t="str">
        <f t="array" ref="BI39">IFERROR(IF('T1'!$J39="",INDEX(LISTA_EX,59),INDEX(LISTA_EX,MATCH('T1'!$J39&amp;"|"&amp;59,LISTA_KLUCZ,0))),"")</f>
        <v>Dumbbell row</v>
      </c>
      <c r="BJ39" s="5" t="str">
        <f t="array" ref="BJ39">IFERROR(IF('T1'!$J39="",INDEX(LISTA_EX,60),INDEX(LISTA_EX,MATCH('T1'!$J39&amp;"|"&amp;60,LISTA_KLUCZ,0))),"")</f>
        <v>Dumbbell s/a Arnold press</v>
      </c>
      <c r="BK39" s="5" t="str">
        <f t="array" ref="BK39">IFERROR(IF('T1'!$J39="",INDEX(LISTA_EX,61),INDEX(LISTA_EX,MATCH('T1'!$J39&amp;"|"&amp;61,LISTA_KLUCZ,0))),"")</f>
        <v>Dumbbell s/a row</v>
      </c>
      <c r="BL39" s="5" t="str">
        <f t="array" ref="BL39">IFERROR(IF('T1'!$J39="",INDEX(LISTA_EX,62),INDEX(LISTA_EX,MATCH('T1'!$J39&amp;"|"&amp;62,LISTA_KLUCZ,0))),"")</f>
        <v>Dumbbell seal row</v>
      </c>
      <c r="BM39" s="5" t="str">
        <f t="array" ref="BM39">IFERROR(IF('T1'!$J39="",INDEX(LISTA_EX,63),INDEX(LISTA_EX,MATCH('T1'!$J39&amp;"|"&amp;63,LISTA_KLUCZ,0))),"")</f>
        <v>Dumbbells jumps</v>
      </c>
      <c r="BN39" s="5" t="str">
        <f t="array" ref="BN39">IFERROR(IF('T1'!$J39="",INDEX(LISTA_EX,64),INDEX(LISTA_EX,MATCH('T1'!$J39&amp;"|"&amp;64,LISTA_KLUCZ,0))),"")</f>
        <v>Eccentric pull up</v>
      </c>
      <c r="BO39" s="5" t="str">
        <f t="array" ref="BO39">IFERROR(IF('T1'!$J39="",INDEX(LISTA_EX,65),INDEX(LISTA_EX,MATCH('T1'!$J39&amp;"|"&amp;65,LISTA_KLUCZ,0))),"")</f>
        <v>Eccentric push up (5 sek w dół)</v>
      </c>
      <c r="BP39" s="5" t="str">
        <f t="array" ref="BP39">IFERROR(IF('T1'!$J39="",INDEX(LISTA_EX,66),INDEX(LISTA_EX,MATCH('T1'!$J39&amp;"|"&amp;66,LISTA_KLUCZ,0))),"")</f>
        <v>Extensive plyo jumps s/l</v>
      </c>
      <c r="BQ39" s="5" t="str">
        <f t="array" ref="BQ39">IFERROR(IF('T1'!$J39="",INDEX(LISTA_EX,67),INDEX(LISTA_EX,MATCH('T1'!$J39&amp;"|"&amp;67,LISTA_KLUCZ,0))),"")</f>
        <v>Ez bar curl</v>
      </c>
      <c r="BR39" s="5" t="str">
        <f t="array" ref="BR39">IFERROR(IF('T1'!$J39="",INDEX(LISTA_EX,68),INDEX(LISTA_EX,MATCH('T1'!$J39&amp;"|"&amp;68,LISTA_KLUCZ,0))),"")</f>
        <v>Facepull chest supported</v>
      </c>
      <c r="BS39" s="5" t="str">
        <f t="array" ref="BS39">IFERROR(IF('T1'!$J39="",INDEX(LISTA_EX,69),INDEX(LISTA_EX,MATCH('T1'!$J39&amp;"|"&amp;69,LISTA_KLUCZ,0))),"")</f>
        <v>Front foot elevated split squat</v>
      </c>
      <c r="BT39" s="5" t="str">
        <f t="array" ref="BT39">IFERROR(IF('T1'!$J39="",INDEX(LISTA_EX,70),INDEX(LISTA_EX,MATCH('T1'!$J39&amp;"|"&amp;70,LISTA_KLUCZ,0))),"")</f>
        <v>Front squat</v>
      </c>
      <c r="BU39" s="5" t="str">
        <f t="array" ref="BU39">IFERROR(IF('T1'!$J39="",INDEX(LISTA_EX,71),INDEX(LISTA_EX,MATCH('T1'!$J39&amp;"|"&amp;71,LISTA_KLUCZ,0))),"")</f>
        <v>GHD flexion</v>
      </c>
      <c r="BV39" s="5" t="str">
        <f t="array" ref="BV39">IFERROR(IF('T1'!$J39="",INDEX(LISTA_EX,72),INDEX(LISTA_EX,MATCH('T1'!$J39&amp;"|"&amp;72,LISTA_KLUCZ,0))),"")</f>
        <v>Glute bridge hamstrings izo + OH</v>
      </c>
      <c r="BW39" s="5" t="str">
        <f t="array" ref="BW39">IFERROR(IF('T1'!$J39="",INDEX(LISTA_EX,73),INDEX(LISTA_EX,MATCH('T1'!$J39&amp;"|"&amp;73,LISTA_KLUCZ,0))),"")</f>
        <v>Glute crusher</v>
      </c>
      <c r="BX39" s="5" t="str">
        <f t="array" ref="BX39">IFERROR(IF('T1'!$J39="",INDEX(LISTA_EX,74),INDEX(LISTA_EX,MATCH('T1'!$J39&amp;"|"&amp;74,LISTA_KLUCZ,0))),"")</f>
        <v>Gorilla row</v>
      </c>
      <c r="BY39" s="5" t="str">
        <f t="array" ref="BY39">IFERROR(IF('T1'!$J39="",INDEX(LISTA_EX,75),INDEX(LISTA_EX,MATCH('T1'!$J39&amp;"|"&amp;75,LISTA_KLUCZ,0))),"")</f>
        <v>Halfkneeling s/a cable pull</v>
      </c>
      <c r="BZ39" s="5" t="str">
        <f t="array" ref="BZ39">IFERROR(IF('T1'!$J39="",INDEX(LISTA_EX,76),INDEX(LISTA_EX,MATCH('T1'!$J39&amp;"|"&amp;76,LISTA_KLUCZ,0))),"")</f>
        <v>Halfkneeling wood chopper</v>
      </c>
      <c r="CA39" s="5" t="str">
        <f t="array" ref="CA39">IFERROR(IF('T1'!$J39="",INDEX(LISTA_EX,77),INDEX(LISTA_EX,MATCH('T1'!$J39&amp;"|"&amp;77,LISTA_KLUCZ,0))),"")</f>
        <v>Hinged dumbbell row</v>
      </c>
      <c r="CB39" s="5" t="str">
        <f t="array" ref="CB39">IFERROR(IF('T1'!$J39="",INDEX(LISTA_EX,78),INDEX(LISTA_EX,MATCH('T1'!$J39&amp;"|"&amp;78,LISTA_KLUCZ,0))),"")</f>
        <v>Hip aeroplane</v>
      </c>
      <c r="CC39" s="5" t="str">
        <f t="array" ref="CC39">IFERROR(IF('T1'!$J39="",INDEX(LISTA_EX,79),INDEX(LISTA_EX,MATCH('T1'!$J39&amp;"|"&amp;79,LISTA_KLUCZ,0))),"")</f>
        <v>Hip flexors cable</v>
      </c>
      <c r="CD39" s="5" t="str">
        <f t="array" ref="CD39">IFERROR(IF('T1'!$J39="",INDEX(LISTA_EX,80),INDEX(LISTA_EX,MATCH('T1'!$J39&amp;"|"&amp;80,LISTA_KLUCZ,0))),"")</f>
        <v>Hip thrust barbell</v>
      </c>
      <c r="CE39" s="5" t="str">
        <f t="array" ref="CE39">IFERROR(IF('T1'!$J39="",INDEX(LISTA_EX,81),INDEX(LISTA_EX,MATCH('T1'!$J39&amp;"|"&amp;81,LISTA_KLUCZ,0))),"")</f>
        <v>Hollow body + OH</v>
      </c>
      <c r="CF39" s="5" t="str">
        <f t="array" ref="CF39">IFERROR(IF('T1'!$J39="",INDEX(LISTA_EX,82),INDEX(LISTA_EX,MATCH('T1'!$J39&amp;"|"&amp;82,LISTA_KLUCZ,0))),"")</f>
        <v>Horizontal jump</v>
      </c>
      <c r="CG39" s="5" t="str">
        <f t="array" ref="CG39">IFERROR(IF('T1'!$J39="",INDEX(LISTA_EX,83),INDEX(LISTA_EX,MATCH('T1'!$J39&amp;"|"&amp;83,LISTA_KLUCZ,0))),"")</f>
        <v>Incline bench lateral raise s/a</v>
      </c>
      <c r="CH39" s="5" t="str">
        <f t="array" ref="CH39">IFERROR(IF('T1'!$J39="",INDEX(LISTA_EX,84),INDEX(LISTA_EX,MATCH('T1'!$J39&amp;"|"&amp;84,LISTA_KLUCZ,0))),"")</f>
        <v>Incline curl + OHP</v>
      </c>
      <c r="CI39" s="5" t="str">
        <f t="array" ref="CI39">IFERROR(IF('T1'!$J39="",INDEX(LISTA_EX,85),INDEX(LISTA_EX,MATCH('T1'!$J39&amp;"|"&amp;85,LISTA_KLUCZ,0))),"")</f>
        <v>Incline dumbbell curl</v>
      </c>
      <c r="CJ39" s="5" t="str">
        <f t="array" ref="CJ39">IFERROR(IF('T1'!$J39="",INDEX(LISTA_EX,86),INDEX(LISTA_EX,MATCH('T1'!$J39&amp;"|"&amp;86,LISTA_KLUCZ,0))),"")</f>
        <v>Incline dumbbell curl (back)</v>
      </c>
      <c r="CK39" s="5" t="str">
        <f t="array" ref="CK39">IFERROR(IF('T1'!$J39="",INDEX(LISTA_EX,87),INDEX(LISTA_EX,MATCH('T1'!$J39&amp;"|"&amp;87,LISTA_KLUCZ,0))),"")</f>
        <v>Incline dumbbell curl (front)</v>
      </c>
      <c r="CL39" s="5" t="str">
        <f t="array" ref="CL39">IFERROR(IF('T1'!$J39="",INDEX(LISTA_EX,88),INDEX(LISTA_EX,MATCH('T1'!$J39&amp;"|"&amp;88,LISTA_KLUCZ,0))),"")</f>
        <v>Incline dumbbell fly</v>
      </c>
      <c r="CM39" s="5" t="str">
        <f t="array" ref="CM39">IFERROR(IF('T1'!$J39="",INDEX(LISTA_EX,89),INDEX(LISTA_EX,MATCH('T1'!$J39&amp;"|"&amp;89,LISTA_KLUCZ,0))),"")</f>
        <v>Incline dumbbell press</v>
      </c>
      <c r="CN39" s="5" t="str">
        <f t="array" ref="CN39">IFERROR(IF('T1'!$J39="",INDEX(LISTA_EX,90),INDEX(LISTA_EX,MATCH('T1'!$J39&amp;"|"&amp;90,LISTA_KLUCZ,0))),"")</f>
        <v>Incline dumbbell press alternating</v>
      </c>
      <c r="CO39" s="5" t="str">
        <f t="array" ref="CO39">IFERROR(IF('T1'!$J39="",INDEX(LISTA_EX,91),INDEX(LISTA_EX,MATCH('T1'!$J39&amp;"|"&amp;91,LISTA_KLUCZ,0))),"")</f>
        <v>Incline sit-ups</v>
      </c>
      <c r="CP39" s="5" t="str">
        <f t="array" ref="CP39">IFERROR(IF('T1'!$J39="",INDEX(LISTA_EX,92),INDEX(LISTA_EX,MATCH('T1'!$J39&amp;"|"&amp;92,LISTA_KLUCZ,0))),"")</f>
        <v>Jefferson cable</v>
      </c>
      <c r="CQ39" s="5" t="str">
        <f t="array" ref="CQ39">IFERROR(IF('T1'!$J39="",INDEX(LISTA_EX,93),INDEX(LISTA_EX,MATCH('T1'!$J39&amp;"|"&amp;93,LISTA_KLUCZ,0))),"")</f>
        <v>Kettlebell march</v>
      </c>
      <c r="CR39" s="5" t="str">
        <f t="array" ref="CR39">IFERROR(IF('T1'!$J39="",INDEX(LISTA_EX,94),INDEX(LISTA_EX,MATCH('T1'!$J39&amp;"|"&amp;94,LISTA_KLUCZ,0))),"")</f>
        <v>Kickbacks</v>
      </c>
      <c r="CS39" s="5" t="str">
        <f t="array" ref="CS39">IFERROR(IF('T1'!$J39="",INDEX(LISTA_EX,95),INDEX(LISTA_EX,MATCH('T1'!$J39&amp;"|"&amp;95,LISTA_KLUCZ,0))),"")</f>
        <v>Knee extension machine</v>
      </c>
      <c r="CT39" s="5" t="str">
        <f t="array" ref="CT39">IFERROR(IF('T1'!$J39="",INDEX(LISTA_EX,96),INDEX(LISTA_EX,MATCH('T1'!$J39&amp;"|"&amp;96,LISTA_KLUCZ,0))),"")</f>
        <v>Knee flexion machine</v>
      </c>
      <c r="CU39" s="5" t="str">
        <f t="array" ref="CU39">IFERROR(IF('T1'!$J39="",INDEX(LISTA_EX,97),INDEX(LISTA_EX,MATCH('T1'!$J39&amp;"|"&amp;97,LISTA_KLUCZ,0))),"")</f>
        <v>Knee raises</v>
      </c>
      <c r="CV39" s="5" t="str">
        <f t="array" ref="CV39">IFERROR(IF('T1'!$J39="",INDEX(LISTA_EX,98),INDEX(LISTA_EX,MATCH('T1'!$J39&amp;"|"&amp;98,LISTA_KLUCZ,0))),"")</f>
        <v>Landmine core</v>
      </c>
      <c r="CW39" s="5" t="str">
        <f t="array" ref="CW39">IFERROR(IF('T1'!$J39="",INDEX(LISTA_EX,99),INDEX(LISTA_EX,MATCH('T1'!$J39&amp;"|"&amp;99,LISTA_KLUCZ,0))),"")</f>
        <v>Landmine press</v>
      </c>
      <c r="CX39" s="5" t="str">
        <f t="array" ref="CX39">IFERROR(IF('T1'!$J39="",INDEX(LISTA_EX,100),INDEX(LISTA_EX,MATCH('T1'!$J39&amp;"|"&amp;100,LISTA_KLUCZ,0))),"")</f>
        <v>Landmine rotations (powtórzenia x2)</v>
      </c>
      <c r="CY39" s="5" t="str">
        <f t="array" ref="CY39">IFERROR(IF('T1'!$J39="",INDEX(LISTA_EX,101),INDEX(LISTA_EX,MATCH('T1'!$J39&amp;"|"&amp;101,LISTA_KLUCZ,0))),"")</f>
        <v>Landmine SLDL</v>
      </c>
      <c r="CZ39" s="5" t="str">
        <f t="array" ref="CZ39">IFERROR(IF('T1'!$J39="",INDEX(LISTA_EX,102),INDEX(LISTA_EX,MATCH('T1'!$J39&amp;"|"&amp;102,LISTA_KLUCZ,0))),"")</f>
        <v>Lat pulldown</v>
      </c>
      <c r="DA39" s="5" t="str">
        <f t="array" ref="DA39">IFERROR(IF('T1'!$J39="",INDEX(LISTA_EX,103),INDEX(LISTA_EX,MATCH('T1'!$J39&amp;"|"&amp;103,LISTA_KLUCZ,0))),"")</f>
        <v>Lat pulldown behind the head</v>
      </c>
      <c r="DB39" s="5" t="str">
        <f t="array" ref="DB39">IFERROR(IF('T1'!$J39="",INDEX(LISTA_EX,104),INDEX(LISTA_EX,MATCH('T1'!$J39&amp;"|"&amp;104,LISTA_KLUCZ,0))),"")</f>
        <v>Lat pulldown s/a</v>
      </c>
      <c r="DC39" s="5" t="str">
        <f t="array" ref="DC39">IFERROR(IF('T1'!$J39="",INDEX(LISTA_EX,105),INDEX(LISTA_EX,MATCH('T1'!$J39&amp;"|"&amp;105,LISTA_KLUCZ,0))),"")</f>
        <v>Lateral raise s/a</v>
      </c>
      <c r="DD39" s="5" t="str">
        <f t="array" ref="DD39">IFERROR(IF('T1'!$J39="",INDEX(LISTA_EX,106),INDEX(LISTA_EX,MATCH('T1'!$J39&amp;"|"&amp;106,LISTA_KLUCZ,0))),"")</f>
        <v>Lateral raises</v>
      </c>
      <c r="DE39" s="5" t="str">
        <f t="array" ref="DE39">IFERROR(IF('T1'!$J39="",INDEX(LISTA_EX,107),INDEX(LISTA_EX,MATCH('T1'!$J39&amp;"|"&amp;107,LISTA_KLUCZ,0))),"")</f>
        <v>Lateral raises 2</v>
      </c>
      <c r="DF39" s="5" t="str">
        <f t="array" ref="DF39">IFERROR(IF('T1'!$J39="",INDEX(LISTA_EX,108),INDEX(LISTA_EX,MATCH('T1'!$J39&amp;"|"&amp;108,LISTA_KLUCZ,0))),"")</f>
        <v>Lateral raises full ROM</v>
      </c>
      <c r="DG39" s="5" t="str">
        <f t="array" ref="DG39">IFERROR(IF('T1'!$J39="",INDEX(LISTA_EX,109),INDEX(LISTA_EX,MATCH('T1'!$J39&amp;"|"&amp;109,LISTA_KLUCZ,0))),"")</f>
        <v>Lateral raises hinged</v>
      </c>
      <c r="DH39" s="5" t="str">
        <f t="array" ref="DH39">IFERROR(IF('T1'!$J39="",INDEX(LISTA_EX,110),INDEX(LISTA_EX,MATCH('T1'!$J39&amp;"|"&amp;110,LISTA_KLUCZ,0))),"")</f>
        <v>Lateral raises incline s/a</v>
      </c>
      <c r="DI39" s="5" t="str">
        <f t="array" ref="DI39">IFERROR(IF('T1'!$J39="",INDEX(LISTA_EX,111),INDEX(LISTA_EX,MATCH('T1'!$J39&amp;"|"&amp;111,LISTA_KLUCZ,0))),"")</f>
        <v>Leg curl</v>
      </c>
      <c r="DJ39" s="5" t="str">
        <f t="array" ref="DJ39">IFERROR(IF('T1'!$J39="",INDEX(LISTA_EX,112),INDEX(LISTA_EX,MATCH('T1'!$J39&amp;"|"&amp;112,LISTA_KLUCZ,0))),"")</f>
        <v>Machine row</v>
      </c>
      <c r="DK39" s="5" t="str">
        <f t="array" ref="DK39">IFERROR(IF('T1'!$J39="",INDEX(LISTA_EX,113),INDEX(LISTA_EX,MATCH('T1'!$J39&amp;"|"&amp;113,LISTA_KLUCZ,0))),"")</f>
        <v>Machine row s/a</v>
      </c>
      <c r="DL39" s="5" t="str">
        <f t="array" ref="DL39">IFERROR(IF('T1'!$J39="",INDEX(LISTA_EX,114),INDEX(LISTA_EX,MATCH('T1'!$J39&amp;"|"&amp;114,LISTA_KLUCZ,0))),"")</f>
        <v>Meadows row</v>
      </c>
      <c r="DM39" s="5" t="str">
        <f t="array" ref="DM39">IFERROR(IF('T1'!$J39="",INDEX(LISTA_EX,115),INDEX(LISTA_EX,MATCH('T1'!$J39&amp;"|"&amp;115,LISTA_KLUCZ,0))),"")</f>
        <v>Med ball slam</v>
      </c>
      <c r="DN39" s="5" t="str">
        <f t="array" ref="DN39">IFERROR(IF('T1'!$J39="",INDEX(LISTA_EX,116),INDEX(LISTA_EX,MATCH('T1'!$J39&amp;"|"&amp;116,LISTA_KLUCZ,0))),"")</f>
        <v>OH skullcrushers</v>
      </c>
      <c r="DO39" s="5" t="str">
        <f t="array" ref="DO39">IFERROR(IF('T1'!$J39="",INDEX(LISTA_EX,117),INDEX(LISTA_EX,MATCH('T1'!$J39&amp;"|"&amp;117,LISTA_KLUCZ,0))),"")</f>
        <v>OHP barbell squat 15kg</v>
      </c>
      <c r="DP39" s="5" t="str">
        <f t="array" ref="DP39">IFERROR(IF('T1'!$J39="",INDEX(LISTA_EX,118),INDEX(LISTA_EX,MATCH('T1'!$J39&amp;"|"&amp;118,LISTA_KLUCZ,0))),"")</f>
        <v>Pistol squat eccentric</v>
      </c>
      <c r="DQ39" s="5" t="str">
        <f t="array" ref="DQ39">IFERROR(IF('T1'!$J39="",INDEX(LISTA_EX,119),INDEX(LISTA_EX,MATCH('T1'!$J39&amp;"|"&amp;119,LISTA_KLUCZ,0))),"")</f>
        <v>Plank contralateral</v>
      </c>
      <c r="DR39" s="5" t="str">
        <f t="array" ref="DR39">IFERROR(IF('T1'!$J39="",INDEX(LISTA_EX,120),INDEX(LISTA_EX,MATCH('T1'!$J39&amp;"|"&amp;120,LISTA_KLUCZ,0))),"")</f>
        <v>Plank dumbbell rotation</v>
      </c>
      <c r="DS39" s="5" t="str">
        <f t="array" ref="DS39">IFERROR(IF('T1'!$J39="",INDEX(LISTA_EX,121),INDEX(LISTA_EX,MATCH('T1'!$J39&amp;"|"&amp;121,LISTA_KLUCZ,0))),"")</f>
        <v>Plank leg raises</v>
      </c>
      <c r="DT39" s="5" t="str">
        <f t="array" ref="DT39">IFERROR(IF('T1'!$J39="",INDEX(LISTA_EX,122),INDEX(LISTA_EX,MATCH('T1'!$J39&amp;"|"&amp;122,LISTA_KLUCZ,0))),"")</f>
        <v>Poliquin step up</v>
      </c>
      <c r="DU39" s="5" t="str">
        <f t="array" ref="DU39">IFERROR(IF('T1'!$J39="",INDEX(LISTA_EX,123),INDEX(LISTA_EX,MATCH('T1'!$J39&amp;"|"&amp;123,LISTA_KLUCZ,0))),"")</f>
        <v>Poliquin step up paused 3sec</v>
      </c>
      <c r="DV39" s="5" t="str">
        <f t="array" ref="DV39">IFERROR(IF('T1'!$J39="",INDEX(LISTA_EX,124),INDEX(LISTA_EX,MATCH('T1'!$J39&amp;"|"&amp;124,LISTA_KLUCZ,0))),"")</f>
        <v>Pronation/Supination</v>
      </c>
      <c r="DW39" s="5" t="str">
        <f t="array" ref="DW39">IFERROR(IF('T1'!$J39="",INDEX(LISTA_EX,125),INDEX(LISTA_EX,MATCH('T1'!$J39&amp;"|"&amp;125,LISTA_KLUCZ,0))),"")</f>
        <v>Pull up</v>
      </c>
      <c r="DX39" s="5" t="str">
        <f t="array" ref="DX39">IFERROR(IF('T1'!$J39="",INDEX(LISTA_EX,126),INDEX(LISTA_EX,MATCH('T1'!$J39&amp;"|"&amp;126,LISTA_KLUCZ,0))),"")</f>
        <v>Pull up eccentric weighted</v>
      </c>
      <c r="DY39" s="5" t="str">
        <f t="array" ref="DY39">IFERROR(IF('T1'!$J39="",INDEX(LISTA_EX,127),INDEX(LISTA_EX,MATCH('T1'!$J39&amp;"|"&amp;127,LISTA_KLUCZ,0))),"")</f>
        <v>Pull up eccentric weighted (5 sek w dół)</v>
      </c>
      <c r="DZ39" s="5" t="str">
        <f t="array" ref="DZ39">IFERROR(IF('T1'!$J39="",INDEX(LISTA_EX,128),INDEX(LISTA_EX,MATCH('T1'!$J39&amp;"|"&amp;128,LISTA_KLUCZ,0))),"")</f>
        <v>Pull up weighted</v>
      </c>
      <c r="EA39" s="5" t="str">
        <f t="array" ref="EA39">IFERROR(IF('T1'!$J39="",INDEX(LISTA_EX,129),INDEX(LISTA_EX,MATCH('T1'!$J39&amp;"|"&amp;129,LISTA_KLUCZ,0))),"")</f>
        <v>Pull ups (paused)</v>
      </c>
      <c r="EB39" s="5" t="str">
        <f t="array" ref="EB39">IFERROR(IF('T1'!$J39="",INDEX(LISTA_EX,130),INDEX(LISTA_EX,MATCH('T1'!$J39&amp;"|"&amp;130,LISTA_KLUCZ,0))),"")</f>
        <v>Push press barbell</v>
      </c>
      <c r="EC39" s="5" t="str">
        <f t="array" ref="EC39">IFERROR(IF('T1'!$J39="",INDEX(LISTA_EX,131),INDEX(LISTA_EX,MATCH('T1'!$J39&amp;"|"&amp;131,LISTA_KLUCZ,0))),"")</f>
        <v>Push up</v>
      </c>
      <c r="ED39" s="5" t="str">
        <f t="array" ref="ED39">IFERROR(IF('T1'!$J39="",INDEX(LISTA_EX,132),INDEX(LISTA_EX,MATCH('T1'!$J39&amp;"|"&amp;132,LISTA_KLUCZ,0))),"")</f>
        <v>Raised bird dog</v>
      </c>
      <c r="EE39" s="5" t="str">
        <f t="array" ref="EE39">IFERROR(IF('T1'!$J39="",INDEX(LISTA_EX,133),INDEX(LISTA_EX,MATCH('T1'!$J39&amp;"|"&amp;133,LISTA_KLUCZ,0))),"")</f>
        <v>RDL</v>
      </c>
      <c r="EF39" s="5" t="str">
        <f t="array" ref="EF39">IFERROR(IF('T1'!$J39="",INDEX(LISTA_EX,134),INDEX(LISTA_EX,MATCH('T1'!$J39&amp;"|"&amp;134,LISTA_KLUCZ,0))),"")</f>
        <v>Reverse Nordic</v>
      </c>
      <c r="EG39" s="5" t="str">
        <f t="array" ref="EG39">IFERROR(IF('T1'!$J39="",INDEX(LISTA_EX,135),INDEX(LISTA_EX,MATCH('T1'!$J39&amp;"|"&amp;135,LISTA_KLUCZ,0))),"")</f>
        <v>Rope pushdown</v>
      </c>
      <c r="EH39" s="5" t="str">
        <f t="array" ref="EH39">IFERROR(IF('T1'!$J39="",INDEX(LISTA_EX,136),INDEX(LISTA_EX,MATCH('T1'!$J39&amp;"|"&amp;136,LISTA_KLUCZ,0))),"")</f>
        <v>Rope pushdown OH</v>
      </c>
      <c r="EI39" s="5" t="str">
        <f t="array" ref="EI39">IFERROR(IF('T1'!$J39="",INDEX(LISTA_EX,137),INDEX(LISTA_EX,MATCH('T1'!$J39&amp;"|"&amp;137,LISTA_KLUCZ,0))),"")</f>
        <v>S/a cable pulldown incline bench</v>
      </c>
      <c r="EJ39" s="5" t="str">
        <f t="array" ref="EJ39">IFERROR(IF('T1'!$J39="",INDEX(LISTA_EX,138),INDEX(LISTA_EX,MATCH('T1'!$J39&amp;"|"&amp;138,LISTA_KLUCZ,0))),"")</f>
        <v>S/a lat pulldown incline bench</v>
      </c>
      <c r="EK39" s="5" t="str">
        <f t="array" ref="EK39">IFERROR(IF('T1'!$J39="",INDEX(LISTA_EX,139),INDEX(LISTA_EX,MATCH('T1'!$J39&amp;"|"&amp;139,LISTA_KLUCZ,0))),"")</f>
        <v>S/l dragonflag eccentric</v>
      </c>
      <c r="EL39" s="5" t="str">
        <f t="array" ref="EL39">IFERROR(IF('T1'!$J39="",INDEX(LISTA_EX,140),INDEX(LISTA_EX,MATCH('T1'!$J39&amp;"|"&amp;140,LISTA_KLUCZ,0))),"")</f>
        <v>S/l hip thrust</v>
      </c>
      <c r="EM39" s="5" t="str">
        <f t="array" ref="EM39">IFERROR(IF('T1'!$J39="",INDEX(LISTA_EX,141),INDEX(LISTA_EX,MATCH('T1'!$J39&amp;"|"&amp;141,LISTA_KLUCZ,0))),"")</f>
        <v>Seated broad jump</v>
      </c>
      <c r="EN39" s="5" t="str">
        <f t="array" ref="EN39">IFERROR(IF('T1'!$J39="",INDEX(LISTA_EX,142),INDEX(LISTA_EX,MATCH('T1'!$J39&amp;"|"&amp;142,LISTA_KLUCZ,0))),"")</f>
        <v>Seated cable facepull</v>
      </c>
      <c r="EO39" s="5" t="str">
        <f t="array" ref="EO39">IFERROR(IF('T1'!$J39="",INDEX(LISTA_EX,143),INDEX(LISTA_EX,MATCH('T1'!$J39&amp;"|"&amp;143,LISTA_KLUCZ,0))),"")</f>
        <v>Seated seesaw press (nogi proste)</v>
      </c>
      <c r="EP39" s="5" t="str">
        <f t="array" ref="EP39">IFERROR(IF('T1'!$J39="",INDEX(LISTA_EX,144),INDEX(LISTA_EX,MATCH('T1'!$J39&amp;"|"&amp;144,LISTA_KLUCZ,0))),"")</f>
        <v>Seesaw press</v>
      </c>
      <c r="EQ39" s="5" t="str">
        <f t="array" ref="EQ39">IFERROR(IF('T1'!$J39="",INDEX(LISTA_EX,145),INDEX(LISTA_EX,MATCH('T1'!$J39&amp;"|"&amp;145,LISTA_KLUCZ,0))),"")</f>
        <v>Side crunches</v>
      </c>
      <c r="ER39" s="5" t="str">
        <f t="array" ref="ER39">IFERROR(IF('T1'!$J39="",INDEX(LISTA_EX,146),INDEX(LISTA_EX,MATCH('T1'!$J39&amp;"|"&amp;146,LISTA_KLUCZ,0))),"")</f>
        <v>Side plank hip drop</v>
      </c>
      <c r="ES39" s="5" t="str">
        <f t="array" ref="ES39">IFERROR(IF('T1'!$J39="",INDEX(LISTA_EX,147),INDEX(LISTA_EX,MATCH('T1'!$J39&amp;"|"&amp;147,LISTA_KLUCZ,0))),"")</f>
        <v>Side plank rotations</v>
      </c>
      <c r="ET39" s="5" t="str">
        <f t="array" ref="ET39">IFERROR(IF('T1'!$J39="",INDEX(LISTA_EX,148),INDEX(LISTA_EX,MATCH('T1'!$J39&amp;"|"&amp;148,LISTA_KLUCZ,0))),"")</f>
        <v>SLDL balance</v>
      </c>
      <c r="EU39" s="5" t="str">
        <f t="array" ref="EU39">IFERROR(IF('T1'!$J39="",INDEX(LISTA_EX,149),INDEX(LISTA_EX,MATCH('T1'!$J39&amp;"|"&amp;149,LISTA_KLUCZ,0))),"")</f>
        <v>Split squat</v>
      </c>
      <c r="EV39" s="5" t="str">
        <f t="array" ref="EV39">IFERROR(IF('T1'!$J39="",INDEX(LISTA_EX,150),INDEX(LISTA_EX,MATCH('T1'!$J39&amp;"|"&amp;150,LISTA_KLUCZ,0))),"")</f>
        <v>Split stance SLDL</v>
      </c>
      <c r="EW39" s="5" t="str">
        <f t="array" ref="EW39">IFERROR(IF('T1'!$J39="",INDEX(LISTA_EX,151),INDEX(LISTA_EX,MATCH('T1'!$J39&amp;"|"&amp;151,LISTA_KLUCZ,0))),"")</f>
        <v>Squat izo (15 sek)</v>
      </c>
      <c r="EX39" s="5" t="str">
        <f t="array" ref="EX39">IFERROR(IF('T1'!$J39="",INDEX(LISTA_EX,152),INDEX(LISTA_EX,MATCH('T1'!$J39&amp;"|"&amp;152,LISTA_KLUCZ,0))),"")</f>
        <v>Standing landmine press</v>
      </c>
      <c r="EY39" s="5" t="str">
        <f t="array" ref="EY39">IFERROR(IF('T1'!$J39="",INDEX(LISTA_EX,153),INDEX(LISTA_EX,MATCH('T1'!$J39&amp;"|"&amp;153,LISTA_KLUCZ,0))),"")</f>
        <v>Suitcase carry</v>
      </c>
      <c r="EZ39" s="5" t="str">
        <f t="array" ref="EZ39">IFERROR(IF('T1'!$J39="",INDEX(LISTA_EX,154),INDEX(LISTA_EX,MATCH('T1'!$J39&amp;"|"&amp;154,LISTA_KLUCZ,0))),"")</f>
        <v>Supine pigeon abs</v>
      </c>
      <c r="FA39" s="5" t="str">
        <f t="array" ref="FA39">IFERROR(IF('T1'!$J39="",INDEX(LISTA_EX,155),INDEX(LISTA_EX,MATCH('T1'!$J39&amp;"|"&amp;155,LISTA_KLUCZ,0))),"")</f>
        <v>Swiss ball leg curl</v>
      </c>
      <c r="FB39" s="5" t="str">
        <f t="array" ref="FB39">IFERROR(IF('T1'!$J39="",INDEX(LISTA_EX,156),INDEX(LISTA_EX,MATCH('T1'!$J39&amp;"|"&amp;156,LISTA_KLUCZ,0))),"")</f>
        <v>Toes to bar</v>
      </c>
      <c r="FC39" s="5" t="str">
        <f t="array" ref="FC39">IFERROR(IF('T1'!$J39="",INDEX(LISTA_EX,157),INDEX(LISTA_EX,MATCH('T1'!$J39&amp;"|"&amp;157,LISTA_KLUCZ,0))),"")</f>
        <v>Trap bar deadlift</v>
      </c>
      <c r="FD39" s="5" t="str">
        <f t="array" ref="FD39">IFERROR(IF('T1'!$J39="",INDEX(LISTA_EX,158),INDEX(LISTA_EX,MATCH('T1'!$J39&amp;"|"&amp;158,LISTA_KLUCZ,0))),"")</f>
        <v>Tricep cable pushdown</v>
      </c>
      <c r="FE39" s="5" t="str">
        <f t="array" ref="FE39">IFERROR(IF('T1'!$J39="",INDEX(LISTA_EX,159),INDEX(LISTA_EX,MATCH('T1'!$J39&amp;"|"&amp;159,LISTA_KLUCZ,0))),"")</f>
        <v>Tricep JM press</v>
      </c>
      <c r="FF39" s="5" t="str">
        <f t="array" ref="FF39">IFERROR(IF('T1'!$J39="",INDEX(LISTA_EX,160),INDEX(LISTA_EX,MATCH('T1'!$J39&amp;"|"&amp;160,LISTA_KLUCZ,0))),"")</f>
        <v>Tricep OH cable</v>
      </c>
      <c r="FG39" s="5" t="str">
        <f t="array" ref="FG39">IFERROR(IF('T1'!$J39="",INDEX(LISTA_EX,161),INDEX(LISTA_EX,MATCH('T1'!$J39&amp;"|"&amp;161,LISTA_KLUCZ,0))),"")</f>
        <v>Tricep OH ez bar</v>
      </c>
      <c r="FH39" s="5" t="str">
        <f t="array" ref="FH39">IFERROR(IF('T1'!$J39="",INDEX(LISTA_EX,162),INDEX(LISTA_EX,MATCH('T1'!$J39&amp;"|"&amp;162,LISTA_KLUCZ,0))),"")</f>
        <v>Walking lunges</v>
      </c>
      <c r="FI39" s="5" t="str">
        <f t="array" ref="FI39">IFERROR(IF('T1'!$J39="",INDEX(LISTA_EX,163),INDEX(LISTA_EX,MATCH('T1'!$J39&amp;"|"&amp;163,LISTA_KLUCZ,0))),"")</f>
        <v>Wipers kettle</v>
      </c>
      <c r="FJ39" s="5" t="str">
        <f t="array" ref="FJ39">IFERROR(IF('T1'!$J39="",INDEX(LISTA_EX,164),INDEX(LISTA_EX,MATCH('T1'!$J39&amp;"|"&amp;164,LISTA_KLUCZ,0))),"")</f>
        <v>Zercher jumps</v>
      </c>
      <c r="FK39" s="5" t="str">
        <f t="array" ref="FK39">IFERROR(IF('T1'!$J39="",INDEX(LISTA_EX,165),INDEX(LISTA_EX,MATCH('T1'!$J39&amp;"|"&amp;165,LISTA_KLUCZ,0))),"")</f>
        <v/>
      </c>
      <c r="FL39" s="5" t="str">
        <f t="array" ref="FL39">IFERROR(IF('T1'!$J39="",INDEX(LISTA_EX,166),INDEX(LISTA_EX,MATCH('T1'!$J39&amp;"|"&amp;166,LISTA_KLUCZ,0))),"")</f>
        <v/>
      </c>
      <c r="FM39" s="5" t="str">
        <f t="array" ref="FM39">IFERROR(IF('T1'!$J39="",INDEX(LISTA_EX,167),INDEX(LISTA_EX,MATCH('T1'!$J39&amp;"|"&amp;167,LISTA_KLUCZ,0))),"")</f>
        <v/>
      </c>
      <c r="FN39" s="5" t="str">
        <f t="array" ref="FN39">IFERROR(IF('T1'!$J39="",INDEX(LISTA_EX,168),INDEX(LISTA_EX,MATCH('T1'!$J39&amp;"|"&amp;168,LISTA_KLUCZ,0))),"")</f>
        <v/>
      </c>
      <c r="FO39" s="5" t="str">
        <f t="array" ref="FO39">IFERROR(IF('T1'!$J39="",INDEX(LISTA_EX,169),INDEX(LISTA_EX,MATCH('T1'!$J39&amp;"|"&amp;169,LISTA_KLUCZ,0))),"")</f>
        <v/>
      </c>
      <c r="FP39" s="5" t="str">
        <f t="array" ref="FP39">IFERROR(IF('T1'!$J39="",INDEX(LISTA_EX,170),INDEX(LISTA_EX,MATCH('T1'!$J39&amp;"|"&amp;170,LISTA_KLUCZ,0))),"")</f>
        <v/>
      </c>
      <c r="FQ39" s="5" t="str">
        <f t="array" ref="FQ39">IFERROR(IF('T1'!$J39="",INDEX(LISTA_EX,171),INDEX(LISTA_EX,MATCH('T1'!$J39&amp;"|"&amp;171,LISTA_KLUCZ,0))),"")</f>
        <v/>
      </c>
      <c r="FR39" s="5" t="str">
        <f t="array" ref="FR39">IFERROR(IF('T1'!$J39="",INDEX(LISTA_EX,172),INDEX(LISTA_EX,MATCH('T1'!$J39&amp;"|"&amp;172,LISTA_KLUCZ,0))),"")</f>
        <v/>
      </c>
      <c r="FS39" s="5" t="str">
        <f t="array" ref="FS39">IFERROR(IF('T1'!$J39="",INDEX(LISTA_EX,173),INDEX(LISTA_EX,MATCH('T1'!$J39&amp;"|"&amp;173,LISTA_KLUCZ,0))),"")</f>
        <v/>
      </c>
      <c r="FT39" s="5" t="str">
        <f t="array" ref="FT39">IFERROR(IF('T1'!$J39="",INDEX(LISTA_EX,174),INDEX(LISTA_EX,MATCH('T1'!$J39&amp;"|"&amp;174,LISTA_KLUCZ,0))),"")</f>
        <v/>
      </c>
      <c r="FU39" s="5" t="str">
        <f t="array" ref="FU39">IFERROR(IF('T1'!$J39="",INDEX(LISTA_EX,175),INDEX(LISTA_EX,MATCH('T1'!$J39&amp;"|"&amp;175,LISTA_KLUCZ,0))),"")</f>
        <v/>
      </c>
      <c r="FV39" s="5" t="str">
        <f t="array" ref="FV39">IFERROR(IF('T1'!$J39="",INDEX(LISTA_EX,176),INDEX(LISTA_EX,MATCH('T1'!$J39&amp;"|"&amp;176,LISTA_KLUCZ,0))),"")</f>
        <v/>
      </c>
      <c r="FW39" s="5" t="str">
        <f t="array" ref="FW39">IFERROR(IF('T1'!$J39="",INDEX(LISTA_EX,177),INDEX(LISTA_EX,MATCH('T1'!$J39&amp;"|"&amp;177,LISTA_KLUCZ,0))),"")</f>
        <v/>
      </c>
      <c r="FX39" s="5" t="str">
        <f t="array" ref="FX39">IFERROR(IF('T1'!$J39="",INDEX(LISTA_EX,178),INDEX(LISTA_EX,MATCH('T1'!$J39&amp;"|"&amp;178,LISTA_KLUCZ,0))),"")</f>
        <v/>
      </c>
      <c r="FY39" s="5" t="str">
        <f t="array" ref="FY39">IFERROR(IF('T1'!$J39="",INDEX(LISTA_EX,179),INDEX(LISTA_EX,MATCH('T1'!$J39&amp;"|"&amp;179,LISTA_KLUCZ,0))),"")</f>
        <v/>
      </c>
      <c r="FZ39" s="5" t="str">
        <f t="array" ref="FZ39">IFERROR(IF('T1'!$J39="",INDEX(LISTA_EX,180),INDEX(LISTA_EX,MATCH('T1'!$J39&amp;"|"&amp;180,LISTA_KLUCZ,0))),"")</f>
        <v/>
      </c>
      <c r="GA39" s="5" t="str">
        <f t="array" ref="GA39">IFERROR(IF('T1'!$J39="",INDEX(LISTA_EX,181),INDEX(LISTA_EX,MATCH('T1'!$J39&amp;"|"&amp;181,LISTA_KLUCZ,0))),"")</f>
        <v/>
      </c>
      <c r="GB39" s="5" t="str">
        <f t="array" ref="GB39">IFERROR(IF('T1'!$J39="",INDEX(LISTA_EX,182),INDEX(LISTA_EX,MATCH('T1'!$J39&amp;"|"&amp;182,LISTA_KLUCZ,0))),"")</f>
        <v/>
      </c>
      <c r="GC39" s="5" t="str">
        <f t="array" ref="GC39">IFERROR(IF('T1'!$J39="",INDEX(LISTA_EX,183),INDEX(LISTA_EX,MATCH('T1'!$J39&amp;"|"&amp;183,LISTA_KLUCZ,0))),"")</f>
        <v/>
      </c>
      <c r="GD39" s="5" t="str">
        <f t="array" ref="GD39">IFERROR(IF('T1'!$J39="",INDEX(LISTA_EX,184),INDEX(LISTA_EX,MATCH('T1'!$J39&amp;"|"&amp;184,LISTA_KLUCZ,0))),"")</f>
        <v/>
      </c>
      <c r="GE39" s="5" t="str">
        <f t="array" ref="GE39">IFERROR(IF('T1'!$J39="",INDEX(LISTA_EX,185),INDEX(LISTA_EX,MATCH('T1'!$J39&amp;"|"&amp;185,LISTA_KLUCZ,0))),"")</f>
        <v/>
      </c>
      <c r="GF39" s="5" t="str">
        <f t="array" ref="GF39">IFERROR(IF('T1'!$J39="",INDEX(LISTA_EX,186),INDEX(LISTA_EX,MATCH('T1'!$J39&amp;"|"&amp;186,LISTA_KLUCZ,0))),"")</f>
        <v/>
      </c>
      <c r="GG39" s="5" t="str">
        <f t="array" ref="GG39">IFERROR(IF('T1'!$J39="",INDEX(LISTA_EX,187),INDEX(LISTA_EX,MATCH('T1'!$J39&amp;"|"&amp;187,LISTA_KLUCZ,0))),"")</f>
        <v/>
      </c>
      <c r="GH39" s="5" t="str">
        <f t="array" ref="GH39">IFERROR(IF('T1'!$J39="",INDEX(LISTA_EX,188),INDEX(LISTA_EX,MATCH('T1'!$J39&amp;"|"&amp;188,LISTA_KLUCZ,0))),"")</f>
        <v/>
      </c>
      <c r="GI39" s="5" t="str">
        <f t="array" ref="GI39">IFERROR(IF('T1'!$J39="",INDEX(LISTA_EX,189),INDEX(LISTA_EX,MATCH('T1'!$J39&amp;"|"&amp;189,LISTA_KLUCZ,0))),"")</f>
        <v/>
      </c>
      <c r="GJ39" s="5" t="str">
        <f t="array" ref="GJ39">IFERROR(IF('T1'!$J39="",INDEX(LISTA_EX,190),INDEX(LISTA_EX,MATCH('T1'!$J39&amp;"|"&amp;190,LISTA_KLUCZ,0))),"")</f>
        <v/>
      </c>
      <c r="GK39" s="5" t="str">
        <f t="array" ref="GK39">IFERROR(IF('T1'!$J39="",INDEX(LISTA_EX,191),INDEX(LISTA_EX,MATCH('T1'!$J39&amp;"|"&amp;191,LISTA_KLUCZ,0))),"")</f>
        <v/>
      </c>
      <c r="GL39" s="5" t="str">
        <f t="array" ref="GL39">IFERROR(IF('T1'!$J39="",INDEX(LISTA_EX,192),INDEX(LISTA_EX,MATCH('T1'!$J39&amp;"|"&amp;192,LISTA_KLUCZ,0))),"")</f>
        <v/>
      </c>
      <c r="GM39" s="5" t="str">
        <f t="array" ref="GM39">IFERROR(IF('T1'!$J39="",INDEX(LISTA_EX,193),INDEX(LISTA_EX,MATCH('T1'!$J39&amp;"|"&amp;193,LISTA_KLUCZ,0))),"")</f>
        <v/>
      </c>
      <c r="GN39" s="5" t="str">
        <f t="array" ref="GN39">IFERROR(IF('T1'!$J39="",INDEX(LISTA_EX,194),INDEX(LISTA_EX,MATCH('T1'!$J39&amp;"|"&amp;194,LISTA_KLUCZ,0))),"")</f>
        <v/>
      </c>
      <c r="GO39" s="5" t="str">
        <f t="array" ref="GO39">IFERROR(IF('T1'!$J39="",INDEX(LISTA_EX,195),INDEX(LISTA_EX,MATCH('T1'!$J39&amp;"|"&amp;195,LISTA_KLUCZ,0))),"")</f>
        <v/>
      </c>
      <c r="GP39" s="5" t="str">
        <f t="array" ref="GP39">IFERROR(IF('T1'!$J39="",INDEX(LISTA_EX,196),INDEX(LISTA_EX,MATCH('T1'!$J39&amp;"|"&amp;196,LISTA_KLUCZ,0))),"")</f>
        <v/>
      </c>
      <c r="GQ39" s="5" t="str">
        <f t="array" ref="GQ39">IFERROR(IF('T1'!$J39="",INDEX(LISTA_EX,197),INDEX(LISTA_EX,MATCH('T1'!$J39&amp;"|"&amp;197,LISTA_KLUCZ,0))),"")</f>
        <v/>
      </c>
      <c r="GR39" s="5" t="str">
        <f t="array" ref="GR39">IFERROR(IF('T1'!$J39="",INDEX(LISTA_EX,198),INDEX(LISTA_EX,MATCH('T1'!$J39&amp;"|"&amp;198,LISTA_KLUCZ,0))),"")</f>
        <v/>
      </c>
      <c r="GS39" s="5" t="str">
        <f t="array" ref="GS39">IFERROR(IF('T1'!$J39="",INDEX(LISTA_EX,199),INDEX(LISTA_EX,MATCH('T1'!$J39&amp;"|"&amp;199,LISTA_KLUCZ,0))),"")</f>
        <v/>
      </c>
      <c r="GT39" s="5" t="str">
        <f t="array" ref="GT39">IFERROR(IF('T1'!$J39="",INDEX(LISTA_EX,200),INDEX(LISTA_EX,MATCH('T1'!$J39&amp;"|"&amp;200,LISTA_KLUCZ,0))),"")</f>
        <v/>
      </c>
      <c r="GV39" s="5" t="str">
        <f>IF(BAZA!$A39="","",BAZA!$A39)</f>
        <v>Copenhagen plank</v>
      </c>
      <c r="GW39" s="5" t="str">
        <f>IF(BAZA!$B39="","",BAZA!$B39&amp;"|"&amp;COUNTIF(BAZA!$B$3:$B39,BAZA!$B39))</f>
        <v>Core|5</v>
      </c>
    </row>
    <row r="40" ht="15.0" customHeight="1">
      <c r="A40" s="5" t="str">
        <f>IF('T1'!$K40="","",'T1'!$K40)</f>
        <v>D3-S02</v>
      </c>
      <c r="B40" s="5" t="str">
        <f>IF('T1'!$J40="","(wszystkie)",'T1'!$J40)</f>
        <v>(wszystkie)</v>
      </c>
      <c r="C40" s="5" t="str">
        <f t="array" ref="C40">IFERROR(IF('T1'!$J40="",INDEX(LISTA_EX,1),INDEX(LISTA_EX,MATCH('T1'!$J40&amp;"|"&amp;1,LISTA_KLUCZ,0))),"")</f>
        <v>Abduction machine</v>
      </c>
      <c r="D40" s="5" t="str">
        <f t="array" ref="D40">IFERROR(IF('T1'!$J40="",INDEX(LISTA_EX,2),INDEX(LISTA_EX,MATCH('T1'!$J40&amp;"|"&amp;2,LISTA_KLUCZ,0))),"")</f>
        <v>Adduction machine</v>
      </c>
      <c r="E40" s="5" t="str">
        <f t="array" ref="E40">IFERROR(IF('T1'!$J40="",INDEX(LISTA_EX,3),INDEX(LISTA_EX,MATCH('T1'!$J40&amp;"|"&amp;3,LISTA_KLUCZ,0))),"")</f>
        <v>Allah</v>
      </c>
      <c r="F40" s="5" t="str">
        <f t="array" ref="F40">IFERROR(IF('T1'!$J40="",INDEX(LISTA_EX,4),INDEX(LISTA_EX,MATCH('T1'!$J40&amp;"|"&amp;4,LISTA_KLUCZ,0))),"")</f>
        <v>Arnold press</v>
      </c>
      <c r="G40" s="5" t="str">
        <f t="array" ref="G40">IFERROR(IF('T1'!$J40="",INDEX(LISTA_EX,5),INDEX(LISTA_EX,MATCH('T1'!$J40&amp;"|"&amp;5,LISTA_KLUCZ,0))),"")</f>
        <v>Arnold press alternating</v>
      </c>
      <c r="H40" s="5" t="str">
        <f t="array" ref="H40">IFERROR(IF('T1'!$J40="",INDEX(LISTA_EX,6),INDEX(LISTA_EX,MATCH('T1'!$J40&amp;"|"&amp;6,LISTA_KLUCZ,0))),"")</f>
        <v>B/l dragonflag eccentric</v>
      </c>
      <c r="I40" s="5" t="str">
        <f t="array" ref="I40">IFERROR(IF('T1'!$J40="",INDEX(LISTA_EX,7),INDEX(LISTA_EX,MATCH('T1'!$J40&amp;"|"&amp;7,LISTA_KLUCZ,0))),"")</f>
        <v>Back extension</v>
      </c>
      <c r="J40" s="5" t="str">
        <f t="array" ref="J40">IFERROR(IF('T1'!$J40="",INDEX(LISTA_EX,8),INDEX(LISTA_EX,MATCH('T1'!$J40&amp;"|"&amp;8,LISTA_KLUCZ,0))),"")</f>
        <v>Banded pistol squat</v>
      </c>
      <c r="K40" s="5" t="str">
        <f t="array" ref="K40">IFERROR(IF('T1'!$J40="",INDEX(LISTA_EX,9),INDEX(LISTA_EX,MATCH('T1'!$J40&amp;"|"&amp;9,LISTA_KLUCZ,0))),"")</f>
        <v>Banded pull ups</v>
      </c>
      <c r="L40" s="5" t="str">
        <f t="array" ref="L40">IFERROR(IF('T1'!$J40="",INDEX(LISTA_EX,10),INDEX(LISTA_EX,MATCH('T1'!$J40&amp;"|"&amp;10,LISTA_KLUCZ,0))),"")</f>
        <v>Barbell back squat</v>
      </c>
      <c r="M40" s="5" t="str">
        <f t="array" ref="M40">IFERROR(IF('T1'!$J40="",INDEX(LISTA_EX,11),INDEX(LISTA_EX,MATCH('T1'!$J40&amp;"|"&amp;11,LISTA_KLUCZ,0))),"")</f>
        <v>Barbell bench press</v>
      </c>
      <c r="N40" s="5" t="str">
        <f t="array" ref="N40">IFERROR(IF('T1'!$J40="",INDEX(LISTA_EX,12),INDEX(LISTA_EX,MATCH('T1'!$J40&amp;"|"&amp;12,LISTA_KLUCZ,0))),"")</f>
        <v>Barbell curl</v>
      </c>
      <c r="O40" s="5" t="str">
        <f t="array" ref="O40">IFERROR(IF('T1'!$J40="",INDEX(LISTA_EX,13),INDEX(LISTA_EX,MATCH('T1'!$J40&amp;"|"&amp;13,LISTA_KLUCZ,0))),"")</f>
        <v>Barbell low bar squat</v>
      </c>
      <c r="P40" s="5" t="str">
        <f t="array" ref="P40">IFERROR(IF('T1'!$J40="",INDEX(LISTA_EX,14),INDEX(LISTA_EX,MATCH('T1'!$J40&amp;"|"&amp;14,LISTA_KLUCZ,0))),"")</f>
        <v>Barbell OHP</v>
      </c>
      <c r="Q40" s="5" t="str">
        <f t="array" ref="Q40">IFERROR(IF('T1'!$J40="",INDEX(LISTA_EX,15),INDEX(LISTA_EX,MATCH('T1'!$J40&amp;"|"&amp;15,LISTA_KLUCZ,0))),"")</f>
        <v>Barbell oscilation</v>
      </c>
      <c r="R40" s="5" t="str">
        <f t="array" ref="R40">IFERROR(IF('T1'!$J40="",INDEX(LISTA_EX,16),INDEX(LISTA_EX,MATCH('T1'!$J40&amp;"|"&amp;16,LISTA_KLUCZ,0))),"")</f>
        <v>Barbell row</v>
      </c>
      <c r="S40" s="5" t="str">
        <f t="array" ref="S40">IFERROR(IF('T1'!$J40="",INDEX(LISTA_EX,17),INDEX(LISTA_EX,MATCH('T1'!$J40&amp;"|"&amp;17,LISTA_KLUCZ,0))),"")</f>
        <v>Barbell row dead stop pins</v>
      </c>
      <c r="T40" s="5" t="str">
        <f t="array" ref="T40">IFERROR(IF('T1'!$J40="",INDEX(LISTA_EX,18),INDEX(LISTA_EX,MATCH('T1'!$J40&amp;"|"&amp;18,LISTA_KLUCZ,0))),"")</f>
        <v>Barbell SLDL</v>
      </c>
      <c r="U40" s="5" t="str">
        <f t="array" ref="U40">IFERROR(IF('T1'!$J40="",INDEX(LISTA_EX,19),INDEX(LISTA_EX,MATCH('T1'!$J40&amp;"|"&amp;19,LISTA_KLUCZ,0))),"")</f>
        <v>Bayesian curl</v>
      </c>
      <c r="V40" s="5" t="str">
        <f t="array" ref="V40">IFERROR(IF('T1'!$J40="",INDEX(LISTA_EX,20),INDEX(LISTA_EX,MATCH('T1'!$J40&amp;"|"&amp;20,LISTA_KLUCZ,0))),"")</f>
        <v>Bear renegade row</v>
      </c>
      <c r="W40" s="5" t="str">
        <f t="array" ref="W40">IFERROR(IF('T1'!$J40="",INDEX(LISTA_EX,21),INDEX(LISTA_EX,MATCH('T1'!$J40&amp;"|"&amp;21,LISTA_KLUCZ,0))),"")</f>
        <v>Bench press paused 3sec</v>
      </c>
      <c r="X40" s="5" t="str">
        <f t="array" ref="X40">IFERROR(IF('T1'!$J40="",INDEX(LISTA_EX,22),INDEX(LISTA_EX,MATCH('T1'!$J40&amp;"|"&amp;22,LISTA_KLUCZ,0))),"")</f>
        <v>Bicep hammer curl</v>
      </c>
      <c r="Y40" s="5" t="str">
        <f t="array" ref="Y40">IFERROR(IF('T1'!$J40="",INDEX(LISTA_EX,23),INDEX(LISTA_EX,MATCH('T1'!$J40&amp;"|"&amp;23,LISTA_KLUCZ,0))),"")</f>
        <v>Bicep squat cable curl</v>
      </c>
      <c r="Z40" s="5" t="str">
        <f t="array" ref="Z40">IFERROR(IF('T1'!$J40="",INDEX(LISTA_EX,24),INDEX(LISTA_EX,MATCH('T1'!$J40&amp;"|"&amp;24,LISTA_KLUCZ,0))),"")</f>
        <v>Bird dog row</v>
      </c>
      <c r="AA40" s="5" t="str">
        <f t="array" ref="AA40">IFERROR(IF('T1'!$J40="",INDEX(LISTA_EX,25),INDEX(LISTA_EX,MATCH('T1'!$J40&amp;"|"&amp;25,LISTA_KLUCZ,0))),"")</f>
        <v>Box jump</v>
      </c>
      <c r="AB40" s="5" t="str">
        <f t="array" ref="AB40">IFERROR(IF('T1'!$J40="",INDEX(LISTA_EX,26),INDEX(LISTA_EX,MATCH('T1'!$J40&amp;"|"&amp;26,LISTA_KLUCZ,0))),"")</f>
        <v>Bulgarian clean plyo</v>
      </c>
      <c r="AC40" s="5" t="str">
        <f t="array" ref="AC40">IFERROR(IF('T1'!$J40="",INDEX(LISTA_EX,27),INDEX(LISTA_EX,MATCH('T1'!$J40&amp;"|"&amp;27,LISTA_KLUCZ,0))),"")</f>
        <v>Bulgarian squat assisted</v>
      </c>
      <c r="AD40" s="5" t="str">
        <f t="array" ref="AD40">IFERROR(IF('T1'!$J40="",INDEX(LISTA_EX,28),INDEX(LISTA_EX,MATCH('T1'!$J40&amp;"|"&amp;28,LISTA_KLUCZ,0))),"")</f>
        <v>Cable biceps curl</v>
      </c>
      <c r="AE40" s="5" t="str">
        <f t="array" ref="AE40">IFERROR(IF('T1'!$J40="",INDEX(LISTA_EX,29),INDEX(LISTA_EX,MATCH('T1'!$J40&amp;"|"&amp;29,LISTA_KLUCZ,0))),"")</f>
        <v>Cable fly</v>
      </c>
      <c r="AF40" s="5" t="str">
        <f t="array" ref="AF40">IFERROR(IF('T1'!$J40="",INDEX(LISTA_EX,30),INDEX(LISTA_EX,MATCH('T1'!$J40&amp;"|"&amp;30,LISTA_KLUCZ,0))),"")</f>
        <v>Cable lateral raise s/a</v>
      </c>
      <c r="AG40" s="5" t="str">
        <f t="array" ref="AG40">IFERROR(IF('T1'!$J40="",INDEX(LISTA_EX,31),INDEX(LISTA_EX,MATCH('T1'!$J40&amp;"|"&amp;31,LISTA_KLUCZ,0))),"")</f>
        <v>Cable row</v>
      </c>
      <c r="AH40" s="5" t="str">
        <f t="array" ref="AH40">IFERROR(IF('T1'!$J40="",INDEX(LISTA_EX,32),INDEX(LISTA_EX,MATCH('T1'!$J40&amp;"|"&amp;32,LISTA_KLUCZ,0))),"")</f>
        <v>Cable row s/a</v>
      </c>
      <c r="AI40" s="5" t="str">
        <f t="array" ref="AI40">IFERROR(IF('T1'!$J40="",INDEX(LISTA_EX,33),INDEX(LISTA_EX,MATCH('T1'!$J40&amp;"|"&amp;33,LISTA_KLUCZ,0))),"")</f>
        <v>Calf raises</v>
      </c>
      <c r="AJ40" s="5" t="str">
        <f t="array" ref="AJ40">IFERROR(IF('T1'!$J40="",INDEX(LISTA_EX,34),INDEX(LISTA_EX,MATCH('T1'!$J40&amp;"|"&amp;34,LISTA_KLUCZ,0))),"")</f>
        <v>Chest fly machine</v>
      </c>
      <c r="AK40" s="5" t="str">
        <f t="array" ref="AK40">IFERROR(IF('T1'!$J40="",INDEX(LISTA_EX,35),INDEX(LISTA_EX,MATCH('T1'!$J40&amp;"|"&amp;35,LISTA_KLUCZ,0))),"")</f>
        <v>Clean</v>
      </c>
      <c r="AL40" s="5" t="str">
        <f t="array" ref="AL40">IFERROR(IF('T1'!$J40="",INDEX(LISTA_EX,36),INDEX(LISTA_EX,MATCH('T1'!$J40&amp;"|"&amp;36,LISTA_KLUCZ,0))),"")</f>
        <v>Clean pins</v>
      </c>
      <c r="AM40" s="5" t="str">
        <f t="array" ref="AM40">IFERROR(IF('T1'!$J40="",INDEX(LISTA_EX,37),INDEX(LISTA_EX,MATCH('T1'!$J40&amp;"|"&amp;37,LISTA_KLUCZ,0))),"")</f>
        <v>Copenhagen plank</v>
      </c>
      <c r="AN40" s="5" t="str">
        <f t="array" ref="AN40">IFERROR(IF('T1'!$J40="",INDEX(LISTA_EX,38),INDEX(LISTA_EX,MATCH('T1'!$J40&amp;"|"&amp;38,LISTA_KLUCZ,0))),"")</f>
        <v>Dead bug izo + OH</v>
      </c>
      <c r="AO40" s="5" t="str">
        <f t="array" ref="AO40">IFERROR(IF('T1'!$J40="",INDEX(LISTA_EX,39),INDEX(LISTA_EX,MATCH('T1'!$J40&amp;"|"&amp;39,LISTA_KLUCZ,0))),"")</f>
        <v>Dead bug straight legs</v>
      </c>
      <c r="AP40" s="5" t="str">
        <f t="array" ref="AP40">IFERROR(IF('T1'!$J40="",INDEX(LISTA_EX,40),INDEX(LISTA_EX,MATCH('T1'!$J40&amp;"|"&amp;40,LISTA_KLUCZ,0))),"")</f>
        <v>Dead stop barbell row</v>
      </c>
      <c r="AQ40" s="5" t="str">
        <f t="array" ref="AQ40">IFERROR(IF('T1'!$J40="",INDEX(LISTA_EX,41),INDEX(LISTA_EX,MATCH('T1'!$J40&amp;"|"&amp;41,LISTA_KLUCZ,0))),"")</f>
        <v>Deadbug OH</v>
      </c>
      <c r="AR40" s="5" t="str">
        <f t="array" ref="AR40">IFERROR(IF('T1'!$J40="",INDEX(LISTA_EX,42),INDEX(LISTA_EX,MATCH('T1'!$J40&amp;"|"&amp;42,LISTA_KLUCZ,0))),"")</f>
        <v>Deadlift</v>
      </c>
      <c r="AS40" s="5" t="str">
        <f t="array" ref="AS40">IFERROR(IF('T1'!$J40="",INDEX(LISTA_EX,43),INDEX(LISTA_EX,MATCH('T1'!$J40&amp;"|"&amp;43,LISTA_KLUCZ,0))),"")</f>
        <v>Deficit push up</v>
      </c>
      <c r="AT40" s="5" t="str">
        <f t="array" ref="AT40">IFERROR(IF('T1'!$J40="",INDEX(LISTA_EX,44),INDEX(LISTA_EX,MATCH('T1'!$J40&amp;"|"&amp;44,LISTA_KLUCZ,0))),"")</f>
        <v>Deficit reverse lunge</v>
      </c>
      <c r="AU40" s="5" t="str">
        <f t="array" ref="AU40">IFERROR(IF('T1'!$J40="",INDEX(LISTA_EX,45),INDEX(LISTA_EX,MATCH('T1'!$J40&amp;"|"&amp;45,LISTA_KLUCZ,0))),"")</f>
        <v>Dips</v>
      </c>
      <c r="AV40" s="5" t="str">
        <f t="array" ref="AV40">IFERROR(IF('T1'!$J40="",INDEX(LISTA_EX,46),INDEX(LISTA_EX,MATCH('T1'!$J40&amp;"|"&amp;46,LISTA_KLUCZ,0))),"")</f>
        <v>Dips weighted</v>
      </c>
      <c r="AW40" s="5" t="str">
        <f t="array" ref="AW40">IFERROR(IF('T1'!$J40="",INDEX(LISTA_EX,47),INDEX(LISTA_EX,MATCH('T1'!$J40&amp;"|"&amp;47,LISTA_KLUCZ,0))),"")</f>
        <v>Dumbbell bench press</v>
      </c>
      <c r="AX40" s="5" t="str">
        <f t="array" ref="AX40">IFERROR(IF('T1'!$J40="",INDEX(LISTA_EX,48),INDEX(LISTA_EX,MATCH('T1'!$J40&amp;"|"&amp;48,LISTA_KLUCZ,0))),"")</f>
        <v>Dumbbell bench press alternating</v>
      </c>
      <c r="AY40" s="5" t="str">
        <f t="array" ref="AY40">IFERROR(IF('T1'!$J40="",INDEX(LISTA_EX,49),INDEX(LISTA_EX,MATCH('T1'!$J40&amp;"|"&amp;49,LISTA_KLUCZ,0))),"")</f>
        <v>Dumbbell curl</v>
      </c>
      <c r="AZ40" s="5" t="str">
        <f t="array" ref="AZ40">IFERROR(IF('T1'!$J40="",INDEX(LISTA_EX,50),INDEX(LISTA_EX,MATCH('T1'!$J40&amp;"|"&amp;50,LISTA_KLUCZ,0))),"")</f>
        <v>Dumbbell external rotation</v>
      </c>
      <c r="BA40" s="5" t="str">
        <f t="array" ref="BA40">IFERROR(IF('T1'!$J40="",INDEX(LISTA_EX,51),INDEX(LISTA_EX,MATCH('T1'!$J40&amp;"|"&amp;51,LISTA_KLUCZ,0))),"")</f>
        <v>Dumbbell face down curl</v>
      </c>
      <c r="BB40" s="5" t="str">
        <f t="array" ref="BB40">IFERROR(IF('T1'!$J40="",INDEX(LISTA_EX,52),INDEX(LISTA_EX,MATCH('T1'!$J40&amp;"|"&amp;52,LISTA_KLUCZ,0))),"")</f>
        <v>Dumbbell fly</v>
      </c>
      <c r="BC40" s="5" t="str">
        <f t="array" ref="BC40">IFERROR(IF('T1'!$J40="",INDEX(LISTA_EX,53),INDEX(LISTA_EX,MATCH('T1'!$J40&amp;"|"&amp;53,LISTA_KLUCZ,0))),"")</f>
        <v>Dumbbell french press</v>
      </c>
      <c r="BD40" s="5" t="str">
        <f t="array" ref="BD40">IFERROR(IF('T1'!$J40="",INDEX(LISTA_EX,54),INDEX(LISTA_EX,MATCH('T1'!$J40&amp;"|"&amp;54,LISTA_KLUCZ,0))),"")</f>
        <v>Dumbbell lateral raise</v>
      </c>
      <c r="BE40" s="5" t="str">
        <f t="array" ref="BE40">IFERROR(IF('T1'!$J40="",INDEX(LISTA_EX,55),INDEX(LISTA_EX,MATCH('T1'!$J40&amp;"|"&amp;55,LISTA_KLUCZ,0))),"")</f>
        <v>Dumbbell lunges</v>
      </c>
      <c r="BF40" s="5" t="str">
        <f t="array" ref="BF40">IFERROR(IF('T1'!$J40="",INDEX(LISTA_EX,56),INDEX(LISTA_EX,MATCH('T1'!$J40&amp;"|"&amp;56,LISTA_KLUCZ,0))),"")</f>
        <v>Dumbbell OH press</v>
      </c>
      <c r="BG40" s="5" t="str">
        <f t="array" ref="BG40">IFERROR(IF('T1'!$J40="",INDEX(LISTA_EX,57),INDEX(LISTA_EX,MATCH('T1'!$J40&amp;"|"&amp;57,LISTA_KLUCZ,0))),"")</f>
        <v>Dumbbell over head press</v>
      </c>
      <c r="BH40" s="5" t="str">
        <f t="array" ref="BH40">IFERROR(IF('T1'!$J40="",INDEX(LISTA_EX,58),INDEX(LISTA_EX,MATCH('T1'!$J40&amp;"|"&amp;58,LISTA_KLUCZ,0))),"")</f>
        <v>Dumbbell over head press alternating</v>
      </c>
      <c r="BI40" s="5" t="str">
        <f t="array" ref="BI40">IFERROR(IF('T1'!$J40="",INDEX(LISTA_EX,59),INDEX(LISTA_EX,MATCH('T1'!$J40&amp;"|"&amp;59,LISTA_KLUCZ,0))),"")</f>
        <v>Dumbbell row</v>
      </c>
      <c r="BJ40" s="5" t="str">
        <f t="array" ref="BJ40">IFERROR(IF('T1'!$J40="",INDEX(LISTA_EX,60),INDEX(LISTA_EX,MATCH('T1'!$J40&amp;"|"&amp;60,LISTA_KLUCZ,0))),"")</f>
        <v>Dumbbell s/a Arnold press</v>
      </c>
      <c r="BK40" s="5" t="str">
        <f t="array" ref="BK40">IFERROR(IF('T1'!$J40="",INDEX(LISTA_EX,61),INDEX(LISTA_EX,MATCH('T1'!$J40&amp;"|"&amp;61,LISTA_KLUCZ,0))),"")</f>
        <v>Dumbbell s/a row</v>
      </c>
      <c r="BL40" s="5" t="str">
        <f t="array" ref="BL40">IFERROR(IF('T1'!$J40="",INDEX(LISTA_EX,62),INDEX(LISTA_EX,MATCH('T1'!$J40&amp;"|"&amp;62,LISTA_KLUCZ,0))),"")</f>
        <v>Dumbbell seal row</v>
      </c>
      <c r="BM40" s="5" t="str">
        <f t="array" ref="BM40">IFERROR(IF('T1'!$J40="",INDEX(LISTA_EX,63),INDEX(LISTA_EX,MATCH('T1'!$J40&amp;"|"&amp;63,LISTA_KLUCZ,0))),"")</f>
        <v>Dumbbells jumps</v>
      </c>
      <c r="BN40" s="5" t="str">
        <f t="array" ref="BN40">IFERROR(IF('T1'!$J40="",INDEX(LISTA_EX,64),INDEX(LISTA_EX,MATCH('T1'!$J40&amp;"|"&amp;64,LISTA_KLUCZ,0))),"")</f>
        <v>Eccentric pull up</v>
      </c>
      <c r="BO40" s="5" t="str">
        <f t="array" ref="BO40">IFERROR(IF('T1'!$J40="",INDEX(LISTA_EX,65),INDEX(LISTA_EX,MATCH('T1'!$J40&amp;"|"&amp;65,LISTA_KLUCZ,0))),"")</f>
        <v>Eccentric push up (5 sek w dół)</v>
      </c>
      <c r="BP40" s="5" t="str">
        <f t="array" ref="BP40">IFERROR(IF('T1'!$J40="",INDEX(LISTA_EX,66),INDEX(LISTA_EX,MATCH('T1'!$J40&amp;"|"&amp;66,LISTA_KLUCZ,0))),"")</f>
        <v>Extensive plyo jumps s/l</v>
      </c>
      <c r="BQ40" s="5" t="str">
        <f t="array" ref="BQ40">IFERROR(IF('T1'!$J40="",INDEX(LISTA_EX,67),INDEX(LISTA_EX,MATCH('T1'!$J40&amp;"|"&amp;67,LISTA_KLUCZ,0))),"")</f>
        <v>Ez bar curl</v>
      </c>
      <c r="BR40" s="5" t="str">
        <f t="array" ref="BR40">IFERROR(IF('T1'!$J40="",INDEX(LISTA_EX,68),INDEX(LISTA_EX,MATCH('T1'!$J40&amp;"|"&amp;68,LISTA_KLUCZ,0))),"")</f>
        <v>Facepull chest supported</v>
      </c>
      <c r="BS40" s="5" t="str">
        <f t="array" ref="BS40">IFERROR(IF('T1'!$J40="",INDEX(LISTA_EX,69),INDEX(LISTA_EX,MATCH('T1'!$J40&amp;"|"&amp;69,LISTA_KLUCZ,0))),"")</f>
        <v>Front foot elevated split squat</v>
      </c>
      <c r="BT40" s="5" t="str">
        <f t="array" ref="BT40">IFERROR(IF('T1'!$J40="",INDEX(LISTA_EX,70),INDEX(LISTA_EX,MATCH('T1'!$J40&amp;"|"&amp;70,LISTA_KLUCZ,0))),"")</f>
        <v>Front squat</v>
      </c>
      <c r="BU40" s="5" t="str">
        <f t="array" ref="BU40">IFERROR(IF('T1'!$J40="",INDEX(LISTA_EX,71),INDEX(LISTA_EX,MATCH('T1'!$J40&amp;"|"&amp;71,LISTA_KLUCZ,0))),"")</f>
        <v>GHD flexion</v>
      </c>
      <c r="BV40" s="5" t="str">
        <f t="array" ref="BV40">IFERROR(IF('T1'!$J40="",INDEX(LISTA_EX,72),INDEX(LISTA_EX,MATCH('T1'!$J40&amp;"|"&amp;72,LISTA_KLUCZ,0))),"")</f>
        <v>Glute bridge hamstrings izo + OH</v>
      </c>
      <c r="BW40" s="5" t="str">
        <f t="array" ref="BW40">IFERROR(IF('T1'!$J40="",INDEX(LISTA_EX,73),INDEX(LISTA_EX,MATCH('T1'!$J40&amp;"|"&amp;73,LISTA_KLUCZ,0))),"")</f>
        <v>Glute crusher</v>
      </c>
      <c r="BX40" s="5" t="str">
        <f t="array" ref="BX40">IFERROR(IF('T1'!$J40="",INDEX(LISTA_EX,74),INDEX(LISTA_EX,MATCH('T1'!$J40&amp;"|"&amp;74,LISTA_KLUCZ,0))),"")</f>
        <v>Gorilla row</v>
      </c>
      <c r="BY40" s="5" t="str">
        <f t="array" ref="BY40">IFERROR(IF('T1'!$J40="",INDEX(LISTA_EX,75),INDEX(LISTA_EX,MATCH('T1'!$J40&amp;"|"&amp;75,LISTA_KLUCZ,0))),"")</f>
        <v>Halfkneeling s/a cable pull</v>
      </c>
      <c r="BZ40" s="5" t="str">
        <f t="array" ref="BZ40">IFERROR(IF('T1'!$J40="",INDEX(LISTA_EX,76),INDEX(LISTA_EX,MATCH('T1'!$J40&amp;"|"&amp;76,LISTA_KLUCZ,0))),"")</f>
        <v>Halfkneeling wood chopper</v>
      </c>
      <c r="CA40" s="5" t="str">
        <f t="array" ref="CA40">IFERROR(IF('T1'!$J40="",INDEX(LISTA_EX,77),INDEX(LISTA_EX,MATCH('T1'!$J40&amp;"|"&amp;77,LISTA_KLUCZ,0))),"")</f>
        <v>Hinged dumbbell row</v>
      </c>
      <c r="CB40" s="5" t="str">
        <f t="array" ref="CB40">IFERROR(IF('T1'!$J40="",INDEX(LISTA_EX,78),INDEX(LISTA_EX,MATCH('T1'!$J40&amp;"|"&amp;78,LISTA_KLUCZ,0))),"")</f>
        <v>Hip aeroplane</v>
      </c>
      <c r="CC40" s="5" t="str">
        <f t="array" ref="CC40">IFERROR(IF('T1'!$J40="",INDEX(LISTA_EX,79),INDEX(LISTA_EX,MATCH('T1'!$J40&amp;"|"&amp;79,LISTA_KLUCZ,0))),"")</f>
        <v>Hip flexors cable</v>
      </c>
      <c r="CD40" s="5" t="str">
        <f t="array" ref="CD40">IFERROR(IF('T1'!$J40="",INDEX(LISTA_EX,80),INDEX(LISTA_EX,MATCH('T1'!$J40&amp;"|"&amp;80,LISTA_KLUCZ,0))),"")</f>
        <v>Hip thrust barbell</v>
      </c>
      <c r="CE40" s="5" t="str">
        <f t="array" ref="CE40">IFERROR(IF('T1'!$J40="",INDEX(LISTA_EX,81),INDEX(LISTA_EX,MATCH('T1'!$J40&amp;"|"&amp;81,LISTA_KLUCZ,0))),"")</f>
        <v>Hollow body + OH</v>
      </c>
      <c r="CF40" s="5" t="str">
        <f t="array" ref="CF40">IFERROR(IF('T1'!$J40="",INDEX(LISTA_EX,82),INDEX(LISTA_EX,MATCH('T1'!$J40&amp;"|"&amp;82,LISTA_KLUCZ,0))),"")</f>
        <v>Horizontal jump</v>
      </c>
      <c r="CG40" s="5" t="str">
        <f t="array" ref="CG40">IFERROR(IF('T1'!$J40="",INDEX(LISTA_EX,83),INDEX(LISTA_EX,MATCH('T1'!$J40&amp;"|"&amp;83,LISTA_KLUCZ,0))),"")</f>
        <v>Incline bench lateral raise s/a</v>
      </c>
      <c r="CH40" s="5" t="str">
        <f t="array" ref="CH40">IFERROR(IF('T1'!$J40="",INDEX(LISTA_EX,84),INDEX(LISTA_EX,MATCH('T1'!$J40&amp;"|"&amp;84,LISTA_KLUCZ,0))),"")</f>
        <v>Incline curl + OHP</v>
      </c>
      <c r="CI40" s="5" t="str">
        <f t="array" ref="CI40">IFERROR(IF('T1'!$J40="",INDEX(LISTA_EX,85),INDEX(LISTA_EX,MATCH('T1'!$J40&amp;"|"&amp;85,LISTA_KLUCZ,0))),"")</f>
        <v>Incline dumbbell curl</v>
      </c>
      <c r="CJ40" s="5" t="str">
        <f t="array" ref="CJ40">IFERROR(IF('T1'!$J40="",INDEX(LISTA_EX,86),INDEX(LISTA_EX,MATCH('T1'!$J40&amp;"|"&amp;86,LISTA_KLUCZ,0))),"")</f>
        <v>Incline dumbbell curl (back)</v>
      </c>
      <c r="CK40" s="5" t="str">
        <f t="array" ref="CK40">IFERROR(IF('T1'!$J40="",INDEX(LISTA_EX,87),INDEX(LISTA_EX,MATCH('T1'!$J40&amp;"|"&amp;87,LISTA_KLUCZ,0))),"")</f>
        <v>Incline dumbbell curl (front)</v>
      </c>
      <c r="CL40" s="5" t="str">
        <f t="array" ref="CL40">IFERROR(IF('T1'!$J40="",INDEX(LISTA_EX,88),INDEX(LISTA_EX,MATCH('T1'!$J40&amp;"|"&amp;88,LISTA_KLUCZ,0))),"")</f>
        <v>Incline dumbbell fly</v>
      </c>
      <c r="CM40" s="5" t="str">
        <f t="array" ref="CM40">IFERROR(IF('T1'!$J40="",INDEX(LISTA_EX,89),INDEX(LISTA_EX,MATCH('T1'!$J40&amp;"|"&amp;89,LISTA_KLUCZ,0))),"")</f>
        <v>Incline dumbbell press</v>
      </c>
      <c r="CN40" s="5" t="str">
        <f t="array" ref="CN40">IFERROR(IF('T1'!$J40="",INDEX(LISTA_EX,90),INDEX(LISTA_EX,MATCH('T1'!$J40&amp;"|"&amp;90,LISTA_KLUCZ,0))),"")</f>
        <v>Incline dumbbell press alternating</v>
      </c>
      <c r="CO40" s="5" t="str">
        <f t="array" ref="CO40">IFERROR(IF('T1'!$J40="",INDEX(LISTA_EX,91),INDEX(LISTA_EX,MATCH('T1'!$J40&amp;"|"&amp;91,LISTA_KLUCZ,0))),"")</f>
        <v>Incline sit-ups</v>
      </c>
      <c r="CP40" s="5" t="str">
        <f t="array" ref="CP40">IFERROR(IF('T1'!$J40="",INDEX(LISTA_EX,92),INDEX(LISTA_EX,MATCH('T1'!$J40&amp;"|"&amp;92,LISTA_KLUCZ,0))),"")</f>
        <v>Jefferson cable</v>
      </c>
      <c r="CQ40" s="5" t="str">
        <f t="array" ref="CQ40">IFERROR(IF('T1'!$J40="",INDEX(LISTA_EX,93),INDEX(LISTA_EX,MATCH('T1'!$J40&amp;"|"&amp;93,LISTA_KLUCZ,0))),"")</f>
        <v>Kettlebell march</v>
      </c>
      <c r="CR40" s="5" t="str">
        <f t="array" ref="CR40">IFERROR(IF('T1'!$J40="",INDEX(LISTA_EX,94),INDEX(LISTA_EX,MATCH('T1'!$J40&amp;"|"&amp;94,LISTA_KLUCZ,0))),"")</f>
        <v>Kickbacks</v>
      </c>
      <c r="CS40" s="5" t="str">
        <f t="array" ref="CS40">IFERROR(IF('T1'!$J40="",INDEX(LISTA_EX,95),INDEX(LISTA_EX,MATCH('T1'!$J40&amp;"|"&amp;95,LISTA_KLUCZ,0))),"")</f>
        <v>Knee extension machine</v>
      </c>
      <c r="CT40" s="5" t="str">
        <f t="array" ref="CT40">IFERROR(IF('T1'!$J40="",INDEX(LISTA_EX,96),INDEX(LISTA_EX,MATCH('T1'!$J40&amp;"|"&amp;96,LISTA_KLUCZ,0))),"")</f>
        <v>Knee flexion machine</v>
      </c>
      <c r="CU40" s="5" t="str">
        <f t="array" ref="CU40">IFERROR(IF('T1'!$J40="",INDEX(LISTA_EX,97),INDEX(LISTA_EX,MATCH('T1'!$J40&amp;"|"&amp;97,LISTA_KLUCZ,0))),"")</f>
        <v>Knee raises</v>
      </c>
      <c r="CV40" s="5" t="str">
        <f t="array" ref="CV40">IFERROR(IF('T1'!$J40="",INDEX(LISTA_EX,98),INDEX(LISTA_EX,MATCH('T1'!$J40&amp;"|"&amp;98,LISTA_KLUCZ,0))),"")</f>
        <v>Landmine core</v>
      </c>
      <c r="CW40" s="5" t="str">
        <f t="array" ref="CW40">IFERROR(IF('T1'!$J40="",INDEX(LISTA_EX,99),INDEX(LISTA_EX,MATCH('T1'!$J40&amp;"|"&amp;99,LISTA_KLUCZ,0))),"")</f>
        <v>Landmine press</v>
      </c>
      <c r="CX40" s="5" t="str">
        <f t="array" ref="CX40">IFERROR(IF('T1'!$J40="",INDEX(LISTA_EX,100),INDEX(LISTA_EX,MATCH('T1'!$J40&amp;"|"&amp;100,LISTA_KLUCZ,0))),"")</f>
        <v>Landmine rotations (powtórzenia x2)</v>
      </c>
      <c r="CY40" s="5" t="str">
        <f t="array" ref="CY40">IFERROR(IF('T1'!$J40="",INDEX(LISTA_EX,101),INDEX(LISTA_EX,MATCH('T1'!$J40&amp;"|"&amp;101,LISTA_KLUCZ,0))),"")</f>
        <v>Landmine SLDL</v>
      </c>
      <c r="CZ40" s="5" t="str">
        <f t="array" ref="CZ40">IFERROR(IF('T1'!$J40="",INDEX(LISTA_EX,102),INDEX(LISTA_EX,MATCH('T1'!$J40&amp;"|"&amp;102,LISTA_KLUCZ,0))),"")</f>
        <v>Lat pulldown</v>
      </c>
      <c r="DA40" s="5" t="str">
        <f t="array" ref="DA40">IFERROR(IF('T1'!$J40="",INDEX(LISTA_EX,103),INDEX(LISTA_EX,MATCH('T1'!$J40&amp;"|"&amp;103,LISTA_KLUCZ,0))),"")</f>
        <v>Lat pulldown behind the head</v>
      </c>
      <c r="DB40" s="5" t="str">
        <f t="array" ref="DB40">IFERROR(IF('T1'!$J40="",INDEX(LISTA_EX,104),INDEX(LISTA_EX,MATCH('T1'!$J40&amp;"|"&amp;104,LISTA_KLUCZ,0))),"")</f>
        <v>Lat pulldown s/a</v>
      </c>
      <c r="DC40" s="5" t="str">
        <f t="array" ref="DC40">IFERROR(IF('T1'!$J40="",INDEX(LISTA_EX,105),INDEX(LISTA_EX,MATCH('T1'!$J40&amp;"|"&amp;105,LISTA_KLUCZ,0))),"")</f>
        <v>Lateral raise s/a</v>
      </c>
      <c r="DD40" s="5" t="str">
        <f t="array" ref="DD40">IFERROR(IF('T1'!$J40="",INDEX(LISTA_EX,106),INDEX(LISTA_EX,MATCH('T1'!$J40&amp;"|"&amp;106,LISTA_KLUCZ,0))),"")</f>
        <v>Lateral raises</v>
      </c>
      <c r="DE40" s="5" t="str">
        <f t="array" ref="DE40">IFERROR(IF('T1'!$J40="",INDEX(LISTA_EX,107),INDEX(LISTA_EX,MATCH('T1'!$J40&amp;"|"&amp;107,LISTA_KLUCZ,0))),"")</f>
        <v>Lateral raises 2</v>
      </c>
      <c r="DF40" s="5" t="str">
        <f t="array" ref="DF40">IFERROR(IF('T1'!$J40="",INDEX(LISTA_EX,108),INDEX(LISTA_EX,MATCH('T1'!$J40&amp;"|"&amp;108,LISTA_KLUCZ,0))),"")</f>
        <v>Lateral raises full ROM</v>
      </c>
      <c r="DG40" s="5" t="str">
        <f t="array" ref="DG40">IFERROR(IF('T1'!$J40="",INDEX(LISTA_EX,109),INDEX(LISTA_EX,MATCH('T1'!$J40&amp;"|"&amp;109,LISTA_KLUCZ,0))),"")</f>
        <v>Lateral raises hinged</v>
      </c>
      <c r="DH40" s="5" t="str">
        <f t="array" ref="DH40">IFERROR(IF('T1'!$J40="",INDEX(LISTA_EX,110),INDEX(LISTA_EX,MATCH('T1'!$J40&amp;"|"&amp;110,LISTA_KLUCZ,0))),"")</f>
        <v>Lateral raises incline s/a</v>
      </c>
      <c r="DI40" s="5" t="str">
        <f t="array" ref="DI40">IFERROR(IF('T1'!$J40="",INDEX(LISTA_EX,111),INDEX(LISTA_EX,MATCH('T1'!$J40&amp;"|"&amp;111,LISTA_KLUCZ,0))),"")</f>
        <v>Leg curl</v>
      </c>
      <c r="DJ40" s="5" t="str">
        <f t="array" ref="DJ40">IFERROR(IF('T1'!$J40="",INDEX(LISTA_EX,112),INDEX(LISTA_EX,MATCH('T1'!$J40&amp;"|"&amp;112,LISTA_KLUCZ,0))),"")</f>
        <v>Machine row</v>
      </c>
      <c r="DK40" s="5" t="str">
        <f t="array" ref="DK40">IFERROR(IF('T1'!$J40="",INDEX(LISTA_EX,113),INDEX(LISTA_EX,MATCH('T1'!$J40&amp;"|"&amp;113,LISTA_KLUCZ,0))),"")</f>
        <v>Machine row s/a</v>
      </c>
      <c r="DL40" s="5" t="str">
        <f t="array" ref="DL40">IFERROR(IF('T1'!$J40="",INDEX(LISTA_EX,114),INDEX(LISTA_EX,MATCH('T1'!$J40&amp;"|"&amp;114,LISTA_KLUCZ,0))),"")</f>
        <v>Meadows row</v>
      </c>
      <c r="DM40" s="5" t="str">
        <f t="array" ref="DM40">IFERROR(IF('T1'!$J40="",INDEX(LISTA_EX,115),INDEX(LISTA_EX,MATCH('T1'!$J40&amp;"|"&amp;115,LISTA_KLUCZ,0))),"")</f>
        <v>Med ball slam</v>
      </c>
      <c r="DN40" s="5" t="str">
        <f t="array" ref="DN40">IFERROR(IF('T1'!$J40="",INDEX(LISTA_EX,116),INDEX(LISTA_EX,MATCH('T1'!$J40&amp;"|"&amp;116,LISTA_KLUCZ,0))),"")</f>
        <v>OH skullcrushers</v>
      </c>
      <c r="DO40" s="5" t="str">
        <f t="array" ref="DO40">IFERROR(IF('T1'!$J40="",INDEX(LISTA_EX,117),INDEX(LISTA_EX,MATCH('T1'!$J40&amp;"|"&amp;117,LISTA_KLUCZ,0))),"")</f>
        <v>OHP barbell squat 15kg</v>
      </c>
      <c r="DP40" s="5" t="str">
        <f t="array" ref="DP40">IFERROR(IF('T1'!$J40="",INDEX(LISTA_EX,118),INDEX(LISTA_EX,MATCH('T1'!$J40&amp;"|"&amp;118,LISTA_KLUCZ,0))),"")</f>
        <v>Pistol squat eccentric</v>
      </c>
      <c r="DQ40" s="5" t="str">
        <f t="array" ref="DQ40">IFERROR(IF('T1'!$J40="",INDEX(LISTA_EX,119),INDEX(LISTA_EX,MATCH('T1'!$J40&amp;"|"&amp;119,LISTA_KLUCZ,0))),"")</f>
        <v>Plank contralateral</v>
      </c>
      <c r="DR40" s="5" t="str">
        <f t="array" ref="DR40">IFERROR(IF('T1'!$J40="",INDEX(LISTA_EX,120),INDEX(LISTA_EX,MATCH('T1'!$J40&amp;"|"&amp;120,LISTA_KLUCZ,0))),"")</f>
        <v>Plank dumbbell rotation</v>
      </c>
      <c r="DS40" s="5" t="str">
        <f t="array" ref="DS40">IFERROR(IF('T1'!$J40="",INDEX(LISTA_EX,121),INDEX(LISTA_EX,MATCH('T1'!$J40&amp;"|"&amp;121,LISTA_KLUCZ,0))),"")</f>
        <v>Plank leg raises</v>
      </c>
      <c r="DT40" s="5" t="str">
        <f t="array" ref="DT40">IFERROR(IF('T1'!$J40="",INDEX(LISTA_EX,122),INDEX(LISTA_EX,MATCH('T1'!$J40&amp;"|"&amp;122,LISTA_KLUCZ,0))),"")</f>
        <v>Poliquin step up</v>
      </c>
      <c r="DU40" s="5" t="str">
        <f t="array" ref="DU40">IFERROR(IF('T1'!$J40="",INDEX(LISTA_EX,123),INDEX(LISTA_EX,MATCH('T1'!$J40&amp;"|"&amp;123,LISTA_KLUCZ,0))),"")</f>
        <v>Poliquin step up paused 3sec</v>
      </c>
      <c r="DV40" s="5" t="str">
        <f t="array" ref="DV40">IFERROR(IF('T1'!$J40="",INDEX(LISTA_EX,124),INDEX(LISTA_EX,MATCH('T1'!$J40&amp;"|"&amp;124,LISTA_KLUCZ,0))),"")</f>
        <v>Pronation/Supination</v>
      </c>
      <c r="DW40" s="5" t="str">
        <f t="array" ref="DW40">IFERROR(IF('T1'!$J40="",INDEX(LISTA_EX,125),INDEX(LISTA_EX,MATCH('T1'!$J40&amp;"|"&amp;125,LISTA_KLUCZ,0))),"")</f>
        <v>Pull up</v>
      </c>
      <c r="DX40" s="5" t="str">
        <f t="array" ref="DX40">IFERROR(IF('T1'!$J40="",INDEX(LISTA_EX,126),INDEX(LISTA_EX,MATCH('T1'!$J40&amp;"|"&amp;126,LISTA_KLUCZ,0))),"")</f>
        <v>Pull up eccentric weighted</v>
      </c>
      <c r="DY40" s="5" t="str">
        <f t="array" ref="DY40">IFERROR(IF('T1'!$J40="",INDEX(LISTA_EX,127),INDEX(LISTA_EX,MATCH('T1'!$J40&amp;"|"&amp;127,LISTA_KLUCZ,0))),"")</f>
        <v>Pull up eccentric weighted (5 sek w dół)</v>
      </c>
      <c r="DZ40" s="5" t="str">
        <f t="array" ref="DZ40">IFERROR(IF('T1'!$J40="",INDEX(LISTA_EX,128),INDEX(LISTA_EX,MATCH('T1'!$J40&amp;"|"&amp;128,LISTA_KLUCZ,0))),"")</f>
        <v>Pull up weighted</v>
      </c>
      <c r="EA40" s="5" t="str">
        <f t="array" ref="EA40">IFERROR(IF('T1'!$J40="",INDEX(LISTA_EX,129),INDEX(LISTA_EX,MATCH('T1'!$J40&amp;"|"&amp;129,LISTA_KLUCZ,0))),"")</f>
        <v>Pull ups (paused)</v>
      </c>
      <c r="EB40" s="5" t="str">
        <f t="array" ref="EB40">IFERROR(IF('T1'!$J40="",INDEX(LISTA_EX,130),INDEX(LISTA_EX,MATCH('T1'!$J40&amp;"|"&amp;130,LISTA_KLUCZ,0))),"")</f>
        <v>Push press barbell</v>
      </c>
      <c r="EC40" s="5" t="str">
        <f t="array" ref="EC40">IFERROR(IF('T1'!$J40="",INDEX(LISTA_EX,131),INDEX(LISTA_EX,MATCH('T1'!$J40&amp;"|"&amp;131,LISTA_KLUCZ,0))),"")</f>
        <v>Push up</v>
      </c>
      <c r="ED40" s="5" t="str">
        <f t="array" ref="ED40">IFERROR(IF('T1'!$J40="",INDEX(LISTA_EX,132),INDEX(LISTA_EX,MATCH('T1'!$J40&amp;"|"&amp;132,LISTA_KLUCZ,0))),"")</f>
        <v>Raised bird dog</v>
      </c>
      <c r="EE40" s="5" t="str">
        <f t="array" ref="EE40">IFERROR(IF('T1'!$J40="",INDEX(LISTA_EX,133),INDEX(LISTA_EX,MATCH('T1'!$J40&amp;"|"&amp;133,LISTA_KLUCZ,0))),"")</f>
        <v>RDL</v>
      </c>
      <c r="EF40" s="5" t="str">
        <f t="array" ref="EF40">IFERROR(IF('T1'!$J40="",INDEX(LISTA_EX,134),INDEX(LISTA_EX,MATCH('T1'!$J40&amp;"|"&amp;134,LISTA_KLUCZ,0))),"")</f>
        <v>Reverse Nordic</v>
      </c>
      <c r="EG40" s="5" t="str">
        <f t="array" ref="EG40">IFERROR(IF('T1'!$J40="",INDEX(LISTA_EX,135),INDEX(LISTA_EX,MATCH('T1'!$J40&amp;"|"&amp;135,LISTA_KLUCZ,0))),"")</f>
        <v>Rope pushdown</v>
      </c>
      <c r="EH40" s="5" t="str">
        <f t="array" ref="EH40">IFERROR(IF('T1'!$J40="",INDEX(LISTA_EX,136),INDEX(LISTA_EX,MATCH('T1'!$J40&amp;"|"&amp;136,LISTA_KLUCZ,0))),"")</f>
        <v>Rope pushdown OH</v>
      </c>
      <c r="EI40" s="5" t="str">
        <f t="array" ref="EI40">IFERROR(IF('T1'!$J40="",INDEX(LISTA_EX,137),INDEX(LISTA_EX,MATCH('T1'!$J40&amp;"|"&amp;137,LISTA_KLUCZ,0))),"")</f>
        <v>S/a cable pulldown incline bench</v>
      </c>
      <c r="EJ40" s="5" t="str">
        <f t="array" ref="EJ40">IFERROR(IF('T1'!$J40="",INDEX(LISTA_EX,138),INDEX(LISTA_EX,MATCH('T1'!$J40&amp;"|"&amp;138,LISTA_KLUCZ,0))),"")</f>
        <v>S/a lat pulldown incline bench</v>
      </c>
      <c r="EK40" s="5" t="str">
        <f t="array" ref="EK40">IFERROR(IF('T1'!$J40="",INDEX(LISTA_EX,139),INDEX(LISTA_EX,MATCH('T1'!$J40&amp;"|"&amp;139,LISTA_KLUCZ,0))),"")</f>
        <v>S/l dragonflag eccentric</v>
      </c>
      <c r="EL40" s="5" t="str">
        <f t="array" ref="EL40">IFERROR(IF('T1'!$J40="",INDEX(LISTA_EX,140),INDEX(LISTA_EX,MATCH('T1'!$J40&amp;"|"&amp;140,LISTA_KLUCZ,0))),"")</f>
        <v>S/l hip thrust</v>
      </c>
      <c r="EM40" s="5" t="str">
        <f t="array" ref="EM40">IFERROR(IF('T1'!$J40="",INDEX(LISTA_EX,141),INDEX(LISTA_EX,MATCH('T1'!$J40&amp;"|"&amp;141,LISTA_KLUCZ,0))),"")</f>
        <v>Seated broad jump</v>
      </c>
      <c r="EN40" s="5" t="str">
        <f t="array" ref="EN40">IFERROR(IF('T1'!$J40="",INDEX(LISTA_EX,142),INDEX(LISTA_EX,MATCH('T1'!$J40&amp;"|"&amp;142,LISTA_KLUCZ,0))),"")</f>
        <v>Seated cable facepull</v>
      </c>
      <c r="EO40" s="5" t="str">
        <f t="array" ref="EO40">IFERROR(IF('T1'!$J40="",INDEX(LISTA_EX,143),INDEX(LISTA_EX,MATCH('T1'!$J40&amp;"|"&amp;143,LISTA_KLUCZ,0))),"")</f>
        <v>Seated seesaw press (nogi proste)</v>
      </c>
      <c r="EP40" s="5" t="str">
        <f t="array" ref="EP40">IFERROR(IF('T1'!$J40="",INDEX(LISTA_EX,144),INDEX(LISTA_EX,MATCH('T1'!$J40&amp;"|"&amp;144,LISTA_KLUCZ,0))),"")</f>
        <v>Seesaw press</v>
      </c>
      <c r="EQ40" s="5" t="str">
        <f t="array" ref="EQ40">IFERROR(IF('T1'!$J40="",INDEX(LISTA_EX,145),INDEX(LISTA_EX,MATCH('T1'!$J40&amp;"|"&amp;145,LISTA_KLUCZ,0))),"")</f>
        <v>Side crunches</v>
      </c>
      <c r="ER40" s="5" t="str">
        <f t="array" ref="ER40">IFERROR(IF('T1'!$J40="",INDEX(LISTA_EX,146),INDEX(LISTA_EX,MATCH('T1'!$J40&amp;"|"&amp;146,LISTA_KLUCZ,0))),"")</f>
        <v>Side plank hip drop</v>
      </c>
      <c r="ES40" s="5" t="str">
        <f t="array" ref="ES40">IFERROR(IF('T1'!$J40="",INDEX(LISTA_EX,147),INDEX(LISTA_EX,MATCH('T1'!$J40&amp;"|"&amp;147,LISTA_KLUCZ,0))),"")</f>
        <v>Side plank rotations</v>
      </c>
      <c r="ET40" s="5" t="str">
        <f t="array" ref="ET40">IFERROR(IF('T1'!$J40="",INDEX(LISTA_EX,148),INDEX(LISTA_EX,MATCH('T1'!$J40&amp;"|"&amp;148,LISTA_KLUCZ,0))),"")</f>
        <v>SLDL balance</v>
      </c>
      <c r="EU40" s="5" t="str">
        <f t="array" ref="EU40">IFERROR(IF('T1'!$J40="",INDEX(LISTA_EX,149),INDEX(LISTA_EX,MATCH('T1'!$J40&amp;"|"&amp;149,LISTA_KLUCZ,0))),"")</f>
        <v>Split squat</v>
      </c>
      <c r="EV40" s="5" t="str">
        <f t="array" ref="EV40">IFERROR(IF('T1'!$J40="",INDEX(LISTA_EX,150),INDEX(LISTA_EX,MATCH('T1'!$J40&amp;"|"&amp;150,LISTA_KLUCZ,0))),"")</f>
        <v>Split stance SLDL</v>
      </c>
      <c r="EW40" s="5" t="str">
        <f t="array" ref="EW40">IFERROR(IF('T1'!$J40="",INDEX(LISTA_EX,151),INDEX(LISTA_EX,MATCH('T1'!$J40&amp;"|"&amp;151,LISTA_KLUCZ,0))),"")</f>
        <v>Squat izo (15 sek)</v>
      </c>
      <c r="EX40" s="5" t="str">
        <f t="array" ref="EX40">IFERROR(IF('T1'!$J40="",INDEX(LISTA_EX,152),INDEX(LISTA_EX,MATCH('T1'!$J40&amp;"|"&amp;152,LISTA_KLUCZ,0))),"")</f>
        <v>Standing landmine press</v>
      </c>
      <c r="EY40" s="5" t="str">
        <f t="array" ref="EY40">IFERROR(IF('T1'!$J40="",INDEX(LISTA_EX,153),INDEX(LISTA_EX,MATCH('T1'!$J40&amp;"|"&amp;153,LISTA_KLUCZ,0))),"")</f>
        <v>Suitcase carry</v>
      </c>
      <c r="EZ40" s="5" t="str">
        <f t="array" ref="EZ40">IFERROR(IF('T1'!$J40="",INDEX(LISTA_EX,154),INDEX(LISTA_EX,MATCH('T1'!$J40&amp;"|"&amp;154,LISTA_KLUCZ,0))),"")</f>
        <v>Supine pigeon abs</v>
      </c>
      <c r="FA40" s="5" t="str">
        <f t="array" ref="FA40">IFERROR(IF('T1'!$J40="",INDEX(LISTA_EX,155),INDEX(LISTA_EX,MATCH('T1'!$J40&amp;"|"&amp;155,LISTA_KLUCZ,0))),"")</f>
        <v>Swiss ball leg curl</v>
      </c>
      <c r="FB40" s="5" t="str">
        <f t="array" ref="FB40">IFERROR(IF('T1'!$J40="",INDEX(LISTA_EX,156),INDEX(LISTA_EX,MATCH('T1'!$J40&amp;"|"&amp;156,LISTA_KLUCZ,0))),"")</f>
        <v>Toes to bar</v>
      </c>
      <c r="FC40" s="5" t="str">
        <f t="array" ref="FC40">IFERROR(IF('T1'!$J40="",INDEX(LISTA_EX,157),INDEX(LISTA_EX,MATCH('T1'!$J40&amp;"|"&amp;157,LISTA_KLUCZ,0))),"")</f>
        <v>Trap bar deadlift</v>
      </c>
      <c r="FD40" s="5" t="str">
        <f t="array" ref="FD40">IFERROR(IF('T1'!$J40="",INDEX(LISTA_EX,158),INDEX(LISTA_EX,MATCH('T1'!$J40&amp;"|"&amp;158,LISTA_KLUCZ,0))),"")</f>
        <v>Tricep cable pushdown</v>
      </c>
      <c r="FE40" s="5" t="str">
        <f t="array" ref="FE40">IFERROR(IF('T1'!$J40="",INDEX(LISTA_EX,159),INDEX(LISTA_EX,MATCH('T1'!$J40&amp;"|"&amp;159,LISTA_KLUCZ,0))),"")</f>
        <v>Tricep JM press</v>
      </c>
      <c r="FF40" s="5" t="str">
        <f t="array" ref="FF40">IFERROR(IF('T1'!$J40="",INDEX(LISTA_EX,160),INDEX(LISTA_EX,MATCH('T1'!$J40&amp;"|"&amp;160,LISTA_KLUCZ,0))),"")</f>
        <v>Tricep OH cable</v>
      </c>
      <c r="FG40" s="5" t="str">
        <f t="array" ref="FG40">IFERROR(IF('T1'!$J40="",INDEX(LISTA_EX,161),INDEX(LISTA_EX,MATCH('T1'!$J40&amp;"|"&amp;161,LISTA_KLUCZ,0))),"")</f>
        <v>Tricep OH ez bar</v>
      </c>
      <c r="FH40" s="5" t="str">
        <f t="array" ref="FH40">IFERROR(IF('T1'!$J40="",INDEX(LISTA_EX,162),INDEX(LISTA_EX,MATCH('T1'!$J40&amp;"|"&amp;162,LISTA_KLUCZ,0))),"")</f>
        <v>Walking lunges</v>
      </c>
      <c r="FI40" s="5" t="str">
        <f t="array" ref="FI40">IFERROR(IF('T1'!$J40="",INDEX(LISTA_EX,163),INDEX(LISTA_EX,MATCH('T1'!$J40&amp;"|"&amp;163,LISTA_KLUCZ,0))),"")</f>
        <v>Wipers kettle</v>
      </c>
      <c r="FJ40" s="5" t="str">
        <f t="array" ref="FJ40">IFERROR(IF('T1'!$J40="",INDEX(LISTA_EX,164),INDEX(LISTA_EX,MATCH('T1'!$J40&amp;"|"&amp;164,LISTA_KLUCZ,0))),"")</f>
        <v>Zercher jumps</v>
      </c>
      <c r="FK40" s="5" t="str">
        <f t="array" ref="FK40">IFERROR(IF('T1'!$J40="",INDEX(LISTA_EX,165),INDEX(LISTA_EX,MATCH('T1'!$J40&amp;"|"&amp;165,LISTA_KLUCZ,0))),"")</f>
        <v/>
      </c>
      <c r="FL40" s="5" t="str">
        <f t="array" ref="FL40">IFERROR(IF('T1'!$J40="",INDEX(LISTA_EX,166),INDEX(LISTA_EX,MATCH('T1'!$J40&amp;"|"&amp;166,LISTA_KLUCZ,0))),"")</f>
        <v/>
      </c>
      <c r="FM40" s="5" t="str">
        <f t="array" ref="FM40">IFERROR(IF('T1'!$J40="",INDEX(LISTA_EX,167),INDEX(LISTA_EX,MATCH('T1'!$J40&amp;"|"&amp;167,LISTA_KLUCZ,0))),"")</f>
        <v/>
      </c>
      <c r="FN40" s="5" t="str">
        <f t="array" ref="FN40">IFERROR(IF('T1'!$J40="",INDEX(LISTA_EX,168),INDEX(LISTA_EX,MATCH('T1'!$J40&amp;"|"&amp;168,LISTA_KLUCZ,0))),"")</f>
        <v/>
      </c>
      <c r="FO40" s="5" t="str">
        <f t="array" ref="FO40">IFERROR(IF('T1'!$J40="",INDEX(LISTA_EX,169),INDEX(LISTA_EX,MATCH('T1'!$J40&amp;"|"&amp;169,LISTA_KLUCZ,0))),"")</f>
        <v/>
      </c>
      <c r="FP40" s="5" t="str">
        <f t="array" ref="FP40">IFERROR(IF('T1'!$J40="",INDEX(LISTA_EX,170),INDEX(LISTA_EX,MATCH('T1'!$J40&amp;"|"&amp;170,LISTA_KLUCZ,0))),"")</f>
        <v/>
      </c>
      <c r="FQ40" s="5" t="str">
        <f t="array" ref="FQ40">IFERROR(IF('T1'!$J40="",INDEX(LISTA_EX,171),INDEX(LISTA_EX,MATCH('T1'!$J40&amp;"|"&amp;171,LISTA_KLUCZ,0))),"")</f>
        <v/>
      </c>
      <c r="FR40" s="5" t="str">
        <f t="array" ref="FR40">IFERROR(IF('T1'!$J40="",INDEX(LISTA_EX,172),INDEX(LISTA_EX,MATCH('T1'!$J40&amp;"|"&amp;172,LISTA_KLUCZ,0))),"")</f>
        <v/>
      </c>
      <c r="FS40" s="5" t="str">
        <f t="array" ref="FS40">IFERROR(IF('T1'!$J40="",INDEX(LISTA_EX,173),INDEX(LISTA_EX,MATCH('T1'!$J40&amp;"|"&amp;173,LISTA_KLUCZ,0))),"")</f>
        <v/>
      </c>
      <c r="FT40" s="5" t="str">
        <f t="array" ref="FT40">IFERROR(IF('T1'!$J40="",INDEX(LISTA_EX,174),INDEX(LISTA_EX,MATCH('T1'!$J40&amp;"|"&amp;174,LISTA_KLUCZ,0))),"")</f>
        <v/>
      </c>
      <c r="FU40" s="5" t="str">
        <f t="array" ref="FU40">IFERROR(IF('T1'!$J40="",INDEX(LISTA_EX,175),INDEX(LISTA_EX,MATCH('T1'!$J40&amp;"|"&amp;175,LISTA_KLUCZ,0))),"")</f>
        <v/>
      </c>
      <c r="FV40" s="5" t="str">
        <f t="array" ref="FV40">IFERROR(IF('T1'!$J40="",INDEX(LISTA_EX,176),INDEX(LISTA_EX,MATCH('T1'!$J40&amp;"|"&amp;176,LISTA_KLUCZ,0))),"")</f>
        <v/>
      </c>
      <c r="FW40" s="5" t="str">
        <f t="array" ref="FW40">IFERROR(IF('T1'!$J40="",INDEX(LISTA_EX,177),INDEX(LISTA_EX,MATCH('T1'!$J40&amp;"|"&amp;177,LISTA_KLUCZ,0))),"")</f>
        <v/>
      </c>
      <c r="FX40" s="5" t="str">
        <f t="array" ref="FX40">IFERROR(IF('T1'!$J40="",INDEX(LISTA_EX,178),INDEX(LISTA_EX,MATCH('T1'!$J40&amp;"|"&amp;178,LISTA_KLUCZ,0))),"")</f>
        <v/>
      </c>
      <c r="FY40" s="5" t="str">
        <f t="array" ref="FY40">IFERROR(IF('T1'!$J40="",INDEX(LISTA_EX,179),INDEX(LISTA_EX,MATCH('T1'!$J40&amp;"|"&amp;179,LISTA_KLUCZ,0))),"")</f>
        <v/>
      </c>
      <c r="FZ40" s="5" t="str">
        <f t="array" ref="FZ40">IFERROR(IF('T1'!$J40="",INDEX(LISTA_EX,180),INDEX(LISTA_EX,MATCH('T1'!$J40&amp;"|"&amp;180,LISTA_KLUCZ,0))),"")</f>
        <v/>
      </c>
      <c r="GA40" s="5" t="str">
        <f t="array" ref="GA40">IFERROR(IF('T1'!$J40="",INDEX(LISTA_EX,181),INDEX(LISTA_EX,MATCH('T1'!$J40&amp;"|"&amp;181,LISTA_KLUCZ,0))),"")</f>
        <v/>
      </c>
      <c r="GB40" s="5" t="str">
        <f t="array" ref="GB40">IFERROR(IF('T1'!$J40="",INDEX(LISTA_EX,182),INDEX(LISTA_EX,MATCH('T1'!$J40&amp;"|"&amp;182,LISTA_KLUCZ,0))),"")</f>
        <v/>
      </c>
      <c r="GC40" s="5" t="str">
        <f t="array" ref="GC40">IFERROR(IF('T1'!$J40="",INDEX(LISTA_EX,183),INDEX(LISTA_EX,MATCH('T1'!$J40&amp;"|"&amp;183,LISTA_KLUCZ,0))),"")</f>
        <v/>
      </c>
      <c r="GD40" s="5" t="str">
        <f t="array" ref="GD40">IFERROR(IF('T1'!$J40="",INDEX(LISTA_EX,184),INDEX(LISTA_EX,MATCH('T1'!$J40&amp;"|"&amp;184,LISTA_KLUCZ,0))),"")</f>
        <v/>
      </c>
      <c r="GE40" s="5" t="str">
        <f t="array" ref="GE40">IFERROR(IF('T1'!$J40="",INDEX(LISTA_EX,185),INDEX(LISTA_EX,MATCH('T1'!$J40&amp;"|"&amp;185,LISTA_KLUCZ,0))),"")</f>
        <v/>
      </c>
      <c r="GF40" s="5" t="str">
        <f t="array" ref="GF40">IFERROR(IF('T1'!$J40="",INDEX(LISTA_EX,186),INDEX(LISTA_EX,MATCH('T1'!$J40&amp;"|"&amp;186,LISTA_KLUCZ,0))),"")</f>
        <v/>
      </c>
      <c r="GG40" s="5" t="str">
        <f t="array" ref="GG40">IFERROR(IF('T1'!$J40="",INDEX(LISTA_EX,187),INDEX(LISTA_EX,MATCH('T1'!$J40&amp;"|"&amp;187,LISTA_KLUCZ,0))),"")</f>
        <v/>
      </c>
      <c r="GH40" s="5" t="str">
        <f t="array" ref="GH40">IFERROR(IF('T1'!$J40="",INDEX(LISTA_EX,188),INDEX(LISTA_EX,MATCH('T1'!$J40&amp;"|"&amp;188,LISTA_KLUCZ,0))),"")</f>
        <v/>
      </c>
      <c r="GI40" s="5" t="str">
        <f t="array" ref="GI40">IFERROR(IF('T1'!$J40="",INDEX(LISTA_EX,189),INDEX(LISTA_EX,MATCH('T1'!$J40&amp;"|"&amp;189,LISTA_KLUCZ,0))),"")</f>
        <v/>
      </c>
      <c r="GJ40" s="5" t="str">
        <f t="array" ref="GJ40">IFERROR(IF('T1'!$J40="",INDEX(LISTA_EX,190),INDEX(LISTA_EX,MATCH('T1'!$J40&amp;"|"&amp;190,LISTA_KLUCZ,0))),"")</f>
        <v/>
      </c>
      <c r="GK40" s="5" t="str">
        <f t="array" ref="GK40">IFERROR(IF('T1'!$J40="",INDEX(LISTA_EX,191),INDEX(LISTA_EX,MATCH('T1'!$J40&amp;"|"&amp;191,LISTA_KLUCZ,0))),"")</f>
        <v/>
      </c>
      <c r="GL40" s="5" t="str">
        <f t="array" ref="GL40">IFERROR(IF('T1'!$J40="",INDEX(LISTA_EX,192),INDEX(LISTA_EX,MATCH('T1'!$J40&amp;"|"&amp;192,LISTA_KLUCZ,0))),"")</f>
        <v/>
      </c>
      <c r="GM40" s="5" t="str">
        <f t="array" ref="GM40">IFERROR(IF('T1'!$J40="",INDEX(LISTA_EX,193),INDEX(LISTA_EX,MATCH('T1'!$J40&amp;"|"&amp;193,LISTA_KLUCZ,0))),"")</f>
        <v/>
      </c>
      <c r="GN40" s="5" t="str">
        <f t="array" ref="GN40">IFERROR(IF('T1'!$J40="",INDEX(LISTA_EX,194),INDEX(LISTA_EX,MATCH('T1'!$J40&amp;"|"&amp;194,LISTA_KLUCZ,0))),"")</f>
        <v/>
      </c>
      <c r="GO40" s="5" t="str">
        <f t="array" ref="GO40">IFERROR(IF('T1'!$J40="",INDEX(LISTA_EX,195),INDEX(LISTA_EX,MATCH('T1'!$J40&amp;"|"&amp;195,LISTA_KLUCZ,0))),"")</f>
        <v/>
      </c>
      <c r="GP40" s="5" t="str">
        <f t="array" ref="GP40">IFERROR(IF('T1'!$J40="",INDEX(LISTA_EX,196),INDEX(LISTA_EX,MATCH('T1'!$J40&amp;"|"&amp;196,LISTA_KLUCZ,0))),"")</f>
        <v/>
      </c>
      <c r="GQ40" s="5" t="str">
        <f t="array" ref="GQ40">IFERROR(IF('T1'!$J40="",INDEX(LISTA_EX,197),INDEX(LISTA_EX,MATCH('T1'!$J40&amp;"|"&amp;197,LISTA_KLUCZ,0))),"")</f>
        <v/>
      </c>
      <c r="GR40" s="5" t="str">
        <f t="array" ref="GR40">IFERROR(IF('T1'!$J40="",INDEX(LISTA_EX,198),INDEX(LISTA_EX,MATCH('T1'!$J40&amp;"|"&amp;198,LISTA_KLUCZ,0))),"")</f>
        <v/>
      </c>
      <c r="GS40" s="5" t="str">
        <f t="array" ref="GS40">IFERROR(IF('T1'!$J40="",INDEX(LISTA_EX,199),INDEX(LISTA_EX,MATCH('T1'!$J40&amp;"|"&amp;199,LISTA_KLUCZ,0))),"")</f>
        <v/>
      </c>
      <c r="GT40" s="5" t="str">
        <f t="array" ref="GT40">IFERROR(IF('T1'!$J40="",INDEX(LISTA_EX,200),INDEX(LISTA_EX,MATCH('T1'!$J40&amp;"|"&amp;200,LISTA_KLUCZ,0))),"")</f>
        <v/>
      </c>
      <c r="GV40" s="5" t="str">
        <f>IF(BAZA!$A40="","",BAZA!$A40)</f>
        <v>Dead bug izo + OH</v>
      </c>
      <c r="GW40" s="5" t="str">
        <f>IF(BAZA!$B40="","",BAZA!$B40&amp;"|"&amp;COUNTIF(BAZA!$B$3:$B40,BAZA!$B40))</f>
        <v>Core|6</v>
      </c>
    </row>
    <row r="41" ht="15.0" customHeight="1">
      <c r="A41" s="5" t="str">
        <f>IF('T1'!$K41="","",'T1'!$K41)</f>
        <v>D3-S03</v>
      </c>
      <c r="B41" s="5" t="str">
        <f>IF('T1'!$J41="","(wszystkie)",'T1'!$J41)</f>
        <v>(wszystkie)</v>
      </c>
      <c r="C41" s="5" t="str">
        <f t="array" ref="C41">IFERROR(IF('T1'!$J41="",INDEX(LISTA_EX,1),INDEX(LISTA_EX,MATCH('T1'!$J41&amp;"|"&amp;1,LISTA_KLUCZ,0))),"")</f>
        <v>Abduction machine</v>
      </c>
      <c r="D41" s="5" t="str">
        <f t="array" ref="D41">IFERROR(IF('T1'!$J41="",INDEX(LISTA_EX,2),INDEX(LISTA_EX,MATCH('T1'!$J41&amp;"|"&amp;2,LISTA_KLUCZ,0))),"")</f>
        <v>Adduction machine</v>
      </c>
      <c r="E41" s="5" t="str">
        <f t="array" ref="E41">IFERROR(IF('T1'!$J41="",INDEX(LISTA_EX,3),INDEX(LISTA_EX,MATCH('T1'!$J41&amp;"|"&amp;3,LISTA_KLUCZ,0))),"")</f>
        <v>Allah</v>
      </c>
      <c r="F41" s="5" t="str">
        <f t="array" ref="F41">IFERROR(IF('T1'!$J41="",INDEX(LISTA_EX,4),INDEX(LISTA_EX,MATCH('T1'!$J41&amp;"|"&amp;4,LISTA_KLUCZ,0))),"")</f>
        <v>Arnold press</v>
      </c>
      <c r="G41" s="5" t="str">
        <f t="array" ref="G41">IFERROR(IF('T1'!$J41="",INDEX(LISTA_EX,5),INDEX(LISTA_EX,MATCH('T1'!$J41&amp;"|"&amp;5,LISTA_KLUCZ,0))),"")</f>
        <v>Arnold press alternating</v>
      </c>
      <c r="H41" s="5" t="str">
        <f t="array" ref="H41">IFERROR(IF('T1'!$J41="",INDEX(LISTA_EX,6),INDEX(LISTA_EX,MATCH('T1'!$J41&amp;"|"&amp;6,LISTA_KLUCZ,0))),"")</f>
        <v>B/l dragonflag eccentric</v>
      </c>
      <c r="I41" s="5" t="str">
        <f t="array" ref="I41">IFERROR(IF('T1'!$J41="",INDEX(LISTA_EX,7),INDEX(LISTA_EX,MATCH('T1'!$J41&amp;"|"&amp;7,LISTA_KLUCZ,0))),"")</f>
        <v>Back extension</v>
      </c>
      <c r="J41" s="5" t="str">
        <f t="array" ref="J41">IFERROR(IF('T1'!$J41="",INDEX(LISTA_EX,8),INDEX(LISTA_EX,MATCH('T1'!$J41&amp;"|"&amp;8,LISTA_KLUCZ,0))),"")</f>
        <v>Banded pistol squat</v>
      </c>
      <c r="K41" s="5" t="str">
        <f t="array" ref="K41">IFERROR(IF('T1'!$J41="",INDEX(LISTA_EX,9),INDEX(LISTA_EX,MATCH('T1'!$J41&amp;"|"&amp;9,LISTA_KLUCZ,0))),"")</f>
        <v>Banded pull ups</v>
      </c>
      <c r="L41" s="5" t="str">
        <f t="array" ref="L41">IFERROR(IF('T1'!$J41="",INDEX(LISTA_EX,10),INDEX(LISTA_EX,MATCH('T1'!$J41&amp;"|"&amp;10,LISTA_KLUCZ,0))),"")</f>
        <v>Barbell back squat</v>
      </c>
      <c r="M41" s="5" t="str">
        <f t="array" ref="M41">IFERROR(IF('T1'!$J41="",INDEX(LISTA_EX,11),INDEX(LISTA_EX,MATCH('T1'!$J41&amp;"|"&amp;11,LISTA_KLUCZ,0))),"")</f>
        <v>Barbell bench press</v>
      </c>
      <c r="N41" s="5" t="str">
        <f t="array" ref="N41">IFERROR(IF('T1'!$J41="",INDEX(LISTA_EX,12),INDEX(LISTA_EX,MATCH('T1'!$J41&amp;"|"&amp;12,LISTA_KLUCZ,0))),"")</f>
        <v>Barbell curl</v>
      </c>
      <c r="O41" s="5" t="str">
        <f t="array" ref="O41">IFERROR(IF('T1'!$J41="",INDEX(LISTA_EX,13),INDEX(LISTA_EX,MATCH('T1'!$J41&amp;"|"&amp;13,LISTA_KLUCZ,0))),"")</f>
        <v>Barbell low bar squat</v>
      </c>
      <c r="P41" s="5" t="str">
        <f t="array" ref="P41">IFERROR(IF('T1'!$J41="",INDEX(LISTA_EX,14),INDEX(LISTA_EX,MATCH('T1'!$J41&amp;"|"&amp;14,LISTA_KLUCZ,0))),"")</f>
        <v>Barbell OHP</v>
      </c>
      <c r="Q41" s="5" t="str">
        <f t="array" ref="Q41">IFERROR(IF('T1'!$J41="",INDEX(LISTA_EX,15),INDEX(LISTA_EX,MATCH('T1'!$J41&amp;"|"&amp;15,LISTA_KLUCZ,0))),"")</f>
        <v>Barbell oscilation</v>
      </c>
      <c r="R41" s="5" t="str">
        <f t="array" ref="R41">IFERROR(IF('T1'!$J41="",INDEX(LISTA_EX,16),INDEX(LISTA_EX,MATCH('T1'!$J41&amp;"|"&amp;16,LISTA_KLUCZ,0))),"")</f>
        <v>Barbell row</v>
      </c>
      <c r="S41" s="5" t="str">
        <f t="array" ref="S41">IFERROR(IF('T1'!$J41="",INDEX(LISTA_EX,17),INDEX(LISTA_EX,MATCH('T1'!$J41&amp;"|"&amp;17,LISTA_KLUCZ,0))),"")</f>
        <v>Barbell row dead stop pins</v>
      </c>
      <c r="T41" s="5" t="str">
        <f t="array" ref="T41">IFERROR(IF('T1'!$J41="",INDEX(LISTA_EX,18),INDEX(LISTA_EX,MATCH('T1'!$J41&amp;"|"&amp;18,LISTA_KLUCZ,0))),"")</f>
        <v>Barbell SLDL</v>
      </c>
      <c r="U41" s="5" t="str">
        <f t="array" ref="U41">IFERROR(IF('T1'!$J41="",INDEX(LISTA_EX,19),INDEX(LISTA_EX,MATCH('T1'!$J41&amp;"|"&amp;19,LISTA_KLUCZ,0))),"")</f>
        <v>Bayesian curl</v>
      </c>
      <c r="V41" s="5" t="str">
        <f t="array" ref="V41">IFERROR(IF('T1'!$J41="",INDEX(LISTA_EX,20),INDEX(LISTA_EX,MATCH('T1'!$J41&amp;"|"&amp;20,LISTA_KLUCZ,0))),"")</f>
        <v>Bear renegade row</v>
      </c>
      <c r="W41" s="5" t="str">
        <f t="array" ref="W41">IFERROR(IF('T1'!$J41="",INDEX(LISTA_EX,21),INDEX(LISTA_EX,MATCH('T1'!$J41&amp;"|"&amp;21,LISTA_KLUCZ,0))),"")</f>
        <v>Bench press paused 3sec</v>
      </c>
      <c r="X41" s="5" t="str">
        <f t="array" ref="X41">IFERROR(IF('T1'!$J41="",INDEX(LISTA_EX,22),INDEX(LISTA_EX,MATCH('T1'!$J41&amp;"|"&amp;22,LISTA_KLUCZ,0))),"")</f>
        <v>Bicep hammer curl</v>
      </c>
      <c r="Y41" s="5" t="str">
        <f t="array" ref="Y41">IFERROR(IF('T1'!$J41="",INDEX(LISTA_EX,23),INDEX(LISTA_EX,MATCH('T1'!$J41&amp;"|"&amp;23,LISTA_KLUCZ,0))),"")</f>
        <v>Bicep squat cable curl</v>
      </c>
      <c r="Z41" s="5" t="str">
        <f t="array" ref="Z41">IFERROR(IF('T1'!$J41="",INDEX(LISTA_EX,24),INDEX(LISTA_EX,MATCH('T1'!$J41&amp;"|"&amp;24,LISTA_KLUCZ,0))),"")</f>
        <v>Bird dog row</v>
      </c>
      <c r="AA41" s="5" t="str">
        <f t="array" ref="AA41">IFERROR(IF('T1'!$J41="",INDEX(LISTA_EX,25),INDEX(LISTA_EX,MATCH('T1'!$J41&amp;"|"&amp;25,LISTA_KLUCZ,0))),"")</f>
        <v>Box jump</v>
      </c>
      <c r="AB41" s="5" t="str">
        <f t="array" ref="AB41">IFERROR(IF('T1'!$J41="",INDEX(LISTA_EX,26),INDEX(LISTA_EX,MATCH('T1'!$J41&amp;"|"&amp;26,LISTA_KLUCZ,0))),"")</f>
        <v>Bulgarian clean plyo</v>
      </c>
      <c r="AC41" s="5" t="str">
        <f t="array" ref="AC41">IFERROR(IF('T1'!$J41="",INDEX(LISTA_EX,27),INDEX(LISTA_EX,MATCH('T1'!$J41&amp;"|"&amp;27,LISTA_KLUCZ,0))),"")</f>
        <v>Bulgarian squat assisted</v>
      </c>
      <c r="AD41" s="5" t="str">
        <f t="array" ref="AD41">IFERROR(IF('T1'!$J41="",INDEX(LISTA_EX,28),INDEX(LISTA_EX,MATCH('T1'!$J41&amp;"|"&amp;28,LISTA_KLUCZ,0))),"")</f>
        <v>Cable biceps curl</v>
      </c>
      <c r="AE41" s="5" t="str">
        <f t="array" ref="AE41">IFERROR(IF('T1'!$J41="",INDEX(LISTA_EX,29),INDEX(LISTA_EX,MATCH('T1'!$J41&amp;"|"&amp;29,LISTA_KLUCZ,0))),"")</f>
        <v>Cable fly</v>
      </c>
      <c r="AF41" s="5" t="str">
        <f t="array" ref="AF41">IFERROR(IF('T1'!$J41="",INDEX(LISTA_EX,30),INDEX(LISTA_EX,MATCH('T1'!$J41&amp;"|"&amp;30,LISTA_KLUCZ,0))),"")</f>
        <v>Cable lateral raise s/a</v>
      </c>
      <c r="AG41" s="5" t="str">
        <f t="array" ref="AG41">IFERROR(IF('T1'!$J41="",INDEX(LISTA_EX,31),INDEX(LISTA_EX,MATCH('T1'!$J41&amp;"|"&amp;31,LISTA_KLUCZ,0))),"")</f>
        <v>Cable row</v>
      </c>
      <c r="AH41" s="5" t="str">
        <f t="array" ref="AH41">IFERROR(IF('T1'!$J41="",INDEX(LISTA_EX,32),INDEX(LISTA_EX,MATCH('T1'!$J41&amp;"|"&amp;32,LISTA_KLUCZ,0))),"")</f>
        <v>Cable row s/a</v>
      </c>
      <c r="AI41" s="5" t="str">
        <f t="array" ref="AI41">IFERROR(IF('T1'!$J41="",INDEX(LISTA_EX,33),INDEX(LISTA_EX,MATCH('T1'!$J41&amp;"|"&amp;33,LISTA_KLUCZ,0))),"")</f>
        <v>Calf raises</v>
      </c>
      <c r="AJ41" s="5" t="str">
        <f t="array" ref="AJ41">IFERROR(IF('T1'!$J41="",INDEX(LISTA_EX,34),INDEX(LISTA_EX,MATCH('T1'!$J41&amp;"|"&amp;34,LISTA_KLUCZ,0))),"")</f>
        <v>Chest fly machine</v>
      </c>
      <c r="AK41" s="5" t="str">
        <f t="array" ref="AK41">IFERROR(IF('T1'!$J41="",INDEX(LISTA_EX,35),INDEX(LISTA_EX,MATCH('T1'!$J41&amp;"|"&amp;35,LISTA_KLUCZ,0))),"")</f>
        <v>Clean</v>
      </c>
      <c r="AL41" s="5" t="str">
        <f t="array" ref="AL41">IFERROR(IF('T1'!$J41="",INDEX(LISTA_EX,36),INDEX(LISTA_EX,MATCH('T1'!$J41&amp;"|"&amp;36,LISTA_KLUCZ,0))),"")</f>
        <v>Clean pins</v>
      </c>
      <c r="AM41" s="5" t="str">
        <f t="array" ref="AM41">IFERROR(IF('T1'!$J41="",INDEX(LISTA_EX,37),INDEX(LISTA_EX,MATCH('T1'!$J41&amp;"|"&amp;37,LISTA_KLUCZ,0))),"")</f>
        <v>Copenhagen plank</v>
      </c>
      <c r="AN41" s="5" t="str">
        <f t="array" ref="AN41">IFERROR(IF('T1'!$J41="",INDEX(LISTA_EX,38),INDEX(LISTA_EX,MATCH('T1'!$J41&amp;"|"&amp;38,LISTA_KLUCZ,0))),"")</f>
        <v>Dead bug izo + OH</v>
      </c>
      <c r="AO41" s="5" t="str">
        <f t="array" ref="AO41">IFERROR(IF('T1'!$J41="",INDEX(LISTA_EX,39),INDEX(LISTA_EX,MATCH('T1'!$J41&amp;"|"&amp;39,LISTA_KLUCZ,0))),"")</f>
        <v>Dead bug straight legs</v>
      </c>
      <c r="AP41" s="5" t="str">
        <f t="array" ref="AP41">IFERROR(IF('T1'!$J41="",INDEX(LISTA_EX,40),INDEX(LISTA_EX,MATCH('T1'!$J41&amp;"|"&amp;40,LISTA_KLUCZ,0))),"")</f>
        <v>Dead stop barbell row</v>
      </c>
      <c r="AQ41" s="5" t="str">
        <f t="array" ref="AQ41">IFERROR(IF('T1'!$J41="",INDEX(LISTA_EX,41),INDEX(LISTA_EX,MATCH('T1'!$J41&amp;"|"&amp;41,LISTA_KLUCZ,0))),"")</f>
        <v>Deadbug OH</v>
      </c>
      <c r="AR41" s="5" t="str">
        <f t="array" ref="AR41">IFERROR(IF('T1'!$J41="",INDEX(LISTA_EX,42),INDEX(LISTA_EX,MATCH('T1'!$J41&amp;"|"&amp;42,LISTA_KLUCZ,0))),"")</f>
        <v>Deadlift</v>
      </c>
      <c r="AS41" s="5" t="str">
        <f t="array" ref="AS41">IFERROR(IF('T1'!$J41="",INDEX(LISTA_EX,43),INDEX(LISTA_EX,MATCH('T1'!$J41&amp;"|"&amp;43,LISTA_KLUCZ,0))),"")</f>
        <v>Deficit push up</v>
      </c>
      <c r="AT41" s="5" t="str">
        <f t="array" ref="AT41">IFERROR(IF('T1'!$J41="",INDEX(LISTA_EX,44),INDEX(LISTA_EX,MATCH('T1'!$J41&amp;"|"&amp;44,LISTA_KLUCZ,0))),"")</f>
        <v>Deficit reverse lunge</v>
      </c>
      <c r="AU41" s="5" t="str">
        <f t="array" ref="AU41">IFERROR(IF('T1'!$J41="",INDEX(LISTA_EX,45),INDEX(LISTA_EX,MATCH('T1'!$J41&amp;"|"&amp;45,LISTA_KLUCZ,0))),"")</f>
        <v>Dips</v>
      </c>
      <c r="AV41" s="5" t="str">
        <f t="array" ref="AV41">IFERROR(IF('T1'!$J41="",INDEX(LISTA_EX,46),INDEX(LISTA_EX,MATCH('T1'!$J41&amp;"|"&amp;46,LISTA_KLUCZ,0))),"")</f>
        <v>Dips weighted</v>
      </c>
      <c r="AW41" s="5" t="str">
        <f t="array" ref="AW41">IFERROR(IF('T1'!$J41="",INDEX(LISTA_EX,47),INDEX(LISTA_EX,MATCH('T1'!$J41&amp;"|"&amp;47,LISTA_KLUCZ,0))),"")</f>
        <v>Dumbbell bench press</v>
      </c>
      <c r="AX41" s="5" t="str">
        <f t="array" ref="AX41">IFERROR(IF('T1'!$J41="",INDEX(LISTA_EX,48),INDEX(LISTA_EX,MATCH('T1'!$J41&amp;"|"&amp;48,LISTA_KLUCZ,0))),"")</f>
        <v>Dumbbell bench press alternating</v>
      </c>
      <c r="AY41" s="5" t="str">
        <f t="array" ref="AY41">IFERROR(IF('T1'!$J41="",INDEX(LISTA_EX,49),INDEX(LISTA_EX,MATCH('T1'!$J41&amp;"|"&amp;49,LISTA_KLUCZ,0))),"")</f>
        <v>Dumbbell curl</v>
      </c>
      <c r="AZ41" s="5" t="str">
        <f t="array" ref="AZ41">IFERROR(IF('T1'!$J41="",INDEX(LISTA_EX,50),INDEX(LISTA_EX,MATCH('T1'!$J41&amp;"|"&amp;50,LISTA_KLUCZ,0))),"")</f>
        <v>Dumbbell external rotation</v>
      </c>
      <c r="BA41" s="5" t="str">
        <f t="array" ref="BA41">IFERROR(IF('T1'!$J41="",INDEX(LISTA_EX,51),INDEX(LISTA_EX,MATCH('T1'!$J41&amp;"|"&amp;51,LISTA_KLUCZ,0))),"")</f>
        <v>Dumbbell face down curl</v>
      </c>
      <c r="BB41" s="5" t="str">
        <f t="array" ref="BB41">IFERROR(IF('T1'!$J41="",INDEX(LISTA_EX,52),INDEX(LISTA_EX,MATCH('T1'!$J41&amp;"|"&amp;52,LISTA_KLUCZ,0))),"")</f>
        <v>Dumbbell fly</v>
      </c>
      <c r="BC41" s="5" t="str">
        <f t="array" ref="BC41">IFERROR(IF('T1'!$J41="",INDEX(LISTA_EX,53),INDEX(LISTA_EX,MATCH('T1'!$J41&amp;"|"&amp;53,LISTA_KLUCZ,0))),"")</f>
        <v>Dumbbell french press</v>
      </c>
      <c r="BD41" s="5" t="str">
        <f t="array" ref="BD41">IFERROR(IF('T1'!$J41="",INDEX(LISTA_EX,54),INDEX(LISTA_EX,MATCH('T1'!$J41&amp;"|"&amp;54,LISTA_KLUCZ,0))),"")</f>
        <v>Dumbbell lateral raise</v>
      </c>
      <c r="BE41" s="5" t="str">
        <f t="array" ref="BE41">IFERROR(IF('T1'!$J41="",INDEX(LISTA_EX,55),INDEX(LISTA_EX,MATCH('T1'!$J41&amp;"|"&amp;55,LISTA_KLUCZ,0))),"")</f>
        <v>Dumbbell lunges</v>
      </c>
      <c r="BF41" s="5" t="str">
        <f t="array" ref="BF41">IFERROR(IF('T1'!$J41="",INDEX(LISTA_EX,56),INDEX(LISTA_EX,MATCH('T1'!$J41&amp;"|"&amp;56,LISTA_KLUCZ,0))),"")</f>
        <v>Dumbbell OH press</v>
      </c>
      <c r="BG41" s="5" t="str">
        <f t="array" ref="BG41">IFERROR(IF('T1'!$J41="",INDEX(LISTA_EX,57),INDEX(LISTA_EX,MATCH('T1'!$J41&amp;"|"&amp;57,LISTA_KLUCZ,0))),"")</f>
        <v>Dumbbell over head press</v>
      </c>
      <c r="BH41" s="5" t="str">
        <f t="array" ref="BH41">IFERROR(IF('T1'!$J41="",INDEX(LISTA_EX,58),INDEX(LISTA_EX,MATCH('T1'!$J41&amp;"|"&amp;58,LISTA_KLUCZ,0))),"")</f>
        <v>Dumbbell over head press alternating</v>
      </c>
      <c r="BI41" s="5" t="str">
        <f t="array" ref="BI41">IFERROR(IF('T1'!$J41="",INDEX(LISTA_EX,59),INDEX(LISTA_EX,MATCH('T1'!$J41&amp;"|"&amp;59,LISTA_KLUCZ,0))),"")</f>
        <v>Dumbbell row</v>
      </c>
      <c r="BJ41" s="5" t="str">
        <f t="array" ref="BJ41">IFERROR(IF('T1'!$J41="",INDEX(LISTA_EX,60),INDEX(LISTA_EX,MATCH('T1'!$J41&amp;"|"&amp;60,LISTA_KLUCZ,0))),"")</f>
        <v>Dumbbell s/a Arnold press</v>
      </c>
      <c r="BK41" s="5" t="str">
        <f t="array" ref="BK41">IFERROR(IF('T1'!$J41="",INDEX(LISTA_EX,61),INDEX(LISTA_EX,MATCH('T1'!$J41&amp;"|"&amp;61,LISTA_KLUCZ,0))),"")</f>
        <v>Dumbbell s/a row</v>
      </c>
      <c r="BL41" s="5" t="str">
        <f t="array" ref="BL41">IFERROR(IF('T1'!$J41="",INDEX(LISTA_EX,62),INDEX(LISTA_EX,MATCH('T1'!$J41&amp;"|"&amp;62,LISTA_KLUCZ,0))),"")</f>
        <v>Dumbbell seal row</v>
      </c>
      <c r="BM41" s="5" t="str">
        <f t="array" ref="BM41">IFERROR(IF('T1'!$J41="",INDEX(LISTA_EX,63),INDEX(LISTA_EX,MATCH('T1'!$J41&amp;"|"&amp;63,LISTA_KLUCZ,0))),"")</f>
        <v>Dumbbells jumps</v>
      </c>
      <c r="BN41" s="5" t="str">
        <f t="array" ref="BN41">IFERROR(IF('T1'!$J41="",INDEX(LISTA_EX,64),INDEX(LISTA_EX,MATCH('T1'!$J41&amp;"|"&amp;64,LISTA_KLUCZ,0))),"")</f>
        <v>Eccentric pull up</v>
      </c>
      <c r="BO41" s="5" t="str">
        <f t="array" ref="BO41">IFERROR(IF('T1'!$J41="",INDEX(LISTA_EX,65),INDEX(LISTA_EX,MATCH('T1'!$J41&amp;"|"&amp;65,LISTA_KLUCZ,0))),"")</f>
        <v>Eccentric push up (5 sek w dół)</v>
      </c>
      <c r="BP41" s="5" t="str">
        <f t="array" ref="BP41">IFERROR(IF('T1'!$J41="",INDEX(LISTA_EX,66),INDEX(LISTA_EX,MATCH('T1'!$J41&amp;"|"&amp;66,LISTA_KLUCZ,0))),"")</f>
        <v>Extensive plyo jumps s/l</v>
      </c>
      <c r="BQ41" s="5" t="str">
        <f t="array" ref="BQ41">IFERROR(IF('T1'!$J41="",INDEX(LISTA_EX,67),INDEX(LISTA_EX,MATCH('T1'!$J41&amp;"|"&amp;67,LISTA_KLUCZ,0))),"")</f>
        <v>Ez bar curl</v>
      </c>
      <c r="BR41" s="5" t="str">
        <f t="array" ref="BR41">IFERROR(IF('T1'!$J41="",INDEX(LISTA_EX,68),INDEX(LISTA_EX,MATCH('T1'!$J41&amp;"|"&amp;68,LISTA_KLUCZ,0))),"")</f>
        <v>Facepull chest supported</v>
      </c>
      <c r="BS41" s="5" t="str">
        <f t="array" ref="BS41">IFERROR(IF('T1'!$J41="",INDEX(LISTA_EX,69),INDEX(LISTA_EX,MATCH('T1'!$J41&amp;"|"&amp;69,LISTA_KLUCZ,0))),"")</f>
        <v>Front foot elevated split squat</v>
      </c>
      <c r="BT41" s="5" t="str">
        <f t="array" ref="BT41">IFERROR(IF('T1'!$J41="",INDEX(LISTA_EX,70),INDEX(LISTA_EX,MATCH('T1'!$J41&amp;"|"&amp;70,LISTA_KLUCZ,0))),"")</f>
        <v>Front squat</v>
      </c>
      <c r="BU41" s="5" t="str">
        <f t="array" ref="BU41">IFERROR(IF('T1'!$J41="",INDEX(LISTA_EX,71),INDEX(LISTA_EX,MATCH('T1'!$J41&amp;"|"&amp;71,LISTA_KLUCZ,0))),"")</f>
        <v>GHD flexion</v>
      </c>
      <c r="BV41" s="5" t="str">
        <f t="array" ref="BV41">IFERROR(IF('T1'!$J41="",INDEX(LISTA_EX,72),INDEX(LISTA_EX,MATCH('T1'!$J41&amp;"|"&amp;72,LISTA_KLUCZ,0))),"")</f>
        <v>Glute bridge hamstrings izo + OH</v>
      </c>
      <c r="BW41" s="5" t="str">
        <f t="array" ref="BW41">IFERROR(IF('T1'!$J41="",INDEX(LISTA_EX,73),INDEX(LISTA_EX,MATCH('T1'!$J41&amp;"|"&amp;73,LISTA_KLUCZ,0))),"")</f>
        <v>Glute crusher</v>
      </c>
      <c r="BX41" s="5" t="str">
        <f t="array" ref="BX41">IFERROR(IF('T1'!$J41="",INDEX(LISTA_EX,74),INDEX(LISTA_EX,MATCH('T1'!$J41&amp;"|"&amp;74,LISTA_KLUCZ,0))),"")</f>
        <v>Gorilla row</v>
      </c>
      <c r="BY41" s="5" t="str">
        <f t="array" ref="BY41">IFERROR(IF('T1'!$J41="",INDEX(LISTA_EX,75),INDEX(LISTA_EX,MATCH('T1'!$J41&amp;"|"&amp;75,LISTA_KLUCZ,0))),"")</f>
        <v>Halfkneeling s/a cable pull</v>
      </c>
      <c r="BZ41" s="5" t="str">
        <f t="array" ref="BZ41">IFERROR(IF('T1'!$J41="",INDEX(LISTA_EX,76),INDEX(LISTA_EX,MATCH('T1'!$J41&amp;"|"&amp;76,LISTA_KLUCZ,0))),"")</f>
        <v>Halfkneeling wood chopper</v>
      </c>
      <c r="CA41" s="5" t="str">
        <f t="array" ref="CA41">IFERROR(IF('T1'!$J41="",INDEX(LISTA_EX,77),INDEX(LISTA_EX,MATCH('T1'!$J41&amp;"|"&amp;77,LISTA_KLUCZ,0))),"")</f>
        <v>Hinged dumbbell row</v>
      </c>
      <c r="CB41" s="5" t="str">
        <f t="array" ref="CB41">IFERROR(IF('T1'!$J41="",INDEX(LISTA_EX,78),INDEX(LISTA_EX,MATCH('T1'!$J41&amp;"|"&amp;78,LISTA_KLUCZ,0))),"")</f>
        <v>Hip aeroplane</v>
      </c>
      <c r="CC41" s="5" t="str">
        <f t="array" ref="CC41">IFERROR(IF('T1'!$J41="",INDEX(LISTA_EX,79),INDEX(LISTA_EX,MATCH('T1'!$J41&amp;"|"&amp;79,LISTA_KLUCZ,0))),"")</f>
        <v>Hip flexors cable</v>
      </c>
      <c r="CD41" s="5" t="str">
        <f t="array" ref="CD41">IFERROR(IF('T1'!$J41="",INDEX(LISTA_EX,80),INDEX(LISTA_EX,MATCH('T1'!$J41&amp;"|"&amp;80,LISTA_KLUCZ,0))),"")</f>
        <v>Hip thrust barbell</v>
      </c>
      <c r="CE41" s="5" t="str">
        <f t="array" ref="CE41">IFERROR(IF('T1'!$J41="",INDEX(LISTA_EX,81),INDEX(LISTA_EX,MATCH('T1'!$J41&amp;"|"&amp;81,LISTA_KLUCZ,0))),"")</f>
        <v>Hollow body + OH</v>
      </c>
      <c r="CF41" s="5" t="str">
        <f t="array" ref="CF41">IFERROR(IF('T1'!$J41="",INDEX(LISTA_EX,82),INDEX(LISTA_EX,MATCH('T1'!$J41&amp;"|"&amp;82,LISTA_KLUCZ,0))),"")</f>
        <v>Horizontal jump</v>
      </c>
      <c r="CG41" s="5" t="str">
        <f t="array" ref="CG41">IFERROR(IF('T1'!$J41="",INDEX(LISTA_EX,83),INDEX(LISTA_EX,MATCH('T1'!$J41&amp;"|"&amp;83,LISTA_KLUCZ,0))),"")</f>
        <v>Incline bench lateral raise s/a</v>
      </c>
      <c r="CH41" s="5" t="str">
        <f t="array" ref="CH41">IFERROR(IF('T1'!$J41="",INDEX(LISTA_EX,84),INDEX(LISTA_EX,MATCH('T1'!$J41&amp;"|"&amp;84,LISTA_KLUCZ,0))),"")</f>
        <v>Incline curl + OHP</v>
      </c>
      <c r="CI41" s="5" t="str">
        <f t="array" ref="CI41">IFERROR(IF('T1'!$J41="",INDEX(LISTA_EX,85),INDEX(LISTA_EX,MATCH('T1'!$J41&amp;"|"&amp;85,LISTA_KLUCZ,0))),"")</f>
        <v>Incline dumbbell curl</v>
      </c>
      <c r="CJ41" s="5" t="str">
        <f t="array" ref="CJ41">IFERROR(IF('T1'!$J41="",INDEX(LISTA_EX,86),INDEX(LISTA_EX,MATCH('T1'!$J41&amp;"|"&amp;86,LISTA_KLUCZ,0))),"")</f>
        <v>Incline dumbbell curl (back)</v>
      </c>
      <c r="CK41" s="5" t="str">
        <f t="array" ref="CK41">IFERROR(IF('T1'!$J41="",INDEX(LISTA_EX,87),INDEX(LISTA_EX,MATCH('T1'!$J41&amp;"|"&amp;87,LISTA_KLUCZ,0))),"")</f>
        <v>Incline dumbbell curl (front)</v>
      </c>
      <c r="CL41" s="5" t="str">
        <f t="array" ref="CL41">IFERROR(IF('T1'!$J41="",INDEX(LISTA_EX,88),INDEX(LISTA_EX,MATCH('T1'!$J41&amp;"|"&amp;88,LISTA_KLUCZ,0))),"")</f>
        <v>Incline dumbbell fly</v>
      </c>
      <c r="CM41" s="5" t="str">
        <f t="array" ref="CM41">IFERROR(IF('T1'!$J41="",INDEX(LISTA_EX,89),INDEX(LISTA_EX,MATCH('T1'!$J41&amp;"|"&amp;89,LISTA_KLUCZ,0))),"")</f>
        <v>Incline dumbbell press</v>
      </c>
      <c r="CN41" s="5" t="str">
        <f t="array" ref="CN41">IFERROR(IF('T1'!$J41="",INDEX(LISTA_EX,90),INDEX(LISTA_EX,MATCH('T1'!$J41&amp;"|"&amp;90,LISTA_KLUCZ,0))),"")</f>
        <v>Incline dumbbell press alternating</v>
      </c>
      <c r="CO41" s="5" t="str">
        <f t="array" ref="CO41">IFERROR(IF('T1'!$J41="",INDEX(LISTA_EX,91),INDEX(LISTA_EX,MATCH('T1'!$J41&amp;"|"&amp;91,LISTA_KLUCZ,0))),"")</f>
        <v>Incline sit-ups</v>
      </c>
      <c r="CP41" s="5" t="str">
        <f t="array" ref="CP41">IFERROR(IF('T1'!$J41="",INDEX(LISTA_EX,92),INDEX(LISTA_EX,MATCH('T1'!$J41&amp;"|"&amp;92,LISTA_KLUCZ,0))),"")</f>
        <v>Jefferson cable</v>
      </c>
      <c r="CQ41" s="5" t="str">
        <f t="array" ref="CQ41">IFERROR(IF('T1'!$J41="",INDEX(LISTA_EX,93),INDEX(LISTA_EX,MATCH('T1'!$J41&amp;"|"&amp;93,LISTA_KLUCZ,0))),"")</f>
        <v>Kettlebell march</v>
      </c>
      <c r="CR41" s="5" t="str">
        <f t="array" ref="CR41">IFERROR(IF('T1'!$J41="",INDEX(LISTA_EX,94),INDEX(LISTA_EX,MATCH('T1'!$J41&amp;"|"&amp;94,LISTA_KLUCZ,0))),"")</f>
        <v>Kickbacks</v>
      </c>
      <c r="CS41" s="5" t="str">
        <f t="array" ref="CS41">IFERROR(IF('T1'!$J41="",INDEX(LISTA_EX,95),INDEX(LISTA_EX,MATCH('T1'!$J41&amp;"|"&amp;95,LISTA_KLUCZ,0))),"")</f>
        <v>Knee extension machine</v>
      </c>
      <c r="CT41" s="5" t="str">
        <f t="array" ref="CT41">IFERROR(IF('T1'!$J41="",INDEX(LISTA_EX,96),INDEX(LISTA_EX,MATCH('T1'!$J41&amp;"|"&amp;96,LISTA_KLUCZ,0))),"")</f>
        <v>Knee flexion machine</v>
      </c>
      <c r="CU41" s="5" t="str">
        <f t="array" ref="CU41">IFERROR(IF('T1'!$J41="",INDEX(LISTA_EX,97),INDEX(LISTA_EX,MATCH('T1'!$J41&amp;"|"&amp;97,LISTA_KLUCZ,0))),"")</f>
        <v>Knee raises</v>
      </c>
      <c r="CV41" s="5" t="str">
        <f t="array" ref="CV41">IFERROR(IF('T1'!$J41="",INDEX(LISTA_EX,98),INDEX(LISTA_EX,MATCH('T1'!$J41&amp;"|"&amp;98,LISTA_KLUCZ,0))),"")</f>
        <v>Landmine core</v>
      </c>
      <c r="CW41" s="5" t="str">
        <f t="array" ref="CW41">IFERROR(IF('T1'!$J41="",INDEX(LISTA_EX,99),INDEX(LISTA_EX,MATCH('T1'!$J41&amp;"|"&amp;99,LISTA_KLUCZ,0))),"")</f>
        <v>Landmine press</v>
      </c>
      <c r="CX41" s="5" t="str">
        <f t="array" ref="CX41">IFERROR(IF('T1'!$J41="",INDEX(LISTA_EX,100),INDEX(LISTA_EX,MATCH('T1'!$J41&amp;"|"&amp;100,LISTA_KLUCZ,0))),"")</f>
        <v>Landmine rotations (powtórzenia x2)</v>
      </c>
      <c r="CY41" s="5" t="str">
        <f t="array" ref="CY41">IFERROR(IF('T1'!$J41="",INDEX(LISTA_EX,101),INDEX(LISTA_EX,MATCH('T1'!$J41&amp;"|"&amp;101,LISTA_KLUCZ,0))),"")</f>
        <v>Landmine SLDL</v>
      </c>
      <c r="CZ41" s="5" t="str">
        <f t="array" ref="CZ41">IFERROR(IF('T1'!$J41="",INDEX(LISTA_EX,102),INDEX(LISTA_EX,MATCH('T1'!$J41&amp;"|"&amp;102,LISTA_KLUCZ,0))),"")</f>
        <v>Lat pulldown</v>
      </c>
      <c r="DA41" s="5" t="str">
        <f t="array" ref="DA41">IFERROR(IF('T1'!$J41="",INDEX(LISTA_EX,103),INDEX(LISTA_EX,MATCH('T1'!$J41&amp;"|"&amp;103,LISTA_KLUCZ,0))),"")</f>
        <v>Lat pulldown behind the head</v>
      </c>
      <c r="DB41" s="5" t="str">
        <f t="array" ref="DB41">IFERROR(IF('T1'!$J41="",INDEX(LISTA_EX,104),INDEX(LISTA_EX,MATCH('T1'!$J41&amp;"|"&amp;104,LISTA_KLUCZ,0))),"")</f>
        <v>Lat pulldown s/a</v>
      </c>
      <c r="DC41" s="5" t="str">
        <f t="array" ref="DC41">IFERROR(IF('T1'!$J41="",INDEX(LISTA_EX,105),INDEX(LISTA_EX,MATCH('T1'!$J41&amp;"|"&amp;105,LISTA_KLUCZ,0))),"")</f>
        <v>Lateral raise s/a</v>
      </c>
      <c r="DD41" s="5" t="str">
        <f t="array" ref="DD41">IFERROR(IF('T1'!$J41="",INDEX(LISTA_EX,106),INDEX(LISTA_EX,MATCH('T1'!$J41&amp;"|"&amp;106,LISTA_KLUCZ,0))),"")</f>
        <v>Lateral raises</v>
      </c>
      <c r="DE41" s="5" t="str">
        <f t="array" ref="DE41">IFERROR(IF('T1'!$J41="",INDEX(LISTA_EX,107),INDEX(LISTA_EX,MATCH('T1'!$J41&amp;"|"&amp;107,LISTA_KLUCZ,0))),"")</f>
        <v>Lateral raises 2</v>
      </c>
      <c r="DF41" s="5" t="str">
        <f t="array" ref="DF41">IFERROR(IF('T1'!$J41="",INDEX(LISTA_EX,108),INDEX(LISTA_EX,MATCH('T1'!$J41&amp;"|"&amp;108,LISTA_KLUCZ,0))),"")</f>
        <v>Lateral raises full ROM</v>
      </c>
      <c r="DG41" s="5" t="str">
        <f t="array" ref="DG41">IFERROR(IF('T1'!$J41="",INDEX(LISTA_EX,109),INDEX(LISTA_EX,MATCH('T1'!$J41&amp;"|"&amp;109,LISTA_KLUCZ,0))),"")</f>
        <v>Lateral raises hinged</v>
      </c>
      <c r="DH41" s="5" t="str">
        <f t="array" ref="DH41">IFERROR(IF('T1'!$J41="",INDEX(LISTA_EX,110),INDEX(LISTA_EX,MATCH('T1'!$J41&amp;"|"&amp;110,LISTA_KLUCZ,0))),"")</f>
        <v>Lateral raises incline s/a</v>
      </c>
      <c r="DI41" s="5" t="str">
        <f t="array" ref="DI41">IFERROR(IF('T1'!$J41="",INDEX(LISTA_EX,111),INDEX(LISTA_EX,MATCH('T1'!$J41&amp;"|"&amp;111,LISTA_KLUCZ,0))),"")</f>
        <v>Leg curl</v>
      </c>
      <c r="DJ41" s="5" t="str">
        <f t="array" ref="DJ41">IFERROR(IF('T1'!$J41="",INDEX(LISTA_EX,112),INDEX(LISTA_EX,MATCH('T1'!$J41&amp;"|"&amp;112,LISTA_KLUCZ,0))),"")</f>
        <v>Machine row</v>
      </c>
      <c r="DK41" s="5" t="str">
        <f t="array" ref="DK41">IFERROR(IF('T1'!$J41="",INDEX(LISTA_EX,113),INDEX(LISTA_EX,MATCH('T1'!$J41&amp;"|"&amp;113,LISTA_KLUCZ,0))),"")</f>
        <v>Machine row s/a</v>
      </c>
      <c r="DL41" s="5" t="str">
        <f t="array" ref="DL41">IFERROR(IF('T1'!$J41="",INDEX(LISTA_EX,114),INDEX(LISTA_EX,MATCH('T1'!$J41&amp;"|"&amp;114,LISTA_KLUCZ,0))),"")</f>
        <v>Meadows row</v>
      </c>
      <c r="DM41" s="5" t="str">
        <f t="array" ref="DM41">IFERROR(IF('T1'!$J41="",INDEX(LISTA_EX,115),INDEX(LISTA_EX,MATCH('T1'!$J41&amp;"|"&amp;115,LISTA_KLUCZ,0))),"")</f>
        <v>Med ball slam</v>
      </c>
      <c r="DN41" s="5" t="str">
        <f t="array" ref="DN41">IFERROR(IF('T1'!$J41="",INDEX(LISTA_EX,116),INDEX(LISTA_EX,MATCH('T1'!$J41&amp;"|"&amp;116,LISTA_KLUCZ,0))),"")</f>
        <v>OH skullcrushers</v>
      </c>
      <c r="DO41" s="5" t="str">
        <f t="array" ref="DO41">IFERROR(IF('T1'!$J41="",INDEX(LISTA_EX,117),INDEX(LISTA_EX,MATCH('T1'!$J41&amp;"|"&amp;117,LISTA_KLUCZ,0))),"")</f>
        <v>OHP barbell squat 15kg</v>
      </c>
      <c r="DP41" s="5" t="str">
        <f t="array" ref="DP41">IFERROR(IF('T1'!$J41="",INDEX(LISTA_EX,118),INDEX(LISTA_EX,MATCH('T1'!$J41&amp;"|"&amp;118,LISTA_KLUCZ,0))),"")</f>
        <v>Pistol squat eccentric</v>
      </c>
      <c r="DQ41" s="5" t="str">
        <f t="array" ref="DQ41">IFERROR(IF('T1'!$J41="",INDEX(LISTA_EX,119),INDEX(LISTA_EX,MATCH('T1'!$J41&amp;"|"&amp;119,LISTA_KLUCZ,0))),"")</f>
        <v>Plank contralateral</v>
      </c>
      <c r="DR41" s="5" t="str">
        <f t="array" ref="DR41">IFERROR(IF('T1'!$J41="",INDEX(LISTA_EX,120),INDEX(LISTA_EX,MATCH('T1'!$J41&amp;"|"&amp;120,LISTA_KLUCZ,0))),"")</f>
        <v>Plank dumbbell rotation</v>
      </c>
      <c r="DS41" s="5" t="str">
        <f t="array" ref="DS41">IFERROR(IF('T1'!$J41="",INDEX(LISTA_EX,121),INDEX(LISTA_EX,MATCH('T1'!$J41&amp;"|"&amp;121,LISTA_KLUCZ,0))),"")</f>
        <v>Plank leg raises</v>
      </c>
      <c r="DT41" s="5" t="str">
        <f t="array" ref="DT41">IFERROR(IF('T1'!$J41="",INDEX(LISTA_EX,122),INDEX(LISTA_EX,MATCH('T1'!$J41&amp;"|"&amp;122,LISTA_KLUCZ,0))),"")</f>
        <v>Poliquin step up</v>
      </c>
      <c r="DU41" s="5" t="str">
        <f t="array" ref="DU41">IFERROR(IF('T1'!$J41="",INDEX(LISTA_EX,123),INDEX(LISTA_EX,MATCH('T1'!$J41&amp;"|"&amp;123,LISTA_KLUCZ,0))),"")</f>
        <v>Poliquin step up paused 3sec</v>
      </c>
      <c r="DV41" s="5" t="str">
        <f t="array" ref="DV41">IFERROR(IF('T1'!$J41="",INDEX(LISTA_EX,124),INDEX(LISTA_EX,MATCH('T1'!$J41&amp;"|"&amp;124,LISTA_KLUCZ,0))),"")</f>
        <v>Pronation/Supination</v>
      </c>
      <c r="DW41" s="5" t="str">
        <f t="array" ref="DW41">IFERROR(IF('T1'!$J41="",INDEX(LISTA_EX,125),INDEX(LISTA_EX,MATCH('T1'!$J41&amp;"|"&amp;125,LISTA_KLUCZ,0))),"")</f>
        <v>Pull up</v>
      </c>
      <c r="DX41" s="5" t="str">
        <f t="array" ref="DX41">IFERROR(IF('T1'!$J41="",INDEX(LISTA_EX,126),INDEX(LISTA_EX,MATCH('T1'!$J41&amp;"|"&amp;126,LISTA_KLUCZ,0))),"")</f>
        <v>Pull up eccentric weighted</v>
      </c>
      <c r="DY41" s="5" t="str">
        <f t="array" ref="DY41">IFERROR(IF('T1'!$J41="",INDEX(LISTA_EX,127),INDEX(LISTA_EX,MATCH('T1'!$J41&amp;"|"&amp;127,LISTA_KLUCZ,0))),"")</f>
        <v>Pull up eccentric weighted (5 sek w dół)</v>
      </c>
      <c r="DZ41" s="5" t="str">
        <f t="array" ref="DZ41">IFERROR(IF('T1'!$J41="",INDEX(LISTA_EX,128),INDEX(LISTA_EX,MATCH('T1'!$J41&amp;"|"&amp;128,LISTA_KLUCZ,0))),"")</f>
        <v>Pull up weighted</v>
      </c>
      <c r="EA41" s="5" t="str">
        <f t="array" ref="EA41">IFERROR(IF('T1'!$J41="",INDEX(LISTA_EX,129),INDEX(LISTA_EX,MATCH('T1'!$J41&amp;"|"&amp;129,LISTA_KLUCZ,0))),"")</f>
        <v>Pull ups (paused)</v>
      </c>
      <c r="EB41" s="5" t="str">
        <f t="array" ref="EB41">IFERROR(IF('T1'!$J41="",INDEX(LISTA_EX,130),INDEX(LISTA_EX,MATCH('T1'!$J41&amp;"|"&amp;130,LISTA_KLUCZ,0))),"")</f>
        <v>Push press barbell</v>
      </c>
      <c r="EC41" s="5" t="str">
        <f t="array" ref="EC41">IFERROR(IF('T1'!$J41="",INDEX(LISTA_EX,131),INDEX(LISTA_EX,MATCH('T1'!$J41&amp;"|"&amp;131,LISTA_KLUCZ,0))),"")</f>
        <v>Push up</v>
      </c>
      <c r="ED41" s="5" t="str">
        <f t="array" ref="ED41">IFERROR(IF('T1'!$J41="",INDEX(LISTA_EX,132),INDEX(LISTA_EX,MATCH('T1'!$J41&amp;"|"&amp;132,LISTA_KLUCZ,0))),"")</f>
        <v>Raised bird dog</v>
      </c>
      <c r="EE41" s="5" t="str">
        <f t="array" ref="EE41">IFERROR(IF('T1'!$J41="",INDEX(LISTA_EX,133),INDEX(LISTA_EX,MATCH('T1'!$J41&amp;"|"&amp;133,LISTA_KLUCZ,0))),"")</f>
        <v>RDL</v>
      </c>
      <c r="EF41" s="5" t="str">
        <f t="array" ref="EF41">IFERROR(IF('T1'!$J41="",INDEX(LISTA_EX,134),INDEX(LISTA_EX,MATCH('T1'!$J41&amp;"|"&amp;134,LISTA_KLUCZ,0))),"")</f>
        <v>Reverse Nordic</v>
      </c>
      <c r="EG41" s="5" t="str">
        <f t="array" ref="EG41">IFERROR(IF('T1'!$J41="",INDEX(LISTA_EX,135),INDEX(LISTA_EX,MATCH('T1'!$J41&amp;"|"&amp;135,LISTA_KLUCZ,0))),"")</f>
        <v>Rope pushdown</v>
      </c>
      <c r="EH41" s="5" t="str">
        <f t="array" ref="EH41">IFERROR(IF('T1'!$J41="",INDEX(LISTA_EX,136),INDEX(LISTA_EX,MATCH('T1'!$J41&amp;"|"&amp;136,LISTA_KLUCZ,0))),"")</f>
        <v>Rope pushdown OH</v>
      </c>
      <c r="EI41" s="5" t="str">
        <f t="array" ref="EI41">IFERROR(IF('T1'!$J41="",INDEX(LISTA_EX,137),INDEX(LISTA_EX,MATCH('T1'!$J41&amp;"|"&amp;137,LISTA_KLUCZ,0))),"")</f>
        <v>S/a cable pulldown incline bench</v>
      </c>
      <c r="EJ41" s="5" t="str">
        <f t="array" ref="EJ41">IFERROR(IF('T1'!$J41="",INDEX(LISTA_EX,138),INDEX(LISTA_EX,MATCH('T1'!$J41&amp;"|"&amp;138,LISTA_KLUCZ,0))),"")</f>
        <v>S/a lat pulldown incline bench</v>
      </c>
      <c r="EK41" s="5" t="str">
        <f t="array" ref="EK41">IFERROR(IF('T1'!$J41="",INDEX(LISTA_EX,139),INDEX(LISTA_EX,MATCH('T1'!$J41&amp;"|"&amp;139,LISTA_KLUCZ,0))),"")</f>
        <v>S/l dragonflag eccentric</v>
      </c>
      <c r="EL41" s="5" t="str">
        <f t="array" ref="EL41">IFERROR(IF('T1'!$J41="",INDEX(LISTA_EX,140),INDEX(LISTA_EX,MATCH('T1'!$J41&amp;"|"&amp;140,LISTA_KLUCZ,0))),"")</f>
        <v>S/l hip thrust</v>
      </c>
      <c r="EM41" s="5" t="str">
        <f t="array" ref="EM41">IFERROR(IF('T1'!$J41="",INDEX(LISTA_EX,141),INDEX(LISTA_EX,MATCH('T1'!$J41&amp;"|"&amp;141,LISTA_KLUCZ,0))),"")</f>
        <v>Seated broad jump</v>
      </c>
      <c r="EN41" s="5" t="str">
        <f t="array" ref="EN41">IFERROR(IF('T1'!$J41="",INDEX(LISTA_EX,142),INDEX(LISTA_EX,MATCH('T1'!$J41&amp;"|"&amp;142,LISTA_KLUCZ,0))),"")</f>
        <v>Seated cable facepull</v>
      </c>
      <c r="EO41" s="5" t="str">
        <f t="array" ref="EO41">IFERROR(IF('T1'!$J41="",INDEX(LISTA_EX,143),INDEX(LISTA_EX,MATCH('T1'!$J41&amp;"|"&amp;143,LISTA_KLUCZ,0))),"")</f>
        <v>Seated seesaw press (nogi proste)</v>
      </c>
      <c r="EP41" s="5" t="str">
        <f t="array" ref="EP41">IFERROR(IF('T1'!$J41="",INDEX(LISTA_EX,144),INDEX(LISTA_EX,MATCH('T1'!$J41&amp;"|"&amp;144,LISTA_KLUCZ,0))),"")</f>
        <v>Seesaw press</v>
      </c>
      <c r="EQ41" s="5" t="str">
        <f t="array" ref="EQ41">IFERROR(IF('T1'!$J41="",INDEX(LISTA_EX,145),INDEX(LISTA_EX,MATCH('T1'!$J41&amp;"|"&amp;145,LISTA_KLUCZ,0))),"")</f>
        <v>Side crunches</v>
      </c>
      <c r="ER41" s="5" t="str">
        <f t="array" ref="ER41">IFERROR(IF('T1'!$J41="",INDEX(LISTA_EX,146),INDEX(LISTA_EX,MATCH('T1'!$J41&amp;"|"&amp;146,LISTA_KLUCZ,0))),"")</f>
        <v>Side plank hip drop</v>
      </c>
      <c r="ES41" s="5" t="str">
        <f t="array" ref="ES41">IFERROR(IF('T1'!$J41="",INDEX(LISTA_EX,147),INDEX(LISTA_EX,MATCH('T1'!$J41&amp;"|"&amp;147,LISTA_KLUCZ,0))),"")</f>
        <v>Side plank rotations</v>
      </c>
      <c r="ET41" s="5" t="str">
        <f t="array" ref="ET41">IFERROR(IF('T1'!$J41="",INDEX(LISTA_EX,148),INDEX(LISTA_EX,MATCH('T1'!$J41&amp;"|"&amp;148,LISTA_KLUCZ,0))),"")</f>
        <v>SLDL balance</v>
      </c>
      <c r="EU41" s="5" t="str">
        <f t="array" ref="EU41">IFERROR(IF('T1'!$J41="",INDEX(LISTA_EX,149),INDEX(LISTA_EX,MATCH('T1'!$J41&amp;"|"&amp;149,LISTA_KLUCZ,0))),"")</f>
        <v>Split squat</v>
      </c>
      <c r="EV41" s="5" t="str">
        <f t="array" ref="EV41">IFERROR(IF('T1'!$J41="",INDEX(LISTA_EX,150),INDEX(LISTA_EX,MATCH('T1'!$J41&amp;"|"&amp;150,LISTA_KLUCZ,0))),"")</f>
        <v>Split stance SLDL</v>
      </c>
      <c r="EW41" s="5" t="str">
        <f t="array" ref="EW41">IFERROR(IF('T1'!$J41="",INDEX(LISTA_EX,151),INDEX(LISTA_EX,MATCH('T1'!$J41&amp;"|"&amp;151,LISTA_KLUCZ,0))),"")</f>
        <v>Squat izo (15 sek)</v>
      </c>
      <c r="EX41" s="5" t="str">
        <f t="array" ref="EX41">IFERROR(IF('T1'!$J41="",INDEX(LISTA_EX,152),INDEX(LISTA_EX,MATCH('T1'!$J41&amp;"|"&amp;152,LISTA_KLUCZ,0))),"")</f>
        <v>Standing landmine press</v>
      </c>
      <c r="EY41" s="5" t="str">
        <f t="array" ref="EY41">IFERROR(IF('T1'!$J41="",INDEX(LISTA_EX,153),INDEX(LISTA_EX,MATCH('T1'!$J41&amp;"|"&amp;153,LISTA_KLUCZ,0))),"")</f>
        <v>Suitcase carry</v>
      </c>
      <c r="EZ41" s="5" t="str">
        <f t="array" ref="EZ41">IFERROR(IF('T1'!$J41="",INDEX(LISTA_EX,154),INDEX(LISTA_EX,MATCH('T1'!$J41&amp;"|"&amp;154,LISTA_KLUCZ,0))),"")</f>
        <v>Supine pigeon abs</v>
      </c>
      <c r="FA41" s="5" t="str">
        <f t="array" ref="FA41">IFERROR(IF('T1'!$J41="",INDEX(LISTA_EX,155),INDEX(LISTA_EX,MATCH('T1'!$J41&amp;"|"&amp;155,LISTA_KLUCZ,0))),"")</f>
        <v>Swiss ball leg curl</v>
      </c>
      <c r="FB41" s="5" t="str">
        <f t="array" ref="FB41">IFERROR(IF('T1'!$J41="",INDEX(LISTA_EX,156),INDEX(LISTA_EX,MATCH('T1'!$J41&amp;"|"&amp;156,LISTA_KLUCZ,0))),"")</f>
        <v>Toes to bar</v>
      </c>
      <c r="FC41" s="5" t="str">
        <f t="array" ref="FC41">IFERROR(IF('T1'!$J41="",INDEX(LISTA_EX,157),INDEX(LISTA_EX,MATCH('T1'!$J41&amp;"|"&amp;157,LISTA_KLUCZ,0))),"")</f>
        <v>Trap bar deadlift</v>
      </c>
      <c r="FD41" s="5" t="str">
        <f t="array" ref="FD41">IFERROR(IF('T1'!$J41="",INDEX(LISTA_EX,158),INDEX(LISTA_EX,MATCH('T1'!$J41&amp;"|"&amp;158,LISTA_KLUCZ,0))),"")</f>
        <v>Tricep cable pushdown</v>
      </c>
      <c r="FE41" s="5" t="str">
        <f t="array" ref="FE41">IFERROR(IF('T1'!$J41="",INDEX(LISTA_EX,159),INDEX(LISTA_EX,MATCH('T1'!$J41&amp;"|"&amp;159,LISTA_KLUCZ,0))),"")</f>
        <v>Tricep JM press</v>
      </c>
      <c r="FF41" s="5" t="str">
        <f t="array" ref="FF41">IFERROR(IF('T1'!$J41="",INDEX(LISTA_EX,160),INDEX(LISTA_EX,MATCH('T1'!$J41&amp;"|"&amp;160,LISTA_KLUCZ,0))),"")</f>
        <v>Tricep OH cable</v>
      </c>
      <c r="FG41" s="5" t="str">
        <f t="array" ref="FG41">IFERROR(IF('T1'!$J41="",INDEX(LISTA_EX,161),INDEX(LISTA_EX,MATCH('T1'!$J41&amp;"|"&amp;161,LISTA_KLUCZ,0))),"")</f>
        <v>Tricep OH ez bar</v>
      </c>
      <c r="FH41" s="5" t="str">
        <f t="array" ref="FH41">IFERROR(IF('T1'!$J41="",INDEX(LISTA_EX,162),INDEX(LISTA_EX,MATCH('T1'!$J41&amp;"|"&amp;162,LISTA_KLUCZ,0))),"")</f>
        <v>Walking lunges</v>
      </c>
      <c r="FI41" s="5" t="str">
        <f t="array" ref="FI41">IFERROR(IF('T1'!$J41="",INDEX(LISTA_EX,163),INDEX(LISTA_EX,MATCH('T1'!$J41&amp;"|"&amp;163,LISTA_KLUCZ,0))),"")</f>
        <v>Wipers kettle</v>
      </c>
      <c r="FJ41" s="5" t="str">
        <f t="array" ref="FJ41">IFERROR(IF('T1'!$J41="",INDEX(LISTA_EX,164),INDEX(LISTA_EX,MATCH('T1'!$J41&amp;"|"&amp;164,LISTA_KLUCZ,0))),"")</f>
        <v>Zercher jumps</v>
      </c>
      <c r="FK41" s="5" t="str">
        <f t="array" ref="FK41">IFERROR(IF('T1'!$J41="",INDEX(LISTA_EX,165),INDEX(LISTA_EX,MATCH('T1'!$J41&amp;"|"&amp;165,LISTA_KLUCZ,0))),"")</f>
        <v/>
      </c>
      <c r="FL41" s="5" t="str">
        <f t="array" ref="FL41">IFERROR(IF('T1'!$J41="",INDEX(LISTA_EX,166),INDEX(LISTA_EX,MATCH('T1'!$J41&amp;"|"&amp;166,LISTA_KLUCZ,0))),"")</f>
        <v/>
      </c>
      <c r="FM41" s="5" t="str">
        <f t="array" ref="FM41">IFERROR(IF('T1'!$J41="",INDEX(LISTA_EX,167),INDEX(LISTA_EX,MATCH('T1'!$J41&amp;"|"&amp;167,LISTA_KLUCZ,0))),"")</f>
        <v/>
      </c>
      <c r="FN41" s="5" t="str">
        <f t="array" ref="FN41">IFERROR(IF('T1'!$J41="",INDEX(LISTA_EX,168),INDEX(LISTA_EX,MATCH('T1'!$J41&amp;"|"&amp;168,LISTA_KLUCZ,0))),"")</f>
        <v/>
      </c>
      <c r="FO41" s="5" t="str">
        <f t="array" ref="FO41">IFERROR(IF('T1'!$J41="",INDEX(LISTA_EX,169),INDEX(LISTA_EX,MATCH('T1'!$J41&amp;"|"&amp;169,LISTA_KLUCZ,0))),"")</f>
        <v/>
      </c>
      <c r="FP41" s="5" t="str">
        <f t="array" ref="FP41">IFERROR(IF('T1'!$J41="",INDEX(LISTA_EX,170),INDEX(LISTA_EX,MATCH('T1'!$J41&amp;"|"&amp;170,LISTA_KLUCZ,0))),"")</f>
        <v/>
      </c>
      <c r="FQ41" s="5" t="str">
        <f t="array" ref="FQ41">IFERROR(IF('T1'!$J41="",INDEX(LISTA_EX,171),INDEX(LISTA_EX,MATCH('T1'!$J41&amp;"|"&amp;171,LISTA_KLUCZ,0))),"")</f>
        <v/>
      </c>
      <c r="FR41" s="5" t="str">
        <f t="array" ref="FR41">IFERROR(IF('T1'!$J41="",INDEX(LISTA_EX,172),INDEX(LISTA_EX,MATCH('T1'!$J41&amp;"|"&amp;172,LISTA_KLUCZ,0))),"")</f>
        <v/>
      </c>
      <c r="FS41" s="5" t="str">
        <f t="array" ref="FS41">IFERROR(IF('T1'!$J41="",INDEX(LISTA_EX,173),INDEX(LISTA_EX,MATCH('T1'!$J41&amp;"|"&amp;173,LISTA_KLUCZ,0))),"")</f>
        <v/>
      </c>
      <c r="FT41" s="5" t="str">
        <f t="array" ref="FT41">IFERROR(IF('T1'!$J41="",INDEX(LISTA_EX,174),INDEX(LISTA_EX,MATCH('T1'!$J41&amp;"|"&amp;174,LISTA_KLUCZ,0))),"")</f>
        <v/>
      </c>
      <c r="FU41" s="5" t="str">
        <f t="array" ref="FU41">IFERROR(IF('T1'!$J41="",INDEX(LISTA_EX,175),INDEX(LISTA_EX,MATCH('T1'!$J41&amp;"|"&amp;175,LISTA_KLUCZ,0))),"")</f>
        <v/>
      </c>
      <c r="FV41" s="5" t="str">
        <f t="array" ref="FV41">IFERROR(IF('T1'!$J41="",INDEX(LISTA_EX,176),INDEX(LISTA_EX,MATCH('T1'!$J41&amp;"|"&amp;176,LISTA_KLUCZ,0))),"")</f>
        <v/>
      </c>
      <c r="FW41" s="5" t="str">
        <f t="array" ref="FW41">IFERROR(IF('T1'!$J41="",INDEX(LISTA_EX,177),INDEX(LISTA_EX,MATCH('T1'!$J41&amp;"|"&amp;177,LISTA_KLUCZ,0))),"")</f>
        <v/>
      </c>
      <c r="FX41" s="5" t="str">
        <f t="array" ref="FX41">IFERROR(IF('T1'!$J41="",INDEX(LISTA_EX,178),INDEX(LISTA_EX,MATCH('T1'!$J41&amp;"|"&amp;178,LISTA_KLUCZ,0))),"")</f>
        <v/>
      </c>
      <c r="FY41" s="5" t="str">
        <f t="array" ref="FY41">IFERROR(IF('T1'!$J41="",INDEX(LISTA_EX,179),INDEX(LISTA_EX,MATCH('T1'!$J41&amp;"|"&amp;179,LISTA_KLUCZ,0))),"")</f>
        <v/>
      </c>
      <c r="FZ41" s="5" t="str">
        <f t="array" ref="FZ41">IFERROR(IF('T1'!$J41="",INDEX(LISTA_EX,180),INDEX(LISTA_EX,MATCH('T1'!$J41&amp;"|"&amp;180,LISTA_KLUCZ,0))),"")</f>
        <v/>
      </c>
      <c r="GA41" s="5" t="str">
        <f t="array" ref="GA41">IFERROR(IF('T1'!$J41="",INDEX(LISTA_EX,181),INDEX(LISTA_EX,MATCH('T1'!$J41&amp;"|"&amp;181,LISTA_KLUCZ,0))),"")</f>
        <v/>
      </c>
      <c r="GB41" s="5" t="str">
        <f t="array" ref="GB41">IFERROR(IF('T1'!$J41="",INDEX(LISTA_EX,182),INDEX(LISTA_EX,MATCH('T1'!$J41&amp;"|"&amp;182,LISTA_KLUCZ,0))),"")</f>
        <v/>
      </c>
      <c r="GC41" s="5" t="str">
        <f t="array" ref="GC41">IFERROR(IF('T1'!$J41="",INDEX(LISTA_EX,183),INDEX(LISTA_EX,MATCH('T1'!$J41&amp;"|"&amp;183,LISTA_KLUCZ,0))),"")</f>
        <v/>
      </c>
      <c r="GD41" s="5" t="str">
        <f t="array" ref="GD41">IFERROR(IF('T1'!$J41="",INDEX(LISTA_EX,184),INDEX(LISTA_EX,MATCH('T1'!$J41&amp;"|"&amp;184,LISTA_KLUCZ,0))),"")</f>
        <v/>
      </c>
      <c r="GE41" s="5" t="str">
        <f t="array" ref="GE41">IFERROR(IF('T1'!$J41="",INDEX(LISTA_EX,185),INDEX(LISTA_EX,MATCH('T1'!$J41&amp;"|"&amp;185,LISTA_KLUCZ,0))),"")</f>
        <v/>
      </c>
      <c r="GF41" s="5" t="str">
        <f t="array" ref="GF41">IFERROR(IF('T1'!$J41="",INDEX(LISTA_EX,186),INDEX(LISTA_EX,MATCH('T1'!$J41&amp;"|"&amp;186,LISTA_KLUCZ,0))),"")</f>
        <v/>
      </c>
      <c r="GG41" s="5" t="str">
        <f t="array" ref="GG41">IFERROR(IF('T1'!$J41="",INDEX(LISTA_EX,187),INDEX(LISTA_EX,MATCH('T1'!$J41&amp;"|"&amp;187,LISTA_KLUCZ,0))),"")</f>
        <v/>
      </c>
      <c r="GH41" s="5" t="str">
        <f t="array" ref="GH41">IFERROR(IF('T1'!$J41="",INDEX(LISTA_EX,188),INDEX(LISTA_EX,MATCH('T1'!$J41&amp;"|"&amp;188,LISTA_KLUCZ,0))),"")</f>
        <v/>
      </c>
      <c r="GI41" s="5" t="str">
        <f t="array" ref="GI41">IFERROR(IF('T1'!$J41="",INDEX(LISTA_EX,189),INDEX(LISTA_EX,MATCH('T1'!$J41&amp;"|"&amp;189,LISTA_KLUCZ,0))),"")</f>
        <v/>
      </c>
      <c r="GJ41" s="5" t="str">
        <f t="array" ref="GJ41">IFERROR(IF('T1'!$J41="",INDEX(LISTA_EX,190),INDEX(LISTA_EX,MATCH('T1'!$J41&amp;"|"&amp;190,LISTA_KLUCZ,0))),"")</f>
        <v/>
      </c>
      <c r="GK41" s="5" t="str">
        <f t="array" ref="GK41">IFERROR(IF('T1'!$J41="",INDEX(LISTA_EX,191),INDEX(LISTA_EX,MATCH('T1'!$J41&amp;"|"&amp;191,LISTA_KLUCZ,0))),"")</f>
        <v/>
      </c>
      <c r="GL41" s="5" t="str">
        <f t="array" ref="GL41">IFERROR(IF('T1'!$J41="",INDEX(LISTA_EX,192),INDEX(LISTA_EX,MATCH('T1'!$J41&amp;"|"&amp;192,LISTA_KLUCZ,0))),"")</f>
        <v/>
      </c>
      <c r="GM41" s="5" t="str">
        <f t="array" ref="GM41">IFERROR(IF('T1'!$J41="",INDEX(LISTA_EX,193),INDEX(LISTA_EX,MATCH('T1'!$J41&amp;"|"&amp;193,LISTA_KLUCZ,0))),"")</f>
        <v/>
      </c>
      <c r="GN41" s="5" t="str">
        <f t="array" ref="GN41">IFERROR(IF('T1'!$J41="",INDEX(LISTA_EX,194),INDEX(LISTA_EX,MATCH('T1'!$J41&amp;"|"&amp;194,LISTA_KLUCZ,0))),"")</f>
        <v/>
      </c>
      <c r="GO41" s="5" t="str">
        <f t="array" ref="GO41">IFERROR(IF('T1'!$J41="",INDEX(LISTA_EX,195),INDEX(LISTA_EX,MATCH('T1'!$J41&amp;"|"&amp;195,LISTA_KLUCZ,0))),"")</f>
        <v/>
      </c>
      <c r="GP41" s="5" t="str">
        <f t="array" ref="GP41">IFERROR(IF('T1'!$J41="",INDEX(LISTA_EX,196),INDEX(LISTA_EX,MATCH('T1'!$J41&amp;"|"&amp;196,LISTA_KLUCZ,0))),"")</f>
        <v/>
      </c>
      <c r="GQ41" s="5" t="str">
        <f t="array" ref="GQ41">IFERROR(IF('T1'!$J41="",INDEX(LISTA_EX,197),INDEX(LISTA_EX,MATCH('T1'!$J41&amp;"|"&amp;197,LISTA_KLUCZ,0))),"")</f>
        <v/>
      </c>
      <c r="GR41" s="5" t="str">
        <f t="array" ref="GR41">IFERROR(IF('T1'!$J41="",INDEX(LISTA_EX,198),INDEX(LISTA_EX,MATCH('T1'!$J41&amp;"|"&amp;198,LISTA_KLUCZ,0))),"")</f>
        <v/>
      </c>
      <c r="GS41" s="5" t="str">
        <f t="array" ref="GS41">IFERROR(IF('T1'!$J41="",INDEX(LISTA_EX,199),INDEX(LISTA_EX,MATCH('T1'!$J41&amp;"|"&amp;199,LISTA_KLUCZ,0))),"")</f>
        <v/>
      </c>
      <c r="GT41" s="5" t="str">
        <f t="array" ref="GT41">IFERROR(IF('T1'!$J41="",INDEX(LISTA_EX,200),INDEX(LISTA_EX,MATCH('T1'!$J41&amp;"|"&amp;200,LISTA_KLUCZ,0))),"")</f>
        <v/>
      </c>
      <c r="GV41" s="5" t="str">
        <f>IF(BAZA!$A41="","",BAZA!$A41)</f>
        <v>Dead bug straight legs</v>
      </c>
      <c r="GW41" s="5" t="str">
        <f>IF(BAZA!$B41="","",BAZA!$B41&amp;"|"&amp;COUNTIF(BAZA!$B$3:$B41,BAZA!$B41))</f>
        <v>Core|7</v>
      </c>
    </row>
    <row r="42" ht="15.0" customHeight="1">
      <c r="A42" s="5" t="str">
        <f>IF('T1'!$K42="","",'T1'!$K42)</f>
        <v>D3-S04</v>
      </c>
      <c r="B42" s="5" t="str">
        <f>IF('T1'!$J42="","(wszystkie)",'T1'!$J42)</f>
        <v>(wszystkie)</v>
      </c>
      <c r="C42" s="5" t="str">
        <f t="array" ref="C42">IFERROR(IF('T1'!$J42="",INDEX(LISTA_EX,1),INDEX(LISTA_EX,MATCH('T1'!$J42&amp;"|"&amp;1,LISTA_KLUCZ,0))),"")</f>
        <v>Abduction machine</v>
      </c>
      <c r="D42" s="5" t="str">
        <f t="array" ref="D42">IFERROR(IF('T1'!$J42="",INDEX(LISTA_EX,2),INDEX(LISTA_EX,MATCH('T1'!$J42&amp;"|"&amp;2,LISTA_KLUCZ,0))),"")</f>
        <v>Adduction machine</v>
      </c>
      <c r="E42" s="5" t="str">
        <f t="array" ref="E42">IFERROR(IF('T1'!$J42="",INDEX(LISTA_EX,3),INDEX(LISTA_EX,MATCH('T1'!$J42&amp;"|"&amp;3,LISTA_KLUCZ,0))),"")</f>
        <v>Allah</v>
      </c>
      <c r="F42" s="5" t="str">
        <f t="array" ref="F42">IFERROR(IF('T1'!$J42="",INDEX(LISTA_EX,4),INDEX(LISTA_EX,MATCH('T1'!$J42&amp;"|"&amp;4,LISTA_KLUCZ,0))),"")</f>
        <v>Arnold press</v>
      </c>
      <c r="G42" s="5" t="str">
        <f t="array" ref="G42">IFERROR(IF('T1'!$J42="",INDEX(LISTA_EX,5),INDEX(LISTA_EX,MATCH('T1'!$J42&amp;"|"&amp;5,LISTA_KLUCZ,0))),"")</f>
        <v>Arnold press alternating</v>
      </c>
      <c r="H42" s="5" t="str">
        <f t="array" ref="H42">IFERROR(IF('T1'!$J42="",INDEX(LISTA_EX,6),INDEX(LISTA_EX,MATCH('T1'!$J42&amp;"|"&amp;6,LISTA_KLUCZ,0))),"")</f>
        <v>B/l dragonflag eccentric</v>
      </c>
      <c r="I42" s="5" t="str">
        <f t="array" ref="I42">IFERROR(IF('T1'!$J42="",INDEX(LISTA_EX,7),INDEX(LISTA_EX,MATCH('T1'!$J42&amp;"|"&amp;7,LISTA_KLUCZ,0))),"")</f>
        <v>Back extension</v>
      </c>
      <c r="J42" s="5" t="str">
        <f t="array" ref="J42">IFERROR(IF('T1'!$J42="",INDEX(LISTA_EX,8),INDEX(LISTA_EX,MATCH('T1'!$J42&amp;"|"&amp;8,LISTA_KLUCZ,0))),"")</f>
        <v>Banded pistol squat</v>
      </c>
      <c r="K42" s="5" t="str">
        <f t="array" ref="K42">IFERROR(IF('T1'!$J42="",INDEX(LISTA_EX,9),INDEX(LISTA_EX,MATCH('T1'!$J42&amp;"|"&amp;9,LISTA_KLUCZ,0))),"")</f>
        <v>Banded pull ups</v>
      </c>
      <c r="L42" s="5" t="str">
        <f t="array" ref="L42">IFERROR(IF('T1'!$J42="",INDEX(LISTA_EX,10),INDEX(LISTA_EX,MATCH('T1'!$J42&amp;"|"&amp;10,LISTA_KLUCZ,0))),"")</f>
        <v>Barbell back squat</v>
      </c>
      <c r="M42" s="5" t="str">
        <f t="array" ref="M42">IFERROR(IF('T1'!$J42="",INDEX(LISTA_EX,11),INDEX(LISTA_EX,MATCH('T1'!$J42&amp;"|"&amp;11,LISTA_KLUCZ,0))),"")</f>
        <v>Barbell bench press</v>
      </c>
      <c r="N42" s="5" t="str">
        <f t="array" ref="N42">IFERROR(IF('T1'!$J42="",INDEX(LISTA_EX,12),INDEX(LISTA_EX,MATCH('T1'!$J42&amp;"|"&amp;12,LISTA_KLUCZ,0))),"")</f>
        <v>Barbell curl</v>
      </c>
      <c r="O42" s="5" t="str">
        <f t="array" ref="O42">IFERROR(IF('T1'!$J42="",INDEX(LISTA_EX,13),INDEX(LISTA_EX,MATCH('T1'!$J42&amp;"|"&amp;13,LISTA_KLUCZ,0))),"")</f>
        <v>Barbell low bar squat</v>
      </c>
      <c r="P42" s="5" t="str">
        <f t="array" ref="P42">IFERROR(IF('T1'!$J42="",INDEX(LISTA_EX,14),INDEX(LISTA_EX,MATCH('T1'!$J42&amp;"|"&amp;14,LISTA_KLUCZ,0))),"")</f>
        <v>Barbell OHP</v>
      </c>
      <c r="Q42" s="5" t="str">
        <f t="array" ref="Q42">IFERROR(IF('T1'!$J42="",INDEX(LISTA_EX,15),INDEX(LISTA_EX,MATCH('T1'!$J42&amp;"|"&amp;15,LISTA_KLUCZ,0))),"")</f>
        <v>Barbell oscilation</v>
      </c>
      <c r="R42" s="5" t="str">
        <f t="array" ref="R42">IFERROR(IF('T1'!$J42="",INDEX(LISTA_EX,16),INDEX(LISTA_EX,MATCH('T1'!$J42&amp;"|"&amp;16,LISTA_KLUCZ,0))),"")</f>
        <v>Barbell row</v>
      </c>
      <c r="S42" s="5" t="str">
        <f t="array" ref="S42">IFERROR(IF('T1'!$J42="",INDEX(LISTA_EX,17),INDEX(LISTA_EX,MATCH('T1'!$J42&amp;"|"&amp;17,LISTA_KLUCZ,0))),"")</f>
        <v>Barbell row dead stop pins</v>
      </c>
      <c r="T42" s="5" t="str">
        <f t="array" ref="T42">IFERROR(IF('T1'!$J42="",INDEX(LISTA_EX,18),INDEX(LISTA_EX,MATCH('T1'!$J42&amp;"|"&amp;18,LISTA_KLUCZ,0))),"")</f>
        <v>Barbell SLDL</v>
      </c>
      <c r="U42" s="5" t="str">
        <f t="array" ref="U42">IFERROR(IF('T1'!$J42="",INDEX(LISTA_EX,19),INDEX(LISTA_EX,MATCH('T1'!$J42&amp;"|"&amp;19,LISTA_KLUCZ,0))),"")</f>
        <v>Bayesian curl</v>
      </c>
      <c r="V42" s="5" t="str">
        <f t="array" ref="V42">IFERROR(IF('T1'!$J42="",INDEX(LISTA_EX,20),INDEX(LISTA_EX,MATCH('T1'!$J42&amp;"|"&amp;20,LISTA_KLUCZ,0))),"")</f>
        <v>Bear renegade row</v>
      </c>
      <c r="W42" s="5" t="str">
        <f t="array" ref="W42">IFERROR(IF('T1'!$J42="",INDEX(LISTA_EX,21),INDEX(LISTA_EX,MATCH('T1'!$J42&amp;"|"&amp;21,LISTA_KLUCZ,0))),"")</f>
        <v>Bench press paused 3sec</v>
      </c>
      <c r="X42" s="5" t="str">
        <f t="array" ref="X42">IFERROR(IF('T1'!$J42="",INDEX(LISTA_EX,22),INDEX(LISTA_EX,MATCH('T1'!$J42&amp;"|"&amp;22,LISTA_KLUCZ,0))),"")</f>
        <v>Bicep hammer curl</v>
      </c>
      <c r="Y42" s="5" t="str">
        <f t="array" ref="Y42">IFERROR(IF('T1'!$J42="",INDEX(LISTA_EX,23),INDEX(LISTA_EX,MATCH('T1'!$J42&amp;"|"&amp;23,LISTA_KLUCZ,0))),"")</f>
        <v>Bicep squat cable curl</v>
      </c>
      <c r="Z42" s="5" t="str">
        <f t="array" ref="Z42">IFERROR(IF('T1'!$J42="",INDEX(LISTA_EX,24),INDEX(LISTA_EX,MATCH('T1'!$J42&amp;"|"&amp;24,LISTA_KLUCZ,0))),"")</f>
        <v>Bird dog row</v>
      </c>
      <c r="AA42" s="5" t="str">
        <f t="array" ref="AA42">IFERROR(IF('T1'!$J42="",INDEX(LISTA_EX,25),INDEX(LISTA_EX,MATCH('T1'!$J42&amp;"|"&amp;25,LISTA_KLUCZ,0))),"")</f>
        <v>Box jump</v>
      </c>
      <c r="AB42" s="5" t="str">
        <f t="array" ref="AB42">IFERROR(IF('T1'!$J42="",INDEX(LISTA_EX,26),INDEX(LISTA_EX,MATCH('T1'!$J42&amp;"|"&amp;26,LISTA_KLUCZ,0))),"")</f>
        <v>Bulgarian clean plyo</v>
      </c>
      <c r="AC42" s="5" t="str">
        <f t="array" ref="AC42">IFERROR(IF('T1'!$J42="",INDEX(LISTA_EX,27),INDEX(LISTA_EX,MATCH('T1'!$J42&amp;"|"&amp;27,LISTA_KLUCZ,0))),"")</f>
        <v>Bulgarian squat assisted</v>
      </c>
      <c r="AD42" s="5" t="str">
        <f t="array" ref="AD42">IFERROR(IF('T1'!$J42="",INDEX(LISTA_EX,28),INDEX(LISTA_EX,MATCH('T1'!$J42&amp;"|"&amp;28,LISTA_KLUCZ,0))),"")</f>
        <v>Cable biceps curl</v>
      </c>
      <c r="AE42" s="5" t="str">
        <f t="array" ref="AE42">IFERROR(IF('T1'!$J42="",INDEX(LISTA_EX,29),INDEX(LISTA_EX,MATCH('T1'!$J42&amp;"|"&amp;29,LISTA_KLUCZ,0))),"")</f>
        <v>Cable fly</v>
      </c>
      <c r="AF42" s="5" t="str">
        <f t="array" ref="AF42">IFERROR(IF('T1'!$J42="",INDEX(LISTA_EX,30),INDEX(LISTA_EX,MATCH('T1'!$J42&amp;"|"&amp;30,LISTA_KLUCZ,0))),"")</f>
        <v>Cable lateral raise s/a</v>
      </c>
      <c r="AG42" s="5" t="str">
        <f t="array" ref="AG42">IFERROR(IF('T1'!$J42="",INDEX(LISTA_EX,31),INDEX(LISTA_EX,MATCH('T1'!$J42&amp;"|"&amp;31,LISTA_KLUCZ,0))),"")</f>
        <v>Cable row</v>
      </c>
      <c r="AH42" s="5" t="str">
        <f t="array" ref="AH42">IFERROR(IF('T1'!$J42="",INDEX(LISTA_EX,32),INDEX(LISTA_EX,MATCH('T1'!$J42&amp;"|"&amp;32,LISTA_KLUCZ,0))),"")</f>
        <v>Cable row s/a</v>
      </c>
      <c r="AI42" s="5" t="str">
        <f t="array" ref="AI42">IFERROR(IF('T1'!$J42="",INDEX(LISTA_EX,33),INDEX(LISTA_EX,MATCH('T1'!$J42&amp;"|"&amp;33,LISTA_KLUCZ,0))),"")</f>
        <v>Calf raises</v>
      </c>
      <c r="AJ42" s="5" t="str">
        <f t="array" ref="AJ42">IFERROR(IF('T1'!$J42="",INDEX(LISTA_EX,34),INDEX(LISTA_EX,MATCH('T1'!$J42&amp;"|"&amp;34,LISTA_KLUCZ,0))),"")</f>
        <v>Chest fly machine</v>
      </c>
      <c r="AK42" s="5" t="str">
        <f t="array" ref="AK42">IFERROR(IF('T1'!$J42="",INDEX(LISTA_EX,35),INDEX(LISTA_EX,MATCH('T1'!$J42&amp;"|"&amp;35,LISTA_KLUCZ,0))),"")</f>
        <v>Clean</v>
      </c>
      <c r="AL42" s="5" t="str">
        <f t="array" ref="AL42">IFERROR(IF('T1'!$J42="",INDEX(LISTA_EX,36),INDEX(LISTA_EX,MATCH('T1'!$J42&amp;"|"&amp;36,LISTA_KLUCZ,0))),"")</f>
        <v>Clean pins</v>
      </c>
      <c r="AM42" s="5" t="str">
        <f t="array" ref="AM42">IFERROR(IF('T1'!$J42="",INDEX(LISTA_EX,37),INDEX(LISTA_EX,MATCH('T1'!$J42&amp;"|"&amp;37,LISTA_KLUCZ,0))),"")</f>
        <v>Copenhagen plank</v>
      </c>
      <c r="AN42" s="5" t="str">
        <f t="array" ref="AN42">IFERROR(IF('T1'!$J42="",INDEX(LISTA_EX,38),INDEX(LISTA_EX,MATCH('T1'!$J42&amp;"|"&amp;38,LISTA_KLUCZ,0))),"")</f>
        <v>Dead bug izo + OH</v>
      </c>
      <c r="AO42" s="5" t="str">
        <f t="array" ref="AO42">IFERROR(IF('T1'!$J42="",INDEX(LISTA_EX,39),INDEX(LISTA_EX,MATCH('T1'!$J42&amp;"|"&amp;39,LISTA_KLUCZ,0))),"")</f>
        <v>Dead bug straight legs</v>
      </c>
      <c r="AP42" s="5" t="str">
        <f t="array" ref="AP42">IFERROR(IF('T1'!$J42="",INDEX(LISTA_EX,40),INDEX(LISTA_EX,MATCH('T1'!$J42&amp;"|"&amp;40,LISTA_KLUCZ,0))),"")</f>
        <v>Dead stop barbell row</v>
      </c>
      <c r="AQ42" s="5" t="str">
        <f t="array" ref="AQ42">IFERROR(IF('T1'!$J42="",INDEX(LISTA_EX,41),INDEX(LISTA_EX,MATCH('T1'!$J42&amp;"|"&amp;41,LISTA_KLUCZ,0))),"")</f>
        <v>Deadbug OH</v>
      </c>
      <c r="AR42" s="5" t="str">
        <f t="array" ref="AR42">IFERROR(IF('T1'!$J42="",INDEX(LISTA_EX,42),INDEX(LISTA_EX,MATCH('T1'!$J42&amp;"|"&amp;42,LISTA_KLUCZ,0))),"")</f>
        <v>Deadlift</v>
      </c>
      <c r="AS42" s="5" t="str">
        <f t="array" ref="AS42">IFERROR(IF('T1'!$J42="",INDEX(LISTA_EX,43),INDEX(LISTA_EX,MATCH('T1'!$J42&amp;"|"&amp;43,LISTA_KLUCZ,0))),"")</f>
        <v>Deficit push up</v>
      </c>
      <c r="AT42" s="5" t="str">
        <f t="array" ref="AT42">IFERROR(IF('T1'!$J42="",INDEX(LISTA_EX,44),INDEX(LISTA_EX,MATCH('T1'!$J42&amp;"|"&amp;44,LISTA_KLUCZ,0))),"")</f>
        <v>Deficit reverse lunge</v>
      </c>
      <c r="AU42" s="5" t="str">
        <f t="array" ref="AU42">IFERROR(IF('T1'!$J42="",INDEX(LISTA_EX,45),INDEX(LISTA_EX,MATCH('T1'!$J42&amp;"|"&amp;45,LISTA_KLUCZ,0))),"")</f>
        <v>Dips</v>
      </c>
      <c r="AV42" s="5" t="str">
        <f t="array" ref="AV42">IFERROR(IF('T1'!$J42="",INDEX(LISTA_EX,46),INDEX(LISTA_EX,MATCH('T1'!$J42&amp;"|"&amp;46,LISTA_KLUCZ,0))),"")</f>
        <v>Dips weighted</v>
      </c>
      <c r="AW42" s="5" t="str">
        <f t="array" ref="AW42">IFERROR(IF('T1'!$J42="",INDEX(LISTA_EX,47),INDEX(LISTA_EX,MATCH('T1'!$J42&amp;"|"&amp;47,LISTA_KLUCZ,0))),"")</f>
        <v>Dumbbell bench press</v>
      </c>
      <c r="AX42" s="5" t="str">
        <f t="array" ref="AX42">IFERROR(IF('T1'!$J42="",INDEX(LISTA_EX,48),INDEX(LISTA_EX,MATCH('T1'!$J42&amp;"|"&amp;48,LISTA_KLUCZ,0))),"")</f>
        <v>Dumbbell bench press alternating</v>
      </c>
      <c r="AY42" s="5" t="str">
        <f t="array" ref="AY42">IFERROR(IF('T1'!$J42="",INDEX(LISTA_EX,49),INDEX(LISTA_EX,MATCH('T1'!$J42&amp;"|"&amp;49,LISTA_KLUCZ,0))),"")</f>
        <v>Dumbbell curl</v>
      </c>
      <c r="AZ42" s="5" t="str">
        <f t="array" ref="AZ42">IFERROR(IF('T1'!$J42="",INDEX(LISTA_EX,50),INDEX(LISTA_EX,MATCH('T1'!$J42&amp;"|"&amp;50,LISTA_KLUCZ,0))),"")</f>
        <v>Dumbbell external rotation</v>
      </c>
      <c r="BA42" s="5" t="str">
        <f t="array" ref="BA42">IFERROR(IF('T1'!$J42="",INDEX(LISTA_EX,51),INDEX(LISTA_EX,MATCH('T1'!$J42&amp;"|"&amp;51,LISTA_KLUCZ,0))),"")</f>
        <v>Dumbbell face down curl</v>
      </c>
      <c r="BB42" s="5" t="str">
        <f t="array" ref="BB42">IFERROR(IF('T1'!$J42="",INDEX(LISTA_EX,52),INDEX(LISTA_EX,MATCH('T1'!$J42&amp;"|"&amp;52,LISTA_KLUCZ,0))),"")</f>
        <v>Dumbbell fly</v>
      </c>
      <c r="BC42" s="5" t="str">
        <f t="array" ref="BC42">IFERROR(IF('T1'!$J42="",INDEX(LISTA_EX,53),INDEX(LISTA_EX,MATCH('T1'!$J42&amp;"|"&amp;53,LISTA_KLUCZ,0))),"")</f>
        <v>Dumbbell french press</v>
      </c>
      <c r="BD42" s="5" t="str">
        <f t="array" ref="BD42">IFERROR(IF('T1'!$J42="",INDEX(LISTA_EX,54),INDEX(LISTA_EX,MATCH('T1'!$J42&amp;"|"&amp;54,LISTA_KLUCZ,0))),"")</f>
        <v>Dumbbell lateral raise</v>
      </c>
      <c r="BE42" s="5" t="str">
        <f t="array" ref="BE42">IFERROR(IF('T1'!$J42="",INDEX(LISTA_EX,55),INDEX(LISTA_EX,MATCH('T1'!$J42&amp;"|"&amp;55,LISTA_KLUCZ,0))),"")</f>
        <v>Dumbbell lunges</v>
      </c>
      <c r="BF42" s="5" t="str">
        <f t="array" ref="BF42">IFERROR(IF('T1'!$J42="",INDEX(LISTA_EX,56),INDEX(LISTA_EX,MATCH('T1'!$J42&amp;"|"&amp;56,LISTA_KLUCZ,0))),"")</f>
        <v>Dumbbell OH press</v>
      </c>
      <c r="BG42" s="5" t="str">
        <f t="array" ref="BG42">IFERROR(IF('T1'!$J42="",INDEX(LISTA_EX,57),INDEX(LISTA_EX,MATCH('T1'!$J42&amp;"|"&amp;57,LISTA_KLUCZ,0))),"")</f>
        <v>Dumbbell over head press</v>
      </c>
      <c r="BH42" s="5" t="str">
        <f t="array" ref="BH42">IFERROR(IF('T1'!$J42="",INDEX(LISTA_EX,58),INDEX(LISTA_EX,MATCH('T1'!$J42&amp;"|"&amp;58,LISTA_KLUCZ,0))),"")</f>
        <v>Dumbbell over head press alternating</v>
      </c>
      <c r="BI42" s="5" t="str">
        <f t="array" ref="BI42">IFERROR(IF('T1'!$J42="",INDEX(LISTA_EX,59),INDEX(LISTA_EX,MATCH('T1'!$J42&amp;"|"&amp;59,LISTA_KLUCZ,0))),"")</f>
        <v>Dumbbell row</v>
      </c>
      <c r="BJ42" s="5" t="str">
        <f t="array" ref="BJ42">IFERROR(IF('T1'!$J42="",INDEX(LISTA_EX,60),INDEX(LISTA_EX,MATCH('T1'!$J42&amp;"|"&amp;60,LISTA_KLUCZ,0))),"")</f>
        <v>Dumbbell s/a Arnold press</v>
      </c>
      <c r="BK42" s="5" t="str">
        <f t="array" ref="BK42">IFERROR(IF('T1'!$J42="",INDEX(LISTA_EX,61),INDEX(LISTA_EX,MATCH('T1'!$J42&amp;"|"&amp;61,LISTA_KLUCZ,0))),"")</f>
        <v>Dumbbell s/a row</v>
      </c>
      <c r="BL42" s="5" t="str">
        <f t="array" ref="BL42">IFERROR(IF('T1'!$J42="",INDEX(LISTA_EX,62),INDEX(LISTA_EX,MATCH('T1'!$J42&amp;"|"&amp;62,LISTA_KLUCZ,0))),"")</f>
        <v>Dumbbell seal row</v>
      </c>
      <c r="BM42" s="5" t="str">
        <f t="array" ref="BM42">IFERROR(IF('T1'!$J42="",INDEX(LISTA_EX,63),INDEX(LISTA_EX,MATCH('T1'!$J42&amp;"|"&amp;63,LISTA_KLUCZ,0))),"")</f>
        <v>Dumbbells jumps</v>
      </c>
      <c r="BN42" s="5" t="str">
        <f t="array" ref="BN42">IFERROR(IF('T1'!$J42="",INDEX(LISTA_EX,64),INDEX(LISTA_EX,MATCH('T1'!$J42&amp;"|"&amp;64,LISTA_KLUCZ,0))),"")</f>
        <v>Eccentric pull up</v>
      </c>
      <c r="BO42" s="5" t="str">
        <f t="array" ref="BO42">IFERROR(IF('T1'!$J42="",INDEX(LISTA_EX,65),INDEX(LISTA_EX,MATCH('T1'!$J42&amp;"|"&amp;65,LISTA_KLUCZ,0))),"")</f>
        <v>Eccentric push up (5 sek w dół)</v>
      </c>
      <c r="BP42" s="5" t="str">
        <f t="array" ref="BP42">IFERROR(IF('T1'!$J42="",INDEX(LISTA_EX,66),INDEX(LISTA_EX,MATCH('T1'!$J42&amp;"|"&amp;66,LISTA_KLUCZ,0))),"")</f>
        <v>Extensive plyo jumps s/l</v>
      </c>
      <c r="BQ42" s="5" t="str">
        <f t="array" ref="BQ42">IFERROR(IF('T1'!$J42="",INDEX(LISTA_EX,67),INDEX(LISTA_EX,MATCH('T1'!$J42&amp;"|"&amp;67,LISTA_KLUCZ,0))),"")</f>
        <v>Ez bar curl</v>
      </c>
      <c r="BR42" s="5" t="str">
        <f t="array" ref="BR42">IFERROR(IF('T1'!$J42="",INDEX(LISTA_EX,68),INDEX(LISTA_EX,MATCH('T1'!$J42&amp;"|"&amp;68,LISTA_KLUCZ,0))),"")</f>
        <v>Facepull chest supported</v>
      </c>
      <c r="BS42" s="5" t="str">
        <f t="array" ref="BS42">IFERROR(IF('T1'!$J42="",INDEX(LISTA_EX,69),INDEX(LISTA_EX,MATCH('T1'!$J42&amp;"|"&amp;69,LISTA_KLUCZ,0))),"")</f>
        <v>Front foot elevated split squat</v>
      </c>
      <c r="BT42" s="5" t="str">
        <f t="array" ref="BT42">IFERROR(IF('T1'!$J42="",INDEX(LISTA_EX,70),INDEX(LISTA_EX,MATCH('T1'!$J42&amp;"|"&amp;70,LISTA_KLUCZ,0))),"")</f>
        <v>Front squat</v>
      </c>
      <c r="BU42" s="5" t="str">
        <f t="array" ref="BU42">IFERROR(IF('T1'!$J42="",INDEX(LISTA_EX,71),INDEX(LISTA_EX,MATCH('T1'!$J42&amp;"|"&amp;71,LISTA_KLUCZ,0))),"")</f>
        <v>GHD flexion</v>
      </c>
      <c r="BV42" s="5" t="str">
        <f t="array" ref="BV42">IFERROR(IF('T1'!$J42="",INDEX(LISTA_EX,72),INDEX(LISTA_EX,MATCH('T1'!$J42&amp;"|"&amp;72,LISTA_KLUCZ,0))),"")</f>
        <v>Glute bridge hamstrings izo + OH</v>
      </c>
      <c r="BW42" s="5" t="str">
        <f t="array" ref="BW42">IFERROR(IF('T1'!$J42="",INDEX(LISTA_EX,73),INDEX(LISTA_EX,MATCH('T1'!$J42&amp;"|"&amp;73,LISTA_KLUCZ,0))),"")</f>
        <v>Glute crusher</v>
      </c>
      <c r="BX42" s="5" t="str">
        <f t="array" ref="BX42">IFERROR(IF('T1'!$J42="",INDEX(LISTA_EX,74),INDEX(LISTA_EX,MATCH('T1'!$J42&amp;"|"&amp;74,LISTA_KLUCZ,0))),"")</f>
        <v>Gorilla row</v>
      </c>
      <c r="BY42" s="5" t="str">
        <f t="array" ref="BY42">IFERROR(IF('T1'!$J42="",INDEX(LISTA_EX,75),INDEX(LISTA_EX,MATCH('T1'!$J42&amp;"|"&amp;75,LISTA_KLUCZ,0))),"")</f>
        <v>Halfkneeling s/a cable pull</v>
      </c>
      <c r="BZ42" s="5" t="str">
        <f t="array" ref="BZ42">IFERROR(IF('T1'!$J42="",INDEX(LISTA_EX,76),INDEX(LISTA_EX,MATCH('T1'!$J42&amp;"|"&amp;76,LISTA_KLUCZ,0))),"")</f>
        <v>Halfkneeling wood chopper</v>
      </c>
      <c r="CA42" s="5" t="str">
        <f t="array" ref="CA42">IFERROR(IF('T1'!$J42="",INDEX(LISTA_EX,77),INDEX(LISTA_EX,MATCH('T1'!$J42&amp;"|"&amp;77,LISTA_KLUCZ,0))),"")</f>
        <v>Hinged dumbbell row</v>
      </c>
      <c r="CB42" s="5" t="str">
        <f t="array" ref="CB42">IFERROR(IF('T1'!$J42="",INDEX(LISTA_EX,78),INDEX(LISTA_EX,MATCH('T1'!$J42&amp;"|"&amp;78,LISTA_KLUCZ,0))),"")</f>
        <v>Hip aeroplane</v>
      </c>
      <c r="CC42" s="5" t="str">
        <f t="array" ref="CC42">IFERROR(IF('T1'!$J42="",INDEX(LISTA_EX,79),INDEX(LISTA_EX,MATCH('T1'!$J42&amp;"|"&amp;79,LISTA_KLUCZ,0))),"")</f>
        <v>Hip flexors cable</v>
      </c>
      <c r="CD42" s="5" t="str">
        <f t="array" ref="CD42">IFERROR(IF('T1'!$J42="",INDEX(LISTA_EX,80),INDEX(LISTA_EX,MATCH('T1'!$J42&amp;"|"&amp;80,LISTA_KLUCZ,0))),"")</f>
        <v>Hip thrust barbell</v>
      </c>
      <c r="CE42" s="5" t="str">
        <f t="array" ref="CE42">IFERROR(IF('T1'!$J42="",INDEX(LISTA_EX,81),INDEX(LISTA_EX,MATCH('T1'!$J42&amp;"|"&amp;81,LISTA_KLUCZ,0))),"")</f>
        <v>Hollow body + OH</v>
      </c>
      <c r="CF42" s="5" t="str">
        <f t="array" ref="CF42">IFERROR(IF('T1'!$J42="",INDEX(LISTA_EX,82),INDEX(LISTA_EX,MATCH('T1'!$J42&amp;"|"&amp;82,LISTA_KLUCZ,0))),"")</f>
        <v>Horizontal jump</v>
      </c>
      <c r="CG42" s="5" t="str">
        <f t="array" ref="CG42">IFERROR(IF('T1'!$J42="",INDEX(LISTA_EX,83),INDEX(LISTA_EX,MATCH('T1'!$J42&amp;"|"&amp;83,LISTA_KLUCZ,0))),"")</f>
        <v>Incline bench lateral raise s/a</v>
      </c>
      <c r="CH42" s="5" t="str">
        <f t="array" ref="CH42">IFERROR(IF('T1'!$J42="",INDEX(LISTA_EX,84),INDEX(LISTA_EX,MATCH('T1'!$J42&amp;"|"&amp;84,LISTA_KLUCZ,0))),"")</f>
        <v>Incline curl + OHP</v>
      </c>
      <c r="CI42" s="5" t="str">
        <f t="array" ref="CI42">IFERROR(IF('T1'!$J42="",INDEX(LISTA_EX,85),INDEX(LISTA_EX,MATCH('T1'!$J42&amp;"|"&amp;85,LISTA_KLUCZ,0))),"")</f>
        <v>Incline dumbbell curl</v>
      </c>
      <c r="CJ42" s="5" t="str">
        <f t="array" ref="CJ42">IFERROR(IF('T1'!$J42="",INDEX(LISTA_EX,86),INDEX(LISTA_EX,MATCH('T1'!$J42&amp;"|"&amp;86,LISTA_KLUCZ,0))),"")</f>
        <v>Incline dumbbell curl (back)</v>
      </c>
      <c r="CK42" s="5" t="str">
        <f t="array" ref="CK42">IFERROR(IF('T1'!$J42="",INDEX(LISTA_EX,87),INDEX(LISTA_EX,MATCH('T1'!$J42&amp;"|"&amp;87,LISTA_KLUCZ,0))),"")</f>
        <v>Incline dumbbell curl (front)</v>
      </c>
      <c r="CL42" s="5" t="str">
        <f t="array" ref="CL42">IFERROR(IF('T1'!$J42="",INDEX(LISTA_EX,88),INDEX(LISTA_EX,MATCH('T1'!$J42&amp;"|"&amp;88,LISTA_KLUCZ,0))),"")</f>
        <v>Incline dumbbell fly</v>
      </c>
      <c r="CM42" s="5" t="str">
        <f t="array" ref="CM42">IFERROR(IF('T1'!$J42="",INDEX(LISTA_EX,89),INDEX(LISTA_EX,MATCH('T1'!$J42&amp;"|"&amp;89,LISTA_KLUCZ,0))),"")</f>
        <v>Incline dumbbell press</v>
      </c>
      <c r="CN42" s="5" t="str">
        <f t="array" ref="CN42">IFERROR(IF('T1'!$J42="",INDEX(LISTA_EX,90),INDEX(LISTA_EX,MATCH('T1'!$J42&amp;"|"&amp;90,LISTA_KLUCZ,0))),"")</f>
        <v>Incline dumbbell press alternating</v>
      </c>
      <c r="CO42" s="5" t="str">
        <f t="array" ref="CO42">IFERROR(IF('T1'!$J42="",INDEX(LISTA_EX,91),INDEX(LISTA_EX,MATCH('T1'!$J42&amp;"|"&amp;91,LISTA_KLUCZ,0))),"")</f>
        <v>Incline sit-ups</v>
      </c>
      <c r="CP42" s="5" t="str">
        <f t="array" ref="CP42">IFERROR(IF('T1'!$J42="",INDEX(LISTA_EX,92),INDEX(LISTA_EX,MATCH('T1'!$J42&amp;"|"&amp;92,LISTA_KLUCZ,0))),"")</f>
        <v>Jefferson cable</v>
      </c>
      <c r="CQ42" s="5" t="str">
        <f t="array" ref="CQ42">IFERROR(IF('T1'!$J42="",INDEX(LISTA_EX,93),INDEX(LISTA_EX,MATCH('T1'!$J42&amp;"|"&amp;93,LISTA_KLUCZ,0))),"")</f>
        <v>Kettlebell march</v>
      </c>
      <c r="CR42" s="5" t="str">
        <f t="array" ref="CR42">IFERROR(IF('T1'!$J42="",INDEX(LISTA_EX,94),INDEX(LISTA_EX,MATCH('T1'!$J42&amp;"|"&amp;94,LISTA_KLUCZ,0))),"")</f>
        <v>Kickbacks</v>
      </c>
      <c r="CS42" s="5" t="str">
        <f t="array" ref="CS42">IFERROR(IF('T1'!$J42="",INDEX(LISTA_EX,95),INDEX(LISTA_EX,MATCH('T1'!$J42&amp;"|"&amp;95,LISTA_KLUCZ,0))),"")</f>
        <v>Knee extension machine</v>
      </c>
      <c r="CT42" s="5" t="str">
        <f t="array" ref="CT42">IFERROR(IF('T1'!$J42="",INDEX(LISTA_EX,96),INDEX(LISTA_EX,MATCH('T1'!$J42&amp;"|"&amp;96,LISTA_KLUCZ,0))),"")</f>
        <v>Knee flexion machine</v>
      </c>
      <c r="CU42" s="5" t="str">
        <f t="array" ref="CU42">IFERROR(IF('T1'!$J42="",INDEX(LISTA_EX,97),INDEX(LISTA_EX,MATCH('T1'!$J42&amp;"|"&amp;97,LISTA_KLUCZ,0))),"")</f>
        <v>Knee raises</v>
      </c>
      <c r="CV42" s="5" t="str">
        <f t="array" ref="CV42">IFERROR(IF('T1'!$J42="",INDEX(LISTA_EX,98),INDEX(LISTA_EX,MATCH('T1'!$J42&amp;"|"&amp;98,LISTA_KLUCZ,0))),"")</f>
        <v>Landmine core</v>
      </c>
      <c r="CW42" s="5" t="str">
        <f t="array" ref="CW42">IFERROR(IF('T1'!$J42="",INDEX(LISTA_EX,99),INDEX(LISTA_EX,MATCH('T1'!$J42&amp;"|"&amp;99,LISTA_KLUCZ,0))),"")</f>
        <v>Landmine press</v>
      </c>
      <c r="CX42" s="5" t="str">
        <f t="array" ref="CX42">IFERROR(IF('T1'!$J42="",INDEX(LISTA_EX,100),INDEX(LISTA_EX,MATCH('T1'!$J42&amp;"|"&amp;100,LISTA_KLUCZ,0))),"")</f>
        <v>Landmine rotations (powtórzenia x2)</v>
      </c>
      <c r="CY42" s="5" t="str">
        <f t="array" ref="CY42">IFERROR(IF('T1'!$J42="",INDEX(LISTA_EX,101),INDEX(LISTA_EX,MATCH('T1'!$J42&amp;"|"&amp;101,LISTA_KLUCZ,0))),"")</f>
        <v>Landmine SLDL</v>
      </c>
      <c r="CZ42" s="5" t="str">
        <f t="array" ref="CZ42">IFERROR(IF('T1'!$J42="",INDEX(LISTA_EX,102),INDEX(LISTA_EX,MATCH('T1'!$J42&amp;"|"&amp;102,LISTA_KLUCZ,0))),"")</f>
        <v>Lat pulldown</v>
      </c>
      <c r="DA42" s="5" t="str">
        <f t="array" ref="DA42">IFERROR(IF('T1'!$J42="",INDEX(LISTA_EX,103),INDEX(LISTA_EX,MATCH('T1'!$J42&amp;"|"&amp;103,LISTA_KLUCZ,0))),"")</f>
        <v>Lat pulldown behind the head</v>
      </c>
      <c r="DB42" s="5" t="str">
        <f t="array" ref="DB42">IFERROR(IF('T1'!$J42="",INDEX(LISTA_EX,104),INDEX(LISTA_EX,MATCH('T1'!$J42&amp;"|"&amp;104,LISTA_KLUCZ,0))),"")</f>
        <v>Lat pulldown s/a</v>
      </c>
      <c r="DC42" s="5" t="str">
        <f t="array" ref="DC42">IFERROR(IF('T1'!$J42="",INDEX(LISTA_EX,105),INDEX(LISTA_EX,MATCH('T1'!$J42&amp;"|"&amp;105,LISTA_KLUCZ,0))),"")</f>
        <v>Lateral raise s/a</v>
      </c>
      <c r="DD42" s="5" t="str">
        <f t="array" ref="DD42">IFERROR(IF('T1'!$J42="",INDEX(LISTA_EX,106),INDEX(LISTA_EX,MATCH('T1'!$J42&amp;"|"&amp;106,LISTA_KLUCZ,0))),"")</f>
        <v>Lateral raises</v>
      </c>
      <c r="DE42" s="5" t="str">
        <f t="array" ref="DE42">IFERROR(IF('T1'!$J42="",INDEX(LISTA_EX,107),INDEX(LISTA_EX,MATCH('T1'!$J42&amp;"|"&amp;107,LISTA_KLUCZ,0))),"")</f>
        <v>Lateral raises 2</v>
      </c>
      <c r="DF42" s="5" t="str">
        <f t="array" ref="DF42">IFERROR(IF('T1'!$J42="",INDEX(LISTA_EX,108),INDEX(LISTA_EX,MATCH('T1'!$J42&amp;"|"&amp;108,LISTA_KLUCZ,0))),"")</f>
        <v>Lateral raises full ROM</v>
      </c>
      <c r="DG42" s="5" t="str">
        <f t="array" ref="DG42">IFERROR(IF('T1'!$J42="",INDEX(LISTA_EX,109),INDEX(LISTA_EX,MATCH('T1'!$J42&amp;"|"&amp;109,LISTA_KLUCZ,0))),"")</f>
        <v>Lateral raises hinged</v>
      </c>
      <c r="DH42" s="5" t="str">
        <f t="array" ref="DH42">IFERROR(IF('T1'!$J42="",INDEX(LISTA_EX,110),INDEX(LISTA_EX,MATCH('T1'!$J42&amp;"|"&amp;110,LISTA_KLUCZ,0))),"")</f>
        <v>Lateral raises incline s/a</v>
      </c>
      <c r="DI42" s="5" t="str">
        <f t="array" ref="DI42">IFERROR(IF('T1'!$J42="",INDEX(LISTA_EX,111),INDEX(LISTA_EX,MATCH('T1'!$J42&amp;"|"&amp;111,LISTA_KLUCZ,0))),"")</f>
        <v>Leg curl</v>
      </c>
      <c r="DJ42" s="5" t="str">
        <f t="array" ref="DJ42">IFERROR(IF('T1'!$J42="",INDEX(LISTA_EX,112),INDEX(LISTA_EX,MATCH('T1'!$J42&amp;"|"&amp;112,LISTA_KLUCZ,0))),"")</f>
        <v>Machine row</v>
      </c>
      <c r="DK42" s="5" t="str">
        <f t="array" ref="DK42">IFERROR(IF('T1'!$J42="",INDEX(LISTA_EX,113),INDEX(LISTA_EX,MATCH('T1'!$J42&amp;"|"&amp;113,LISTA_KLUCZ,0))),"")</f>
        <v>Machine row s/a</v>
      </c>
      <c r="DL42" s="5" t="str">
        <f t="array" ref="DL42">IFERROR(IF('T1'!$J42="",INDEX(LISTA_EX,114),INDEX(LISTA_EX,MATCH('T1'!$J42&amp;"|"&amp;114,LISTA_KLUCZ,0))),"")</f>
        <v>Meadows row</v>
      </c>
      <c r="DM42" s="5" t="str">
        <f t="array" ref="DM42">IFERROR(IF('T1'!$J42="",INDEX(LISTA_EX,115),INDEX(LISTA_EX,MATCH('T1'!$J42&amp;"|"&amp;115,LISTA_KLUCZ,0))),"")</f>
        <v>Med ball slam</v>
      </c>
      <c r="DN42" s="5" t="str">
        <f t="array" ref="DN42">IFERROR(IF('T1'!$J42="",INDEX(LISTA_EX,116),INDEX(LISTA_EX,MATCH('T1'!$J42&amp;"|"&amp;116,LISTA_KLUCZ,0))),"")</f>
        <v>OH skullcrushers</v>
      </c>
      <c r="DO42" s="5" t="str">
        <f t="array" ref="DO42">IFERROR(IF('T1'!$J42="",INDEX(LISTA_EX,117),INDEX(LISTA_EX,MATCH('T1'!$J42&amp;"|"&amp;117,LISTA_KLUCZ,0))),"")</f>
        <v>OHP barbell squat 15kg</v>
      </c>
      <c r="DP42" s="5" t="str">
        <f t="array" ref="DP42">IFERROR(IF('T1'!$J42="",INDEX(LISTA_EX,118),INDEX(LISTA_EX,MATCH('T1'!$J42&amp;"|"&amp;118,LISTA_KLUCZ,0))),"")</f>
        <v>Pistol squat eccentric</v>
      </c>
      <c r="DQ42" s="5" t="str">
        <f t="array" ref="DQ42">IFERROR(IF('T1'!$J42="",INDEX(LISTA_EX,119),INDEX(LISTA_EX,MATCH('T1'!$J42&amp;"|"&amp;119,LISTA_KLUCZ,0))),"")</f>
        <v>Plank contralateral</v>
      </c>
      <c r="DR42" s="5" t="str">
        <f t="array" ref="DR42">IFERROR(IF('T1'!$J42="",INDEX(LISTA_EX,120),INDEX(LISTA_EX,MATCH('T1'!$J42&amp;"|"&amp;120,LISTA_KLUCZ,0))),"")</f>
        <v>Plank dumbbell rotation</v>
      </c>
      <c r="DS42" s="5" t="str">
        <f t="array" ref="DS42">IFERROR(IF('T1'!$J42="",INDEX(LISTA_EX,121),INDEX(LISTA_EX,MATCH('T1'!$J42&amp;"|"&amp;121,LISTA_KLUCZ,0))),"")</f>
        <v>Plank leg raises</v>
      </c>
      <c r="DT42" s="5" t="str">
        <f t="array" ref="DT42">IFERROR(IF('T1'!$J42="",INDEX(LISTA_EX,122),INDEX(LISTA_EX,MATCH('T1'!$J42&amp;"|"&amp;122,LISTA_KLUCZ,0))),"")</f>
        <v>Poliquin step up</v>
      </c>
      <c r="DU42" s="5" t="str">
        <f t="array" ref="DU42">IFERROR(IF('T1'!$J42="",INDEX(LISTA_EX,123),INDEX(LISTA_EX,MATCH('T1'!$J42&amp;"|"&amp;123,LISTA_KLUCZ,0))),"")</f>
        <v>Poliquin step up paused 3sec</v>
      </c>
      <c r="DV42" s="5" t="str">
        <f t="array" ref="DV42">IFERROR(IF('T1'!$J42="",INDEX(LISTA_EX,124),INDEX(LISTA_EX,MATCH('T1'!$J42&amp;"|"&amp;124,LISTA_KLUCZ,0))),"")</f>
        <v>Pronation/Supination</v>
      </c>
      <c r="DW42" s="5" t="str">
        <f t="array" ref="DW42">IFERROR(IF('T1'!$J42="",INDEX(LISTA_EX,125),INDEX(LISTA_EX,MATCH('T1'!$J42&amp;"|"&amp;125,LISTA_KLUCZ,0))),"")</f>
        <v>Pull up</v>
      </c>
      <c r="DX42" s="5" t="str">
        <f t="array" ref="DX42">IFERROR(IF('T1'!$J42="",INDEX(LISTA_EX,126),INDEX(LISTA_EX,MATCH('T1'!$J42&amp;"|"&amp;126,LISTA_KLUCZ,0))),"")</f>
        <v>Pull up eccentric weighted</v>
      </c>
      <c r="DY42" s="5" t="str">
        <f t="array" ref="DY42">IFERROR(IF('T1'!$J42="",INDEX(LISTA_EX,127),INDEX(LISTA_EX,MATCH('T1'!$J42&amp;"|"&amp;127,LISTA_KLUCZ,0))),"")</f>
        <v>Pull up eccentric weighted (5 sek w dół)</v>
      </c>
      <c r="DZ42" s="5" t="str">
        <f t="array" ref="DZ42">IFERROR(IF('T1'!$J42="",INDEX(LISTA_EX,128),INDEX(LISTA_EX,MATCH('T1'!$J42&amp;"|"&amp;128,LISTA_KLUCZ,0))),"")</f>
        <v>Pull up weighted</v>
      </c>
      <c r="EA42" s="5" t="str">
        <f t="array" ref="EA42">IFERROR(IF('T1'!$J42="",INDEX(LISTA_EX,129),INDEX(LISTA_EX,MATCH('T1'!$J42&amp;"|"&amp;129,LISTA_KLUCZ,0))),"")</f>
        <v>Pull ups (paused)</v>
      </c>
      <c r="EB42" s="5" t="str">
        <f t="array" ref="EB42">IFERROR(IF('T1'!$J42="",INDEX(LISTA_EX,130),INDEX(LISTA_EX,MATCH('T1'!$J42&amp;"|"&amp;130,LISTA_KLUCZ,0))),"")</f>
        <v>Push press barbell</v>
      </c>
      <c r="EC42" s="5" t="str">
        <f t="array" ref="EC42">IFERROR(IF('T1'!$J42="",INDEX(LISTA_EX,131),INDEX(LISTA_EX,MATCH('T1'!$J42&amp;"|"&amp;131,LISTA_KLUCZ,0))),"")</f>
        <v>Push up</v>
      </c>
      <c r="ED42" s="5" t="str">
        <f t="array" ref="ED42">IFERROR(IF('T1'!$J42="",INDEX(LISTA_EX,132),INDEX(LISTA_EX,MATCH('T1'!$J42&amp;"|"&amp;132,LISTA_KLUCZ,0))),"")</f>
        <v>Raised bird dog</v>
      </c>
      <c r="EE42" s="5" t="str">
        <f t="array" ref="EE42">IFERROR(IF('T1'!$J42="",INDEX(LISTA_EX,133),INDEX(LISTA_EX,MATCH('T1'!$J42&amp;"|"&amp;133,LISTA_KLUCZ,0))),"")</f>
        <v>RDL</v>
      </c>
      <c r="EF42" s="5" t="str">
        <f t="array" ref="EF42">IFERROR(IF('T1'!$J42="",INDEX(LISTA_EX,134),INDEX(LISTA_EX,MATCH('T1'!$J42&amp;"|"&amp;134,LISTA_KLUCZ,0))),"")</f>
        <v>Reverse Nordic</v>
      </c>
      <c r="EG42" s="5" t="str">
        <f t="array" ref="EG42">IFERROR(IF('T1'!$J42="",INDEX(LISTA_EX,135),INDEX(LISTA_EX,MATCH('T1'!$J42&amp;"|"&amp;135,LISTA_KLUCZ,0))),"")</f>
        <v>Rope pushdown</v>
      </c>
      <c r="EH42" s="5" t="str">
        <f t="array" ref="EH42">IFERROR(IF('T1'!$J42="",INDEX(LISTA_EX,136),INDEX(LISTA_EX,MATCH('T1'!$J42&amp;"|"&amp;136,LISTA_KLUCZ,0))),"")</f>
        <v>Rope pushdown OH</v>
      </c>
      <c r="EI42" s="5" t="str">
        <f t="array" ref="EI42">IFERROR(IF('T1'!$J42="",INDEX(LISTA_EX,137),INDEX(LISTA_EX,MATCH('T1'!$J42&amp;"|"&amp;137,LISTA_KLUCZ,0))),"")</f>
        <v>S/a cable pulldown incline bench</v>
      </c>
      <c r="EJ42" s="5" t="str">
        <f t="array" ref="EJ42">IFERROR(IF('T1'!$J42="",INDEX(LISTA_EX,138),INDEX(LISTA_EX,MATCH('T1'!$J42&amp;"|"&amp;138,LISTA_KLUCZ,0))),"")</f>
        <v>S/a lat pulldown incline bench</v>
      </c>
      <c r="EK42" s="5" t="str">
        <f t="array" ref="EK42">IFERROR(IF('T1'!$J42="",INDEX(LISTA_EX,139),INDEX(LISTA_EX,MATCH('T1'!$J42&amp;"|"&amp;139,LISTA_KLUCZ,0))),"")</f>
        <v>S/l dragonflag eccentric</v>
      </c>
      <c r="EL42" s="5" t="str">
        <f t="array" ref="EL42">IFERROR(IF('T1'!$J42="",INDEX(LISTA_EX,140),INDEX(LISTA_EX,MATCH('T1'!$J42&amp;"|"&amp;140,LISTA_KLUCZ,0))),"")</f>
        <v>S/l hip thrust</v>
      </c>
      <c r="EM42" s="5" t="str">
        <f t="array" ref="EM42">IFERROR(IF('T1'!$J42="",INDEX(LISTA_EX,141),INDEX(LISTA_EX,MATCH('T1'!$J42&amp;"|"&amp;141,LISTA_KLUCZ,0))),"")</f>
        <v>Seated broad jump</v>
      </c>
      <c r="EN42" s="5" t="str">
        <f t="array" ref="EN42">IFERROR(IF('T1'!$J42="",INDEX(LISTA_EX,142),INDEX(LISTA_EX,MATCH('T1'!$J42&amp;"|"&amp;142,LISTA_KLUCZ,0))),"")</f>
        <v>Seated cable facepull</v>
      </c>
      <c r="EO42" s="5" t="str">
        <f t="array" ref="EO42">IFERROR(IF('T1'!$J42="",INDEX(LISTA_EX,143),INDEX(LISTA_EX,MATCH('T1'!$J42&amp;"|"&amp;143,LISTA_KLUCZ,0))),"")</f>
        <v>Seated seesaw press (nogi proste)</v>
      </c>
      <c r="EP42" s="5" t="str">
        <f t="array" ref="EP42">IFERROR(IF('T1'!$J42="",INDEX(LISTA_EX,144),INDEX(LISTA_EX,MATCH('T1'!$J42&amp;"|"&amp;144,LISTA_KLUCZ,0))),"")</f>
        <v>Seesaw press</v>
      </c>
      <c r="EQ42" s="5" t="str">
        <f t="array" ref="EQ42">IFERROR(IF('T1'!$J42="",INDEX(LISTA_EX,145),INDEX(LISTA_EX,MATCH('T1'!$J42&amp;"|"&amp;145,LISTA_KLUCZ,0))),"")</f>
        <v>Side crunches</v>
      </c>
      <c r="ER42" s="5" t="str">
        <f t="array" ref="ER42">IFERROR(IF('T1'!$J42="",INDEX(LISTA_EX,146),INDEX(LISTA_EX,MATCH('T1'!$J42&amp;"|"&amp;146,LISTA_KLUCZ,0))),"")</f>
        <v>Side plank hip drop</v>
      </c>
      <c r="ES42" s="5" t="str">
        <f t="array" ref="ES42">IFERROR(IF('T1'!$J42="",INDEX(LISTA_EX,147),INDEX(LISTA_EX,MATCH('T1'!$J42&amp;"|"&amp;147,LISTA_KLUCZ,0))),"")</f>
        <v>Side plank rotations</v>
      </c>
      <c r="ET42" s="5" t="str">
        <f t="array" ref="ET42">IFERROR(IF('T1'!$J42="",INDEX(LISTA_EX,148),INDEX(LISTA_EX,MATCH('T1'!$J42&amp;"|"&amp;148,LISTA_KLUCZ,0))),"")</f>
        <v>SLDL balance</v>
      </c>
      <c r="EU42" s="5" t="str">
        <f t="array" ref="EU42">IFERROR(IF('T1'!$J42="",INDEX(LISTA_EX,149),INDEX(LISTA_EX,MATCH('T1'!$J42&amp;"|"&amp;149,LISTA_KLUCZ,0))),"")</f>
        <v>Split squat</v>
      </c>
      <c r="EV42" s="5" t="str">
        <f t="array" ref="EV42">IFERROR(IF('T1'!$J42="",INDEX(LISTA_EX,150),INDEX(LISTA_EX,MATCH('T1'!$J42&amp;"|"&amp;150,LISTA_KLUCZ,0))),"")</f>
        <v>Split stance SLDL</v>
      </c>
      <c r="EW42" s="5" t="str">
        <f t="array" ref="EW42">IFERROR(IF('T1'!$J42="",INDEX(LISTA_EX,151),INDEX(LISTA_EX,MATCH('T1'!$J42&amp;"|"&amp;151,LISTA_KLUCZ,0))),"")</f>
        <v>Squat izo (15 sek)</v>
      </c>
      <c r="EX42" s="5" t="str">
        <f t="array" ref="EX42">IFERROR(IF('T1'!$J42="",INDEX(LISTA_EX,152),INDEX(LISTA_EX,MATCH('T1'!$J42&amp;"|"&amp;152,LISTA_KLUCZ,0))),"")</f>
        <v>Standing landmine press</v>
      </c>
      <c r="EY42" s="5" t="str">
        <f t="array" ref="EY42">IFERROR(IF('T1'!$J42="",INDEX(LISTA_EX,153),INDEX(LISTA_EX,MATCH('T1'!$J42&amp;"|"&amp;153,LISTA_KLUCZ,0))),"")</f>
        <v>Suitcase carry</v>
      </c>
      <c r="EZ42" s="5" t="str">
        <f t="array" ref="EZ42">IFERROR(IF('T1'!$J42="",INDEX(LISTA_EX,154),INDEX(LISTA_EX,MATCH('T1'!$J42&amp;"|"&amp;154,LISTA_KLUCZ,0))),"")</f>
        <v>Supine pigeon abs</v>
      </c>
      <c r="FA42" s="5" t="str">
        <f t="array" ref="FA42">IFERROR(IF('T1'!$J42="",INDEX(LISTA_EX,155),INDEX(LISTA_EX,MATCH('T1'!$J42&amp;"|"&amp;155,LISTA_KLUCZ,0))),"")</f>
        <v>Swiss ball leg curl</v>
      </c>
      <c r="FB42" s="5" t="str">
        <f t="array" ref="FB42">IFERROR(IF('T1'!$J42="",INDEX(LISTA_EX,156),INDEX(LISTA_EX,MATCH('T1'!$J42&amp;"|"&amp;156,LISTA_KLUCZ,0))),"")</f>
        <v>Toes to bar</v>
      </c>
      <c r="FC42" s="5" t="str">
        <f t="array" ref="FC42">IFERROR(IF('T1'!$J42="",INDEX(LISTA_EX,157),INDEX(LISTA_EX,MATCH('T1'!$J42&amp;"|"&amp;157,LISTA_KLUCZ,0))),"")</f>
        <v>Trap bar deadlift</v>
      </c>
      <c r="FD42" s="5" t="str">
        <f t="array" ref="FD42">IFERROR(IF('T1'!$J42="",INDEX(LISTA_EX,158),INDEX(LISTA_EX,MATCH('T1'!$J42&amp;"|"&amp;158,LISTA_KLUCZ,0))),"")</f>
        <v>Tricep cable pushdown</v>
      </c>
      <c r="FE42" s="5" t="str">
        <f t="array" ref="FE42">IFERROR(IF('T1'!$J42="",INDEX(LISTA_EX,159),INDEX(LISTA_EX,MATCH('T1'!$J42&amp;"|"&amp;159,LISTA_KLUCZ,0))),"")</f>
        <v>Tricep JM press</v>
      </c>
      <c r="FF42" s="5" t="str">
        <f t="array" ref="FF42">IFERROR(IF('T1'!$J42="",INDEX(LISTA_EX,160),INDEX(LISTA_EX,MATCH('T1'!$J42&amp;"|"&amp;160,LISTA_KLUCZ,0))),"")</f>
        <v>Tricep OH cable</v>
      </c>
      <c r="FG42" s="5" t="str">
        <f t="array" ref="FG42">IFERROR(IF('T1'!$J42="",INDEX(LISTA_EX,161),INDEX(LISTA_EX,MATCH('T1'!$J42&amp;"|"&amp;161,LISTA_KLUCZ,0))),"")</f>
        <v>Tricep OH ez bar</v>
      </c>
      <c r="FH42" s="5" t="str">
        <f t="array" ref="FH42">IFERROR(IF('T1'!$J42="",INDEX(LISTA_EX,162),INDEX(LISTA_EX,MATCH('T1'!$J42&amp;"|"&amp;162,LISTA_KLUCZ,0))),"")</f>
        <v>Walking lunges</v>
      </c>
      <c r="FI42" s="5" t="str">
        <f t="array" ref="FI42">IFERROR(IF('T1'!$J42="",INDEX(LISTA_EX,163),INDEX(LISTA_EX,MATCH('T1'!$J42&amp;"|"&amp;163,LISTA_KLUCZ,0))),"")</f>
        <v>Wipers kettle</v>
      </c>
      <c r="FJ42" s="5" t="str">
        <f t="array" ref="FJ42">IFERROR(IF('T1'!$J42="",INDEX(LISTA_EX,164),INDEX(LISTA_EX,MATCH('T1'!$J42&amp;"|"&amp;164,LISTA_KLUCZ,0))),"")</f>
        <v>Zercher jumps</v>
      </c>
      <c r="FK42" s="5" t="str">
        <f t="array" ref="FK42">IFERROR(IF('T1'!$J42="",INDEX(LISTA_EX,165),INDEX(LISTA_EX,MATCH('T1'!$J42&amp;"|"&amp;165,LISTA_KLUCZ,0))),"")</f>
        <v/>
      </c>
      <c r="FL42" s="5" t="str">
        <f t="array" ref="FL42">IFERROR(IF('T1'!$J42="",INDEX(LISTA_EX,166),INDEX(LISTA_EX,MATCH('T1'!$J42&amp;"|"&amp;166,LISTA_KLUCZ,0))),"")</f>
        <v/>
      </c>
      <c r="FM42" s="5" t="str">
        <f t="array" ref="FM42">IFERROR(IF('T1'!$J42="",INDEX(LISTA_EX,167),INDEX(LISTA_EX,MATCH('T1'!$J42&amp;"|"&amp;167,LISTA_KLUCZ,0))),"")</f>
        <v/>
      </c>
      <c r="FN42" s="5" t="str">
        <f t="array" ref="FN42">IFERROR(IF('T1'!$J42="",INDEX(LISTA_EX,168),INDEX(LISTA_EX,MATCH('T1'!$J42&amp;"|"&amp;168,LISTA_KLUCZ,0))),"")</f>
        <v/>
      </c>
      <c r="FO42" s="5" t="str">
        <f t="array" ref="FO42">IFERROR(IF('T1'!$J42="",INDEX(LISTA_EX,169),INDEX(LISTA_EX,MATCH('T1'!$J42&amp;"|"&amp;169,LISTA_KLUCZ,0))),"")</f>
        <v/>
      </c>
      <c r="FP42" s="5" t="str">
        <f t="array" ref="FP42">IFERROR(IF('T1'!$J42="",INDEX(LISTA_EX,170),INDEX(LISTA_EX,MATCH('T1'!$J42&amp;"|"&amp;170,LISTA_KLUCZ,0))),"")</f>
        <v/>
      </c>
      <c r="FQ42" s="5" t="str">
        <f t="array" ref="FQ42">IFERROR(IF('T1'!$J42="",INDEX(LISTA_EX,171),INDEX(LISTA_EX,MATCH('T1'!$J42&amp;"|"&amp;171,LISTA_KLUCZ,0))),"")</f>
        <v/>
      </c>
      <c r="FR42" s="5" t="str">
        <f t="array" ref="FR42">IFERROR(IF('T1'!$J42="",INDEX(LISTA_EX,172),INDEX(LISTA_EX,MATCH('T1'!$J42&amp;"|"&amp;172,LISTA_KLUCZ,0))),"")</f>
        <v/>
      </c>
      <c r="FS42" s="5" t="str">
        <f t="array" ref="FS42">IFERROR(IF('T1'!$J42="",INDEX(LISTA_EX,173),INDEX(LISTA_EX,MATCH('T1'!$J42&amp;"|"&amp;173,LISTA_KLUCZ,0))),"")</f>
        <v/>
      </c>
      <c r="FT42" s="5" t="str">
        <f t="array" ref="FT42">IFERROR(IF('T1'!$J42="",INDEX(LISTA_EX,174),INDEX(LISTA_EX,MATCH('T1'!$J42&amp;"|"&amp;174,LISTA_KLUCZ,0))),"")</f>
        <v/>
      </c>
      <c r="FU42" s="5" t="str">
        <f t="array" ref="FU42">IFERROR(IF('T1'!$J42="",INDEX(LISTA_EX,175),INDEX(LISTA_EX,MATCH('T1'!$J42&amp;"|"&amp;175,LISTA_KLUCZ,0))),"")</f>
        <v/>
      </c>
      <c r="FV42" s="5" t="str">
        <f t="array" ref="FV42">IFERROR(IF('T1'!$J42="",INDEX(LISTA_EX,176),INDEX(LISTA_EX,MATCH('T1'!$J42&amp;"|"&amp;176,LISTA_KLUCZ,0))),"")</f>
        <v/>
      </c>
      <c r="FW42" s="5" t="str">
        <f t="array" ref="FW42">IFERROR(IF('T1'!$J42="",INDEX(LISTA_EX,177),INDEX(LISTA_EX,MATCH('T1'!$J42&amp;"|"&amp;177,LISTA_KLUCZ,0))),"")</f>
        <v/>
      </c>
      <c r="FX42" s="5" t="str">
        <f t="array" ref="FX42">IFERROR(IF('T1'!$J42="",INDEX(LISTA_EX,178),INDEX(LISTA_EX,MATCH('T1'!$J42&amp;"|"&amp;178,LISTA_KLUCZ,0))),"")</f>
        <v/>
      </c>
      <c r="FY42" s="5" t="str">
        <f t="array" ref="FY42">IFERROR(IF('T1'!$J42="",INDEX(LISTA_EX,179),INDEX(LISTA_EX,MATCH('T1'!$J42&amp;"|"&amp;179,LISTA_KLUCZ,0))),"")</f>
        <v/>
      </c>
      <c r="FZ42" s="5" t="str">
        <f t="array" ref="FZ42">IFERROR(IF('T1'!$J42="",INDEX(LISTA_EX,180),INDEX(LISTA_EX,MATCH('T1'!$J42&amp;"|"&amp;180,LISTA_KLUCZ,0))),"")</f>
        <v/>
      </c>
      <c r="GA42" s="5" t="str">
        <f t="array" ref="GA42">IFERROR(IF('T1'!$J42="",INDEX(LISTA_EX,181),INDEX(LISTA_EX,MATCH('T1'!$J42&amp;"|"&amp;181,LISTA_KLUCZ,0))),"")</f>
        <v/>
      </c>
      <c r="GB42" s="5" t="str">
        <f t="array" ref="GB42">IFERROR(IF('T1'!$J42="",INDEX(LISTA_EX,182),INDEX(LISTA_EX,MATCH('T1'!$J42&amp;"|"&amp;182,LISTA_KLUCZ,0))),"")</f>
        <v/>
      </c>
      <c r="GC42" s="5" t="str">
        <f t="array" ref="GC42">IFERROR(IF('T1'!$J42="",INDEX(LISTA_EX,183),INDEX(LISTA_EX,MATCH('T1'!$J42&amp;"|"&amp;183,LISTA_KLUCZ,0))),"")</f>
        <v/>
      </c>
      <c r="GD42" s="5" t="str">
        <f t="array" ref="GD42">IFERROR(IF('T1'!$J42="",INDEX(LISTA_EX,184),INDEX(LISTA_EX,MATCH('T1'!$J42&amp;"|"&amp;184,LISTA_KLUCZ,0))),"")</f>
        <v/>
      </c>
      <c r="GE42" s="5" t="str">
        <f t="array" ref="GE42">IFERROR(IF('T1'!$J42="",INDEX(LISTA_EX,185),INDEX(LISTA_EX,MATCH('T1'!$J42&amp;"|"&amp;185,LISTA_KLUCZ,0))),"")</f>
        <v/>
      </c>
      <c r="GF42" s="5" t="str">
        <f t="array" ref="GF42">IFERROR(IF('T1'!$J42="",INDEX(LISTA_EX,186),INDEX(LISTA_EX,MATCH('T1'!$J42&amp;"|"&amp;186,LISTA_KLUCZ,0))),"")</f>
        <v/>
      </c>
      <c r="GG42" s="5" t="str">
        <f t="array" ref="GG42">IFERROR(IF('T1'!$J42="",INDEX(LISTA_EX,187),INDEX(LISTA_EX,MATCH('T1'!$J42&amp;"|"&amp;187,LISTA_KLUCZ,0))),"")</f>
        <v/>
      </c>
      <c r="GH42" s="5" t="str">
        <f t="array" ref="GH42">IFERROR(IF('T1'!$J42="",INDEX(LISTA_EX,188),INDEX(LISTA_EX,MATCH('T1'!$J42&amp;"|"&amp;188,LISTA_KLUCZ,0))),"")</f>
        <v/>
      </c>
      <c r="GI42" s="5" t="str">
        <f t="array" ref="GI42">IFERROR(IF('T1'!$J42="",INDEX(LISTA_EX,189),INDEX(LISTA_EX,MATCH('T1'!$J42&amp;"|"&amp;189,LISTA_KLUCZ,0))),"")</f>
        <v/>
      </c>
      <c r="GJ42" s="5" t="str">
        <f t="array" ref="GJ42">IFERROR(IF('T1'!$J42="",INDEX(LISTA_EX,190),INDEX(LISTA_EX,MATCH('T1'!$J42&amp;"|"&amp;190,LISTA_KLUCZ,0))),"")</f>
        <v/>
      </c>
      <c r="GK42" s="5" t="str">
        <f t="array" ref="GK42">IFERROR(IF('T1'!$J42="",INDEX(LISTA_EX,191),INDEX(LISTA_EX,MATCH('T1'!$J42&amp;"|"&amp;191,LISTA_KLUCZ,0))),"")</f>
        <v/>
      </c>
      <c r="GL42" s="5" t="str">
        <f t="array" ref="GL42">IFERROR(IF('T1'!$J42="",INDEX(LISTA_EX,192),INDEX(LISTA_EX,MATCH('T1'!$J42&amp;"|"&amp;192,LISTA_KLUCZ,0))),"")</f>
        <v/>
      </c>
      <c r="GM42" s="5" t="str">
        <f t="array" ref="GM42">IFERROR(IF('T1'!$J42="",INDEX(LISTA_EX,193),INDEX(LISTA_EX,MATCH('T1'!$J42&amp;"|"&amp;193,LISTA_KLUCZ,0))),"")</f>
        <v/>
      </c>
      <c r="GN42" s="5" t="str">
        <f t="array" ref="GN42">IFERROR(IF('T1'!$J42="",INDEX(LISTA_EX,194),INDEX(LISTA_EX,MATCH('T1'!$J42&amp;"|"&amp;194,LISTA_KLUCZ,0))),"")</f>
        <v/>
      </c>
      <c r="GO42" s="5" t="str">
        <f t="array" ref="GO42">IFERROR(IF('T1'!$J42="",INDEX(LISTA_EX,195),INDEX(LISTA_EX,MATCH('T1'!$J42&amp;"|"&amp;195,LISTA_KLUCZ,0))),"")</f>
        <v/>
      </c>
      <c r="GP42" s="5" t="str">
        <f t="array" ref="GP42">IFERROR(IF('T1'!$J42="",INDEX(LISTA_EX,196),INDEX(LISTA_EX,MATCH('T1'!$J42&amp;"|"&amp;196,LISTA_KLUCZ,0))),"")</f>
        <v/>
      </c>
      <c r="GQ42" s="5" t="str">
        <f t="array" ref="GQ42">IFERROR(IF('T1'!$J42="",INDEX(LISTA_EX,197),INDEX(LISTA_EX,MATCH('T1'!$J42&amp;"|"&amp;197,LISTA_KLUCZ,0))),"")</f>
        <v/>
      </c>
      <c r="GR42" s="5" t="str">
        <f t="array" ref="GR42">IFERROR(IF('T1'!$J42="",INDEX(LISTA_EX,198),INDEX(LISTA_EX,MATCH('T1'!$J42&amp;"|"&amp;198,LISTA_KLUCZ,0))),"")</f>
        <v/>
      </c>
      <c r="GS42" s="5" t="str">
        <f t="array" ref="GS42">IFERROR(IF('T1'!$J42="",INDEX(LISTA_EX,199),INDEX(LISTA_EX,MATCH('T1'!$J42&amp;"|"&amp;199,LISTA_KLUCZ,0))),"")</f>
        <v/>
      </c>
      <c r="GT42" s="5" t="str">
        <f t="array" ref="GT42">IFERROR(IF('T1'!$J42="",INDEX(LISTA_EX,200),INDEX(LISTA_EX,MATCH('T1'!$J42&amp;"|"&amp;200,LISTA_KLUCZ,0))),"")</f>
        <v/>
      </c>
      <c r="GV42" s="5" t="str">
        <f>IF(BAZA!$A42="","",BAZA!$A42)</f>
        <v>Dead stop barbell row</v>
      </c>
      <c r="GW42" s="5" t="str">
        <f>IF(BAZA!$B42="","",BAZA!$B42&amp;"|"&amp;COUNTIF(BAZA!$B$3:$B42,BAZA!$B42))</f>
        <v>Upper pull horizontal|6</v>
      </c>
    </row>
    <row r="43" ht="15.0" customHeight="1">
      <c r="A43" s="5" t="str">
        <f>IF('T1'!$K43="","",'T1'!$K43)</f>
        <v>D3-S05</v>
      </c>
      <c r="B43" s="5" t="str">
        <f>IF('T1'!$J43="","(wszystkie)",'T1'!$J43)</f>
        <v>(wszystkie)</v>
      </c>
      <c r="C43" s="5" t="str">
        <f t="array" ref="C43">IFERROR(IF('T1'!$J43="",INDEX(LISTA_EX,1),INDEX(LISTA_EX,MATCH('T1'!$J43&amp;"|"&amp;1,LISTA_KLUCZ,0))),"")</f>
        <v>Abduction machine</v>
      </c>
      <c r="D43" s="5" t="str">
        <f t="array" ref="D43">IFERROR(IF('T1'!$J43="",INDEX(LISTA_EX,2),INDEX(LISTA_EX,MATCH('T1'!$J43&amp;"|"&amp;2,LISTA_KLUCZ,0))),"")</f>
        <v>Adduction machine</v>
      </c>
      <c r="E43" s="5" t="str">
        <f t="array" ref="E43">IFERROR(IF('T1'!$J43="",INDEX(LISTA_EX,3),INDEX(LISTA_EX,MATCH('T1'!$J43&amp;"|"&amp;3,LISTA_KLUCZ,0))),"")</f>
        <v>Allah</v>
      </c>
      <c r="F43" s="5" t="str">
        <f t="array" ref="F43">IFERROR(IF('T1'!$J43="",INDEX(LISTA_EX,4),INDEX(LISTA_EX,MATCH('T1'!$J43&amp;"|"&amp;4,LISTA_KLUCZ,0))),"")</f>
        <v>Arnold press</v>
      </c>
      <c r="G43" s="5" t="str">
        <f t="array" ref="G43">IFERROR(IF('T1'!$J43="",INDEX(LISTA_EX,5),INDEX(LISTA_EX,MATCH('T1'!$J43&amp;"|"&amp;5,LISTA_KLUCZ,0))),"")</f>
        <v>Arnold press alternating</v>
      </c>
      <c r="H43" s="5" t="str">
        <f t="array" ref="H43">IFERROR(IF('T1'!$J43="",INDEX(LISTA_EX,6),INDEX(LISTA_EX,MATCH('T1'!$J43&amp;"|"&amp;6,LISTA_KLUCZ,0))),"")</f>
        <v>B/l dragonflag eccentric</v>
      </c>
      <c r="I43" s="5" t="str">
        <f t="array" ref="I43">IFERROR(IF('T1'!$J43="",INDEX(LISTA_EX,7),INDEX(LISTA_EX,MATCH('T1'!$J43&amp;"|"&amp;7,LISTA_KLUCZ,0))),"")</f>
        <v>Back extension</v>
      </c>
      <c r="J43" s="5" t="str">
        <f t="array" ref="J43">IFERROR(IF('T1'!$J43="",INDEX(LISTA_EX,8),INDEX(LISTA_EX,MATCH('T1'!$J43&amp;"|"&amp;8,LISTA_KLUCZ,0))),"")</f>
        <v>Banded pistol squat</v>
      </c>
      <c r="K43" s="5" t="str">
        <f t="array" ref="K43">IFERROR(IF('T1'!$J43="",INDEX(LISTA_EX,9),INDEX(LISTA_EX,MATCH('T1'!$J43&amp;"|"&amp;9,LISTA_KLUCZ,0))),"")</f>
        <v>Banded pull ups</v>
      </c>
      <c r="L43" s="5" t="str">
        <f t="array" ref="L43">IFERROR(IF('T1'!$J43="",INDEX(LISTA_EX,10),INDEX(LISTA_EX,MATCH('T1'!$J43&amp;"|"&amp;10,LISTA_KLUCZ,0))),"")</f>
        <v>Barbell back squat</v>
      </c>
      <c r="M43" s="5" t="str">
        <f t="array" ref="M43">IFERROR(IF('T1'!$J43="",INDEX(LISTA_EX,11),INDEX(LISTA_EX,MATCH('T1'!$J43&amp;"|"&amp;11,LISTA_KLUCZ,0))),"")</f>
        <v>Barbell bench press</v>
      </c>
      <c r="N43" s="5" t="str">
        <f t="array" ref="N43">IFERROR(IF('T1'!$J43="",INDEX(LISTA_EX,12),INDEX(LISTA_EX,MATCH('T1'!$J43&amp;"|"&amp;12,LISTA_KLUCZ,0))),"")</f>
        <v>Barbell curl</v>
      </c>
      <c r="O43" s="5" t="str">
        <f t="array" ref="O43">IFERROR(IF('T1'!$J43="",INDEX(LISTA_EX,13),INDEX(LISTA_EX,MATCH('T1'!$J43&amp;"|"&amp;13,LISTA_KLUCZ,0))),"")</f>
        <v>Barbell low bar squat</v>
      </c>
      <c r="P43" s="5" t="str">
        <f t="array" ref="P43">IFERROR(IF('T1'!$J43="",INDEX(LISTA_EX,14),INDEX(LISTA_EX,MATCH('T1'!$J43&amp;"|"&amp;14,LISTA_KLUCZ,0))),"")</f>
        <v>Barbell OHP</v>
      </c>
      <c r="Q43" s="5" t="str">
        <f t="array" ref="Q43">IFERROR(IF('T1'!$J43="",INDEX(LISTA_EX,15),INDEX(LISTA_EX,MATCH('T1'!$J43&amp;"|"&amp;15,LISTA_KLUCZ,0))),"")</f>
        <v>Barbell oscilation</v>
      </c>
      <c r="R43" s="5" t="str">
        <f t="array" ref="R43">IFERROR(IF('T1'!$J43="",INDEX(LISTA_EX,16),INDEX(LISTA_EX,MATCH('T1'!$J43&amp;"|"&amp;16,LISTA_KLUCZ,0))),"")</f>
        <v>Barbell row</v>
      </c>
      <c r="S43" s="5" t="str">
        <f t="array" ref="S43">IFERROR(IF('T1'!$J43="",INDEX(LISTA_EX,17),INDEX(LISTA_EX,MATCH('T1'!$J43&amp;"|"&amp;17,LISTA_KLUCZ,0))),"")</f>
        <v>Barbell row dead stop pins</v>
      </c>
      <c r="T43" s="5" t="str">
        <f t="array" ref="T43">IFERROR(IF('T1'!$J43="",INDEX(LISTA_EX,18),INDEX(LISTA_EX,MATCH('T1'!$J43&amp;"|"&amp;18,LISTA_KLUCZ,0))),"")</f>
        <v>Barbell SLDL</v>
      </c>
      <c r="U43" s="5" t="str">
        <f t="array" ref="U43">IFERROR(IF('T1'!$J43="",INDEX(LISTA_EX,19),INDEX(LISTA_EX,MATCH('T1'!$J43&amp;"|"&amp;19,LISTA_KLUCZ,0))),"")</f>
        <v>Bayesian curl</v>
      </c>
      <c r="V43" s="5" t="str">
        <f t="array" ref="V43">IFERROR(IF('T1'!$J43="",INDEX(LISTA_EX,20),INDEX(LISTA_EX,MATCH('T1'!$J43&amp;"|"&amp;20,LISTA_KLUCZ,0))),"")</f>
        <v>Bear renegade row</v>
      </c>
      <c r="W43" s="5" t="str">
        <f t="array" ref="W43">IFERROR(IF('T1'!$J43="",INDEX(LISTA_EX,21),INDEX(LISTA_EX,MATCH('T1'!$J43&amp;"|"&amp;21,LISTA_KLUCZ,0))),"")</f>
        <v>Bench press paused 3sec</v>
      </c>
      <c r="X43" s="5" t="str">
        <f t="array" ref="X43">IFERROR(IF('T1'!$J43="",INDEX(LISTA_EX,22),INDEX(LISTA_EX,MATCH('T1'!$J43&amp;"|"&amp;22,LISTA_KLUCZ,0))),"")</f>
        <v>Bicep hammer curl</v>
      </c>
      <c r="Y43" s="5" t="str">
        <f t="array" ref="Y43">IFERROR(IF('T1'!$J43="",INDEX(LISTA_EX,23),INDEX(LISTA_EX,MATCH('T1'!$J43&amp;"|"&amp;23,LISTA_KLUCZ,0))),"")</f>
        <v>Bicep squat cable curl</v>
      </c>
      <c r="Z43" s="5" t="str">
        <f t="array" ref="Z43">IFERROR(IF('T1'!$J43="",INDEX(LISTA_EX,24),INDEX(LISTA_EX,MATCH('T1'!$J43&amp;"|"&amp;24,LISTA_KLUCZ,0))),"")</f>
        <v>Bird dog row</v>
      </c>
      <c r="AA43" s="5" t="str">
        <f t="array" ref="AA43">IFERROR(IF('T1'!$J43="",INDEX(LISTA_EX,25),INDEX(LISTA_EX,MATCH('T1'!$J43&amp;"|"&amp;25,LISTA_KLUCZ,0))),"")</f>
        <v>Box jump</v>
      </c>
      <c r="AB43" s="5" t="str">
        <f t="array" ref="AB43">IFERROR(IF('T1'!$J43="",INDEX(LISTA_EX,26),INDEX(LISTA_EX,MATCH('T1'!$J43&amp;"|"&amp;26,LISTA_KLUCZ,0))),"")</f>
        <v>Bulgarian clean plyo</v>
      </c>
      <c r="AC43" s="5" t="str">
        <f t="array" ref="AC43">IFERROR(IF('T1'!$J43="",INDEX(LISTA_EX,27),INDEX(LISTA_EX,MATCH('T1'!$J43&amp;"|"&amp;27,LISTA_KLUCZ,0))),"")</f>
        <v>Bulgarian squat assisted</v>
      </c>
      <c r="AD43" s="5" t="str">
        <f t="array" ref="AD43">IFERROR(IF('T1'!$J43="",INDEX(LISTA_EX,28),INDEX(LISTA_EX,MATCH('T1'!$J43&amp;"|"&amp;28,LISTA_KLUCZ,0))),"")</f>
        <v>Cable biceps curl</v>
      </c>
      <c r="AE43" s="5" t="str">
        <f t="array" ref="AE43">IFERROR(IF('T1'!$J43="",INDEX(LISTA_EX,29),INDEX(LISTA_EX,MATCH('T1'!$J43&amp;"|"&amp;29,LISTA_KLUCZ,0))),"")</f>
        <v>Cable fly</v>
      </c>
      <c r="AF43" s="5" t="str">
        <f t="array" ref="AF43">IFERROR(IF('T1'!$J43="",INDEX(LISTA_EX,30),INDEX(LISTA_EX,MATCH('T1'!$J43&amp;"|"&amp;30,LISTA_KLUCZ,0))),"")</f>
        <v>Cable lateral raise s/a</v>
      </c>
      <c r="AG43" s="5" t="str">
        <f t="array" ref="AG43">IFERROR(IF('T1'!$J43="",INDEX(LISTA_EX,31),INDEX(LISTA_EX,MATCH('T1'!$J43&amp;"|"&amp;31,LISTA_KLUCZ,0))),"")</f>
        <v>Cable row</v>
      </c>
      <c r="AH43" s="5" t="str">
        <f t="array" ref="AH43">IFERROR(IF('T1'!$J43="",INDEX(LISTA_EX,32),INDEX(LISTA_EX,MATCH('T1'!$J43&amp;"|"&amp;32,LISTA_KLUCZ,0))),"")</f>
        <v>Cable row s/a</v>
      </c>
      <c r="AI43" s="5" t="str">
        <f t="array" ref="AI43">IFERROR(IF('T1'!$J43="",INDEX(LISTA_EX,33),INDEX(LISTA_EX,MATCH('T1'!$J43&amp;"|"&amp;33,LISTA_KLUCZ,0))),"")</f>
        <v>Calf raises</v>
      </c>
      <c r="AJ43" s="5" t="str">
        <f t="array" ref="AJ43">IFERROR(IF('T1'!$J43="",INDEX(LISTA_EX,34),INDEX(LISTA_EX,MATCH('T1'!$J43&amp;"|"&amp;34,LISTA_KLUCZ,0))),"")</f>
        <v>Chest fly machine</v>
      </c>
      <c r="AK43" s="5" t="str">
        <f t="array" ref="AK43">IFERROR(IF('T1'!$J43="",INDEX(LISTA_EX,35),INDEX(LISTA_EX,MATCH('T1'!$J43&amp;"|"&amp;35,LISTA_KLUCZ,0))),"")</f>
        <v>Clean</v>
      </c>
      <c r="AL43" s="5" t="str">
        <f t="array" ref="AL43">IFERROR(IF('T1'!$J43="",INDEX(LISTA_EX,36),INDEX(LISTA_EX,MATCH('T1'!$J43&amp;"|"&amp;36,LISTA_KLUCZ,0))),"")</f>
        <v>Clean pins</v>
      </c>
      <c r="AM43" s="5" t="str">
        <f t="array" ref="AM43">IFERROR(IF('T1'!$J43="",INDEX(LISTA_EX,37),INDEX(LISTA_EX,MATCH('T1'!$J43&amp;"|"&amp;37,LISTA_KLUCZ,0))),"")</f>
        <v>Copenhagen plank</v>
      </c>
      <c r="AN43" s="5" t="str">
        <f t="array" ref="AN43">IFERROR(IF('T1'!$J43="",INDEX(LISTA_EX,38),INDEX(LISTA_EX,MATCH('T1'!$J43&amp;"|"&amp;38,LISTA_KLUCZ,0))),"")</f>
        <v>Dead bug izo + OH</v>
      </c>
      <c r="AO43" s="5" t="str">
        <f t="array" ref="AO43">IFERROR(IF('T1'!$J43="",INDEX(LISTA_EX,39),INDEX(LISTA_EX,MATCH('T1'!$J43&amp;"|"&amp;39,LISTA_KLUCZ,0))),"")</f>
        <v>Dead bug straight legs</v>
      </c>
      <c r="AP43" s="5" t="str">
        <f t="array" ref="AP43">IFERROR(IF('T1'!$J43="",INDEX(LISTA_EX,40),INDEX(LISTA_EX,MATCH('T1'!$J43&amp;"|"&amp;40,LISTA_KLUCZ,0))),"")</f>
        <v>Dead stop barbell row</v>
      </c>
      <c r="AQ43" s="5" t="str">
        <f t="array" ref="AQ43">IFERROR(IF('T1'!$J43="",INDEX(LISTA_EX,41),INDEX(LISTA_EX,MATCH('T1'!$J43&amp;"|"&amp;41,LISTA_KLUCZ,0))),"")</f>
        <v>Deadbug OH</v>
      </c>
      <c r="AR43" s="5" t="str">
        <f t="array" ref="AR43">IFERROR(IF('T1'!$J43="",INDEX(LISTA_EX,42),INDEX(LISTA_EX,MATCH('T1'!$J43&amp;"|"&amp;42,LISTA_KLUCZ,0))),"")</f>
        <v>Deadlift</v>
      </c>
      <c r="AS43" s="5" t="str">
        <f t="array" ref="AS43">IFERROR(IF('T1'!$J43="",INDEX(LISTA_EX,43),INDEX(LISTA_EX,MATCH('T1'!$J43&amp;"|"&amp;43,LISTA_KLUCZ,0))),"")</f>
        <v>Deficit push up</v>
      </c>
      <c r="AT43" s="5" t="str">
        <f t="array" ref="AT43">IFERROR(IF('T1'!$J43="",INDEX(LISTA_EX,44),INDEX(LISTA_EX,MATCH('T1'!$J43&amp;"|"&amp;44,LISTA_KLUCZ,0))),"")</f>
        <v>Deficit reverse lunge</v>
      </c>
      <c r="AU43" s="5" t="str">
        <f t="array" ref="AU43">IFERROR(IF('T1'!$J43="",INDEX(LISTA_EX,45),INDEX(LISTA_EX,MATCH('T1'!$J43&amp;"|"&amp;45,LISTA_KLUCZ,0))),"")</f>
        <v>Dips</v>
      </c>
      <c r="AV43" s="5" t="str">
        <f t="array" ref="AV43">IFERROR(IF('T1'!$J43="",INDEX(LISTA_EX,46),INDEX(LISTA_EX,MATCH('T1'!$J43&amp;"|"&amp;46,LISTA_KLUCZ,0))),"")</f>
        <v>Dips weighted</v>
      </c>
      <c r="AW43" s="5" t="str">
        <f t="array" ref="AW43">IFERROR(IF('T1'!$J43="",INDEX(LISTA_EX,47),INDEX(LISTA_EX,MATCH('T1'!$J43&amp;"|"&amp;47,LISTA_KLUCZ,0))),"")</f>
        <v>Dumbbell bench press</v>
      </c>
      <c r="AX43" s="5" t="str">
        <f t="array" ref="AX43">IFERROR(IF('T1'!$J43="",INDEX(LISTA_EX,48),INDEX(LISTA_EX,MATCH('T1'!$J43&amp;"|"&amp;48,LISTA_KLUCZ,0))),"")</f>
        <v>Dumbbell bench press alternating</v>
      </c>
      <c r="AY43" s="5" t="str">
        <f t="array" ref="AY43">IFERROR(IF('T1'!$J43="",INDEX(LISTA_EX,49),INDEX(LISTA_EX,MATCH('T1'!$J43&amp;"|"&amp;49,LISTA_KLUCZ,0))),"")</f>
        <v>Dumbbell curl</v>
      </c>
      <c r="AZ43" s="5" t="str">
        <f t="array" ref="AZ43">IFERROR(IF('T1'!$J43="",INDEX(LISTA_EX,50),INDEX(LISTA_EX,MATCH('T1'!$J43&amp;"|"&amp;50,LISTA_KLUCZ,0))),"")</f>
        <v>Dumbbell external rotation</v>
      </c>
      <c r="BA43" s="5" t="str">
        <f t="array" ref="BA43">IFERROR(IF('T1'!$J43="",INDEX(LISTA_EX,51),INDEX(LISTA_EX,MATCH('T1'!$J43&amp;"|"&amp;51,LISTA_KLUCZ,0))),"")</f>
        <v>Dumbbell face down curl</v>
      </c>
      <c r="BB43" s="5" t="str">
        <f t="array" ref="BB43">IFERROR(IF('T1'!$J43="",INDEX(LISTA_EX,52),INDEX(LISTA_EX,MATCH('T1'!$J43&amp;"|"&amp;52,LISTA_KLUCZ,0))),"")</f>
        <v>Dumbbell fly</v>
      </c>
      <c r="BC43" s="5" t="str">
        <f t="array" ref="BC43">IFERROR(IF('T1'!$J43="",INDEX(LISTA_EX,53),INDEX(LISTA_EX,MATCH('T1'!$J43&amp;"|"&amp;53,LISTA_KLUCZ,0))),"")</f>
        <v>Dumbbell french press</v>
      </c>
      <c r="BD43" s="5" t="str">
        <f t="array" ref="BD43">IFERROR(IF('T1'!$J43="",INDEX(LISTA_EX,54),INDEX(LISTA_EX,MATCH('T1'!$J43&amp;"|"&amp;54,LISTA_KLUCZ,0))),"")</f>
        <v>Dumbbell lateral raise</v>
      </c>
      <c r="BE43" s="5" t="str">
        <f t="array" ref="BE43">IFERROR(IF('T1'!$J43="",INDEX(LISTA_EX,55),INDEX(LISTA_EX,MATCH('T1'!$J43&amp;"|"&amp;55,LISTA_KLUCZ,0))),"")</f>
        <v>Dumbbell lunges</v>
      </c>
      <c r="BF43" s="5" t="str">
        <f t="array" ref="BF43">IFERROR(IF('T1'!$J43="",INDEX(LISTA_EX,56),INDEX(LISTA_EX,MATCH('T1'!$J43&amp;"|"&amp;56,LISTA_KLUCZ,0))),"")</f>
        <v>Dumbbell OH press</v>
      </c>
      <c r="BG43" s="5" t="str">
        <f t="array" ref="BG43">IFERROR(IF('T1'!$J43="",INDEX(LISTA_EX,57),INDEX(LISTA_EX,MATCH('T1'!$J43&amp;"|"&amp;57,LISTA_KLUCZ,0))),"")</f>
        <v>Dumbbell over head press</v>
      </c>
      <c r="BH43" s="5" t="str">
        <f t="array" ref="BH43">IFERROR(IF('T1'!$J43="",INDEX(LISTA_EX,58),INDEX(LISTA_EX,MATCH('T1'!$J43&amp;"|"&amp;58,LISTA_KLUCZ,0))),"")</f>
        <v>Dumbbell over head press alternating</v>
      </c>
      <c r="BI43" s="5" t="str">
        <f t="array" ref="BI43">IFERROR(IF('T1'!$J43="",INDEX(LISTA_EX,59),INDEX(LISTA_EX,MATCH('T1'!$J43&amp;"|"&amp;59,LISTA_KLUCZ,0))),"")</f>
        <v>Dumbbell row</v>
      </c>
      <c r="BJ43" s="5" t="str">
        <f t="array" ref="BJ43">IFERROR(IF('T1'!$J43="",INDEX(LISTA_EX,60),INDEX(LISTA_EX,MATCH('T1'!$J43&amp;"|"&amp;60,LISTA_KLUCZ,0))),"")</f>
        <v>Dumbbell s/a Arnold press</v>
      </c>
      <c r="BK43" s="5" t="str">
        <f t="array" ref="BK43">IFERROR(IF('T1'!$J43="",INDEX(LISTA_EX,61),INDEX(LISTA_EX,MATCH('T1'!$J43&amp;"|"&amp;61,LISTA_KLUCZ,0))),"")</f>
        <v>Dumbbell s/a row</v>
      </c>
      <c r="BL43" s="5" t="str">
        <f t="array" ref="BL43">IFERROR(IF('T1'!$J43="",INDEX(LISTA_EX,62),INDEX(LISTA_EX,MATCH('T1'!$J43&amp;"|"&amp;62,LISTA_KLUCZ,0))),"")</f>
        <v>Dumbbell seal row</v>
      </c>
      <c r="BM43" s="5" t="str">
        <f t="array" ref="BM43">IFERROR(IF('T1'!$J43="",INDEX(LISTA_EX,63),INDEX(LISTA_EX,MATCH('T1'!$J43&amp;"|"&amp;63,LISTA_KLUCZ,0))),"")</f>
        <v>Dumbbells jumps</v>
      </c>
      <c r="BN43" s="5" t="str">
        <f t="array" ref="BN43">IFERROR(IF('T1'!$J43="",INDEX(LISTA_EX,64),INDEX(LISTA_EX,MATCH('T1'!$J43&amp;"|"&amp;64,LISTA_KLUCZ,0))),"")</f>
        <v>Eccentric pull up</v>
      </c>
      <c r="BO43" s="5" t="str">
        <f t="array" ref="BO43">IFERROR(IF('T1'!$J43="",INDEX(LISTA_EX,65),INDEX(LISTA_EX,MATCH('T1'!$J43&amp;"|"&amp;65,LISTA_KLUCZ,0))),"")</f>
        <v>Eccentric push up (5 sek w dół)</v>
      </c>
      <c r="BP43" s="5" t="str">
        <f t="array" ref="BP43">IFERROR(IF('T1'!$J43="",INDEX(LISTA_EX,66),INDEX(LISTA_EX,MATCH('T1'!$J43&amp;"|"&amp;66,LISTA_KLUCZ,0))),"")</f>
        <v>Extensive plyo jumps s/l</v>
      </c>
      <c r="BQ43" s="5" t="str">
        <f t="array" ref="BQ43">IFERROR(IF('T1'!$J43="",INDEX(LISTA_EX,67),INDEX(LISTA_EX,MATCH('T1'!$J43&amp;"|"&amp;67,LISTA_KLUCZ,0))),"")</f>
        <v>Ez bar curl</v>
      </c>
      <c r="BR43" s="5" t="str">
        <f t="array" ref="BR43">IFERROR(IF('T1'!$J43="",INDEX(LISTA_EX,68),INDEX(LISTA_EX,MATCH('T1'!$J43&amp;"|"&amp;68,LISTA_KLUCZ,0))),"")</f>
        <v>Facepull chest supported</v>
      </c>
      <c r="BS43" s="5" t="str">
        <f t="array" ref="BS43">IFERROR(IF('T1'!$J43="",INDEX(LISTA_EX,69),INDEX(LISTA_EX,MATCH('T1'!$J43&amp;"|"&amp;69,LISTA_KLUCZ,0))),"")</f>
        <v>Front foot elevated split squat</v>
      </c>
      <c r="BT43" s="5" t="str">
        <f t="array" ref="BT43">IFERROR(IF('T1'!$J43="",INDEX(LISTA_EX,70),INDEX(LISTA_EX,MATCH('T1'!$J43&amp;"|"&amp;70,LISTA_KLUCZ,0))),"")</f>
        <v>Front squat</v>
      </c>
      <c r="BU43" s="5" t="str">
        <f t="array" ref="BU43">IFERROR(IF('T1'!$J43="",INDEX(LISTA_EX,71),INDEX(LISTA_EX,MATCH('T1'!$J43&amp;"|"&amp;71,LISTA_KLUCZ,0))),"")</f>
        <v>GHD flexion</v>
      </c>
      <c r="BV43" s="5" t="str">
        <f t="array" ref="BV43">IFERROR(IF('T1'!$J43="",INDEX(LISTA_EX,72),INDEX(LISTA_EX,MATCH('T1'!$J43&amp;"|"&amp;72,LISTA_KLUCZ,0))),"")</f>
        <v>Glute bridge hamstrings izo + OH</v>
      </c>
      <c r="BW43" s="5" t="str">
        <f t="array" ref="BW43">IFERROR(IF('T1'!$J43="",INDEX(LISTA_EX,73),INDEX(LISTA_EX,MATCH('T1'!$J43&amp;"|"&amp;73,LISTA_KLUCZ,0))),"")</f>
        <v>Glute crusher</v>
      </c>
      <c r="BX43" s="5" t="str">
        <f t="array" ref="BX43">IFERROR(IF('T1'!$J43="",INDEX(LISTA_EX,74),INDEX(LISTA_EX,MATCH('T1'!$J43&amp;"|"&amp;74,LISTA_KLUCZ,0))),"")</f>
        <v>Gorilla row</v>
      </c>
      <c r="BY43" s="5" t="str">
        <f t="array" ref="BY43">IFERROR(IF('T1'!$J43="",INDEX(LISTA_EX,75),INDEX(LISTA_EX,MATCH('T1'!$J43&amp;"|"&amp;75,LISTA_KLUCZ,0))),"")</f>
        <v>Halfkneeling s/a cable pull</v>
      </c>
      <c r="BZ43" s="5" t="str">
        <f t="array" ref="BZ43">IFERROR(IF('T1'!$J43="",INDEX(LISTA_EX,76),INDEX(LISTA_EX,MATCH('T1'!$J43&amp;"|"&amp;76,LISTA_KLUCZ,0))),"")</f>
        <v>Halfkneeling wood chopper</v>
      </c>
      <c r="CA43" s="5" t="str">
        <f t="array" ref="CA43">IFERROR(IF('T1'!$J43="",INDEX(LISTA_EX,77),INDEX(LISTA_EX,MATCH('T1'!$J43&amp;"|"&amp;77,LISTA_KLUCZ,0))),"")</f>
        <v>Hinged dumbbell row</v>
      </c>
      <c r="CB43" s="5" t="str">
        <f t="array" ref="CB43">IFERROR(IF('T1'!$J43="",INDEX(LISTA_EX,78),INDEX(LISTA_EX,MATCH('T1'!$J43&amp;"|"&amp;78,LISTA_KLUCZ,0))),"")</f>
        <v>Hip aeroplane</v>
      </c>
      <c r="CC43" s="5" t="str">
        <f t="array" ref="CC43">IFERROR(IF('T1'!$J43="",INDEX(LISTA_EX,79),INDEX(LISTA_EX,MATCH('T1'!$J43&amp;"|"&amp;79,LISTA_KLUCZ,0))),"")</f>
        <v>Hip flexors cable</v>
      </c>
      <c r="CD43" s="5" t="str">
        <f t="array" ref="CD43">IFERROR(IF('T1'!$J43="",INDEX(LISTA_EX,80),INDEX(LISTA_EX,MATCH('T1'!$J43&amp;"|"&amp;80,LISTA_KLUCZ,0))),"")</f>
        <v>Hip thrust barbell</v>
      </c>
      <c r="CE43" s="5" t="str">
        <f t="array" ref="CE43">IFERROR(IF('T1'!$J43="",INDEX(LISTA_EX,81),INDEX(LISTA_EX,MATCH('T1'!$J43&amp;"|"&amp;81,LISTA_KLUCZ,0))),"")</f>
        <v>Hollow body + OH</v>
      </c>
      <c r="CF43" s="5" t="str">
        <f t="array" ref="CF43">IFERROR(IF('T1'!$J43="",INDEX(LISTA_EX,82),INDEX(LISTA_EX,MATCH('T1'!$J43&amp;"|"&amp;82,LISTA_KLUCZ,0))),"")</f>
        <v>Horizontal jump</v>
      </c>
      <c r="CG43" s="5" t="str">
        <f t="array" ref="CG43">IFERROR(IF('T1'!$J43="",INDEX(LISTA_EX,83),INDEX(LISTA_EX,MATCH('T1'!$J43&amp;"|"&amp;83,LISTA_KLUCZ,0))),"")</f>
        <v>Incline bench lateral raise s/a</v>
      </c>
      <c r="CH43" s="5" t="str">
        <f t="array" ref="CH43">IFERROR(IF('T1'!$J43="",INDEX(LISTA_EX,84),INDEX(LISTA_EX,MATCH('T1'!$J43&amp;"|"&amp;84,LISTA_KLUCZ,0))),"")</f>
        <v>Incline curl + OHP</v>
      </c>
      <c r="CI43" s="5" t="str">
        <f t="array" ref="CI43">IFERROR(IF('T1'!$J43="",INDEX(LISTA_EX,85),INDEX(LISTA_EX,MATCH('T1'!$J43&amp;"|"&amp;85,LISTA_KLUCZ,0))),"")</f>
        <v>Incline dumbbell curl</v>
      </c>
      <c r="CJ43" s="5" t="str">
        <f t="array" ref="CJ43">IFERROR(IF('T1'!$J43="",INDEX(LISTA_EX,86),INDEX(LISTA_EX,MATCH('T1'!$J43&amp;"|"&amp;86,LISTA_KLUCZ,0))),"")</f>
        <v>Incline dumbbell curl (back)</v>
      </c>
      <c r="CK43" s="5" t="str">
        <f t="array" ref="CK43">IFERROR(IF('T1'!$J43="",INDEX(LISTA_EX,87),INDEX(LISTA_EX,MATCH('T1'!$J43&amp;"|"&amp;87,LISTA_KLUCZ,0))),"")</f>
        <v>Incline dumbbell curl (front)</v>
      </c>
      <c r="CL43" s="5" t="str">
        <f t="array" ref="CL43">IFERROR(IF('T1'!$J43="",INDEX(LISTA_EX,88),INDEX(LISTA_EX,MATCH('T1'!$J43&amp;"|"&amp;88,LISTA_KLUCZ,0))),"")</f>
        <v>Incline dumbbell fly</v>
      </c>
      <c r="CM43" s="5" t="str">
        <f t="array" ref="CM43">IFERROR(IF('T1'!$J43="",INDEX(LISTA_EX,89),INDEX(LISTA_EX,MATCH('T1'!$J43&amp;"|"&amp;89,LISTA_KLUCZ,0))),"")</f>
        <v>Incline dumbbell press</v>
      </c>
      <c r="CN43" s="5" t="str">
        <f t="array" ref="CN43">IFERROR(IF('T1'!$J43="",INDEX(LISTA_EX,90),INDEX(LISTA_EX,MATCH('T1'!$J43&amp;"|"&amp;90,LISTA_KLUCZ,0))),"")</f>
        <v>Incline dumbbell press alternating</v>
      </c>
      <c r="CO43" s="5" t="str">
        <f t="array" ref="CO43">IFERROR(IF('T1'!$J43="",INDEX(LISTA_EX,91),INDEX(LISTA_EX,MATCH('T1'!$J43&amp;"|"&amp;91,LISTA_KLUCZ,0))),"")</f>
        <v>Incline sit-ups</v>
      </c>
      <c r="CP43" s="5" t="str">
        <f t="array" ref="CP43">IFERROR(IF('T1'!$J43="",INDEX(LISTA_EX,92),INDEX(LISTA_EX,MATCH('T1'!$J43&amp;"|"&amp;92,LISTA_KLUCZ,0))),"")</f>
        <v>Jefferson cable</v>
      </c>
      <c r="CQ43" s="5" t="str">
        <f t="array" ref="CQ43">IFERROR(IF('T1'!$J43="",INDEX(LISTA_EX,93),INDEX(LISTA_EX,MATCH('T1'!$J43&amp;"|"&amp;93,LISTA_KLUCZ,0))),"")</f>
        <v>Kettlebell march</v>
      </c>
      <c r="CR43" s="5" t="str">
        <f t="array" ref="CR43">IFERROR(IF('T1'!$J43="",INDEX(LISTA_EX,94),INDEX(LISTA_EX,MATCH('T1'!$J43&amp;"|"&amp;94,LISTA_KLUCZ,0))),"")</f>
        <v>Kickbacks</v>
      </c>
      <c r="CS43" s="5" t="str">
        <f t="array" ref="CS43">IFERROR(IF('T1'!$J43="",INDEX(LISTA_EX,95),INDEX(LISTA_EX,MATCH('T1'!$J43&amp;"|"&amp;95,LISTA_KLUCZ,0))),"")</f>
        <v>Knee extension machine</v>
      </c>
      <c r="CT43" s="5" t="str">
        <f t="array" ref="CT43">IFERROR(IF('T1'!$J43="",INDEX(LISTA_EX,96),INDEX(LISTA_EX,MATCH('T1'!$J43&amp;"|"&amp;96,LISTA_KLUCZ,0))),"")</f>
        <v>Knee flexion machine</v>
      </c>
      <c r="CU43" s="5" t="str">
        <f t="array" ref="CU43">IFERROR(IF('T1'!$J43="",INDEX(LISTA_EX,97),INDEX(LISTA_EX,MATCH('T1'!$J43&amp;"|"&amp;97,LISTA_KLUCZ,0))),"")</f>
        <v>Knee raises</v>
      </c>
      <c r="CV43" s="5" t="str">
        <f t="array" ref="CV43">IFERROR(IF('T1'!$J43="",INDEX(LISTA_EX,98),INDEX(LISTA_EX,MATCH('T1'!$J43&amp;"|"&amp;98,LISTA_KLUCZ,0))),"")</f>
        <v>Landmine core</v>
      </c>
      <c r="CW43" s="5" t="str">
        <f t="array" ref="CW43">IFERROR(IF('T1'!$J43="",INDEX(LISTA_EX,99),INDEX(LISTA_EX,MATCH('T1'!$J43&amp;"|"&amp;99,LISTA_KLUCZ,0))),"")</f>
        <v>Landmine press</v>
      </c>
      <c r="CX43" s="5" t="str">
        <f t="array" ref="CX43">IFERROR(IF('T1'!$J43="",INDEX(LISTA_EX,100),INDEX(LISTA_EX,MATCH('T1'!$J43&amp;"|"&amp;100,LISTA_KLUCZ,0))),"")</f>
        <v>Landmine rotations (powtórzenia x2)</v>
      </c>
      <c r="CY43" s="5" t="str">
        <f t="array" ref="CY43">IFERROR(IF('T1'!$J43="",INDEX(LISTA_EX,101),INDEX(LISTA_EX,MATCH('T1'!$J43&amp;"|"&amp;101,LISTA_KLUCZ,0))),"")</f>
        <v>Landmine SLDL</v>
      </c>
      <c r="CZ43" s="5" t="str">
        <f t="array" ref="CZ43">IFERROR(IF('T1'!$J43="",INDEX(LISTA_EX,102),INDEX(LISTA_EX,MATCH('T1'!$J43&amp;"|"&amp;102,LISTA_KLUCZ,0))),"")</f>
        <v>Lat pulldown</v>
      </c>
      <c r="DA43" s="5" t="str">
        <f t="array" ref="DA43">IFERROR(IF('T1'!$J43="",INDEX(LISTA_EX,103),INDEX(LISTA_EX,MATCH('T1'!$J43&amp;"|"&amp;103,LISTA_KLUCZ,0))),"")</f>
        <v>Lat pulldown behind the head</v>
      </c>
      <c r="DB43" s="5" t="str">
        <f t="array" ref="DB43">IFERROR(IF('T1'!$J43="",INDEX(LISTA_EX,104),INDEX(LISTA_EX,MATCH('T1'!$J43&amp;"|"&amp;104,LISTA_KLUCZ,0))),"")</f>
        <v>Lat pulldown s/a</v>
      </c>
      <c r="DC43" s="5" t="str">
        <f t="array" ref="DC43">IFERROR(IF('T1'!$J43="",INDEX(LISTA_EX,105),INDEX(LISTA_EX,MATCH('T1'!$J43&amp;"|"&amp;105,LISTA_KLUCZ,0))),"")</f>
        <v>Lateral raise s/a</v>
      </c>
      <c r="DD43" s="5" t="str">
        <f t="array" ref="DD43">IFERROR(IF('T1'!$J43="",INDEX(LISTA_EX,106),INDEX(LISTA_EX,MATCH('T1'!$J43&amp;"|"&amp;106,LISTA_KLUCZ,0))),"")</f>
        <v>Lateral raises</v>
      </c>
      <c r="DE43" s="5" t="str">
        <f t="array" ref="DE43">IFERROR(IF('T1'!$J43="",INDEX(LISTA_EX,107),INDEX(LISTA_EX,MATCH('T1'!$J43&amp;"|"&amp;107,LISTA_KLUCZ,0))),"")</f>
        <v>Lateral raises 2</v>
      </c>
      <c r="DF43" s="5" t="str">
        <f t="array" ref="DF43">IFERROR(IF('T1'!$J43="",INDEX(LISTA_EX,108),INDEX(LISTA_EX,MATCH('T1'!$J43&amp;"|"&amp;108,LISTA_KLUCZ,0))),"")</f>
        <v>Lateral raises full ROM</v>
      </c>
      <c r="DG43" s="5" t="str">
        <f t="array" ref="DG43">IFERROR(IF('T1'!$J43="",INDEX(LISTA_EX,109),INDEX(LISTA_EX,MATCH('T1'!$J43&amp;"|"&amp;109,LISTA_KLUCZ,0))),"")</f>
        <v>Lateral raises hinged</v>
      </c>
      <c r="DH43" s="5" t="str">
        <f t="array" ref="DH43">IFERROR(IF('T1'!$J43="",INDEX(LISTA_EX,110),INDEX(LISTA_EX,MATCH('T1'!$J43&amp;"|"&amp;110,LISTA_KLUCZ,0))),"")</f>
        <v>Lateral raises incline s/a</v>
      </c>
      <c r="DI43" s="5" t="str">
        <f t="array" ref="DI43">IFERROR(IF('T1'!$J43="",INDEX(LISTA_EX,111),INDEX(LISTA_EX,MATCH('T1'!$J43&amp;"|"&amp;111,LISTA_KLUCZ,0))),"")</f>
        <v>Leg curl</v>
      </c>
      <c r="DJ43" s="5" t="str">
        <f t="array" ref="DJ43">IFERROR(IF('T1'!$J43="",INDEX(LISTA_EX,112),INDEX(LISTA_EX,MATCH('T1'!$J43&amp;"|"&amp;112,LISTA_KLUCZ,0))),"")</f>
        <v>Machine row</v>
      </c>
      <c r="DK43" s="5" t="str">
        <f t="array" ref="DK43">IFERROR(IF('T1'!$J43="",INDEX(LISTA_EX,113),INDEX(LISTA_EX,MATCH('T1'!$J43&amp;"|"&amp;113,LISTA_KLUCZ,0))),"")</f>
        <v>Machine row s/a</v>
      </c>
      <c r="DL43" s="5" t="str">
        <f t="array" ref="DL43">IFERROR(IF('T1'!$J43="",INDEX(LISTA_EX,114),INDEX(LISTA_EX,MATCH('T1'!$J43&amp;"|"&amp;114,LISTA_KLUCZ,0))),"")</f>
        <v>Meadows row</v>
      </c>
      <c r="DM43" s="5" t="str">
        <f t="array" ref="DM43">IFERROR(IF('T1'!$J43="",INDEX(LISTA_EX,115),INDEX(LISTA_EX,MATCH('T1'!$J43&amp;"|"&amp;115,LISTA_KLUCZ,0))),"")</f>
        <v>Med ball slam</v>
      </c>
      <c r="DN43" s="5" t="str">
        <f t="array" ref="DN43">IFERROR(IF('T1'!$J43="",INDEX(LISTA_EX,116),INDEX(LISTA_EX,MATCH('T1'!$J43&amp;"|"&amp;116,LISTA_KLUCZ,0))),"")</f>
        <v>OH skullcrushers</v>
      </c>
      <c r="DO43" s="5" t="str">
        <f t="array" ref="DO43">IFERROR(IF('T1'!$J43="",INDEX(LISTA_EX,117),INDEX(LISTA_EX,MATCH('T1'!$J43&amp;"|"&amp;117,LISTA_KLUCZ,0))),"")</f>
        <v>OHP barbell squat 15kg</v>
      </c>
      <c r="DP43" s="5" t="str">
        <f t="array" ref="DP43">IFERROR(IF('T1'!$J43="",INDEX(LISTA_EX,118),INDEX(LISTA_EX,MATCH('T1'!$J43&amp;"|"&amp;118,LISTA_KLUCZ,0))),"")</f>
        <v>Pistol squat eccentric</v>
      </c>
      <c r="DQ43" s="5" t="str">
        <f t="array" ref="DQ43">IFERROR(IF('T1'!$J43="",INDEX(LISTA_EX,119),INDEX(LISTA_EX,MATCH('T1'!$J43&amp;"|"&amp;119,LISTA_KLUCZ,0))),"")</f>
        <v>Plank contralateral</v>
      </c>
      <c r="DR43" s="5" t="str">
        <f t="array" ref="DR43">IFERROR(IF('T1'!$J43="",INDEX(LISTA_EX,120),INDEX(LISTA_EX,MATCH('T1'!$J43&amp;"|"&amp;120,LISTA_KLUCZ,0))),"")</f>
        <v>Plank dumbbell rotation</v>
      </c>
      <c r="DS43" s="5" t="str">
        <f t="array" ref="DS43">IFERROR(IF('T1'!$J43="",INDEX(LISTA_EX,121),INDEX(LISTA_EX,MATCH('T1'!$J43&amp;"|"&amp;121,LISTA_KLUCZ,0))),"")</f>
        <v>Plank leg raises</v>
      </c>
      <c r="DT43" s="5" t="str">
        <f t="array" ref="DT43">IFERROR(IF('T1'!$J43="",INDEX(LISTA_EX,122),INDEX(LISTA_EX,MATCH('T1'!$J43&amp;"|"&amp;122,LISTA_KLUCZ,0))),"")</f>
        <v>Poliquin step up</v>
      </c>
      <c r="DU43" s="5" t="str">
        <f t="array" ref="DU43">IFERROR(IF('T1'!$J43="",INDEX(LISTA_EX,123),INDEX(LISTA_EX,MATCH('T1'!$J43&amp;"|"&amp;123,LISTA_KLUCZ,0))),"")</f>
        <v>Poliquin step up paused 3sec</v>
      </c>
      <c r="DV43" s="5" t="str">
        <f t="array" ref="DV43">IFERROR(IF('T1'!$J43="",INDEX(LISTA_EX,124),INDEX(LISTA_EX,MATCH('T1'!$J43&amp;"|"&amp;124,LISTA_KLUCZ,0))),"")</f>
        <v>Pronation/Supination</v>
      </c>
      <c r="DW43" s="5" t="str">
        <f t="array" ref="DW43">IFERROR(IF('T1'!$J43="",INDEX(LISTA_EX,125),INDEX(LISTA_EX,MATCH('T1'!$J43&amp;"|"&amp;125,LISTA_KLUCZ,0))),"")</f>
        <v>Pull up</v>
      </c>
      <c r="DX43" s="5" t="str">
        <f t="array" ref="DX43">IFERROR(IF('T1'!$J43="",INDEX(LISTA_EX,126),INDEX(LISTA_EX,MATCH('T1'!$J43&amp;"|"&amp;126,LISTA_KLUCZ,0))),"")</f>
        <v>Pull up eccentric weighted</v>
      </c>
      <c r="DY43" s="5" t="str">
        <f t="array" ref="DY43">IFERROR(IF('T1'!$J43="",INDEX(LISTA_EX,127),INDEX(LISTA_EX,MATCH('T1'!$J43&amp;"|"&amp;127,LISTA_KLUCZ,0))),"")</f>
        <v>Pull up eccentric weighted (5 sek w dół)</v>
      </c>
      <c r="DZ43" s="5" t="str">
        <f t="array" ref="DZ43">IFERROR(IF('T1'!$J43="",INDEX(LISTA_EX,128),INDEX(LISTA_EX,MATCH('T1'!$J43&amp;"|"&amp;128,LISTA_KLUCZ,0))),"")</f>
        <v>Pull up weighted</v>
      </c>
      <c r="EA43" s="5" t="str">
        <f t="array" ref="EA43">IFERROR(IF('T1'!$J43="",INDEX(LISTA_EX,129),INDEX(LISTA_EX,MATCH('T1'!$J43&amp;"|"&amp;129,LISTA_KLUCZ,0))),"")</f>
        <v>Pull ups (paused)</v>
      </c>
      <c r="EB43" s="5" t="str">
        <f t="array" ref="EB43">IFERROR(IF('T1'!$J43="",INDEX(LISTA_EX,130),INDEX(LISTA_EX,MATCH('T1'!$J43&amp;"|"&amp;130,LISTA_KLUCZ,0))),"")</f>
        <v>Push press barbell</v>
      </c>
      <c r="EC43" s="5" t="str">
        <f t="array" ref="EC43">IFERROR(IF('T1'!$J43="",INDEX(LISTA_EX,131),INDEX(LISTA_EX,MATCH('T1'!$J43&amp;"|"&amp;131,LISTA_KLUCZ,0))),"")</f>
        <v>Push up</v>
      </c>
      <c r="ED43" s="5" t="str">
        <f t="array" ref="ED43">IFERROR(IF('T1'!$J43="",INDEX(LISTA_EX,132),INDEX(LISTA_EX,MATCH('T1'!$J43&amp;"|"&amp;132,LISTA_KLUCZ,0))),"")</f>
        <v>Raised bird dog</v>
      </c>
      <c r="EE43" s="5" t="str">
        <f t="array" ref="EE43">IFERROR(IF('T1'!$J43="",INDEX(LISTA_EX,133),INDEX(LISTA_EX,MATCH('T1'!$J43&amp;"|"&amp;133,LISTA_KLUCZ,0))),"")</f>
        <v>RDL</v>
      </c>
      <c r="EF43" s="5" t="str">
        <f t="array" ref="EF43">IFERROR(IF('T1'!$J43="",INDEX(LISTA_EX,134),INDEX(LISTA_EX,MATCH('T1'!$J43&amp;"|"&amp;134,LISTA_KLUCZ,0))),"")</f>
        <v>Reverse Nordic</v>
      </c>
      <c r="EG43" s="5" t="str">
        <f t="array" ref="EG43">IFERROR(IF('T1'!$J43="",INDEX(LISTA_EX,135),INDEX(LISTA_EX,MATCH('T1'!$J43&amp;"|"&amp;135,LISTA_KLUCZ,0))),"")</f>
        <v>Rope pushdown</v>
      </c>
      <c r="EH43" s="5" t="str">
        <f t="array" ref="EH43">IFERROR(IF('T1'!$J43="",INDEX(LISTA_EX,136),INDEX(LISTA_EX,MATCH('T1'!$J43&amp;"|"&amp;136,LISTA_KLUCZ,0))),"")</f>
        <v>Rope pushdown OH</v>
      </c>
      <c r="EI43" s="5" t="str">
        <f t="array" ref="EI43">IFERROR(IF('T1'!$J43="",INDEX(LISTA_EX,137),INDEX(LISTA_EX,MATCH('T1'!$J43&amp;"|"&amp;137,LISTA_KLUCZ,0))),"")</f>
        <v>S/a cable pulldown incline bench</v>
      </c>
      <c r="EJ43" s="5" t="str">
        <f t="array" ref="EJ43">IFERROR(IF('T1'!$J43="",INDEX(LISTA_EX,138),INDEX(LISTA_EX,MATCH('T1'!$J43&amp;"|"&amp;138,LISTA_KLUCZ,0))),"")</f>
        <v>S/a lat pulldown incline bench</v>
      </c>
      <c r="EK43" s="5" t="str">
        <f t="array" ref="EK43">IFERROR(IF('T1'!$J43="",INDEX(LISTA_EX,139),INDEX(LISTA_EX,MATCH('T1'!$J43&amp;"|"&amp;139,LISTA_KLUCZ,0))),"")</f>
        <v>S/l dragonflag eccentric</v>
      </c>
      <c r="EL43" s="5" t="str">
        <f t="array" ref="EL43">IFERROR(IF('T1'!$J43="",INDEX(LISTA_EX,140),INDEX(LISTA_EX,MATCH('T1'!$J43&amp;"|"&amp;140,LISTA_KLUCZ,0))),"")</f>
        <v>S/l hip thrust</v>
      </c>
      <c r="EM43" s="5" t="str">
        <f t="array" ref="EM43">IFERROR(IF('T1'!$J43="",INDEX(LISTA_EX,141),INDEX(LISTA_EX,MATCH('T1'!$J43&amp;"|"&amp;141,LISTA_KLUCZ,0))),"")</f>
        <v>Seated broad jump</v>
      </c>
      <c r="EN43" s="5" t="str">
        <f t="array" ref="EN43">IFERROR(IF('T1'!$J43="",INDEX(LISTA_EX,142),INDEX(LISTA_EX,MATCH('T1'!$J43&amp;"|"&amp;142,LISTA_KLUCZ,0))),"")</f>
        <v>Seated cable facepull</v>
      </c>
      <c r="EO43" s="5" t="str">
        <f t="array" ref="EO43">IFERROR(IF('T1'!$J43="",INDEX(LISTA_EX,143),INDEX(LISTA_EX,MATCH('T1'!$J43&amp;"|"&amp;143,LISTA_KLUCZ,0))),"")</f>
        <v>Seated seesaw press (nogi proste)</v>
      </c>
      <c r="EP43" s="5" t="str">
        <f t="array" ref="EP43">IFERROR(IF('T1'!$J43="",INDEX(LISTA_EX,144),INDEX(LISTA_EX,MATCH('T1'!$J43&amp;"|"&amp;144,LISTA_KLUCZ,0))),"")</f>
        <v>Seesaw press</v>
      </c>
      <c r="EQ43" s="5" t="str">
        <f t="array" ref="EQ43">IFERROR(IF('T1'!$J43="",INDEX(LISTA_EX,145),INDEX(LISTA_EX,MATCH('T1'!$J43&amp;"|"&amp;145,LISTA_KLUCZ,0))),"")</f>
        <v>Side crunches</v>
      </c>
      <c r="ER43" s="5" t="str">
        <f t="array" ref="ER43">IFERROR(IF('T1'!$J43="",INDEX(LISTA_EX,146),INDEX(LISTA_EX,MATCH('T1'!$J43&amp;"|"&amp;146,LISTA_KLUCZ,0))),"")</f>
        <v>Side plank hip drop</v>
      </c>
      <c r="ES43" s="5" t="str">
        <f t="array" ref="ES43">IFERROR(IF('T1'!$J43="",INDEX(LISTA_EX,147),INDEX(LISTA_EX,MATCH('T1'!$J43&amp;"|"&amp;147,LISTA_KLUCZ,0))),"")</f>
        <v>Side plank rotations</v>
      </c>
      <c r="ET43" s="5" t="str">
        <f t="array" ref="ET43">IFERROR(IF('T1'!$J43="",INDEX(LISTA_EX,148),INDEX(LISTA_EX,MATCH('T1'!$J43&amp;"|"&amp;148,LISTA_KLUCZ,0))),"")</f>
        <v>SLDL balance</v>
      </c>
      <c r="EU43" s="5" t="str">
        <f t="array" ref="EU43">IFERROR(IF('T1'!$J43="",INDEX(LISTA_EX,149),INDEX(LISTA_EX,MATCH('T1'!$J43&amp;"|"&amp;149,LISTA_KLUCZ,0))),"")</f>
        <v>Split squat</v>
      </c>
      <c r="EV43" s="5" t="str">
        <f t="array" ref="EV43">IFERROR(IF('T1'!$J43="",INDEX(LISTA_EX,150),INDEX(LISTA_EX,MATCH('T1'!$J43&amp;"|"&amp;150,LISTA_KLUCZ,0))),"")</f>
        <v>Split stance SLDL</v>
      </c>
      <c r="EW43" s="5" t="str">
        <f t="array" ref="EW43">IFERROR(IF('T1'!$J43="",INDEX(LISTA_EX,151),INDEX(LISTA_EX,MATCH('T1'!$J43&amp;"|"&amp;151,LISTA_KLUCZ,0))),"")</f>
        <v>Squat izo (15 sek)</v>
      </c>
      <c r="EX43" s="5" t="str">
        <f t="array" ref="EX43">IFERROR(IF('T1'!$J43="",INDEX(LISTA_EX,152),INDEX(LISTA_EX,MATCH('T1'!$J43&amp;"|"&amp;152,LISTA_KLUCZ,0))),"")</f>
        <v>Standing landmine press</v>
      </c>
      <c r="EY43" s="5" t="str">
        <f t="array" ref="EY43">IFERROR(IF('T1'!$J43="",INDEX(LISTA_EX,153),INDEX(LISTA_EX,MATCH('T1'!$J43&amp;"|"&amp;153,LISTA_KLUCZ,0))),"")</f>
        <v>Suitcase carry</v>
      </c>
      <c r="EZ43" s="5" t="str">
        <f t="array" ref="EZ43">IFERROR(IF('T1'!$J43="",INDEX(LISTA_EX,154),INDEX(LISTA_EX,MATCH('T1'!$J43&amp;"|"&amp;154,LISTA_KLUCZ,0))),"")</f>
        <v>Supine pigeon abs</v>
      </c>
      <c r="FA43" s="5" t="str">
        <f t="array" ref="FA43">IFERROR(IF('T1'!$J43="",INDEX(LISTA_EX,155),INDEX(LISTA_EX,MATCH('T1'!$J43&amp;"|"&amp;155,LISTA_KLUCZ,0))),"")</f>
        <v>Swiss ball leg curl</v>
      </c>
      <c r="FB43" s="5" t="str">
        <f t="array" ref="FB43">IFERROR(IF('T1'!$J43="",INDEX(LISTA_EX,156),INDEX(LISTA_EX,MATCH('T1'!$J43&amp;"|"&amp;156,LISTA_KLUCZ,0))),"")</f>
        <v>Toes to bar</v>
      </c>
      <c r="FC43" s="5" t="str">
        <f t="array" ref="FC43">IFERROR(IF('T1'!$J43="",INDEX(LISTA_EX,157),INDEX(LISTA_EX,MATCH('T1'!$J43&amp;"|"&amp;157,LISTA_KLUCZ,0))),"")</f>
        <v>Trap bar deadlift</v>
      </c>
      <c r="FD43" s="5" t="str">
        <f t="array" ref="FD43">IFERROR(IF('T1'!$J43="",INDEX(LISTA_EX,158),INDEX(LISTA_EX,MATCH('T1'!$J43&amp;"|"&amp;158,LISTA_KLUCZ,0))),"")</f>
        <v>Tricep cable pushdown</v>
      </c>
      <c r="FE43" s="5" t="str">
        <f t="array" ref="FE43">IFERROR(IF('T1'!$J43="",INDEX(LISTA_EX,159),INDEX(LISTA_EX,MATCH('T1'!$J43&amp;"|"&amp;159,LISTA_KLUCZ,0))),"")</f>
        <v>Tricep JM press</v>
      </c>
      <c r="FF43" s="5" t="str">
        <f t="array" ref="FF43">IFERROR(IF('T1'!$J43="",INDEX(LISTA_EX,160),INDEX(LISTA_EX,MATCH('T1'!$J43&amp;"|"&amp;160,LISTA_KLUCZ,0))),"")</f>
        <v>Tricep OH cable</v>
      </c>
      <c r="FG43" s="5" t="str">
        <f t="array" ref="FG43">IFERROR(IF('T1'!$J43="",INDEX(LISTA_EX,161),INDEX(LISTA_EX,MATCH('T1'!$J43&amp;"|"&amp;161,LISTA_KLUCZ,0))),"")</f>
        <v>Tricep OH ez bar</v>
      </c>
      <c r="FH43" s="5" t="str">
        <f t="array" ref="FH43">IFERROR(IF('T1'!$J43="",INDEX(LISTA_EX,162),INDEX(LISTA_EX,MATCH('T1'!$J43&amp;"|"&amp;162,LISTA_KLUCZ,0))),"")</f>
        <v>Walking lunges</v>
      </c>
      <c r="FI43" s="5" t="str">
        <f t="array" ref="FI43">IFERROR(IF('T1'!$J43="",INDEX(LISTA_EX,163),INDEX(LISTA_EX,MATCH('T1'!$J43&amp;"|"&amp;163,LISTA_KLUCZ,0))),"")</f>
        <v>Wipers kettle</v>
      </c>
      <c r="FJ43" s="5" t="str">
        <f t="array" ref="FJ43">IFERROR(IF('T1'!$J43="",INDEX(LISTA_EX,164),INDEX(LISTA_EX,MATCH('T1'!$J43&amp;"|"&amp;164,LISTA_KLUCZ,0))),"")</f>
        <v>Zercher jumps</v>
      </c>
      <c r="FK43" s="5" t="str">
        <f t="array" ref="FK43">IFERROR(IF('T1'!$J43="",INDEX(LISTA_EX,165),INDEX(LISTA_EX,MATCH('T1'!$J43&amp;"|"&amp;165,LISTA_KLUCZ,0))),"")</f>
        <v/>
      </c>
      <c r="FL43" s="5" t="str">
        <f t="array" ref="FL43">IFERROR(IF('T1'!$J43="",INDEX(LISTA_EX,166),INDEX(LISTA_EX,MATCH('T1'!$J43&amp;"|"&amp;166,LISTA_KLUCZ,0))),"")</f>
        <v/>
      </c>
      <c r="FM43" s="5" t="str">
        <f t="array" ref="FM43">IFERROR(IF('T1'!$J43="",INDEX(LISTA_EX,167),INDEX(LISTA_EX,MATCH('T1'!$J43&amp;"|"&amp;167,LISTA_KLUCZ,0))),"")</f>
        <v/>
      </c>
      <c r="FN43" s="5" t="str">
        <f t="array" ref="FN43">IFERROR(IF('T1'!$J43="",INDEX(LISTA_EX,168),INDEX(LISTA_EX,MATCH('T1'!$J43&amp;"|"&amp;168,LISTA_KLUCZ,0))),"")</f>
        <v/>
      </c>
      <c r="FO43" s="5" t="str">
        <f t="array" ref="FO43">IFERROR(IF('T1'!$J43="",INDEX(LISTA_EX,169),INDEX(LISTA_EX,MATCH('T1'!$J43&amp;"|"&amp;169,LISTA_KLUCZ,0))),"")</f>
        <v/>
      </c>
      <c r="FP43" s="5" t="str">
        <f t="array" ref="FP43">IFERROR(IF('T1'!$J43="",INDEX(LISTA_EX,170),INDEX(LISTA_EX,MATCH('T1'!$J43&amp;"|"&amp;170,LISTA_KLUCZ,0))),"")</f>
        <v/>
      </c>
      <c r="FQ43" s="5" t="str">
        <f t="array" ref="FQ43">IFERROR(IF('T1'!$J43="",INDEX(LISTA_EX,171),INDEX(LISTA_EX,MATCH('T1'!$J43&amp;"|"&amp;171,LISTA_KLUCZ,0))),"")</f>
        <v/>
      </c>
      <c r="FR43" s="5" t="str">
        <f t="array" ref="FR43">IFERROR(IF('T1'!$J43="",INDEX(LISTA_EX,172),INDEX(LISTA_EX,MATCH('T1'!$J43&amp;"|"&amp;172,LISTA_KLUCZ,0))),"")</f>
        <v/>
      </c>
      <c r="FS43" s="5" t="str">
        <f t="array" ref="FS43">IFERROR(IF('T1'!$J43="",INDEX(LISTA_EX,173),INDEX(LISTA_EX,MATCH('T1'!$J43&amp;"|"&amp;173,LISTA_KLUCZ,0))),"")</f>
        <v/>
      </c>
      <c r="FT43" s="5" t="str">
        <f t="array" ref="FT43">IFERROR(IF('T1'!$J43="",INDEX(LISTA_EX,174),INDEX(LISTA_EX,MATCH('T1'!$J43&amp;"|"&amp;174,LISTA_KLUCZ,0))),"")</f>
        <v/>
      </c>
      <c r="FU43" s="5" t="str">
        <f t="array" ref="FU43">IFERROR(IF('T1'!$J43="",INDEX(LISTA_EX,175),INDEX(LISTA_EX,MATCH('T1'!$J43&amp;"|"&amp;175,LISTA_KLUCZ,0))),"")</f>
        <v/>
      </c>
      <c r="FV43" s="5" t="str">
        <f t="array" ref="FV43">IFERROR(IF('T1'!$J43="",INDEX(LISTA_EX,176),INDEX(LISTA_EX,MATCH('T1'!$J43&amp;"|"&amp;176,LISTA_KLUCZ,0))),"")</f>
        <v/>
      </c>
      <c r="FW43" s="5" t="str">
        <f t="array" ref="FW43">IFERROR(IF('T1'!$J43="",INDEX(LISTA_EX,177),INDEX(LISTA_EX,MATCH('T1'!$J43&amp;"|"&amp;177,LISTA_KLUCZ,0))),"")</f>
        <v/>
      </c>
      <c r="FX43" s="5" t="str">
        <f t="array" ref="FX43">IFERROR(IF('T1'!$J43="",INDEX(LISTA_EX,178),INDEX(LISTA_EX,MATCH('T1'!$J43&amp;"|"&amp;178,LISTA_KLUCZ,0))),"")</f>
        <v/>
      </c>
      <c r="FY43" s="5" t="str">
        <f t="array" ref="FY43">IFERROR(IF('T1'!$J43="",INDEX(LISTA_EX,179),INDEX(LISTA_EX,MATCH('T1'!$J43&amp;"|"&amp;179,LISTA_KLUCZ,0))),"")</f>
        <v/>
      </c>
      <c r="FZ43" s="5" t="str">
        <f t="array" ref="FZ43">IFERROR(IF('T1'!$J43="",INDEX(LISTA_EX,180),INDEX(LISTA_EX,MATCH('T1'!$J43&amp;"|"&amp;180,LISTA_KLUCZ,0))),"")</f>
        <v/>
      </c>
      <c r="GA43" s="5" t="str">
        <f t="array" ref="GA43">IFERROR(IF('T1'!$J43="",INDEX(LISTA_EX,181),INDEX(LISTA_EX,MATCH('T1'!$J43&amp;"|"&amp;181,LISTA_KLUCZ,0))),"")</f>
        <v/>
      </c>
      <c r="GB43" s="5" t="str">
        <f t="array" ref="GB43">IFERROR(IF('T1'!$J43="",INDEX(LISTA_EX,182),INDEX(LISTA_EX,MATCH('T1'!$J43&amp;"|"&amp;182,LISTA_KLUCZ,0))),"")</f>
        <v/>
      </c>
      <c r="GC43" s="5" t="str">
        <f t="array" ref="GC43">IFERROR(IF('T1'!$J43="",INDEX(LISTA_EX,183),INDEX(LISTA_EX,MATCH('T1'!$J43&amp;"|"&amp;183,LISTA_KLUCZ,0))),"")</f>
        <v/>
      </c>
      <c r="GD43" s="5" t="str">
        <f t="array" ref="GD43">IFERROR(IF('T1'!$J43="",INDEX(LISTA_EX,184),INDEX(LISTA_EX,MATCH('T1'!$J43&amp;"|"&amp;184,LISTA_KLUCZ,0))),"")</f>
        <v/>
      </c>
      <c r="GE43" s="5" t="str">
        <f t="array" ref="GE43">IFERROR(IF('T1'!$J43="",INDEX(LISTA_EX,185),INDEX(LISTA_EX,MATCH('T1'!$J43&amp;"|"&amp;185,LISTA_KLUCZ,0))),"")</f>
        <v/>
      </c>
      <c r="GF43" s="5" t="str">
        <f t="array" ref="GF43">IFERROR(IF('T1'!$J43="",INDEX(LISTA_EX,186),INDEX(LISTA_EX,MATCH('T1'!$J43&amp;"|"&amp;186,LISTA_KLUCZ,0))),"")</f>
        <v/>
      </c>
      <c r="GG43" s="5" t="str">
        <f t="array" ref="GG43">IFERROR(IF('T1'!$J43="",INDEX(LISTA_EX,187),INDEX(LISTA_EX,MATCH('T1'!$J43&amp;"|"&amp;187,LISTA_KLUCZ,0))),"")</f>
        <v/>
      </c>
      <c r="GH43" s="5" t="str">
        <f t="array" ref="GH43">IFERROR(IF('T1'!$J43="",INDEX(LISTA_EX,188),INDEX(LISTA_EX,MATCH('T1'!$J43&amp;"|"&amp;188,LISTA_KLUCZ,0))),"")</f>
        <v/>
      </c>
      <c r="GI43" s="5" t="str">
        <f t="array" ref="GI43">IFERROR(IF('T1'!$J43="",INDEX(LISTA_EX,189),INDEX(LISTA_EX,MATCH('T1'!$J43&amp;"|"&amp;189,LISTA_KLUCZ,0))),"")</f>
        <v/>
      </c>
      <c r="GJ43" s="5" t="str">
        <f t="array" ref="GJ43">IFERROR(IF('T1'!$J43="",INDEX(LISTA_EX,190),INDEX(LISTA_EX,MATCH('T1'!$J43&amp;"|"&amp;190,LISTA_KLUCZ,0))),"")</f>
        <v/>
      </c>
      <c r="GK43" s="5" t="str">
        <f t="array" ref="GK43">IFERROR(IF('T1'!$J43="",INDEX(LISTA_EX,191),INDEX(LISTA_EX,MATCH('T1'!$J43&amp;"|"&amp;191,LISTA_KLUCZ,0))),"")</f>
        <v/>
      </c>
      <c r="GL43" s="5" t="str">
        <f t="array" ref="GL43">IFERROR(IF('T1'!$J43="",INDEX(LISTA_EX,192),INDEX(LISTA_EX,MATCH('T1'!$J43&amp;"|"&amp;192,LISTA_KLUCZ,0))),"")</f>
        <v/>
      </c>
      <c r="GM43" s="5" t="str">
        <f t="array" ref="GM43">IFERROR(IF('T1'!$J43="",INDEX(LISTA_EX,193),INDEX(LISTA_EX,MATCH('T1'!$J43&amp;"|"&amp;193,LISTA_KLUCZ,0))),"")</f>
        <v/>
      </c>
      <c r="GN43" s="5" t="str">
        <f t="array" ref="GN43">IFERROR(IF('T1'!$J43="",INDEX(LISTA_EX,194),INDEX(LISTA_EX,MATCH('T1'!$J43&amp;"|"&amp;194,LISTA_KLUCZ,0))),"")</f>
        <v/>
      </c>
      <c r="GO43" s="5" t="str">
        <f t="array" ref="GO43">IFERROR(IF('T1'!$J43="",INDEX(LISTA_EX,195),INDEX(LISTA_EX,MATCH('T1'!$J43&amp;"|"&amp;195,LISTA_KLUCZ,0))),"")</f>
        <v/>
      </c>
      <c r="GP43" s="5" t="str">
        <f t="array" ref="GP43">IFERROR(IF('T1'!$J43="",INDEX(LISTA_EX,196),INDEX(LISTA_EX,MATCH('T1'!$J43&amp;"|"&amp;196,LISTA_KLUCZ,0))),"")</f>
        <v/>
      </c>
      <c r="GQ43" s="5" t="str">
        <f t="array" ref="GQ43">IFERROR(IF('T1'!$J43="",INDEX(LISTA_EX,197),INDEX(LISTA_EX,MATCH('T1'!$J43&amp;"|"&amp;197,LISTA_KLUCZ,0))),"")</f>
        <v/>
      </c>
      <c r="GR43" s="5" t="str">
        <f t="array" ref="GR43">IFERROR(IF('T1'!$J43="",INDEX(LISTA_EX,198),INDEX(LISTA_EX,MATCH('T1'!$J43&amp;"|"&amp;198,LISTA_KLUCZ,0))),"")</f>
        <v/>
      </c>
      <c r="GS43" s="5" t="str">
        <f t="array" ref="GS43">IFERROR(IF('T1'!$J43="",INDEX(LISTA_EX,199),INDEX(LISTA_EX,MATCH('T1'!$J43&amp;"|"&amp;199,LISTA_KLUCZ,0))),"")</f>
        <v/>
      </c>
      <c r="GT43" s="5" t="str">
        <f t="array" ref="GT43">IFERROR(IF('T1'!$J43="",INDEX(LISTA_EX,200),INDEX(LISTA_EX,MATCH('T1'!$J43&amp;"|"&amp;200,LISTA_KLUCZ,0))),"")</f>
        <v/>
      </c>
      <c r="GV43" s="5" t="str">
        <f>IF(BAZA!$A43="","",BAZA!$A43)</f>
        <v>Deadbug OH</v>
      </c>
      <c r="GW43" s="5" t="str">
        <f>IF(BAZA!$B43="","",BAZA!$B43&amp;"|"&amp;COUNTIF(BAZA!$B$3:$B43,BAZA!$B43))</f>
        <v>Core|8</v>
      </c>
    </row>
    <row r="44" ht="15.0" customHeight="1">
      <c r="A44" s="5" t="str">
        <f>IF('T1'!$K44="","",'T1'!$K44)</f>
        <v>D3-S06</v>
      </c>
      <c r="B44" s="5" t="str">
        <f>IF('T1'!$J44="","(wszystkie)",'T1'!$J44)</f>
        <v>(wszystkie)</v>
      </c>
      <c r="C44" s="5" t="str">
        <f t="array" ref="C44">IFERROR(IF('T1'!$J44="",INDEX(LISTA_EX,1),INDEX(LISTA_EX,MATCH('T1'!$J44&amp;"|"&amp;1,LISTA_KLUCZ,0))),"")</f>
        <v>Abduction machine</v>
      </c>
      <c r="D44" s="5" t="str">
        <f t="array" ref="D44">IFERROR(IF('T1'!$J44="",INDEX(LISTA_EX,2),INDEX(LISTA_EX,MATCH('T1'!$J44&amp;"|"&amp;2,LISTA_KLUCZ,0))),"")</f>
        <v>Adduction machine</v>
      </c>
      <c r="E44" s="5" t="str">
        <f t="array" ref="E44">IFERROR(IF('T1'!$J44="",INDEX(LISTA_EX,3),INDEX(LISTA_EX,MATCH('T1'!$J44&amp;"|"&amp;3,LISTA_KLUCZ,0))),"")</f>
        <v>Allah</v>
      </c>
      <c r="F44" s="5" t="str">
        <f t="array" ref="F44">IFERROR(IF('T1'!$J44="",INDEX(LISTA_EX,4),INDEX(LISTA_EX,MATCH('T1'!$J44&amp;"|"&amp;4,LISTA_KLUCZ,0))),"")</f>
        <v>Arnold press</v>
      </c>
      <c r="G44" s="5" t="str">
        <f t="array" ref="G44">IFERROR(IF('T1'!$J44="",INDEX(LISTA_EX,5),INDEX(LISTA_EX,MATCH('T1'!$J44&amp;"|"&amp;5,LISTA_KLUCZ,0))),"")</f>
        <v>Arnold press alternating</v>
      </c>
      <c r="H44" s="5" t="str">
        <f t="array" ref="H44">IFERROR(IF('T1'!$J44="",INDEX(LISTA_EX,6),INDEX(LISTA_EX,MATCH('T1'!$J44&amp;"|"&amp;6,LISTA_KLUCZ,0))),"")</f>
        <v>B/l dragonflag eccentric</v>
      </c>
      <c r="I44" s="5" t="str">
        <f t="array" ref="I44">IFERROR(IF('T1'!$J44="",INDEX(LISTA_EX,7),INDEX(LISTA_EX,MATCH('T1'!$J44&amp;"|"&amp;7,LISTA_KLUCZ,0))),"")</f>
        <v>Back extension</v>
      </c>
      <c r="J44" s="5" t="str">
        <f t="array" ref="J44">IFERROR(IF('T1'!$J44="",INDEX(LISTA_EX,8),INDEX(LISTA_EX,MATCH('T1'!$J44&amp;"|"&amp;8,LISTA_KLUCZ,0))),"")</f>
        <v>Banded pistol squat</v>
      </c>
      <c r="K44" s="5" t="str">
        <f t="array" ref="K44">IFERROR(IF('T1'!$J44="",INDEX(LISTA_EX,9),INDEX(LISTA_EX,MATCH('T1'!$J44&amp;"|"&amp;9,LISTA_KLUCZ,0))),"")</f>
        <v>Banded pull ups</v>
      </c>
      <c r="L44" s="5" t="str">
        <f t="array" ref="L44">IFERROR(IF('T1'!$J44="",INDEX(LISTA_EX,10),INDEX(LISTA_EX,MATCH('T1'!$J44&amp;"|"&amp;10,LISTA_KLUCZ,0))),"")</f>
        <v>Barbell back squat</v>
      </c>
      <c r="M44" s="5" t="str">
        <f t="array" ref="M44">IFERROR(IF('T1'!$J44="",INDEX(LISTA_EX,11),INDEX(LISTA_EX,MATCH('T1'!$J44&amp;"|"&amp;11,LISTA_KLUCZ,0))),"")</f>
        <v>Barbell bench press</v>
      </c>
      <c r="N44" s="5" t="str">
        <f t="array" ref="N44">IFERROR(IF('T1'!$J44="",INDEX(LISTA_EX,12),INDEX(LISTA_EX,MATCH('T1'!$J44&amp;"|"&amp;12,LISTA_KLUCZ,0))),"")</f>
        <v>Barbell curl</v>
      </c>
      <c r="O44" s="5" t="str">
        <f t="array" ref="O44">IFERROR(IF('T1'!$J44="",INDEX(LISTA_EX,13),INDEX(LISTA_EX,MATCH('T1'!$J44&amp;"|"&amp;13,LISTA_KLUCZ,0))),"")</f>
        <v>Barbell low bar squat</v>
      </c>
      <c r="P44" s="5" t="str">
        <f t="array" ref="P44">IFERROR(IF('T1'!$J44="",INDEX(LISTA_EX,14),INDEX(LISTA_EX,MATCH('T1'!$J44&amp;"|"&amp;14,LISTA_KLUCZ,0))),"")</f>
        <v>Barbell OHP</v>
      </c>
      <c r="Q44" s="5" t="str">
        <f t="array" ref="Q44">IFERROR(IF('T1'!$J44="",INDEX(LISTA_EX,15),INDEX(LISTA_EX,MATCH('T1'!$J44&amp;"|"&amp;15,LISTA_KLUCZ,0))),"")</f>
        <v>Barbell oscilation</v>
      </c>
      <c r="R44" s="5" t="str">
        <f t="array" ref="R44">IFERROR(IF('T1'!$J44="",INDEX(LISTA_EX,16),INDEX(LISTA_EX,MATCH('T1'!$J44&amp;"|"&amp;16,LISTA_KLUCZ,0))),"")</f>
        <v>Barbell row</v>
      </c>
      <c r="S44" s="5" t="str">
        <f t="array" ref="S44">IFERROR(IF('T1'!$J44="",INDEX(LISTA_EX,17),INDEX(LISTA_EX,MATCH('T1'!$J44&amp;"|"&amp;17,LISTA_KLUCZ,0))),"")</f>
        <v>Barbell row dead stop pins</v>
      </c>
      <c r="T44" s="5" t="str">
        <f t="array" ref="T44">IFERROR(IF('T1'!$J44="",INDEX(LISTA_EX,18),INDEX(LISTA_EX,MATCH('T1'!$J44&amp;"|"&amp;18,LISTA_KLUCZ,0))),"")</f>
        <v>Barbell SLDL</v>
      </c>
      <c r="U44" s="5" t="str">
        <f t="array" ref="U44">IFERROR(IF('T1'!$J44="",INDEX(LISTA_EX,19),INDEX(LISTA_EX,MATCH('T1'!$J44&amp;"|"&amp;19,LISTA_KLUCZ,0))),"")</f>
        <v>Bayesian curl</v>
      </c>
      <c r="V44" s="5" t="str">
        <f t="array" ref="V44">IFERROR(IF('T1'!$J44="",INDEX(LISTA_EX,20),INDEX(LISTA_EX,MATCH('T1'!$J44&amp;"|"&amp;20,LISTA_KLUCZ,0))),"")</f>
        <v>Bear renegade row</v>
      </c>
      <c r="W44" s="5" t="str">
        <f t="array" ref="W44">IFERROR(IF('T1'!$J44="",INDEX(LISTA_EX,21),INDEX(LISTA_EX,MATCH('T1'!$J44&amp;"|"&amp;21,LISTA_KLUCZ,0))),"")</f>
        <v>Bench press paused 3sec</v>
      </c>
      <c r="X44" s="5" t="str">
        <f t="array" ref="X44">IFERROR(IF('T1'!$J44="",INDEX(LISTA_EX,22),INDEX(LISTA_EX,MATCH('T1'!$J44&amp;"|"&amp;22,LISTA_KLUCZ,0))),"")</f>
        <v>Bicep hammer curl</v>
      </c>
      <c r="Y44" s="5" t="str">
        <f t="array" ref="Y44">IFERROR(IF('T1'!$J44="",INDEX(LISTA_EX,23),INDEX(LISTA_EX,MATCH('T1'!$J44&amp;"|"&amp;23,LISTA_KLUCZ,0))),"")</f>
        <v>Bicep squat cable curl</v>
      </c>
      <c r="Z44" s="5" t="str">
        <f t="array" ref="Z44">IFERROR(IF('T1'!$J44="",INDEX(LISTA_EX,24),INDEX(LISTA_EX,MATCH('T1'!$J44&amp;"|"&amp;24,LISTA_KLUCZ,0))),"")</f>
        <v>Bird dog row</v>
      </c>
      <c r="AA44" s="5" t="str">
        <f t="array" ref="AA44">IFERROR(IF('T1'!$J44="",INDEX(LISTA_EX,25),INDEX(LISTA_EX,MATCH('T1'!$J44&amp;"|"&amp;25,LISTA_KLUCZ,0))),"")</f>
        <v>Box jump</v>
      </c>
      <c r="AB44" s="5" t="str">
        <f t="array" ref="AB44">IFERROR(IF('T1'!$J44="",INDEX(LISTA_EX,26),INDEX(LISTA_EX,MATCH('T1'!$J44&amp;"|"&amp;26,LISTA_KLUCZ,0))),"")</f>
        <v>Bulgarian clean plyo</v>
      </c>
      <c r="AC44" s="5" t="str">
        <f t="array" ref="AC44">IFERROR(IF('T1'!$J44="",INDEX(LISTA_EX,27),INDEX(LISTA_EX,MATCH('T1'!$J44&amp;"|"&amp;27,LISTA_KLUCZ,0))),"")</f>
        <v>Bulgarian squat assisted</v>
      </c>
      <c r="AD44" s="5" t="str">
        <f t="array" ref="AD44">IFERROR(IF('T1'!$J44="",INDEX(LISTA_EX,28),INDEX(LISTA_EX,MATCH('T1'!$J44&amp;"|"&amp;28,LISTA_KLUCZ,0))),"")</f>
        <v>Cable biceps curl</v>
      </c>
      <c r="AE44" s="5" t="str">
        <f t="array" ref="AE44">IFERROR(IF('T1'!$J44="",INDEX(LISTA_EX,29),INDEX(LISTA_EX,MATCH('T1'!$J44&amp;"|"&amp;29,LISTA_KLUCZ,0))),"")</f>
        <v>Cable fly</v>
      </c>
      <c r="AF44" s="5" t="str">
        <f t="array" ref="AF44">IFERROR(IF('T1'!$J44="",INDEX(LISTA_EX,30),INDEX(LISTA_EX,MATCH('T1'!$J44&amp;"|"&amp;30,LISTA_KLUCZ,0))),"")</f>
        <v>Cable lateral raise s/a</v>
      </c>
      <c r="AG44" s="5" t="str">
        <f t="array" ref="AG44">IFERROR(IF('T1'!$J44="",INDEX(LISTA_EX,31),INDEX(LISTA_EX,MATCH('T1'!$J44&amp;"|"&amp;31,LISTA_KLUCZ,0))),"")</f>
        <v>Cable row</v>
      </c>
      <c r="AH44" s="5" t="str">
        <f t="array" ref="AH44">IFERROR(IF('T1'!$J44="",INDEX(LISTA_EX,32),INDEX(LISTA_EX,MATCH('T1'!$J44&amp;"|"&amp;32,LISTA_KLUCZ,0))),"")</f>
        <v>Cable row s/a</v>
      </c>
      <c r="AI44" s="5" t="str">
        <f t="array" ref="AI44">IFERROR(IF('T1'!$J44="",INDEX(LISTA_EX,33),INDEX(LISTA_EX,MATCH('T1'!$J44&amp;"|"&amp;33,LISTA_KLUCZ,0))),"")</f>
        <v>Calf raises</v>
      </c>
      <c r="AJ44" s="5" t="str">
        <f t="array" ref="AJ44">IFERROR(IF('T1'!$J44="",INDEX(LISTA_EX,34),INDEX(LISTA_EX,MATCH('T1'!$J44&amp;"|"&amp;34,LISTA_KLUCZ,0))),"")</f>
        <v>Chest fly machine</v>
      </c>
      <c r="AK44" s="5" t="str">
        <f t="array" ref="AK44">IFERROR(IF('T1'!$J44="",INDEX(LISTA_EX,35),INDEX(LISTA_EX,MATCH('T1'!$J44&amp;"|"&amp;35,LISTA_KLUCZ,0))),"")</f>
        <v>Clean</v>
      </c>
      <c r="AL44" s="5" t="str">
        <f t="array" ref="AL44">IFERROR(IF('T1'!$J44="",INDEX(LISTA_EX,36),INDEX(LISTA_EX,MATCH('T1'!$J44&amp;"|"&amp;36,LISTA_KLUCZ,0))),"")</f>
        <v>Clean pins</v>
      </c>
      <c r="AM44" s="5" t="str">
        <f t="array" ref="AM44">IFERROR(IF('T1'!$J44="",INDEX(LISTA_EX,37),INDEX(LISTA_EX,MATCH('T1'!$J44&amp;"|"&amp;37,LISTA_KLUCZ,0))),"")</f>
        <v>Copenhagen plank</v>
      </c>
      <c r="AN44" s="5" t="str">
        <f t="array" ref="AN44">IFERROR(IF('T1'!$J44="",INDEX(LISTA_EX,38),INDEX(LISTA_EX,MATCH('T1'!$J44&amp;"|"&amp;38,LISTA_KLUCZ,0))),"")</f>
        <v>Dead bug izo + OH</v>
      </c>
      <c r="AO44" s="5" t="str">
        <f t="array" ref="AO44">IFERROR(IF('T1'!$J44="",INDEX(LISTA_EX,39),INDEX(LISTA_EX,MATCH('T1'!$J44&amp;"|"&amp;39,LISTA_KLUCZ,0))),"")</f>
        <v>Dead bug straight legs</v>
      </c>
      <c r="AP44" s="5" t="str">
        <f t="array" ref="AP44">IFERROR(IF('T1'!$J44="",INDEX(LISTA_EX,40),INDEX(LISTA_EX,MATCH('T1'!$J44&amp;"|"&amp;40,LISTA_KLUCZ,0))),"")</f>
        <v>Dead stop barbell row</v>
      </c>
      <c r="AQ44" s="5" t="str">
        <f t="array" ref="AQ44">IFERROR(IF('T1'!$J44="",INDEX(LISTA_EX,41),INDEX(LISTA_EX,MATCH('T1'!$J44&amp;"|"&amp;41,LISTA_KLUCZ,0))),"")</f>
        <v>Deadbug OH</v>
      </c>
      <c r="AR44" s="5" t="str">
        <f t="array" ref="AR44">IFERROR(IF('T1'!$J44="",INDEX(LISTA_EX,42),INDEX(LISTA_EX,MATCH('T1'!$J44&amp;"|"&amp;42,LISTA_KLUCZ,0))),"")</f>
        <v>Deadlift</v>
      </c>
      <c r="AS44" s="5" t="str">
        <f t="array" ref="AS44">IFERROR(IF('T1'!$J44="",INDEX(LISTA_EX,43),INDEX(LISTA_EX,MATCH('T1'!$J44&amp;"|"&amp;43,LISTA_KLUCZ,0))),"")</f>
        <v>Deficit push up</v>
      </c>
      <c r="AT44" s="5" t="str">
        <f t="array" ref="AT44">IFERROR(IF('T1'!$J44="",INDEX(LISTA_EX,44),INDEX(LISTA_EX,MATCH('T1'!$J44&amp;"|"&amp;44,LISTA_KLUCZ,0))),"")</f>
        <v>Deficit reverse lunge</v>
      </c>
      <c r="AU44" s="5" t="str">
        <f t="array" ref="AU44">IFERROR(IF('T1'!$J44="",INDEX(LISTA_EX,45),INDEX(LISTA_EX,MATCH('T1'!$J44&amp;"|"&amp;45,LISTA_KLUCZ,0))),"")</f>
        <v>Dips</v>
      </c>
      <c r="AV44" s="5" t="str">
        <f t="array" ref="AV44">IFERROR(IF('T1'!$J44="",INDEX(LISTA_EX,46),INDEX(LISTA_EX,MATCH('T1'!$J44&amp;"|"&amp;46,LISTA_KLUCZ,0))),"")</f>
        <v>Dips weighted</v>
      </c>
      <c r="AW44" s="5" t="str">
        <f t="array" ref="AW44">IFERROR(IF('T1'!$J44="",INDEX(LISTA_EX,47),INDEX(LISTA_EX,MATCH('T1'!$J44&amp;"|"&amp;47,LISTA_KLUCZ,0))),"")</f>
        <v>Dumbbell bench press</v>
      </c>
      <c r="AX44" s="5" t="str">
        <f t="array" ref="AX44">IFERROR(IF('T1'!$J44="",INDEX(LISTA_EX,48),INDEX(LISTA_EX,MATCH('T1'!$J44&amp;"|"&amp;48,LISTA_KLUCZ,0))),"")</f>
        <v>Dumbbell bench press alternating</v>
      </c>
      <c r="AY44" s="5" t="str">
        <f t="array" ref="AY44">IFERROR(IF('T1'!$J44="",INDEX(LISTA_EX,49),INDEX(LISTA_EX,MATCH('T1'!$J44&amp;"|"&amp;49,LISTA_KLUCZ,0))),"")</f>
        <v>Dumbbell curl</v>
      </c>
      <c r="AZ44" s="5" t="str">
        <f t="array" ref="AZ44">IFERROR(IF('T1'!$J44="",INDEX(LISTA_EX,50),INDEX(LISTA_EX,MATCH('T1'!$J44&amp;"|"&amp;50,LISTA_KLUCZ,0))),"")</f>
        <v>Dumbbell external rotation</v>
      </c>
      <c r="BA44" s="5" t="str">
        <f t="array" ref="BA44">IFERROR(IF('T1'!$J44="",INDEX(LISTA_EX,51),INDEX(LISTA_EX,MATCH('T1'!$J44&amp;"|"&amp;51,LISTA_KLUCZ,0))),"")</f>
        <v>Dumbbell face down curl</v>
      </c>
      <c r="BB44" s="5" t="str">
        <f t="array" ref="BB44">IFERROR(IF('T1'!$J44="",INDEX(LISTA_EX,52),INDEX(LISTA_EX,MATCH('T1'!$J44&amp;"|"&amp;52,LISTA_KLUCZ,0))),"")</f>
        <v>Dumbbell fly</v>
      </c>
      <c r="BC44" s="5" t="str">
        <f t="array" ref="BC44">IFERROR(IF('T1'!$J44="",INDEX(LISTA_EX,53),INDEX(LISTA_EX,MATCH('T1'!$J44&amp;"|"&amp;53,LISTA_KLUCZ,0))),"")</f>
        <v>Dumbbell french press</v>
      </c>
      <c r="BD44" s="5" t="str">
        <f t="array" ref="BD44">IFERROR(IF('T1'!$J44="",INDEX(LISTA_EX,54),INDEX(LISTA_EX,MATCH('T1'!$J44&amp;"|"&amp;54,LISTA_KLUCZ,0))),"")</f>
        <v>Dumbbell lateral raise</v>
      </c>
      <c r="BE44" s="5" t="str">
        <f t="array" ref="BE44">IFERROR(IF('T1'!$J44="",INDEX(LISTA_EX,55),INDEX(LISTA_EX,MATCH('T1'!$J44&amp;"|"&amp;55,LISTA_KLUCZ,0))),"")</f>
        <v>Dumbbell lunges</v>
      </c>
      <c r="BF44" s="5" t="str">
        <f t="array" ref="BF44">IFERROR(IF('T1'!$J44="",INDEX(LISTA_EX,56),INDEX(LISTA_EX,MATCH('T1'!$J44&amp;"|"&amp;56,LISTA_KLUCZ,0))),"")</f>
        <v>Dumbbell OH press</v>
      </c>
      <c r="BG44" s="5" t="str">
        <f t="array" ref="BG44">IFERROR(IF('T1'!$J44="",INDEX(LISTA_EX,57),INDEX(LISTA_EX,MATCH('T1'!$J44&amp;"|"&amp;57,LISTA_KLUCZ,0))),"")</f>
        <v>Dumbbell over head press</v>
      </c>
      <c r="BH44" s="5" t="str">
        <f t="array" ref="BH44">IFERROR(IF('T1'!$J44="",INDEX(LISTA_EX,58),INDEX(LISTA_EX,MATCH('T1'!$J44&amp;"|"&amp;58,LISTA_KLUCZ,0))),"")</f>
        <v>Dumbbell over head press alternating</v>
      </c>
      <c r="BI44" s="5" t="str">
        <f t="array" ref="BI44">IFERROR(IF('T1'!$J44="",INDEX(LISTA_EX,59),INDEX(LISTA_EX,MATCH('T1'!$J44&amp;"|"&amp;59,LISTA_KLUCZ,0))),"")</f>
        <v>Dumbbell row</v>
      </c>
      <c r="BJ44" s="5" t="str">
        <f t="array" ref="BJ44">IFERROR(IF('T1'!$J44="",INDEX(LISTA_EX,60),INDEX(LISTA_EX,MATCH('T1'!$J44&amp;"|"&amp;60,LISTA_KLUCZ,0))),"")</f>
        <v>Dumbbell s/a Arnold press</v>
      </c>
      <c r="BK44" s="5" t="str">
        <f t="array" ref="BK44">IFERROR(IF('T1'!$J44="",INDEX(LISTA_EX,61),INDEX(LISTA_EX,MATCH('T1'!$J44&amp;"|"&amp;61,LISTA_KLUCZ,0))),"")</f>
        <v>Dumbbell s/a row</v>
      </c>
      <c r="BL44" s="5" t="str">
        <f t="array" ref="BL44">IFERROR(IF('T1'!$J44="",INDEX(LISTA_EX,62),INDEX(LISTA_EX,MATCH('T1'!$J44&amp;"|"&amp;62,LISTA_KLUCZ,0))),"")</f>
        <v>Dumbbell seal row</v>
      </c>
      <c r="BM44" s="5" t="str">
        <f t="array" ref="BM44">IFERROR(IF('T1'!$J44="",INDEX(LISTA_EX,63),INDEX(LISTA_EX,MATCH('T1'!$J44&amp;"|"&amp;63,LISTA_KLUCZ,0))),"")</f>
        <v>Dumbbells jumps</v>
      </c>
      <c r="BN44" s="5" t="str">
        <f t="array" ref="BN44">IFERROR(IF('T1'!$J44="",INDEX(LISTA_EX,64),INDEX(LISTA_EX,MATCH('T1'!$J44&amp;"|"&amp;64,LISTA_KLUCZ,0))),"")</f>
        <v>Eccentric pull up</v>
      </c>
      <c r="BO44" s="5" t="str">
        <f t="array" ref="BO44">IFERROR(IF('T1'!$J44="",INDEX(LISTA_EX,65),INDEX(LISTA_EX,MATCH('T1'!$J44&amp;"|"&amp;65,LISTA_KLUCZ,0))),"")</f>
        <v>Eccentric push up (5 sek w dół)</v>
      </c>
      <c r="BP44" s="5" t="str">
        <f t="array" ref="BP44">IFERROR(IF('T1'!$J44="",INDEX(LISTA_EX,66),INDEX(LISTA_EX,MATCH('T1'!$J44&amp;"|"&amp;66,LISTA_KLUCZ,0))),"")</f>
        <v>Extensive plyo jumps s/l</v>
      </c>
      <c r="BQ44" s="5" t="str">
        <f t="array" ref="BQ44">IFERROR(IF('T1'!$J44="",INDEX(LISTA_EX,67),INDEX(LISTA_EX,MATCH('T1'!$J44&amp;"|"&amp;67,LISTA_KLUCZ,0))),"")</f>
        <v>Ez bar curl</v>
      </c>
      <c r="BR44" s="5" t="str">
        <f t="array" ref="BR44">IFERROR(IF('T1'!$J44="",INDEX(LISTA_EX,68),INDEX(LISTA_EX,MATCH('T1'!$J44&amp;"|"&amp;68,LISTA_KLUCZ,0))),"")</f>
        <v>Facepull chest supported</v>
      </c>
      <c r="BS44" s="5" t="str">
        <f t="array" ref="BS44">IFERROR(IF('T1'!$J44="",INDEX(LISTA_EX,69),INDEX(LISTA_EX,MATCH('T1'!$J44&amp;"|"&amp;69,LISTA_KLUCZ,0))),"")</f>
        <v>Front foot elevated split squat</v>
      </c>
      <c r="BT44" s="5" t="str">
        <f t="array" ref="BT44">IFERROR(IF('T1'!$J44="",INDEX(LISTA_EX,70),INDEX(LISTA_EX,MATCH('T1'!$J44&amp;"|"&amp;70,LISTA_KLUCZ,0))),"")</f>
        <v>Front squat</v>
      </c>
      <c r="BU44" s="5" t="str">
        <f t="array" ref="BU44">IFERROR(IF('T1'!$J44="",INDEX(LISTA_EX,71),INDEX(LISTA_EX,MATCH('T1'!$J44&amp;"|"&amp;71,LISTA_KLUCZ,0))),"")</f>
        <v>GHD flexion</v>
      </c>
      <c r="BV44" s="5" t="str">
        <f t="array" ref="BV44">IFERROR(IF('T1'!$J44="",INDEX(LISTA_EX,72),INDEX(LISTA_EX,MATCH('T1'!$J44&amp;"|"&amp;72,LISTA_KLUCZ,0))),"")</f>
        <v>Glute bridge hamstrings izo + OH</v>
      </c>
      <c r="BW44" s="5" t="str">
        <f t="array" ref="BW44">IFERROR(IF('T1'!$J44="",INDEX(LISTA_EX,73),INDEX(LISTA_EX,MATCH('T1'!$J44&amp;"|"&amp;73,LISTA_KLUCZ,0))),"")</f>
        <v>Glute crusher</v>
      </c>
      <c r="BX44" s="5" t="str">
        <f t="array" ref="BX44">IFERROR(IF('T1'!$J44="",INDEX(LISTA_EX,74),INDEX(LISTA_EX,MATCH('T1'!$J44&amp;"|"&amp;74,LISTA_KLUCZ,0))),"")</f>
        <v>Gorilla row</v>
      </c>
      <c r="BY44" s="5" t="str">
        <f t="array" ref="BY44">IFERROR(IF('T1'!$J44="",INDEX(LISTA_EX,75),INDEX(LISTA_EX,MATCH('T1'!$J44&amp;"|"&amp;75,LISTA_KLUCZ,0))),"")</f>
        <v>Halfkneeling s/a cable pull</v>
      </c>
      <c r="BZ44" s="5" t="str">
        <f t="array" ref="BZ44">IFERROR(IF('T1'!$J44="",INDEX(LISTA_EX,76),INDEX(LISTA_EX,MATCH('T1'!$J44&amp;"|"&amp;76,LISTA_KLUCZ,0))),"")</f>
        <v>Halfkneeling wood chopper</v>
      </c>
      <c r="CA44" s="5" t="str">
        <f t="array" ref="CA44">IFERROR(IF('T1'!$J44="",INDEX(LISTA_EX,77),INDEX(LISTA_EX,MATCH('T1'!$J44&amp;"|"&amp;77,LISTA_KLUCZ,0))),"")</f>
        <v>Hinged dumbbell row</v>
      </c>
      <c r="CB44" s="5" t="str">
        <f t="array" ref="CB44">IFERROR(IF('T1'!$J44="",INDEX(LISTA_EX,78),INDEX(LISTA_EX,MATCH('T1'!$J44&amp;"|"&amp;78,LISTA_KLUCZ,0))),"")</f>
        <v>Hip aeroplane</v>
      </c>
      <c r="CC44" s="5" t="str">
        <f t="array" ref="CC44">IFERROR(IF('T1'!$J44="",INDEX(LISTA_EX,79),INDEX(LISTA_EX,MATCH('T1'!$J44&amp;"|"&amp;79,LISTA_KLUCZ,0))),"")</f>
        <v>Hip flexors cable</v>
      </c>
      <c r="CD44" s="5" t="str">
        <f t="array" ref="CD44">IFERROR(IF('T1'!$J44="",INDEX(LISTA_EX,80),INDEX(LISTA_EX,MATCH('T1'!$J44&amp;"|"&amp;80,LISTA_KLUCZ,0))),"")</f>
        <v>Hip thrust barbell</v>
      </c>
      <c r="CE44" s="5" t="str">
        <f t="array" ref="CE44">IFERROR(IF('T1'!$J44="",INDEX(LISTA_EX,81),INDEX(LISTA_EX,MATCH('T1'!$J44&amp;"|"&amp;81,LISTA_KLUCZ,0))),"")</f>
        <v>Hollow body + OH</v>
      </c>
      <c r="CF44" s="5" t="str">
        <f t="array" ref="CF44">IFERROR(IF('T1'!$J44="",INDEX(LISTA_EX,82),INDEX(LISTA_EX,MATCH('T1'!$J44&amp;"|"&amp;82,LISTA_KLUCZ,0))),"")</f>
        <v>Horizontal jump</v>
      </c>
      <c r="CG44" s="5" t="str">
        <f t="array" ref="CG44">IFERROR(IF('T1'!$J44="",INDEX(LISTA_EX,83),INDEX(LISTA_EX,MATCH('T1'!$J44&amp;"|"&amp;83,LISTA_KLUCZ,0))),"")</f>
        <v>Incline bench lateral raise s/a</v>
      </c>
      <c r="CH44" s="5" t="str">
        <f t="array" ref="CH44">IFERROR(IF('T1'!$J44="",INDEX(LISTA_EX,84),INDEX(LISTA_EX,MATCH('T1'!$J44&amp;"|"&amp;84,LISTA_KLUCZ,0))),"")</f>
        <v>Incline curl + OHP</v>
      </c>
      <c r="CI44" s="5" t="str">
        <f t="array" ref="CI44">IFERROR(IF('T1'!$J44="",INDEX(LISTA_EX,85),INDEX(LISTA_EX,MATCH('T1'!$J44&amp;"|"&amp;85,LISTA_KLUCZ,0))),"")</f>
        <v>Incline dumbbell curl</v>
      </c>
      <c r="CJ44" s="5" t="str">
        <f t="array" ref="CJ44">IFERROR(IF('T1'!$J44="",INDEX(LISTA_EX,86),INDEX(LISTA_EX,MATCH('T1'!$J44&amp;"|"&amp;86,LISTA_KLUCZ,0))),"")</f>
        <v>Incline dumbbell curl (back)</v>
      </c>
      <c r="CK44" s="5" t="str">
        <f t="array" ref="CK44">IFERROR(IF('T1'!$J44="",INDEX(LISTA_EX,87),INDEX(LISTA_EX,MATCH('T1'!$J44&amp;"|"&amp;87,LISTA_KLUCZ,0))),"")</f>
        <v>Incline dumbbell curl (front)</v>
      </c>
      <c r="CL44" s="5" t="str">
        <f t="array" ref="CL44">IFERROR(IF('T1'!$J44="",INDEX(LISTA_EX,88),INDEX(LISTA_EX,MATCH('T1'!$J44&amp;"|"&amp;88,LISTA_KLUCZ,0))),"")</f>
        <v>Incline dumbbell fly</v>
      </c>
      <c r="CM44" s="5" t="str">
        <f t="array" ref="CM44">IFERROR(IF('T1'!$J44="",INDEX(LISTA_EX,89),INDEX(LISTA_EX,MATCH('T1'!$J44&amp;"|"&amp;89,LISTA_KLUCZ,0))),"")</f>
        <v>Incline dumbbell press</v>
      </c>
      <c r="CN44" s="5" t="str">
        <f t="array" ref="CN44">IFERROR(IF('T1'!$J44="",INDEX(LISTA_EX,90),INDEX(LISTA_EX,MATCH('T1'!$J44&amp;"|"&amp;90,LISTA_KLUCZ,0))),"")</f>
        <v>Incline dumbbell press alternating</v>
      </c>
      <c r="CO44" s="5" t="str">
        <f t="array" ref="CO44">IFERROR(IF('T1'!$J44="",INDEX(LISTA_EX,91),INDEX(LISTA_EX,MATCH('T1'!$J44&amp;"|"&amp;91,LISTA_KLUCZ,0))),"")</f>
        <v>Incline sit-ups</v>
      </c>
      <c r="CP44" s="5" t="str">
        <f t="array" ref="CP44">IFERROR(IF('T1'!$J44="",INDEX(LISTA_EX,92),INDEX(LISTA_EX,MATCH('T1'!$J44&amp;"|"&amp;92,LISTA_KLUCZ,0))),"")</f>
        <v>Jefferson cable</v>
      </c>
      <c r="CQ44" s="5" t="str">
        <f t="array" ref="CQ44">IFERROR(IF('T1'!$J44="",INDEX(LISTA_EX,93),INDEX(LISTA_EX,MATCH('T1'!$J44&amp;"|"&amp;93,LISTA_KLUCZ,0))),"")</f>
        <v>Kettlebell march</v>
      </c>
      <c r="CR44" s="5" t="str">
        <f t="array" ref="CR44">IFERROR(IF('T1'!$J44="",INDEX(LISTA_EX,94),INDEX(LISTA_EX,MATCH('T1'!$J44&amp;"|"&amp;94,LISTA_KLUCZ,0))),"")</f>
        <v>Kickbacks</v>
      </c>
      <c r="CS44" s="5" t="str">
        <f t="array" ref="CS44">IFERROR(IF('T1'!$J44="",INDEX(LISTA_EX,95),INDEX(LISTA_EX,MATCH('T1'!$J44&amp;"|"&amp;95,LISTA_KLUCZ,0))),"")</f>
        <v>Knee extension machine</v>
      </c>
      <c r="CT44" s="5" t="str">
        <f t="array" ref="CT44">IFERROR(IF('T1'!$J44="",INDEX(LISTA_EX,96),INDEX(LISTA_EX,MATCH('T1'!$J44&amp;"|"&amp;96,LISTA_KLUCZ,0))),"")</f>
        <v>Knee flexion machine</v>
      </c>
      <c r="CU44" s="5" t="str">
        <f t="array" ref="CU44">IFERROR(IF('T1'!$J44="",INDEX(LISTA_EX,97),INDEX(LISTA_EX,MATCH('T1'!$J44&amp;"|"&amp;97,LISTA_KLUCZ,0))),"")</f>
        <v>Knee raises</v>
      </c>
      <c r="CV44" s="5" t="str">
        <f t="array" ref="CV44">IFERROR(IF('T1'!$J44="",INDEX(LISTA_EX,98),INDEX(LISTA_EX,MATCH('T1'!$J44&amp;"|"&amp;98,LISTA_KLUCZ,0))),"")</f>
        <v>Landmine core</v>
      </c>
      <c r="CW44" s="5" t="str">
        <f t="array" ref="CW44">IFERROR(IF('T1'!$J44="",INDEX(LISTA_EX,99),INDEX(LISTA_EX,MATCH('T1'!$J44&amp;"|"&amp;99,LISTA_KLUCZ,0))),"")</f>
        <v>Landmine press</v>
      </c>
      <c r="CX44" s="5" t="str">
        <f t="array" ref="CX44">IFERROR(IF('T1'!$J44="",INDEX(LISTA_EX,100),INDEX(LISTA_EX,MATCH('T1'!$J44&amp;"|"&amp;100,LISTA_KLUCZ,0))),"")</f>
        <v>Landmine rotations (powtórzenia x2)</v>
      </c>
      <c r="CY44" s="5" t="str">
        <f t="array" ref="CY44">IFERROR(IF('T1'!$J44="",INDEX(LISTA_EX,101),INDEX(LISTA_EX,MATCH('T1'!$J44&amp;"|"&amp;101,LISTA_KLUCZ,0))),"")</f>
        <v>Landmine SLDL</v>
      </c>
      <c r="CZ44" s="5" t="str">
        <f t="array" ref="CZ44">IFERROR(IF('T1'!$J44="",INDEX(LISTA_EX,102),INDEX(LISTA_EX,MATCH('T1'!$J44&amp;"|"&amp;102,LISTA_KLUCZ,0))),"")</f>
        <v>Lat pulldown</v>
      </c>
      <c r="DA44" s="5" t="str">
        <f t="array" ref="DA44">IFERROR(IF('T1'!$J44="",INDEX(LISTA_EX,103),INDEX(LISTA_EX,MATCH('T1'!$J44&amp;"|"&amp;103,LISTA_KLUCZ,0))),"")</f>
        <v>Lat pulldown behind the head</v>
      </c>
      <c r="DB44" s="5" t="str">
        <f t="array" ref="DB44">IFERROR(IF('T1'!$J44="",INDEX(LISTA_EX,104),INDEX(LISTA_EX,MATCH('T1'!$J44&amp;"|"&amp;104,LISTA_KLUCZ,0))),"")</f>
        <v>Lat pulldown s/a</v>
      </c>
      <c r="DC44" s="5" t="str">
        <f t="array" ref="DC44">IFERROR(IF('T1'!$J44="",INDEX(LISTA_EX,105),INDEX(LISTA_EX,MATCH('T1'!$J44&amp;"|"&amp;105,LISTA_KLUCZ,0))),"")</f>
        <v>Lateral raise s/a</v>
      </c>
      <c r="DD44" s="5" t="str">
        <f t="array" ref="DD44">IFERROR(IF('T1'!$J44="",INDEX(LISTA_EX,106),INDEX(LISTA_EX,MATCH('T1'!$J44&amp;"|"&amp;106,LISTA_KLUCZ,0))),"")</f>
        <v>Lateral raises</v>
      </c>
      <c r="DE44" s="5" t="str">
        <f t="array" ref="DE44">IFERROR(IF('T1'!$J44="",INDEX(LISTA_EX,107),INDEX(LISTA_EX,MATCH('T1'!$J44&amp;"|"&amp;107,LISTA_KLUCZ,0))),"")</f>
        <v>Lateral raises 2</v>
      </c>
      <c r="DF44" s="5" t="str">
        <f t="array" ref="DF44">IFERROR(IF('T1'!$J44="",INDEX(LISTA_EX,108),INDEX(LISTA_EX,MATCH('T1'!$J44&amp;"|"&amp;108,LISTA_KLUCZ,0))),"")</f>
        <v>Lateral raises full ROM</v>
      </c>
      <c r="DG44" s="5" t="str">
        <f t="array" ref="DG44">IFERROR(IF('T1'!$J44="",INDEX(LISTA_EX,109),INDEX(LISTA_EX,MATCH('T1'!$J44&amp;"|"&amp;109,LISTA_KLUCZ,0))),"")</f>
        <v>Lateral raises hinged</v>
      </c>
      <c r="DH44" s="5" t="str">
        <f t="array" ref="DH44">IFERROR(IF('T1'!$J44="",INDEX(LISTA_EX,110),INDEX(LISTA_EX,MATCH('T1'!$J44&amp;"|"&amp;110,LISTA_KLUCZ,0))),"")</f>
        <v>Lateral raises incline s/a</v>
      </c>
      <c r="DI44" s="5" t="str">
        <f t="array" ref="DI44">IFERROR(IF('T1'!$J44="",INDEX(LISTA_EX,111),INDEX(LISTA_EX,MATCH('T1'!$J44&amp;"|"&amp;111,LISTA_KLUCZ,0))),"")</f>
        <v>Leg curl</v>
      </c>
      <c r="DJ44" s="5" t="str">
        <f t="array" ref="DJ44">IFERROR(IF('T1'!$J44="",INDEX(LISTA_EX,112),INDEX(LISTA_EX,MATCH('T1'!$J44&amp;"|"&amp;112,LISTA_KLUCZ,0))),"")</f>
        <v>Machine row</v>
      </c>
      <c r="DK44" s="5" t="str">
        <f t="array" ref="DK44">IFERROR(IF('T1'!$J44="",INDEX(LISTA_EX,113),INDEX(LISTA_EX,MATCH('T1'!$J44&amp;"|"&amp;113,LISTA_KLUCZ,0))),"")</f>
        <v>Machine row s/a</v>
      </c>
      <c r="DL44" s="5" t="str">
        <f t="array" ref="DL44">IFERROR(IF('T1'!$J44="",INDEX(LISTA_EX,114),INDEX(LISTA_EX,MATCH('T1'!$J44&amp;"|"&amp;114,LISTA_KLUCZ,0))),"")</f>
        <v>Meadows row</v>
      </c>
      <c r="DM44" s="5" t="str">
        <f t="array" ref="DM44">IFERROR(IF('T1'!$J44="",INDEX(LISTA_EX,115),INDEX(LISTA_EX,MATCH('T1'!$J44&amp;"|"&amp;115,LISTA_KLUCZ,0))),"")</f>
        <v>Med ball slam</v>
      </c>
      <c r="DN44" s="5" t="str">
        <f t="array" ref="DN44">IFERROR(IF('T1'!$J44="",INDEX(LISTA_EX,116),INDEX(LISTA_EX,MATCH('T1'!$J44&amp;"|"&amp;116,LISTA_KLUCZ,0))),"")</f>
        <v>OH skullcrushers</v>
      </c>
      <c r="DO44" s="5" t="str">
        <f t="array" ref="DO44">IFERROR(IF('T1'!$J44="",INDEX(LISTA_EX,117),INDEX(LISTA_EX,MATCH('T1'!$J44&amp;"|"&amp;117,LISTA_KLUCZ,0))),"")</f>
        <v>OHP barbell squat 15kg</v>
      </c>
      <c r="DP44" s="5" t="str">
        <f t="array" ref="DP44">IFERROR(IF('T1'!$J44="",INDEX(LISTA_EX,118),INDEX(LISTA_EX,MATCH('T1'!$J44&amp;"|"&amp;118,LISTA_KLUCZ,0))),"")</f>
        <v>Pistol squat eccentric</v>
      </c>
      <c r="DQ44" s="5" t="str">
        <f t="array" ref="DQ44">IFERROR(IF('T1'!$J44="",INDEX(LISTA_EX,119),INDEX(LISTA_EX,MATCH('T1'!$J44&amp;"|"&amp;119,LISTA_KLUCZ,0))),"")</f>
        <v>Plank contralateral</v>
      </c>
      <c r="DR44" s="5" t="str">
        <f t="array" ref="DR44">IFERROR(IF('T1'!$J44="",INDEX(LISTA_EX,120),INDEX(LISTA_EX,MATCH('T1'!$J44&amp;"|"&amp;120,LISTA_KLUCZ,0))),"")</f>
        <v>Plank dumbbell rotation</v>
      </c>
      <c r="DS44" s="5" t="str">
        <f t="array" ref="DS44">IFERROR(IF('T1'!$J44="",INDEX(LISTA_EX,121),INDEX(LISTA_EX,MATCH('T1'!$J44&amp;"|"&amp;121,LISTA_KLUCZ,0))),"")</f>
        <v>Plank leg raises</v>
      </c>
      <c r="DT44" s="5" t="str">
        <f t="array" ref="DT44">IFERROR(IF('T1'!$J44="",INDEX(LISTA_EX,122),INDEX(LISTA_EX,MATCH('T1'!$J44&amp;"|"&amp;122,LISTA_KLUCZ,0))),"")</f>
        <v>Poliquin step up</v>
      </c>
      <c r="DU44" s="5" t="str">
        <f t="array" ref="DU44">IFERROR(IF('T1'!$J44="",INDEX(LISTA_EX,123),INDEX(LISTA_EX,MATCH('T1'!$J44&amp;"|"&amp;123,LISTA_KLUCZ,0))),"")</f>
        <v>Poliquin step up paused 3sec</v>
      </c>
      <c r="DV44" s="5" t="str">
        <f t="array" ref="DV44">IFERROR(IF('T1'!$J44="",INDEX(LISTA_EX,124),INDEX(LISTA_EX,MATCH('T1'!$J44&amp;"|"&amp;124,LISTA_KLUCZ,0))),"")</f>
        <v>Pronation/Supination</v>
      </c>
      <c r="DW44" s="5" t="str">
        <f t="array" ref="DW44">IFERROR(IF('T1'!$J44="",INDEX(LISTA_EX,125),INDEX(LISTA_EX,MATCH('T1'!$J44&amp;"|"&amp;125,LISTA_KLUCZ,0))),"")</f>
        <v>Pull up</v>
      </c>
      <c r="DX44" s="5" t="str">
        <f t="array" ref="DX44">IFERROR(IF('T1'!$J44="",INDEX(LISTA_EX,126),INDEX(LISTA_EX,MATCH('T1'!$J44&amp;"|"&amp;126,LISTA_KLUCZ,0))),"")</f>
        <v>Pull up eccentric weighted</v>
      </c>
      <c r="DY44" s="5" t="str">
        <f t="array" ref="DY44">IFERROR(IF('T1'!$J44="",INDEX(LISTA_EX,127),INDEX(LISTA_EX,MATCH('T1'!$J44&amp;"|"&amp;127,LISTA_KLUCZ,0))),"")</f>
        <v>Pull up eccentric weighted (5 sek w dół)</v>
      </c>
      <c r="DZ44" s="5" t="str">
        <f t="array" ref="DZ44">IFERROR(IF('T1'!$J44="",INDEX(LISTA_EX,128),INDEX(LISTA_EX,MATCH('T1'!$J44&amp;"|"&amp;128,LISTA_KLUCZ,0))),"")</f>
        <v>Pull up weighted</v>
      </c>
      <c r="EA44" s="5" t="str">
        <f t="array" ref="EA44">IFERROR(IF('T1'!$J44="",INDEX(LISTA_EX,129),INDEX(LISTA_EX,MATCH('T1'!$J44&amp;"|"&amp;129,LISTA_KLUCZ,0))),"")</f>
        <v>Pull ups (paused)</v>
      </c>
      <c r="EB44" s="5" t="str">
        <f t="array" ref="EB44">IFERROR(IF('T1'!$J44="",INDEX(LISTA_EX,130),INDEX(LISTA_EX,MATCH('T1'!$J44&amp;"|"&amp;130,LISTA_KLUCZ,0))),"")</f>
        <v>Push press barbell</v>
      </c>
      <c r="EC44" s="5" t="str">
        <f t="array" ref="EC44">IFERROR(IF('T1'!$J44="",INDEX(LISTA_EX,131),INDEX(LISTA_EX,MATCH('T1'!$J44&amp;"|"&amp;131,LISTA_KLUCZ,0))),"")</f>
        <v>Push up</v>
      </c>
      <c r="ED44" s="5" t="str">
        <f t="array" ref="ED44">IFERROR(IF('T1'!$J44="",INDEX(LISTA_EX,132),INDEX(LISTA_EX,MATCH('T1'!$J44&amp;"|"&amp;132,LISTA_KLUCZ,0))),"")</f>
        <v>Raised bird dog</v>
      </c>
      <c r="EE44" s="5" t="str">
        <f t="array" ref="EE44">IFERROR(IF('T1'!$J44="",INDEX(LISTA_EX,133),INDEX(LISTA_EX,MATCH('T1'!$J44&amp;"|"&amp;133,LISTA_KLUCZ,0))),"")</f>
        <v>RDL</v>
      </c>
      <c r="EF44" s="5" t="str">
        <f t="array" ref="EF44">IFERROR(IF('T1'!$J44="",INDEX(LISTA_EX,134),INDEX(LISTA_EX,MATCH('T1'!$J44&amp;"|"&amp;134,LISTA_KLUCZ,0))),"")</f>
        <v>Reverse Nordic</v>
      </c>
      <c r="EG44" s="5" t="str">
        <f t="array" ref="EG44">IFERROR(IF('T1'!$J44="",INDEX(LISTA_EX,135),INDEX(LISTA_EX,MATCH('T1'!$J44&amp;"|"&amp;135,LISTA_KLUCZ,0))),"")</f>
        <v>Rope pushdown</v>
      </c>
      <c r="EH44" s="5" t="str">
        <f t="array" ref="EH44">IFERROR(IF('T1'!$J44="",INDEX(LISTA_EX,136),INDEX(LISTA_EX,MATCH('T1'!$J44&amp;"|"&amp;136,LISTA_KLUCZ,0))),"")</f>
        <v>Rope pushdown OH</v>
      </c>
      <c r="EI44" s="5" t="str">
        <f t="array" ref="EI44">IFERROR(IF('T1'!$J44="",INDEX(LISTA_EX,137),INDEX(LISTA_EX,MATCH('T1'!$J44&amp;"|"&amp;137,LISTA_KLUCZ,0))),"")</f>
        <v>S/a cable pulldown incline bench</v>
      </c>
      <c r="EJ44" s="5" t="str">
        <f t="array" ref="EJ44">IFERROR(IF('T1'!$J44="",INDEX(LISTA_EX,138),INDEX(LISTA_EX,MATCH('T1'!$J44&amp;"|"&amp;138,LISTA_KLUCZ,0))),"")</f>
        <v>S/a lat pulldown incline bench</v>
      </c>
      <c r="EK44" s="5" t="str">
        <f t="array" ref="EK44">IFERROR(IF('T1'!$J44="",INDEX(LISTA_EX,139),INDEX(LISTA_EX,MATCH('T1'!$J44&amp;"|"&amp;139,LISTA_KLUCZ,0))),"")</f>
        <v>S/l dragonflag eccentric</v>
      </c>
      <c r="EL44" s="5" t="str">
        <f t="array" ref="EL44">IFERROR(IF('T1'!$J44="",INDEX(LISTA_EX,140),INDEX(LISTA_EX,MATCH('T1'!$J44&amp;"|"&amp;140,LISTA_KLUCZ,0))),"")</f>
        <v>S/l hip thrust</v>
      </c>
      <c r="EM44" s="5" t="str">
        <f t="array" ref="EM44">IFERROR(IF('T1'!$J44="",INDEX(LISTA_EX,141),INDEX(LISTA_EX,MATCH('T1'!$J44&amp;"|"&amp;141,LISTA_KLUCZ,0))),"")</f>
        <v>Seated broad jump</v>
      </c>
      <c r="EN44" s="5" t="str">
        <f t="array" ref="EN44">IFERROR(IF('T1'!$J44="",INDEX(LISTA_EX,142),INDEX(LISTA_EX,MATCH('T1'!$J44&amp;"|"&amp;142,LISTA_KLUCZ,0))),"")</f>
        <v>Seated cable facepull</v>
      </c>
      <c r="EO44" s="5" t="str">
        <f t="array" ref="EO44">IFERROR(IF('T1'!$J44="",INDEX(LISTA_EX,143),INDEX(LISTA_EX,MATCH('T1'!$J44&amp;"|"&amp;143,LISTA_KLUCZ,0))),"")</f>
        <v>Seated seesaw press (nogi proste)</v>
      </c>
      <c r="EP44" s="5" t="str">
        <f t="array" ref="EP44">IFERROR(IF('T1'!$J44="",INDEX(LISTA_EX,144),INDEX(LISTA_EX,MATCH('T1'!$J44&amp;"|"&amp;144,LISTA_KLUCZ,0))),"")</f>
        <v>Seesaw press</v>
      </c>
      <c r="EQ44" s="5" t="str">
        <f t="array" ref="EQ44">IFERROR(IF('T1'!$J44="",INDEX(LISTA_EX,145),INDEX(LISTA_EX,MATCH('T1'!$J44&amp;"|"&amp;145,LISTA_KLUCZ,0))),"")</f>
        <v>Side crunches</v>
      </c>
      <c r="ER44" s="5" t="str">
        <f t="array" ref="ER44">IFERROR(IF('T1'!$J44="",INDEX(LISTA_EX,146),INDEX(LISTA_EX,MATCH('T1'!$J44&amp;"|"&amp;146,LISTA_KLUCZ,0))),"")</f>
        <v>Side plank hip drop</v>
      </c>
      <c r="ES44" s="5" t="str">
        <f t="array" ref="ES44">IFERROR(IF('T1'!$J44="",INDEX(LISTA_EX,147),INDEX(LISTA_EX,MATCH('T1'!$J44&amp;"|"&amp;147,LISTA_KLUCZ,0))),"")</f>
        <v>Side plank rotations</v>
      </c>
      <c r="ET44" s="5" t="str">
        <f t="array" ref="ET44">IFERROR(IF('T1'!$J44="",INDEX(LISTA_EX,148),INDEX(LISTA_EX,MATCH('T1'!$J44&amp;"|"&amp;148,LISTA_KLUCZ,0))),"")</f>
        <v>SLDL balance</v>
      </c>
      <c r="EU44" s="5" t="str">
        <f t="array" ref="EU44">IFERROR(IF('T1'!$J44="",INDEX(LISTA_EX,149),INDEX(LISTA_EX,MATCH('T1'!$J44&amp;"|"&amp;149,LISTA_KLUCZ,0))),"")</f>
        <v>Split squat</v>
      </c>
      <c r="EV44" s="5" t="str">
        <f t="array" ref="EV44">IFERROR(IF('T1'!$J44="",INDEX(LISTA_EX,150),INDEX(LISTA_EX,MATCH('T1'!$J44&amp;"|"&amp;150,LISTA_KLUCZ,0))),"")</f>
        <v>Split stance SLDL</v>
      </c>
      <c r="EW44" s="5" t="str">
        <f t="array" ref="EW44">IFERROR(IF('T1'!$J44="",INDEX(LISTA_EX,151),INDEX(LISTA_EX,MATCH('T1'!$J44&amp;"|"&amp;151,LISTA_KLUCZ,0))),"")</f>
        <v>Squat izo (15 sek)</v>
      </c>
      <c r="EX44" s="5" t="str">
        <f t="array" ref="EX44">IFERROR(IF('T1'!$J44="",INDEX(LISTA_EX,152),INDEX(LISTA_EX,MATCH('T1'!$J44&amp;"|"&amp;152,LISTA_KLUCZ,0))),"")</f>
        <v>Standing landmine press</v>
      </c>
      <c r="EY44" s="5" t="str">
        <f t="array" ref="EY44">IFERROR(IF('T1'!$J44="",INDEX(LISTA_EX,153),INDEX(LISTA_EX,MATCH('T1'!$J44&amp;"|"&amp;153,LISTA_KLUCZ,0))),"")</f>
        <v>Suitcase carry</v>
      </c>
      <c r="EZ44" s="5" t="str">
        <f t="array" ref="EZ44">IFERROR(IF('T1'!$J44="",INDEX(LISTA_EX,154),INDEX(LISTA_EX,MATCH('T1'!$J44&amp;"|"&amp;154,LISTA_KLUCZ,0))),"")</f>
        <v>Supine pigeon abs</v>
      </c>
      <c r="FA44" s="5" t="str">
        <f t="array" ref="FA44">IFERROR(IF('T1'!$J44="",INDEX(LISTA_EX,155),INDEX(LISTA_EX,MATCH('T1'!$J44&amp;"|"&amp;155,LISTA_KLUCZ,0))),"")</f>
        <v>Swiss ball leg curl</v>
      </c>
      <c r="FB44" s="5" t="str">
        <f t="array" ref="FB44">IFERROR(IF('T1'!$J44="",INDEX(LISTA_EX,156),INDEX(LISTA_EX,MATCH('T1'!$J44&amp;"|"&amp;156,LISTA_KLUCZ,0))),"")</f>
        <v>Toes to bar</v>
      </c>
      <c r="FC44" s="5" t="str">
        <f t="array" ref="FC44">IFERROR(IF('T1'!$J44="",INDEX(LISTA_EX,157),INDEX(LISTA_EX,MATCH('T1'!$J44&amp;"|"&amp;157,LISTA_KLUCZ,0))),"")</f>
        <v>Trap bar deadlift</v>
      </c>
      <c r="FD44" s="5" t="str">
        <f t="array" ref="FD44">IFERROR(IF('T1'!$J44="",INDEX(LISTA_EX,158),INDEX(LISTA_EX,MATCH('T1'!$J44&amp;"|"&amp;158,LISTA_KLUCZ,0))),"")</f>
        <v>Tricep cable pushdown</v>
      </c>
      <c r="FE44" s="5" t="str">
        <f t="array" ref="FE44">IFERROR(IF('T1'!$J44="",INDEX(LISTA_EX,159),INDEX(LISTA_EX,MATCH('T1'!$J44&amp;"|"&amp;159,LISTA_KLUCZ,0))),"")</f>
        <v>Tricep JM press</v>
      </c>
      <c r="FF44" s="5" t="str">
        <f t="array" ref="FF44">IFERROR(IF('T1'!$J44="",INDEX(LISTA_EX,160),INDEX(LISTA_EX,MATCH('T1'!$J44&amp;"|"&amp;160,LISTA_KLUCZ,0))),"")</f>
        <v>Tricep OH cable</v>
      </c>
      <c r="FG44" s="5" t="str">
        <f t="array" ref="FG44">IFERROR(IF('T1'!$J44="",INDEX(LISTA_EX,161),INDEX(LISTA_EX,MATCH('T1'!$J44&amp;"|"&amp;161,LISTA_KLUCZ,0))),"")</f>
        <v>Tricep OH ez bar</v>
      </c>
      <c r="FH44" s="5" t="str">
        <f t="array" ref="FH44">IFERROR(IF('T1'!$J44="",INDEX(LISTA_EX,162),INDEX(LISTA_EX,MATCH('T1'!$J44&amp;"|"&amp;162,LISTA_KLUCZ,0))),"")</f>
        <v>Walking lunges</v>
      </c>
      <c r="FI44" s="5" t="str">
        <f t="array" ref="FI44">IFERROR(IF('T1'!$J44="",INDEX(LISTA_EX,163),INDEX(LISTA_EX,MATCH('T1'!$J44&amp;"|"&amp;163,LISTA_KLUCZ,0))),"")</f>
        <v>Wipers kettle</v>
      </c>
      <c r="FJ44" s="5" t="str">
        <f t="array" ref="FJ44">IFERROR(IF('T1'!$J44="",INDEX(LISTA_EX,164),INDEX(LISTA_EX,MATCH('T1'!$J44&amp;"|"&amp;164,LISTA_KLUCZ,0))),"")</f>
        <v>Zercher jumps</v>
      </c>
      <c r="FK44" s="5" t="str">
        <f t="array" ref="FK44">IFERROR(IF('T1'!$J44="",INDEX(LISTA_EX,165),INDEX(LISTA_EX,MATCH('T1'!$J44&amp;"|"&amp;165,LISTA_KLUCZ,0))),"")</f>
        <v/>
      </c>
      <c r="FL44" s="5" t="str">
        <f t="array" ref="FL44">IFERROR(IF('T1'!$J44="",INDEX(LISTA_EX,166),INDEX(LISTA_EX,MATCH('T1'!$J44&amp;"|"&amp;166,LISTA_KLUCZ,0))),"")</f>
        <v/>
      </c>
      <c r="FM44" s="5" t="str">
        <f t="array" ref="FM44">IFERROR(IF('T1'!$J44="",INDEX(LISTA_EX,167),INDEX(LISTA_EX,MATCH('T1'!$J44&amp;"|"&amp;167,LISTA_KLUCZ,0))),"")</f>
        <v/>
      </c>
      <c r="FN44" s="5" t="str">
        <f t="array" ref="FN44">IFERROR(IF('T1'!$J44="",INDEX(LISTA_EX,168),INDEX(LISTA_EX,MATCH('T1'!$J44&amp;"|"&amp;168,LISTA_KLUCZ,0))),"")</f>
        <v/>
      </c>
      <c r="FO44" s="5" t="str">
        <f t="array" ref="FO44">IFERROR(IF('T1'!$J44="",INDEX(LISTA_EX,169),INDEX(LISTA_EX,MATCH('T1'!$J44&amp;"|"&amp;169,LISTA_KLUCZ,0))),"")</f>
        <v/>
      </c>
      <c r="FP44" s="5" t="str">
        <f t="array" ref="FP44">IFERROR(IF('T1'!$J44="",INDEX(LISTA_EX,170),INDEX(LISTA_EX,MATCH('T1'!$J44&amp;"|"&amp;170,LISTA_KLUCZ,0))),"")</f>
        <v/>
      </c>
      <c r="FQ44" s="5" t="str">
        <f t="array" ref="FQ44">IFERROR(IF('T1'!$J44="",INDEX(LISTA_EX,171),INDEX(LISTA_EX,MATCH('T1'!$J44&amp;"|"&amp;171,LISTA_KLUCZ,0))),"")</f>
        <v/>
      </c>
      <c r="FR44" s="5" t="str">
        <f t="array" ref="FR44">IFERROR(IF('T1'!$J44="",INDEX(LISTA_EX,172),INDEX(LISTA_EX,MATCH('T1'!$J44&amp;"|"&amp;172,LISTA_KLUCZ,0))),"")</f>
        <v/>
      </c>
      <c r="FS44" s="5" t="str">
        <f t="array" ref="FS44">IFERROR(IF('T1'!$J44="",INDEX(LISTA_EX,173),INDEX(LISTA_EX,MATCH('T1'!$J44&amp;"|"&amp;173,LISTA_KLUCZ,0))),"")</f>
        <v/>
      </c>
      <c r="FT44" s="5" t="str">
        <f t="array" ref="FT44">IFERROR(IF('T1'!$J44="",INDEX(LISTA_EX,174),INDEX(LISTA_EX,MATCH('T1'!$J44&amp;"|"&amp;174,LISTA_KLUCZ,0))),"")</f>
        <v/>
      </c>
      <c r="FU44" s="5" t="str">
        <f t="array" ref="FU44">IFERROR(IF('T1'!$J44="",INDEX(LISTA_EX,175),INDEX(LISTA_EX,MATCH('T1'!$J44&amp;"|"&amp;175,LISTA_KLUCZ,0))),"")</f>
        <v/>
      </c>
      <c r="FV44" s="5" t="str">
        <f t="array" ref="FV44">IFERROR(IF('T1'!$J44="",INDEX(LISTA_EX,176),INDEX(LISTA_EX,MATCH('T1'!$J44&amp;"|"&amp;176,LISTA_KLUCZ,0))),"")</f>
        <v/>
      </c>
      <c r="FW44" s="5" t="str">
        <f t="array" ref="FW44">IFERROR(IF('T1'!$J44="",INDEX(LISTA_EX,177),INDEX(LISTA_EX,MATCH('T1'!$J44&amp;"|"&amp;177,LISTA_KLUCZ,0))),"")</f>
        <v/>
      </c>
      <c r="FX44" s="5" t="str">
        <f t="array" ref="FX44">IFERROR(IF('T1'!$J44="",INDEX(LISTA_EX,178),INDEX(LISTA_EX,MATCH('T1'!$J44&amp;"|"&amp;178,LISTA_KLUCZ,0))),"")</f>
        <v/>
      </c>
      <c r="FY44" s="5" t="str">
        <f t="array" ref="FY44">IFERROR(IF('T1'!$J44="",INDEX(LISTA_EX,179),INDEX(LISTA_EX,MATCH('T1'!$J44&amp;"|"&amp;179,LISTA_KLUCZ,0))),"")</f>
        <v/>
      </c>
      <c r="FZ44" s="5" t="str">
        <f t="array" ref="FZ44">IFERROR(IF('T1'!$J44="",INDEX(LISTA_EX,180),INDEX(LISTA_EX,MATCH('T1'!$J44&amp;"|"&amp;180,LISTA_KLUCZ,0))),"")</f>
        <v/>
      </c>
      <c r="GA44" s="5" t="str">
        <f t="array" ref="GA44">IFERROR(IF('T1'!$J44="",INDEX(LISTA_EX,181),INDEX(LISTA_EX,MATCH('T1'!$J44&amp;"|"&amp;181,LISTA_KLUCZ,0))),"")</f>
        <v/>
      </c>
      <c r="GB44" s="5" t="str">
        <f t="array" ref="GB44">IFERROR(IF('T1'!$J44="",INDEX(LISTA_EX,182),INDEX(LISTA_EX,MATCH('T1'!$J44&amp;"|"&amp;182,LISTA_KLUCZ,0))),"")</f>
        <v/>
      </c>
      <c r="GC44" s="5" t="str">
        <f t="array" ref="GC44">IFERROR(IF('T1'!$J44="",INDEX(LISTA_EX,183),INDEX(LISTA_EX,MATCH('T1'!$J44&amp;"|"&amp;183,LISTA_KLUCZ,0))),"")</f>
        <v/>
      </c>
      <c r="GD44" s="5" t="str">
        <f t="array" ref="GD44">IFERROR(IF('T1'!$J44="",INDEX(LISTA_EX,184),INDEX(LISTA_EX,MATCH('T1'!$J44&amp;"|"&amp;184,LISTA_KLUCZ,0))),"")</f>
        <v/>
      </c>
      <c r="GE44" s="5" t="str">
        <f t="array" ref="GE44">IFERROR(IF('T1'!$J44="",INDEX(LISTA_EX,185),INDEX(LISTA_EX,MATCH('T1'!$J44&amp;"|"&amp;185,LISTA_KLUCZ,0))),"")</f>
        <v/>
      </c>
      <c r="GF44" s="5" t="str">
        <f t="array" ref="GF44">IFERROR(IF('T1'!$J44="",INDEX(LISTA_EX,186),INDEX(LISTA_EX,MATCH('T1'!$J44&amp;"|"&amp;186,LISTA_KLUCZ,0))),"")</f>
        <v/>
      </c>
      <c r="GG44" s="5" t="str">
        <f t="array" ref="GG44">IFERROR(IF('T1'!$J44="",INDEX(LISTA_EX,187),INDEX(LISTA_EX,MATCH('T1'!$J44&amp;"|"&amp;187,LISTA_KLUCZ,0))),"")</f>
        <v/>
      </c>
      <c r="GH44" s="5" t="str">
        <f t="array" ref="GH44">IFERROR(IF('T1'!$J44="",INDEX(LISTA_EX,188),INDEX(LISTA_EX,MATCH('T1'!$J44&amp;"|"&amp;188,LISTA_KLUCZ,0))),"")</f>
        <v/>
      </c>
      <c r="GI44" s="5" t="str">
        <f t="array" ref="GI44">IFERROR(IF('T1'!$J44="",INDEX(LISTA_EX,189),INDEX(LISTA_EX,MATCH('T1'!$J44&amp;"|"&amp;189,LISTA_KLUCZ,0))),"")</f>
        <v/>
      </c>
      <c r="GJ44" s="5" t="str">
        <f t="array" ref="GJ44">IFERROR(IF('T1'!$J44="",INDEX(LISTA_EX,190),INDEX(LISTA_EX,MATCH('T1'!$J44&amp;"|"&amp;190,LISTA_KLUCZ,0))),"")</f>
        <v/>
      </c>
      <c r="GK44" s="5" t="str">
        <f t="array" ref="GK44">IFERROR(IF('T1'!$J44="",INDEX(LISTA_EX,191),INDEX(LISTA_EX,MATCH('T1'!$J44&amp;"|"&amp;191,LISTA_KLUCZ,0))),"")</f>
        <v/>
      </c>
      <c r="GL44" s="5" t="str">
        <f t="array" ref="GL44">IFERROR(IF('T1'!$J44="",INDEX(LISTA_EX,192),INDEX(LISTA_EX,MATCH('T1'!$J44&amp;"|"&amp;192,LISTA_KLUCZ,0))),"")</f>
        <v/>
      </c>
      <c r="GM44" s="5" t="str">
        <f t="array" ref="GM44">IFERROR(IF('T1'!$J44="",INDEX(LISTA_EX,193),INDEX(LISTA_EX,MATCH('T1'!$J44&amp;"|"&amp;193,LISTA_KLUCZ,0))),"")</f>
        <v/>
      </c>
      <c r="GN44" s="5" t="str">
        <f t="array" ref="GN44">IFERROR(IF('T1'!$J44="",INDEX(LISTA_EX,194),INDEX(LISTA_EX,MATCH('T1'!$J44&amp;"|"&amp;194,LISTA_KLUCZ,0))),"")</f>
        <v/>
      </c>
      <c r="GO44" s="5" t="str">
        <f t="array" ref="GO44">IFERROR(IF('T1'!$J44="",INDEX(LISTA_EX,195),INDEX(LISTA_EX,MATCH('T1'!$J44&amp;"|"&amp;195,LISTA_KLUCZ,0))),"")</f>
        <v/>
      </c>
      <c r="GP44" s="5" t="str">
        <f t="array" ref="GP44">IFERROR(IF('T1'!$J44="",INDEX(LISTA_EX,196),INDEX(LISTA_EX,MATCH('T1'!$J44&amp;"|"&amp;196,LISTA_KLUCZ,0))),"")</f>
        <v/>
      </c>
      <c r="GQ44" s="5" t="str">
        <f t="array" ref="GQ44">IFERROR(IF('T1'!$J44="",INDEX(LISTA_EX,197),INDEX(LISTA_EX,MATCH('T1'!$J44&amp;"|"&amp;197,LISTA_KLUCZ,0))),"")</f>
        <v/>
      </c>
      <c r="GR44" s="5" t="str">
        <f t="array" ref="GR44">IFERROR(IF('T1'!$J44="",INDEX(LISTA_EX,198),INDEX(LISTA_EX,MATCH('T1'!$J44&amp;"|"&amp;198,LISTA_KLUCZ,0))),"")</f>
        <v/>
      </c>
      <c r="GS44" s="5" t="str">
        <f t="array" ref="GS44">IFERROR(IF('T1'!$J44="",INDEX(LISTA_EX,199),INDEX(LISTA_EX,MATCH('T1'!$J44&amp;"|"&amp;199,LISTA_KLUCZ,0))),"")</f>
        <v/>
      </c>
      <c r="GT44" s="5" t="str">
        <f t="array" ref="GT44">IFERROR(IF('T1'!$J44="",INDEX(LISTA_EX,200),INDEX(LISTA_EX,MATCH('T1'!$J44&amp;"|"&amp;200,LISTA_KLUCZ,0))),"")</f>
        <v/>
      </c>
      <c r="GV44" s="5" t="str">
        <f>IF(BAZA!$A44="","",BAZA!$A44)</f>
        <v>Deadlift</v>
      </c>
      <c r="GW44" s="5" t="str">
        <f>IF(BAZA!$B44="","",BAZA!$B44&amp;"|"&amp;COUNTIF(BAZA!$B$3:$B44,BAZA!$B44))</f>
        <v>Lower pull|7</v>
      </c>
    </row>
    <row r="45" ht="15.0" customHeight="1">
      <c r="A45" s="5" t="str">
        <f>IF('T1'!$K45="","",'T1'!$K45)</f>
        <v>D3-S07</v>
      </c>
      <c r="B45" s="5" t="str">
        <f>IF('T1'!$J45="","(wszystkie)",'T1'!$J45)</f>
        <v>(wszystkie)</v>
      </c>
      <c r="C45" s="5" t="str">
        <f t="array" ref="C45">IFERROR(IF('T1'!$J45="",INDEX(LISTA_EX,1),INDEX(LISTA_EX,MATCH('T1'!$J45&amp;"|"&amp;1,LISTA_KLUCZ,0))),"")</f>
        <v>Abduction machine</v>
      </c>
      <c r="D45" s="5" t="str">
        <f t="array" ref="D45">IFERROR(IF('T1'!$J45="",INDEX(LISTA_EX,2),INDEX(LISTA_EX,MATCH('T1'!$J45&amp;"|"&amp;2,LISTA_KLUCZ,0))),"")</f>
        <v>Adduction machine</v>
      </c>
      <c r="E45" s="5" t="str">
        <f t="array" ref="E45">IFERROR(IF('T1'!$J45="",INDEX(LISTA_EX,3),INDEX(LISTA_EX,MATCH('T1'!$J45&amp;"|"&amp;3,LISTA_KLUCZ,0))),"")</f>
        <v>Allah</v>
      </c>
      <c r="F45" s="5" t="str">
        <f t="array" ref="F45">IFERROR(IF('T1'!$J45="",INDEX(LISTA_EX,4),INDEX(LISTA_EX,MATCH('T1'!$J45&amp;"|"&amp;4,LISTA_KLUCZ,0))),"")</f>
        <v>Arnold press</v>
      </c>
      <c r="G45" s="5" t="str">
        <f t="array" ref="G45">IFERROR(IF('T1'!$J45="",INDEX(LISTA_EX,5),INDEX(LISTA_EX,MATCH('T1'!$J45&amp;"|"&amp;5,LISTA_KLUCZ,0))),"")</f>
        <v>Arnold press alternating</v>
      </c>
      <c r="H45" s="5" t="str">
        <f t="array" ref="H45">IFERROR(IF('T1'!$J45="",INDEX(LISTA_EX,6),INDEX(LISTA_EX,MATCH('T1'!$J45&amp;"|"&amp;6,LISTA_KLUCZ,0))),"")</f>
        <v>B/l dragonflag eccentric</v>
      </c>
      <c r="I45" s="5" t="str">
        <f t="array" ref="I45">IFERROR(IF('T1'!$J45="",INDEX(LISTA_EX,7),INDEX(LISTA_EX,MATCH('T1'!$J45&amp;"|"&amp;7,LISTA_KLUCZ,0))),"")</f>
        <v>Back extension</v>
      </c>
      <c r="J45" s="5" t="str">
        <f t="array" ref="J45">IFERROR(IF('T1'!$J45="",INDEX(LISTA_EX,8),INDEX(LISTA_EX,MATCH('T1'!$J45&amp;"|"&amp;8,LISTA_KLUCZ,0))),"")</f>
        <v>Banded pistol squat</v>
      </c>
      <c r="K45" s="5" t="str">
        <f t="array" ref="K45">IFERROR(IF('T1'!$J45="",INDEX(LISTA_EX,9),INDEX(LISTA_EX,MATCH('T1'!$J45&amp;"|"&amp;9,LISTA_KLUCZ,0))),"")</f>
        <v>Banded pull ups</v>
      </c>
      <c r="L45" s="5" t="str">
        <f t="array" ref="L45">IFERROR(IF('T1'!$J45="",INDEX(LISTA_EX,10),INDEX(LISTA_EX,MATCH('T1'!$J45&amp;"|"&amp;10,LISTA_KLUCZ,0))),"")</f>
        <v>Barbell back squat</v>
      </c>
      <c r="M45" s="5" t="str">
        <f t="array" ref="M45">IFERROR(IF('T1'!$J45="",INDEX(LISTA_EX,11),INDEX(LISTA_EX,MATCH('T1'!$J45&amp;"|"&amp;11,LISTA_KLUCZ,0))),"")</f>
        <v>Barbell bench press</v>
      </c>
      <c r="N45" s="5" t="str">
        <f t="array" ref="N45">IFERROR(IF('T1'!$J45="",INDEX(LISTA_EX,12),INDEX(LISTA_EX,MATCH('T1'!$J45&amp;"|"&amp;12,LISTA_KLUCZ,0))),"")</f>
        <v>Barbell curl</v>
      </c>
      <c r="O45" s="5" t="str">
        <f t="array" ref="O45">IFERROR(IF('T1'!$J45="",INDEX(LISTA_EX,13),INDEX(LISTA_EX,MATCH('T1'!$J45&amp;"|"&amp;13,LISTA_KLUCZ,0))),"")</f>
        <v>Barbell low bar squat</v>
      </c>
      <c r="P45" s="5" t="str">
        <f t="array" ref="P45">IFERROR(IF('T1'!$J45="",INDEX(LISTA_EX,14),INDEX(LISTA_EX,MATCH('T1'!$J45&amp;"|"&amp;14,LISTA_KLUCZ,0))),"")</f>
        <v>Barbell OHP</v>
      </c>
      <c r="Q45" s="5" t="str">
        <f t="array" ref="Q45">IFERROR(IF('T1'!$J45="",INDEX(LISTA_EX,15),INDEX(LISTA_EX,MATCH('T1'!$J45&amp;"|"&amp;15,LISTA_KLUCZ,0))),"")</f>
        <v>Barbell oscilation</v>
      </c>
      <c r="R45" s="5" t="str">
        <f t="array" ref="R45">IFERROR(IF('T1'!$J45="",INDEX(LISTA_EX,16),INDEX(LISTA_EX,MATCH('T1'!$J45&amp;"|"&amp;16,LISTA_KLUCZ,0))),"")</f>
        <v>Barbell row</v>
      </c>
      <c r="S45" s="5" t="str">
        <f t="array" ref="S45">IFERROR(IF('T1'!$J45="",INDEX(LISTA_EX,17),INDEX(LISTA_EX,MATCH('T1'!$J45&amp;"|"&amp;17,LISTA_KLUCZ,0))),"")</f>
        <v>Barbell row dead stop pins</v>
      </c>
      <c r="T45" s="5" t="str">
        <f t="array" ref="T45">IFERROR(IF('T1'!$J45="",INDEX(LISTA_EX,18),INDEX(LISTA_EX,MATCH('T1'!$J45&amp;"|"&amp;18,LISTA_KLUCZ,0))),"")</f>
        <v>Barbell SLDL</v>
      </c>
      <c r="U45" s="5" t="str">
        <f t="array" ref="U45">IFERROR(IF('T1'!$J45="",INDEX(LISTA_EX,19),INDEX(LISTA_EX,MATCH('T1'!$J45&amp;"|"&amp;19,LISTA_KLUCZ,0))),"")</f>
        <v>Bayesian curl</v>
      </c>
      <c r="V45" s="5" t="str">
        <f t="array" ref="V45">IFERROR(IF('T1'!$J45="",INDEX(LISTA_EX,20),INDEX(LISTA_EX,MATCH('T1'!$J45&amp;"|"&amp;20,LISTA_KLUCZ,0))),"")</f>
        <v>Bear renegade row</v>
      </c>
      <c r="W45" s="5" t="str">
        <f t="array" ref="W45">IFERROR(IF('T1'!$J45="",INDEX(LISTA_EX,21),INDEX(LISTA_EX,MATCH('T1'!$J45&amp;"|"&amp;21,LISTA_KLUCZ,0))),"")</f>
        <v>Bench press paused 3sec</v>
      </c>
      <c r="X45" s="5" t="str">
        <f t="array" ref="X45">IFERROR(IF('T1'!$J45="",INDEX(LISTA_EX,22),INDEX(LISTA_EX,MATCH('T1'!$J45&amp;"|"&amp;22,LISTA_KLUCZ,0))),"")</f>
        <v>Bicep hammer curl</v>
      </c>
      <c r="Y45" s="5" t="str">
        <f t="array" ref="Y45">IFERROR(IF('T1'!$J45="",INDEX(LISTA_EX,23),INDEX(LISTA_EX,MATCH('T1'!$J45&amp;"|"&amp;23,LISTA_KLUCZ,0))),"")</f>
        <v>Bicep squat cable curl</v>
      </c>
      <c r="Z45" s="5" t="str">
        <f t="array" ref="Z45">IFERROR(IF('T1'!$J45="",INDEX(LISTA_EX,24),INDEX(LISTA_EX,MATCH('T1'!$J45&amp;"|"&amp;24,LISTA_KLUCZ,0))),"")</f>
        <v>Bird dog row</v>
      </c>
      <c r="AA45" s="5" t="str">
        <f t="array" ref="AA45">IFERROR(IF('T1'!$J45="",INDEX(LISTA_EX,25),INDEX(LISTA_EX,MATCH('T1'!$J45&amp;"|"&amp;25,LISTA_KLUCZ,0))),"")</f>
        <v>Box jump</v>
      </c>
      <c r="AB45" s="5" t="str">
        <f t="array" ref="AB45">IFERROR(IF('T1'!$J45="",INDEX(LISTA_EX,26),INDEX(LISTA_EX,MATCH('T1'!$J45&amp;"|"&amp;26,LISTA_KLUCZ,0))),"")</f>
        <v>Bulgarian clean plyo</v>
      </c>
      <c r="AC45" s="5" t="str">
        <f t="array" ref="AC45">IFERROR(IF('T1'!$J45="",INDEX(LISTA_EX,27),INDEX(LISTA_EX,MATCH('T1'!$J45&amp;"|"&amp;27,LISTA_KLUCZ,0))),"")</f>
        <v>Bulgarian squat assisted</v>
      </c>
      <c r="AD45" s="5" t="str">
        <f t="array" ref="AD45">IFERROR(IF('T1'!$J45="",INDEX(LISTA_EX,28),INDEX(LISTA_EX,MATCH('T1'!$J45&amp;"|"&amp;28,LISTA_KLUCZ,0))),"")</f>
        <v>Cable biceps curl</v>
      </c>
      <c r="AE45" s="5" t="str">
        <f t="array" ref="AE45">IFERROR(IF('T1'!$J45="",INDEX(LISTA_EX,29),INDEX(LISTA_EX,MATCH('T1'!$J45&amp;"|"&amp;29,LISTA_KLUCZ,0))),"")</f>
        <v>Cable fly</v>
      </c>
      <c r="AF45" s="5" t="str">
        <f t="array" ref="AF45">IFERROR(IF('T1'!$J45="",INDEX(LISTA_EX,30),INDEX(LISTA_EX,MATCH('T1'!$J45&amp;"|"&amp;30,LISTA_KLUCZ,0))),"")</f>
        <v>Cable lateral raise s/a</v>
      </c>
      <c r="AG45" s="5" t="str">
        <f t="array" ref="AG45">IFERROR(IF('T1'!$J45="",INDEX(LISTA_EX,31),INDEX(LISTA_EX,MATCH('T1'!$J45&amp;"|"&amp;31,LISTA_KLUCZ,0))),"")</f>
        <v>Cable row</v>
      </c>
      <c r="AH45" s="5" t="str">
        <f t="array" ref="AH45">IFERROR(IF('T1'!$J45="",INDEX(LISTA_EX,32),INDEX(LISTA_EX,MATCH('T1'!$J45&amp;"|"&amp;32,LISTA_KLUCZ,0))),"")</f>
        <v>Cable row s/a</v>
      </c>
      <c r="AI45" s="5" t="str">
        <f t="array" ref="AI45">IFERROR(IF('T1'!$J45="",INDEX(LISTA_EX,33),INDEX(LISTA_EX,MATCH('T1'!$J45&amp;"|"&amp;33,LISTA_KLUCZ,0))),"")</f>
        <v>Calf raises</v>
      </c>
      <c r="AJ45" s="5" t="str">
        <f t="array" ref="AJ45">IFERROR(IF('T1'!$J45="",INDEX(LISTA_EX,34),INDEX(LISTA_EX,MATCH('T1'!$J45&amp;"|"&amp;34,LISTA_KLUCZ,0))),"")</f>
        <v>Chest fly machine</v>
      </c>
      <c r="AK45" s="5" t="str">
        <f t="array" ref="AK45">IFERROR(IF('T1'!$J45="",INDEX(LISTA_EX,35),INDEX(LISTA_EX,MATCH('T1'!$J45&amp;"|"&amp;35,LISTA_KLUCZ,0))),"")</f>
        <v>Clean</v>
      </c>
      <c r="AL45" s="5" t="str">
        <f t="array" ref="AL45">IFERROR(IF('T1'!$J45="",INDEX(LISTA_EX,36),INDEX(LISTA_EX,MATCH('T1'!$J45&amp;"|"&amp;36,LISTA_KLUCZ,0))),"")</f>
        <v>Clean pins</v>
      </c>
      <c r="AM45" s="5" t="str">
        <f t="array" ref="AM45">IFERROR(IF('T1'!$J45="",INDEX(LISTA_EX,37),INDEX(LISTA_EX,MATCH('T1'!$J45&amp;"|"&amp;37,LISTA_KLUCZ,0))),"")</f>
        <v>Copenhagen plank</v>
      </c>
      <c r="AN45" s="5" t="str">
        <f t="array" ref="AN45">IFERROR(IF('T1'!$J45="",INDEX(LISTA_EX,38),INDEX(LISTA_EX,MATCH('T1'!$J45&amp;"|"&amp;38,LISTA_KLUCZ,0))),"")</f>
        <v>Dead bug izo + OH</v>
      </c>
      <c r="AO45" s="5" t="str">
        <f t="array" ref="AO45">IFERROR(IF('T1'!$J45="",INDEX(LISTA_EX,39),INDEX(LISTA_EX,MATCH('T1'!$J45&amp;"|"&amp;39,LISTA_KLUCZ,0))),"")</f>
        <v>Dead bug straight legs</v>
      </c>
      <c r="AP45" s="5" t="str">
        <f t="array" ref="AP45">IFERROR(IF('T1'!$J45="",INDEX(LISTA_EX,40),INDEX(LISTA_EX,MATCH('T1'!$J45&amp;"|"&amp;40,LISTA_KLUCZ,0))),"")</f>
        <v>Dead stop barbell row</v>
      </c>
      <c r="AQ45" s="5" t="str">
        <f t="array" ref="AQ45">IFERROR(IF('T1'!$J45="",INDEX(LISTA_EX,41),INDEX(LISTA_EX,MATCH('T1'!$J45&amp;"|"&amp;41,LISTA_KLUCZ,0))),"")</f>
        <v>Deadbug OH</v>
      </c>
      <c r="AR45" s="5" t="str">
        <f t="array" ref="AR45">IFERROR(IF('T1'!$J45="",INDEX(LISTA_EX,42),INDEX(LISTA_EX,MATCH('T1'!$J45&amp;"|"&amp;42,LISTA_KLUCZ,0))),"")</f>
        <v>Deadlift</v>
      </c>
      <c r="AS45" s="5" t="str">
        <f t="array" ref="AS45">IFERROR(IF('T1'!$J45="",INDEX(LISTA_EX,43),INDEX(LISTA_EX,MATCH('T1'!$J45&amp;"|"&amp;43,LISTA_KLUCZ,0))),"")</f>
        <v>Deficit push up</v>
      </c>
      <c r="AT45" s="5" t="str">
        <f t="array" ref="AT45">IFERROR(IF('T1'!$J45="",INDEX(LISTA_EX,44),INDEX(LISTA_EX,MATCH('T1'!$J45&amp;"|"&amp;44,LISTA_KLUCZ,0))),"")</f>
        <v>Deficit reverse lunge</v>
      </c>
      <c r="AU45" s="5" t="str">
        <f t="array" ref="AU45">IFERROR(IF('T1'!$J45="",INDEX(LISTA_EX,45),INDEX(LISTA_EX,MATCH('T1'!$J45&amp;"|"&amp;45,LISTA_KLUCZ,0))),"")</f>
        <v>Dips</v>
      </c>
      <c r="AV45" s="5" t="str">
        <f t="array" ref="AV45">IFERROR(IF('T1'!$J45="",INDEX(LISTA_EX,46),INDEX(LISTA_EX,MATCH('T1'!$J45&amp;"|"&amp;46,LISTA_KLUCZ,0))),"")</f>
        <v>Dips weighted</v>
      </c>
      <c r="AW45" s="5" t="str">
        <f t="array" ref="AW45">IFERROR(IF('T1'!$J45="",INDEX(LISTA_EX,47),INDEX(LISTA_EX,MATCH('T1'!$J45&amp;"|"&amp;47,LISTA_KLUCZ,0))),"")</f>
        <v>Dumbbell bench press</v>
      </c>
      <c r="AX45" s="5" t="str">
        <f t="array" ref="AX45">IFERROR(IF('T1'!$J45="",INDEX(LISTA_EX,48),INDEX(LISTA_EX,MATCH('T1'!$J45&amp;"|"&amp;48,LISTA_KLUCZ,0))),"")</f>
        <v>Dumbbell bench press alternating</v>
      </c>
      <c r="AY45" s="5" t="str">
        <f t="array" ref="AY45">IFERROR(IF('T1'!$J45="",INDEX(LISTA_EX,49),INDEX(LISTA_EX,MATCH('T1'!$J45&amp;"|"&amp;49,LISTA_KLUCZ,0))),"")</f>
        <v>Dumbbell curl</v>
      </c>
      <c r="AZ45" s="5" t="str">
        <f t="array" ref="AZ45">IFERROR(IF('T1'!$J45="",INDEX(LISTA_EX,50),INDEX(LISTA_EX,MATCH('T1'!$J45&amp;"|"&amp;50,LISTA_KLUCZ,0))),"")</f>
        <v>Dumbbell external rotation</v>
      </c>
      <c r="BA45" s="5" t="str">
        <f t="array" ref="BA45">IFERROR(IF('T1'!$J45="",INDEX(LISTA_EX,51),INDEX(LISTA_EX,MATCH('T1'!$J45&amp;"|"&amp;51,LISTA_KLUCZ,0))),"")</f>
        <v>Dumbbell face down curl</v>
      </c>
      <c r="BB45" s="5" t="str">
        <f t="array" ref="BB45">IFERROR(IF('T1'!$J45="",INDEX(LISTA_EX,52),INDEX(LISTA_EX,MATCH('T1'!$J45&amp;"|"&amp;52,LISTA_KLUCZ,0))),"")</f>
        <v>Dumbbell fly</v>
      </c>
      <c r="BC45" s="5" t="str">
        <f t="array" ref="BC45">IFERROR(IF('T1'!$J45="",INDEX(LISTA_EX,53),INDEX(LISTA_EX,MATCH('T1'!$J45&amp;"|"&amp;53,LISTA_KLUCZ,0))),"")</f>
        <v>Dumbbell french press</v>
      </c>
      <c r="BD45" s="5" t="str">
        <f t="array" ref="BD45">IFERROR(IF('T1'!$J45="",INDEX(LISTA_EX,54),INDEX(LISTA_EX,MATCH('T1'!$J45&amp;"|"&amp;54,LISTA_KLUCZ,0))),"")</f>
        <v>Dumbbell lateral raise</v>
      </c>
      <c r="BE45" s="5" t="str">
        <f t="array" ref="BE45">IFERROR(IF('T1'!$J45="",INDEX(LISTA_EX,55),INDEX(LISTA_EX,MATCH('T1'!$J45&amp;"|"&amp;55,LISTA_KLUCZ,0))),"")</f>
        <v>Dumbbell lunges</v>
      </c>
      <c r="BF45" s="5" t="str">
        <f t="array" ref="BF45">IFERROR(IF('T1'!$J45="",INDEX(LISTA_EX,56),INDEX(LISTA_EX,MATCH('T1'!$J45&amp;"|"&amp;56,LISTA_KLUCZ,0))),"")</f>
        <v>Dumbbell OH press</v>
      </c>
      <c r="BG45" s="5" t="str">
        <f t="array" ref="BG45">IFERROR(IF('T1'!$J45="",INDEX(LISTA_EX,57),INDEX(LISTA_EX,MATCH('T1'!$J45&amp;"|"&amp;57,LISTA_KLUCZ,0))),"")</f>
        <v>Dumbbell over head press</v>
      </c>
      <c r="BH45" s="5" t="str">
        <f t="array" ref="BH45">IFERROR(IF('T1'!$J45="",INDEX(LISTA_EX,58),INDEX(LISTA_EX,MATCH('T1'!$J45&amp;"|"&amp;58,LISTA_KLUCZ,0))),"")</f>
        <v>Dumbbell over head press alternating</v>
      </c>
      <c r="BI45" s="5" t="str">
        <f t="array" ref="BI45">IFERROR(IF('T1'!$J45="",INDEX(LISTA_EX,59),INDEX(LISTA_EX,MATCH('T1'!$J45&amp;"|"&amp;59,LISTA_KLUCZ,0))),"")</f>
        <v>Dumbbell row</v>
      </c>
      <c r="BJ45" s="5" t="str">
        <f t="array" ref="BJ45">IFERROR(IF('T1'!$J45="",INDEX(LISTA_EX,60),INDEX(LISTA_EX,MATCH('T1'!$J45&amp;"|"&amp;60,LISTA_KLUCZ,0))),"")</f>
        <v>Dumbbell s/a Arnold press</v>
      </c>
      <c r="BK45" s="5" t="str">
        <f t="array" ref="BK45">IFERROR(IF('T1'!$J45="",INDEX(LISTA_EX,61),INDEX(LISTA_EX,MATCH('T1'!$J45&amp;"|"&amp;61,LISTA_KLUCZ,0))),"")</f>
        <v>Dumbbell s/a row</v>
      </c>
      <c r="BL45" s="5" t="str">
        <f t="array" ref="BL45">IFERROR(IF('T1'!$J45="",INDEX(LISTA_EX,62),INDEX(LISTA_EX,MATCH('T1'!$J45&amp;"|"&amp;62,LISTA_KLUCZ,0))),"")</f>
        <v>Dumbbell seal row</v>
      </c>
      <c r="BM45" s="5" t="str">
        <f t="array" ref="BM45">IFERROR(IF('T1'!$J45="",INDEX(LISTA_EX,63),INDEX(LISTA_EX,MATCH('T1'!$J45&amp;"|"&amp;63,LISTA_KLUCZ,0))),"")</f>
        <v>Dumbbells jumps</v>
      </c>
      <c r="BN45" s="5" t="str">
        <f t="array" ref="BN45">IFERROR(IF('T1'!$J45="",INDEX(LISTA_EX,64),INDEX(LISTA_EX,MATCH('T1'!$J45&amp;"|"&amp;64,LISTA_KLUCZ,0))),"")</f>
        <v>Eccentric pull up</v>
      </c>
      <c r="BO45" s="5" t="str">
        <f t="array" ref="BO45">IFERROR(IF('T1'!$J45="",INDEX(LISTA_EX,65),INDEX(LISTA_EX,MATCH('T1'!$J45&amp;"|"&amp;65,LISTA_KLUCZ,0))),"")</f>
        <v>Eccentric push up (5 sek w dół)</v>
      </c>
      <c r="BP45" s="5" t="str">
        <f t="array" ref="BP45">IFERROR(IF('T1'!$J45="",INDEX(LISTA_EX,66),INDEX(LISTA_EX,MATCH('T1'!$J45&amp;"|"&amp;66,LISTA_KLUCZ,0))),"")</f>
        <v>Extensive plyo jumps s/l</v>
      </c>
      <c r="BQ45" s="5" t="str">
        <f t="array" ref="BQ45">IFERROR(IF('T1'!$J45="",INDEX(LISTA_EX,67),INDEX(LISTA_EX,MATCH('T1'!$J45&amp;"|"&amp;67,LISTA_KLUCZ,0))),"")</f>
        <v>Ez bar curl</v>
      </c>
      <c r="BR45" s="5" t="str">
        <f t="array" ref="BR45">IFERROR(IF('T1'!$J45="",INDEX(LISTA_EX,68),INDEX(LISTA_EX,MATCH('T1'!$J45&amp;"|"&amp;68,LISTA_KLUCZ,0))),"")</f>
        <v>Facepull chest supported</v>
      </c>
      <c r="BS45" s="5" t="str">
        <f t="array" ref="BS45">IFERROR(IF('T1'!$J45="",INDEX(LISTA_EX,69),INDEX(LISTA_EX,MATCH('T1'!$J45&amp;"|"&amp;69,LISTA_KLUCZ,0))),"")</f>
        <v>Front foot elevated split squat</v>
      </c>
      <c r="BT45" s="5" t="str">
        <f t="array" ref="BT45">IFERROR(IF('T1'!$J45="",INDEX(LISTA_EX,70),INDEX(LISTA_EX,MATCH('T1'!$J45&amp;"|"&amp;70,LISTA_KLUCZ,0))),"")</f>
        <v>Front squat</v>
      </c>
      <c r="BU45" s="5" t="str">
        <f t="array" ref="BU45">IFERROR(IF('T1'!$J45="",INDEX(LISTA_EX,71),INDEX(LISTA_EX,MATCH('T1'!$J45&amp;"|"&amp;71,LISTA_KLUCZ,0))),"")</f>
        <v>GHD flexion</v>
      </c>
      <c r="BV45" s="5" t="str">
        <f t="array" ref="BV45">IFERROR(IF('T1'!$J45="",INDEX(LISTA_EX,72),INDEX(LISTA_EX,MATCH('T1'!$J45&amp;"|"&amp;72,LISTA_KLUCZ,0))),"")</f>
        <v>Glute bridge hamstrings izo + OH</v>
      </c>
      <c r="BW45" s="5" t="str">
        <f t="array" ref="BW45">IFERROR(IF('T1'!$J45="",INDEX(LISTA_EX,73),INDEX(LISTA_EX,MATCH('T1'!$J45&amp;"|"&amp;73,LISTA_KLUCZ,0))),"")</f>
        <v>Glute crusher</v>
      </c>
      <c r="BX45" s="5" t="str">
        <f t="array" ref="BX45">IFERROR(IF('T1'!$J45="",INDEX(LISTA_EX,74),INDEX(LISTA_EX,MATCH('T1'!$J45&amp;"|"&amp;74,LISTA_KLUCZ,0))),"")</f>
        <v>Gorilla row</v>
      </c>
      <c r="BY45" s="5" t="str">
        <f t="array" ref="BY45">IFERROR(IF('T1'!$J45="",INDEX(LISTA_EX,75),INDEX(LISTA_EX,MATCH('T1'!$J45&amp;"|"&amp;75,LISTA_KLUCZ,0))),"")</f>
        <v>Halfkneeling s/a cable pull</v>
      </c>
      <c r="BZ45" s="5" t="str">
        <f t="array" ref="BZ45">IFERROR(IF('T1'!$J45="",INDEX(LISTA_EX,76),INDEX(LISTA_EX,MATCH('T1'!$J45&amp;"|"&amp;76,LISTA_KLUCZ,0))),"")</f>
        <v>Halfkneeling wood chopper</v>
      </c>
      <c r="CA45" s="5" t="str">
        <f t="array" ref="CA45">IFERROR(IF('T1'!$J45="",INDEX(LISTA_EX,77),INDEX(LISTA_EX,MATCH('T1'!$J45&amp;"|"&amp;77,LISTA_KLUCZ,0))),"")</f>
        <v>Hinged dumbbell row</v>
      </c>
      <c r="CB45" s="5" t="str">
        <f t="array" ref="CB45">IFERROR(IF('T1'!$J45="",INDEX(LISTA_EX,78),INDEX(LISTA_EX,MATCH('T1'!$J45&amp;"|"&amp;78,LISTA_KLUCZ,0))),"")</f>
        <v>Hip aeroplane</v>
      </c>
      <c r="CC45" s="5" t="str">
        <f t="array" ref="CC45">IFERROR(IF('T1'!$J45="",INDEX(LISTA_EX,79),INDEX(LISTA_EX,MATCH('T1'!$J45&amp;"|"&amp;79,LISTA_KLUCZ,0))),"")</f>
        <v>Hip flexors cable</v>
      </c>
      <c r="CD45" s="5" t="str">
        <f t="array" ref="CD45">IFERROR(IF('T1'!$J45="",INDEX(LISTA_EX,80),INDEX(LISTA_EX,MATCH('T1'!$J45&amp;"|"&amp;80,LISTA_KLUCZ,0))),"")</f>
        <v>Hip thrust barbell</v>
      </c>
      <c r="CE45" s="5" t="str">
        <f t="array" ref="CE45">IFERROR(IF('T1'!$J45="",INDEX(LISTA_EX,81),INDEX(LISTA_EX,MATCH('T1'!$J45&amp;"|"&amp;81,LISTA_KLUCZ,0))),"")</f>
        <v>Hollow body + OH</v>
      </c>
      <c r="CF45" s="5" t="str">
        <f t="array" ref="CF45">IFERROR(IF('T1'!$J45="",INDEX(LISTA_EX,82),INDEX(LISTA_EX,MATCH('T1'!$J45&amp;"|"&amp;82,LISTA_KLUCZ,0))),"")</f>
        <v>Horizontal jump</v>
      </c>
      <c r="CG45" s="5" t="str">
        <f t="array" ref="CG45">IFERROR(IF('T1'!$J45="",INDEX(LISTA_EX,83),INDEX(LISTA_EX,MATCH('T1'!$J45&amp;"|"&amp;83,LISTA_KLUCZ,0))),"")</f>
        <v>Incline bench lateral raise s/a</v>
      </c>
      <c r="CH45" s="5" t="str">
        <f t="array" ref="CH45">IFERROR(IF('T1'!$J45="",INDEX(LISTA_EX,84),INDEX(LISTA_EX,MATCH('T1'!$J45&amp;"|"&amp;84,LISTA_KLUCZ,0))),"")</f>
        <v>Incline curl + OHP</v>
      </c>
      <c r="CI45" s="5" t="str">
        <f t="array" ref="CI45">IFERROR(IF('T1'!$J45="",INDEX(LISTA_EX,85),INDEX(LISTA_EX,MATCH('T1'!$J45&amp;"|"&amp;85,LISTA_KLUCZ,0))),"")</f>
        <v>Incline dumbbell curl</v>
      </c>
      <c r="CJ45" s="5" t="str">
        <f t="array" ref="CJ45">IFERROR(IF('T1'!$J45="",INDEX(LISTA_EX,86),INDEX(LISTA_EX,MATCH('T1'!$J45&amp;"|"&amp;86,LISTA_KLUCZ,0))),"")</f>
        <v>Incline dumbbell curl (back)</v>
      </c>
      <c r="CK45" s="5" t="str">
        <f t="array" ref="CK45">IFERROR(IF('T1'!$J45="",INDEX(LISTA_EX,87),INDEX(LISTA_EX,MATCH('T1'!$J45&amp;"|"&amp;87,LISTA_KLUCZ,0))),"")</f>
        <v>Incline dumbbell curl (front)</v>
      </c>
      <c r="CL45" s="5" t="str">
        <f t="array" ref="CL45">IFERROR(IF('T1'!$J45="",INDEX(LISTA_EX,88),INDEX(LISTA_EX,MATCH('T1'!$J45&amp;"|"&amp;88,LISTA_KLUCZ,0))),"")</f>
        <v>Incline dumbbell fly</v>
      </c>
      <c r="CM45" s="5" t="str">
        <f t="array" ref="CM45">IFERROR(IF('T1'!$J45="",INDEX(LISTA_EX,89),INDEX(LISTA_EX,MATCH('T1'!$J45&amp;"|"&amp;89,LISTA_KLUCZ,0))),"")</f>
        <v>Incline dumbbell press</v>
      </c>
      <c r="CN45" s="5" t="str">
        <f t="array" ref="CN45">IFERROR(IF('T1'!$J45="",INDEX(LISTA_EX,90),INDEX(LISTA_EX,MATCH('T1'!$J45&amp;"|"&amp;90,LISTA_KLUCZ,0))),"")</f>
        <v>Incline dumbbell press alternating</v>
      </c>
      <c r="CO45" s="5" t="str">
        <f t="array" ref="CO45">IFERROR(IF('T1'!$J45="",INDEX(LISTA_EX,91),INDEX(LISTA_EX,MATCH('T1'!$J45&amp;"|"&amp;91,LISTA_KLUCZ,0))),"")</f>
        <v>Incline sit-ups</v>
      </c>
      <c r="CP45" s="5" t="str">
        <f t="array" ref="CP45">IFERROR(IF('T1'!$J45="",INDEX(LISTA_EX,92),INDEX(LISTA_EX,MATCH('T1'!$J45&amp;"|"&amp;92,LISTA_KLUCZ,0))),"")</f>
        <v>Jefferson cable</v>
      </c>
      <c r="CQ45" s="5" t="str">
        <f t="array" ref="CQ45">IFERROR(IF('T1'!$J45="",INDEX(LISTA_EX,93),INDEX(LISTA_EX,MATCH('T1'!$J45&amp;"|"&amp;93,LISTA_KLUCZ,0))),"")</f>
        <v>Kettlebell march</v>
      </c>
      <c r="CR45" s="5" t="str">
        <f t="array" ref="CR45">IFERROR(IF('T1'!$J45="",INDEX(LISTA_EX,94),INDEX(LISTA_EX,MATCH('T1'!$J45&amp;"|"&amp;94,LISTA_KLUCZ,0))),"")</f>
        <v>Kickbacks</v>
      </c>
      <c r="CS45" s="5" t="str">
        <f t="array" ref="CS45">IFERROR(IF('T1'!$J45="",INDEX(LISTA_EX,95),INDEX(LISTA_EX,MATCH('T1'!$J45&amp;"|"&amp;95,LISTA_KLUCZ,0))),"")</f>
        <v>Knee extension machine</v>
      </c>
      <c r="CT45" s="5" t="str">
        <f t="array" ref="CT45">IFERROR(IF('T1'!$J45="",INDEX(LISTA_EX,96),INDEX(LISTA_EX,MATCH('T1'!$J45&amp;"|"&amp;96,LISTA_KLUCZ,0))),"")</f>
        <v>Knee flexion machine</v>
      </c>
      <c r="CU45" s="5" t="str">
        <f t="array" ref="CU45">IFERROR(IF('T1'!$J45="",INDEX(LISTA_EX,97),INDEX(LISTA_EX,MATCH('T1'!$J45&amp;"|"&amp;97,LISTA_KLUCZ,0))),"")</f>
        <v>Knee raises</v>
      </c>
      <c r="CV45" s="5" t="str">
        <f t="array" ref="CV45">IFERROR(IF('T1'!$J45="",INDEX(LISTA_EX,98),INDEX(LISTA_EX,MATCH('T1'!$J45&amp;"|"&amp;98,LISTA_KLUCZ,0))),"")</f>
        <v>Landmine core</v>
      </c>
      <c r="CW45" s="5" t="str">
        <f t="array" ref="CW45">IFERROR(IF('T1'!$J45="",INDEX(LISTA_EX,99),INDEX(LISTA_EX,MATCH('T1'!$J45&amp;"|"&amp;99,LISTA_KLUCZ,0))),"")</f>
        <v>Landmine press</v>
      </c>
      <c r="CX45" s="5" t="str">
        <f t="array" ref="CX45">IFERROR(IF('T1'!$J45="",INDEX(LISTA_EX,100),INDEX(LISTA_EX,MATCH('T1'!$J45&amp;"|"&amp;100,LISTA_KLUCZ,0))),"")</f>
        <v>Landmine rotations (powtórzenia x2)</v>
      </c>
      <c r="CY45" s="5" t="str">
        <f t="array" ref="CY45">IFERROR(IF('T1'!$J45="",INDEX(LISTA_EX,101),INDEX(LISTA_EX,MATCH('T1'!$J45&amp;"|"&amp;101,LISTA_KLUCZ,0))),"")</f>
        <v>Landmine SLDL</v>
      </c>
      <c r="CZ45" s="5" t="str">
        <f t="array" ref="CZ45">IFERROR(IF('T1'!$J45="",INDEX(LISTA_EX,102),INDEX(LISTA_EX,MATCH('T1'!$J45&amp;"|"&amp;102,LISTA_KLUCZ,0))),"")</f>
        <v>Lat pulldown</v>
      </c>
      <c r="DA45" s="5" t="str">
        <f t="array" ref="DA45">IFERROR(IF('T1'!$J45="",INDEX(LISTA_EX,103),INDEX(LISTA_EX,MATCH('T1'!$J45&amp;"|"&amp;103,LISTA_KLUCZ,0))),"")</f>
        <v>Lat pulldown behind the head</v>
      </c>
      <c r="DB45" s="5" t="str">
        <f t="array" ref="DB45">IFERROR(IF('T1'!$J45="",INDEX(LISTA_EX,104),INDEX(LISTA_EX,MATCH('T1'!$J45&amp;"|"&amp;104,LISTA_KLUCZ,0))),"")</f>
        <v>Lat pulldown s/a</v>
      </c>
      <c r="DC45" s="5" t="str">
        <f t="array" ref="DC45">IFERROR(IF('T1'!$J45="",INDEX(LISTA_EX,105),INDEX(LISTA_EX,MATCH('T1'!$J45&amp;"|"&amp;105,LISTA_KLUCZ,0))),"")</f>
        <v>Lateral raise s/a</v>
      </c>
      <c r="DD45" s="5" t="str">
        <f t="array" ref="DD45">IFERROR(IF('T1'!$J45="",INDEX(LISTA_EX,106),INDEX(LISTA_EX,MATCH('T1'!$J45&amp;"|"&amp;106,LISTA_KLUCZ,0))),"")</f>
        <v>Lateral raises</v>
      </c>
      <c r="DE45" s="5" t="str">
        <f t="array" ref="DE45">IFERROR(IF('T1'!$J45="",INDEX(LISTA_EX,107),INDEX(LISTA_EX,MATCH('T1'!$J45&amp;"|"&amp;107,LISTA_KLUCZ,0))),"")</f>
        <v>Lateral raises 2</v>
      </c>
      <c r="DF45" s="5" t="str">
        <f t="array" ref="DF45">IFERROR(IF('T1'!$J45="",INDEX(LISTA_EX,108),INDEX(LISTA_EX,MATCH('T1'!$J45&amp;"|"&amp;108,LISTA_KLUCZ,0))),"")</f>
        <v>Lateral raises full ROM</v>
      </c>
      <c r="DG45" s="5" t="str">
        <f t="array" ref="DG45">IFERROR(IF('T1'!$J45="",INDEX(LISTA_EX,109),INDEX(LISTA_EX,MATCH('T1'!$J45&amp;"|"&amp;109,LISTA_KLUCZ,0))),"")</f>
        <v>Lateral raises hinged</v>
      </c>
      <c r="DH45" s="5" t="str">
        <f t="array" ref="DH45">IFERROR(IF('T1'!$J45="",INDEX(LISTA_EX,110),INDEX(LISTA_EX,MATCH('T1'!$J45&amp;"|"&amp;110,LISTA_KLUCZ,0))),"")</f>
        <v>Lateral raises incline s/a</v>
      </c>
      <c r="DI45" s="5" t="str">
        <f t="array" ref="DI45">IFERROR(IF('T1'!$J45="",INDEX(LISTA_EX,111),INDEX(LISTA_EX,MATCH('T1'!$J45&amp;"|"&amp;111,LISTA_KLUCZ,0))),"")</f>
        <v>Leg curl</v>
      </c>
      <c r="DJ45" s="5" t="str">
        <f t="array" ref="DJ45">IFERROR(IF('T1'!$J45="",INDEX(LISTA_EX,112),INDEX(LISTA_EX,MATCH('T1'!$J45&amp;"|"&amp;112,LISTA_KLUCZ,0))),"")</f>
        <v>Machine row</v>
      </c>
      <c r="DK45" s="5" t="str">
        <f t="array" ref="DK45">IFERROR(IF('T1'!$J45="",INDEX(LISTA_EX,113),INDEX(LISTA_EX,MATCH('T1'!$J45&amp;"|"&amp;113,LISTA_KLUCZ,0))),"")</f>
        <v>Machine row s/a</v>
      </c>
      <c r="DL45" s="5" t="str">
        <f t="array" ref="DL45">IFERROR(IF('T1'!$J45="",INDEX(LISTA_EX,114),INDEX(LISTA_EX,MATCH('T1'!$J45&amp;"|"&amp;114,LISTA_KLUCZ,0))),"")</f>
        <v>Meadows row</v>
      </c>
      <c r="DM45" s="5" t="str">
        <f t="array" ref="DM45">IFERROR(IF('T1'!$J45="",INDEX(LISTA_EX,115),INDEX(LISTA_EX,MATCH('T1'!$J45&amp;"|"&amp;115,LISTA_KLUCZ,0))),"")</f>
        <v>Med ball slam</v>
      </c>
      <c r="DN45" s="5" t="str">
        <f t="array" ref="DN45">IFERROR(IF('T1'!$J45="",INDEX(LISTA_EX,116),INDEX(LISTA_EX,MATCH('T1'!$J45&amp;"|"&amp;116,LISTA_KLUCZ,0))),"")</f>
        <v>OH skullcrushers</v>
      </c>
      <c r="DO45" s="5" t="str">
        <f t="array" ref="DO45">IFERROR(IF('T1'!$J45="",INDEX(LISTA_EX,117),INDEX(LISTA_EX,MATCH('T1'!$J45&amp;"|"&amp;117,LISTA_KLUCZ,0))),"")</f>
        <v>OHP barbell squat 15kg</v>
      </c>
      <c r="DP45" s="5" t="str">
        <f t="array" ref="DP45">IFERROR(IF('T1'!$J45="",INDEX(LISTA_EX,118),INDEX(LISTA_EX,MATCH('T1'!$J45&amp;"|"&amp;118,LISTA_KLUCZ,0))),"")</f>
        <v>Pistol squat eccentric</v>
      </c>
      <c r="DQ45" s="5" t="str">
        <f t="array" ref="DQ45">IFERROR(IF('T1'!$J45="",INDEX(LISTA_EX,119),INDEX(LISTA_EX,MATCH('T1'!$J45&amp;"|"&amp;119,LISTA_KLUCZ,0))),"")</f>
        <v>Plank contralateral</v>
      </c>
      <c r="DR45" s="5" t="str">
        <f t="array" ref="DR45">IFERROR(IF('T1'!$J45="",INDEX(LISTA_EX,120),INDEX(LISTA_EX,MATCH('T1'!$J45&amp;"|"&amp;120,LISTA_KLUCZ,0))),"")</f>
        <v>Plank dumbbell rotation</v>
      </c>
      <c r="DS45" s="5" t="str">
        <f t="array" ref="DS45">IFERROR(IF('T1'!$J45="",INDEX(LISTA_EX,121),INDEX(LISTA_EX,MATCH('T1'!$J45&amp;"|"&amp;121,LISTA_KLUCZ,0))),"")</f>
        <v>Plank leg raises</v>
      </c>
      <c r="DT45" s="5" t="str">
        <f t="array" ref="DT45">IFERROR(IF('T1'!$J45="",INDEX(LISTA_EX,122),INDEX(LISTA_EX,MATCH('T1'!$J45&amp;"|"&amp;122,LISTA_KLUCZ,0))),"")</f>
        <v>Poliquin step up</v>
      </c>
      <c r="DU45" s="5" t="str">
        <f t="array" ref="DU45">IFERROR(IF('T1'!$J45="",INDEX(LISTA_EX,123),INDEX(LISTA_EX,MATCH('T1'!$J45&amp;"|"&amp;123,LISTA_KLUCZ,0))),"")</f>
        <v>Poliquin step up paused 3sec</v>
      </c>
      <c r="DV45" s="5" t="str">
        <f t="array" ref="DV45">IFERROR(IF('T1'!$J45="",INDEX(LISTA_EX,124),INDEX(LISTA_EX,MATCH('T1'!$J45&amp;"|"&amp;124,LISTA_KLUCZ,0))),"")</f>
        <v>Pronation/Supination</v>
      </c>
      <c r="DW45" s="5" t="str">
        <f t="array" ref="DW45">IFERROR(IF('T1'!$J45="",INDEX(LISTA_EX,125),INDEX(LISTA_EX,MATCH('T1'!$J45&amp;"|"&amp;125,LISTA_KLUCZ,0))),"")</f>
        <v>Pull up</v>
      </c>
      <c r="DX45" s="5" t="str">
        <f t="array" ref="DX45">IFERROR(IF('T1'!$J45="",INDEX(LISTA_EX,126),INDEX(LISTA_EX,MATCH('T1'!$J45&amp;"|"&amp;126,LISTA_KLUCZ,0))),"")</f>
        <v>Pull up eccentric weighted</v>
      </c>
      <c r="DY45" s="5" t="str">
        <f t="array" ref="DY45">IFERROR(IF('T1'!$J45="",INDEX(LISTA_EX,127),INDEX(LISTA_EX,MATCH('T1'!$J45&amp;"|"&amp;127,LISTA_KLUCZ,0))),"")</f>
        <v>Pull up eccentric weighted (5 sek w dół)</v>
      </c>
      <c r="DZ45" s="5" t="str">
        <f t="array" ref="DZ45">IFERROR(IF('T1'!$J45="",INDEX(LISTA_EX,128),INDEX(LISTA_EX,MATCH('T1'!$J45&amp;"|"&amp;128,LISTA_KLUCZ,0))),"")</f>
        <v>Pull up weighted</v>
      </c>
      <c r="EA45" s="5" t="str">
        <f t="array" ref="EA45">IFERROR(IF('T1'!$J45="",INDEX(LISTA_EX,129),INDEX(LISTA_EX,MATCH('T1'!$J45&amp;"|"&amp;129,LISTA_KLUCZ,0))),"")</f>
        <v>Pull ups (paused)</v>
      </c>
      <c r="EB45" s="5" t="str">
        <f t="array" ref="EB45">IFERROR(IF('T1'!$J45="",INDEX(LISTA_EX,130),INDEX(LISTA_EX,MATCH('T1'!$J45&amp;"|"&amp;130,LISTA_KLUCZ,0))),"")</f>
        <v>Push press barbell</v>
      </c>
      <c r="EC45" s="5" t="str">
        <f t="array" ref="EC45">IFERROR(IF('T1'!$J45="",INDEX(LISTA_EX,131),INDEX(LISTA_EX,MATCH('T1'!$J45&amp;"|"&amp;131,LISTA_KLUCZ,0))),"")</f>
        <v>Push up</v>
      </c>
      <c r="ED45" s="5" t="str">
        <f t="array" ref="ED45">IFERROR(IF('T1'!$J45="",INDEX(LISTA_EX,132),INDEX(LISTA_EX,MATCH('T1'!$J45&amp;"|"&amp;132,LISTA_KLUCZ,0))),"")</f>
        <v>Raised bird dog</v>
      </c>
      <c r="EE45" s="5" t="str">
        <f t="array" ref="EE45">IFERROR(IF('T1'!$J45="",INDEX(LISTA_EX,133),INDEX(LISTA_EX,MATCH('T1'!$J45&amp;"|"&amp;133,LISTA_KLUCZ,0))),"")</f>
        <v>RDL</v>
      </c>
      <c r="EF45" s="5" t="str">
        <f t="array" ref="EF45">IFERROR(IF('T1'!$J45="",INDEX(LISTA_EX,134),INDEX(LISTA_EX,MATCH('T1'!$J45&amp;"|"&amp;134,LISTA_KLUCZ,0))),"")</f>
        <v>Reverse Nordic</v>
      </c>
      <c r="EG45" s="5" t="str">
        <f t="array" ref="EG45">IFERROR(IF('T1'!$J45="",INDEX(LISTA_EX,135),INDEX(LISTA_EX,MATCH('T1'!$J45&amp;"|"&amp;135,LISTA_KLUCZ,0))),"")</f>
        <v>Rope pushdown</v>
      </c>
      <c r="EH45" s="5" t="str">
        <f t="array" ref="EH45">IFERROR(IF('T1'!$J45="",INDEX(LISTA_EX,136),INDEX(LISTA_EX,MATCH('T1'!$J45&amp;"|"&amp;136,LISTA_KLUCZ,0))),"")</f>
        <v>Rope pushdown OH</v>
      </c>
      <c r="EI45" s="5" t="str">
        <f t="array" ref="EI45">IFERROR(IF('T1'!$J45="",INDEX(LISTA_EX,137),INDEX(LISTA_EX,MATCH('T1'!$J45&amp;"|"&amp;137,LISTA_KLUCZ,0))),"")</f>
        <v>S/a cable pulldown incline bench</v>
      </c>
      <c r="EJ45" s="5" t="str">
        <f t="array" ref="EJ45">IFERROR(IF('T1'!$J45="",INDEX(LISTA_EX,138),INDEX(LISTA_EX,MATCH('T1'!$J45&amp;"|"&amp;138,LISTA_KLUCZ,0))),"")</f>
        <v>S/a lat pulldown incline bench</v>
      </c>
      <c r="EK45" s="5" t="str">
        <f t="array" ref="EK45">IFERROR(IF('T1'!$J45="",INDEX(LISTA_EX,139),INDEX(LISTA_EX,MATCH('T1'!$J45&amp;"|"&amp;139,LISTA_KLUCZ,0))),"")</f>
        <v>S/l dragonflag eccentric</v>
      </c>
      <c r="EL45" s="5" t="str">
        <f t="array" ref="EL45">IFERROR(IF('T1'!$J45="",INDEX(LISTA_EX,140),INDEX(LISTA_EX,MATCH('T1'!$J45&amp;"|"&amp;140,LISTA_KLUCZ,0))),"")</f>
        <v>S/l hip thrust</v>
      </c>
      <c r="EM45" s="5" t="str">
        <f t="array" ref="EM45">IFERROR(IF('T1'!$J45="",INDEX(LISTA_EX,141),INDEX(LISTA_EX,MATCH('T1'!$J45&amp;"|"&amp;141,LISTA_KLUCZ,0))),"")</f>
        <v>Seated broad jump</v>
      </c>
      <c r="EN45" s="5" t="str">
        <f t="array" ref="EN45">IFERROR(IF('T1'!$J45="",INDEX(LISTA_EX,142),INDEX(LISTA_EX,MATCH('T1'!$J45&amp;"|"&amp;142,LISTA_KLUCZ,0))),"")</f>
        <v>Seated cable facepull</v>
      </c>
      <c r="EO45" s="5" t="str">
        <f t="array" ref="EO45">IFERROR(IF('T1'!$J45="",INDEX(LISTA_EX,143),INDEX(LISTA_EX,MATCH('T1'!$J45&amp;"|"&amp;143,LISTA_KLUCZ,0))),"")</f>
        <v>Seated seesaw press (nogi proste)</v>
      </c>
      <c r="EP45" s="5" t="str">
        <f t="array" ref="EP45">IFERROR(IF('T1'!$J45="",INDEX(LISTA_EX,144),INDEX(LISTA_EX,MATCH('T1'!$J45&amp;"|"&amp;144,LISTA_KLUCZ,0))),"")</f>
        <v>Seesaw press</v>
      </c>
      <c r="EQ45" s="5" t="str">
        <f t="array" ref="EQ45">IFERROR(IF('T1'!$J45="",INDEX(LISTA_EX,145),INDEX(LISTA_EX,MATCH('T1'!$J45&amp;"|"&amp;145,LISTA_KLUCZ,0))),"")</f>
        <v>Side crunches</v>
      </c>
      <c r="ER45" s="5" t="str">
        <f t="array" ref="ER45">IFERROR(IF('T1'!$J45="",INDEX(LISTA_EX,146),INDEX(LISTA_EX,MATCH('T1'!$J45&amp;"|"&amp;146,LISTA_KLUCZ,0))),"")</f>
        <v>Side plank hip drop</v>
      </c>
      <c r="ES45" s="5" t="str">
        <f t="array" ref="ES45">IFERROR(IF('T1'!$J45="",INDEX(LISTA_EX,147),INDEX(LISTA_EX,MATCH('T1'!$J45&amp;"|"&amp;147,LISTA_KLUCZ,0))),"")</f>
        <v>Side plank rotations</v>
      </c>
      <c r="ET45" s="5" t="str">
        <f t="array" ref="ET45">IFERROR(IF('T1'!$J45="",INDEX(LISTA_EX,148),INDEX(LISTA_EX,MATCH('T1'!$J45&amp;"|"&amp;148,LISTA_KLUCZ,0))),"")</f>
        <v>SLDL balance</v>
      </c>
      <c r="EU45" s="5" t="str">
        <f t="array" ref="EU45">IFERROR(IF('T1'!$J45="",INDEX(LISTA_EX,149),INDEX(LISTA_EX,MATCH('T1'!$J45&amp;"|"&amp;149,LISTA_KLUCZ,0))),"")</f>
        <v>Split squat</v>
      </c>
      <c r="EV45" s="5" t="str">
        <f t="array" ref="EV45">IFERROR(IF('T1'!$J45="",INDEX(LISTA_EX,150),INDEX(LISTA_EX,MATCH('T1'!$J45&amp;"|"&amp;150,LISTA_KLUCZ,0))),"")</f>
        <v>Split stance SLDL</v>
      </c>
      <c r="EW45" s="5" t="str">
        <f t="array" ref="EW45">IFERROR(IF('T1'!$J45="",INDEX(LISTA_EX,151),INDEX(LISTA_EX,MATCH('T1'!$J45&amp;"|"&amp;151,LISTA_KLUCZ,0))),"")</f>
        <v>Squat izo (15 sek)</v>
      </c>
      <c r="EX45" s="5" t="str">
        <f t="array" ref="EX45">IFERROR(IF('T1'!$J45="",INDEX(LISTA_EX,152),INDEX(LISTA_EX,MATCH('T1'!$J45&amp;"|"&amp;152,LISTA_KLUCZ,0))),"")</f>
        <v>Standing landmine press</v>
      </c>
      <c r="EY45" s="5" t="str">
        <f t="array" ref="EY45">IFERROR(IF('T1'!$J45="",INDEX(LISTA_EX,153),INDEX(LISTA_EX,MATCH('T1'!$J45&amp;"|"&amp;153,LISTA_KLUCZ,0))),"")</f>
        <v>Suitcase carry</v>
      </c>
      <c r="EZ45" s="5" t="str">
        <f t="array" ref="EZ45">IFERROR(IF('T1'!$J45="",INDEX(LISTA_EX,154),INDEX(LISTA_EX,MATCH('T1'!$J45&amp;"|"&amp;154,LISTA_KLUCZ,0))),"")</f>
        <v>Supine pigeon abs</v>
      </c>
      <c r="FA45" s="5" t="str">
        <f t="array" ref="FA45">IFERROR(IF('T1'!$J45="",INDEX(LISTA_EX,155),INDEX(LISTA_EX,MATCH('T1'!$J45&amp;"|"&amp;155,LISTA_KLUCZ,0))),"")</f>
        <v>Swiss ball leg curl</v>
      </c>
      <c r="FB45" s="5" t="str">
        <f t="array" ref="FB45">IFERROR(IF('T1'!$J45="",INDEX(LISTA_EX,156),INDEX(LISTA_EX,MATCH('T1'!$J45&amp;"|"&amp;156,LISTA_KLUCZ,0))),"")</f>
        <v>Toes to bar</v>
      </c>
      <c r="FC45" s="5" t="str">
        <f t="array" ref="FC45">IFERROR(IF('T1'!$J45="",INDEX(LISTA_EX,157),INDEX(LISTA_EX,MATCH('T1'!$J45&amp;"|"&amp;157,LISTA_KLUCZ,0))),"")</f>
        <v>Trap bar deadlift</v>
      </c>
      <c r="FD45" s="5" t="str">
        <f t="array" ref="FD45">IFERROR(IF('T1'!$J45="",INDEX(LISTA_EX,158),INDEX(LISTA_EX,MATCH('T1'!$J45&amp;"|"&amp;158,LISTA_KLUCZ,0))),"")</f>
        <v>Tricep cable pushdown</v>
      </c>
      <c r="FE45" s="5" t="str">
        <f t="array" ref="FE45">IFERROR(IF('T1'!$J45="",INDEX(LISTA_EX,159),INDEX(LISTA_EX,MATCH('T1'!$J45&amp;"|"&amp;159,LISTA_KLUCZ,0))),"")</f>
        <v>Tricep JM press</v>
      </c>
      <c r="FF45" s="5" t="str">
        <f t="array" ref="FF45">IFERROR(IF('T1'!$J45="",INDEX(LISTA_EX,160),INDEX(LISTA_EX,MATCH('T1'!$J45&amp;"|"&amp;160,LISTA_KLUCZ,0))),"")</f>
        <v>Tricep OH cable</v>
      </c>
      <c r="FG45" s="5" t="str">
        <f t="array" ref="FG45">IFERROR(IF('T1'!$J45="",INDEX(LISTA_EX,161),INDEX(LISTA_EX,MATCH('T1'!$J45&amp;"|"&amp;161,LISTA_KLUCZ,0))),"")</f>
        <v>Tricep OH ez bar</v>
      </c>
      <c r="FH45" s="5" t="str">
        <f t="array" ref="FH45">IFERROR(IF('T1'!$J45="",INDEX(LISTA_EX,162),INDEX(LISTA_EX,MATCH('T1'!$J45&amp;"|"&amp;162,LISTA_KLUCZ,0))),"")</f>
        <v>Walking lunges</v>
      </c>
      <c r="FI45" s="5" t="str">
        <f t="array" ref="FI45">IFERROR(IF('T1'!$J45="",INDEX(LISTA_EX,163),INDEX(LISTA_EX,MATCH('T1'!$J45&amp;"|"&amp;163,LISTA_KLUCZ,0))),"")</f>
        <v>Wipers kettle</v>
      </c>
      <c r="FJ45" s="5" t="str">
        <f t="array" ref="FJ45">IFERROR(IF('T1'!$J45="",INDEX(LISTA_EX,164),INDEX(LISTA_EX,MATCH('T1'!$J45&amp;"|"&amp;164,LISTA_KLUCZ,0))),"")</f>
        <v>Zercher jumps</v>
      </c>
      <c r="FK45" s="5" t="str">
        <f t="array" ref="FK45">IFERROR(IF('T1'!$J45="",INDEX(LISTA_EX,165),INDEX(LISTA_EX,MATCH('T1'!$J45&amp;"|"&amp;165,LISTA_KLUCZ,0))),"")</f>
        <v/>
      </c>
      <c r="FL45" s="5" t="str">
        <f t="array" ref="FL45">IFERROR(IF('T1'!$J45="",INDEX(LISTA_EX,166),INDEX(LISTA_EX,MATCH('T1'!$J45&amp;"|"&amp;166,LISTA_KLUCZ,0))),"")</f>
        <v/>
      </c>
      <c r="FM45" s="5" t="str">
        <f t="array" ref="FM45">IFERROR(IF('T1'!$J45="",INDEX(LISTA_EX,167),INDEX(LISTA_EX,MATCH('T1'!$J45&amp;"|"&amp;167,LISTA_KLUCZ,0))),"")</f>
        <v/>
      </c>
      <c r="FN45" s="5" t="str">
        <f t="array" ref="FN45">IFERROR(IF('T1'!$J45="",INDEX(LISTA_EX,168),INDEX(LISTA_EX,MATCH('T1'!$J45&amp;"|"&amp;168,LISTA_KLUCZ,0))),"")</f>
        <v/>
      </c>
      <c r="FO45" s="5" t="str">
        <f t="array" ref="FO45">IFERROR(IF('T1'!$J45="",INDEX(LISTA_EX,169),INDEX(LISTA_EX,MATCH('T1'!$J45&amp;"|"&amp;169,LISTA_KLUCZ,0))),"")</f>
        <v/>
      </c>
      <c r="FP45" s="5" t="str">
        <f t="array" ref="FP45">IFERROR(IF('T1'!$J45="",INDEX(LISTA_EX,170),INDEX(LISTA_EX,MATCH('T1'!$J45&amp;"|"&amp;170,LISTA_KLUCZ,0))),"")</f>
        <v/>
      </c>
      <c r="FQ45" s="5" t="str">
        <f t="array" ref="FQ45">IFERROR(IF('T1'!$J45="",INDEX(LISTA_EX,171),INDEX(LISTA_EX,MATCH('T1'!$J45&amp;"|"&amp;171,LISTA_KLUCZ,0))),"")</f>
        <v/>
      </c>
      <c r="FR45" s="5" t="str">
        <f t="array" ref="FR45">IFERROR(IF('T1'!$J45="",INDEX(LISTA_EX,172),INDEX(LISTA_EX,MATCH('T1'!$J45&amp;"|"&amp;172,LISTA_KLUCZ,0))),"")</f>
        <v/>
      </c>
      <c r="FS45" s="5" t="str">
        <f t="array" ref="FS45">IFERROR(IF('T1'!$J45="",INDEX(LISTA_EX,173),INDEX(LISTA_EX,MATCH('T1'!$J45&amp;"|"&amp;173,LISTA_KLUCZ,0))),"")</f>
        <v/>
      </c>
      <c r="FT45" s="5" t="str">
        <f t="array" ref="FT45">IFERROR(IF('T1'!$J45="",INDEX(LISTA_EX,174),INDEX(LISTA_EX,MATCH('T1'!$J45&amp;"|"&amp;174,LISTA_KLUCZ,0))),"")</f>
        <v/>
      </c>
      <c r="FU45" s="5" t="str">
        <f t="array" ref="FU45">IFERROR(IF('T1'!$J45="",INDEX(LISTA_EX,175),INDEX(LISTA_EX,MATCH('T1'!$J45&amp;"|"&amp;175,LISTA_KLUCZ,0))),"")</f>
        <v/>
      </c>
      <c r="FV45" s="5" t="str">
        <f t="array" ref="FV45">IFERROR(IF('T1'!$J45="",INDEX(LISTA_EX,176),INDEX(LISTA_EX,MATCH('T1'!$J45&amp;"|"&amp;176,LISTA_KLUCZ,0))),"")</f>
        <v/>
      </c>
      <c r="FW45" s="5" t="str">
        <f t="array" ref="FW45">IFERROR(IF('T1'!$J45="",INDEX(LISTA_EX,177),INDEX(LISTA_EX,MATCH('T1'!$J45&amp;"|"&amp;177,LISTA_KLUCZ,0))),"")</f>
        <v/>
      </c>
      <c r="FX45" s="5" t="str">
        <f t="array" ref="FX45">IFERROR(IF('T1'!$J45="",INDEX(LISTA_EX,178),INDEX(LISTA_EX,MATCH('T1'!$J45&amp;"|"&amp;178,LISTA_KLUCZ,0))),"")</f>
        <v/>
      </c>
      <c r="FY45" s="5" t="str">
        <f t="array" ref="FY45">IFERROR(IF('T1'!$J45="",INDEX(LISTA_EX,179),INDEX(LISTA_EX,MATCH('T1'!$J45&amp;"|"&amp;179,LISTA_KLUCZ,0))),"")</f>
        <v/>
      </c>
      <c r="FZ45" s="5" t="str">
        <f t="array" ref="FZ45">IFERROR(IF('T1'!$J45="",INDEX(LISTA_EX,180),INDEX(LISTA_EX,MATCH('T1'!$J45&amp;"|"&amp;180,LISTA_KLUCZ,0))),"")</f>
        <v/>
      </c>
      <c r="GA45" s="5" t="str">
        <f t="array" ref="GA45">IFERROR(IF('T1'!$J45="",INDEX(LISTA_EX,181),INDEX(LISTA_EX,MATCH('T1'!$J45&amp;"|"&amp;181,LISTA_KLUCZ,0))),"")</f>
        <v/>
      </c>
      <c r="GB45" s="5" t="str">
        <f t="array" ref="GB45">IFERROR(IF('T1'!$J45="",INDEX(LISTA_EX,182),INDEX(LISTA_EX,MATCH('T1'!$J45&amp;"|"&amp;182,LISTA_KLUCZ,0))),"")</f>
        <v/>
      </c>
      <c r="GC45" s="5" t="str">
        <f t="array" ref="GC45">IFERROR(IF('T1'!$J45="",INDEX(LISTA_EX,183),INDEX(LISTA_EX,MATCH('T1'!$J45&amp;"|"&amp;183,LISTA_KLUCZ,0))),"")</f>
        <v/>
      </c>
      <c r="GD45" s="5" t="str">
        <f t="array" ref="GD45">IFERROR(IF('T1'!$J45="",INDEX(LISTA_EX,184),INDEX(LISTA_EX,MATCH('T1'!$J45&amp;"|"&amp;184,LISTA_KLUCZ,0))),"")</f>
        <v/>
      </c>
      <c r="GE45" s="5" t="str">
        <f t="array" ref="GE45">IFERROR(IF('T1'!$J45="",INDEX(LISTA_EX,185),INDEX(LISTA_EX,MATCH('T1'!$J45&amp;"|"&amp;185,LISTA_KLUCZ,0))),"")</f>
        <v/>
      </c>
      <c r="GF45" s="5" t="str">
        <f t="array" ref="GF45">IFERROR(IF('T1'!$J45="",INDEX(LISTA_EX,186),INDEX(LISTA_EX,MATCH('T1'!$J45&amp;"|"&amp;186,LISTA_KLUCZ,0))),"")</f>
        <v/>
      </c>
      <c r="GG45" s="5" t="str">
        <f t="array" ref="GG45">IFERROR(IF('T1'!$J45="",INDEX(LISTA_EX,187),INDEX(LISTA_EX,MATCH('T1'!$J45&amp;"|"&amp;187,LISTA_KLUCZ,0))),"")</f>
        <v/>
      </c>
      <c r="GH45" s="5" t="str">
        <f t="array" ref="GH45">IFERROR(IF('T1'!$J45="",INDEX(LISTA_EX,188),INDEX(LISTA_EX,MATCH('T1'!$J45&amp;"|"&amp;188,LISTA_KLUCZ,0))),"")</f>
        <v/>
      </c>
      <c r="GI45" s="5" t="str">
        <f t="array" ref="GI45">IFERROR(IF('T1'!$J45="",INDEX(LISTA_EX,189),INDEX(LISTA_EX,MATCH('T1'!$J45&amp;"|"&amp;189,LISTA_KLUCZ,0))),"")</f>
        <v/>
      </c>
      <c r="GJ45" s="5" t="str">
        <f t="array" ref="GJ45">IFERROR(IF('T1'!$J45="",INDEX(LISTA_EX,190),INDEX(LISTA_EX,MATCH('T1'!$J45&amp;"|"&amp;190,LISTA_KLUCZ,0))),"")</f>
        <v/>
      </c>
      <c r="GK45" s="5" t="str">
        <f t="array" ref="GK45">IFERROR(IF('T1'!$J45="",INDEX(LISTA_EX,191),INDEX(LISTA_EX,MATCH('T1'!$J45&amp;"|"&amp;191,LISTA_KLUCZ,0))),"")</f>
        <v/>
      </c>
      <c r="GL45" s="5" t="str">
        <f t="array" ref="GL45">IFERROR(IF('T1'!$J45="",INDEX(LISTA_EX,192),INDEX(LISTA_EX,MATCH('T1'!$J45&amp;"|"&amp;192,LISTA_KLUCZ,0))),"")</f>
        <v/>
      </c>
      <c r="GM45" s="5" t="str">
        <f t="array" ref="GM45">IFERROR(IF('T1'!$J45="",INDEX(LISTA_EX,193),INDEX(LISTA_EX,MATCH('T1'!$J45&amp;"|"&amp;193,LISTA_KLUCZ,0))),"")</f>
        <v/>
      </c>
      <c r="GN45" s="5" t="str">
        <f t="array" ref="GN45">IFERROR(IF('T1'!$J45="",INDEX(LISTA_EX,194),INDEX(LISTA_EX,MATCH('T1'!$J45&amp;"|"&amp;194,LISTA_KLUCZ,0))),"")</f>
        <v/>
      </c>
      <c r="GO45" s="5" t="str">
        <f t="array" ref="GO45">IFERROR(IF('T1'!$J45="",INDEX(LISTA_EX,195),INDEX(LISTA_EX,MATCH('T1'!$J45&amp;"|"&amp;195,LISTA_KLUCZ,0))),"")</f>
        <v/>
      </c>
      <c r="GP45" s="5" t="str">
        <f t="array" ref="GP45">IFERROR(IF('T1'!$J45="",INDEX(LISTA_EX,196),INDEX(LISTA_EX,MATCH('T1'!$J45&amp;"|"&amp;196,LISTA_KLUCZ,0))),"")</f>
        <v/>
      </c>
      <c r="GQ45" s="5" t="str">
        <f t="array" ref="GQ45">IFERROR(IF('T1'!$J45="",INDEX(LISTA_EX,197),INDEX(LISTA_EX,MATCH('T1'!$J45&amp;"|"&amp;197,LISTA_KLUCZ,0))),"")</f>
        <v/>
      </c>
      <c r="GR45" s="5" t="str">
        <f t="array" ref="GR45">IFERROR(IF('T1'!$J45="",INDEX(LISTA_EX,198),INDEX(LISTA_EX,MATCH('T1'!$J45&amp;"|"&amp;198,LISTA_KLUCZ,0))),"")</f>
        <v/>
      </c>
      <c r="GS45" s="5" t="str">
        <f t="array" ref="GS45">IFERROR(IF('T1'!$J45="",INDEX(LISTA_EX,199),INDEX(LISTA_EX,MATCH('T1'!$J45&amp;"|"&amp;199,LISTA_KLUCZ,0))),"")</f>
        <v/>
      </c>
      <c r="GT45" s="5" t="str">
        <f t="array" ref="GT45">IFERROR(IF('T1'!$J45="",INDEX(LISTA_EX,200),INDEX(LISTA_EX,MATCH('T1'!$J45&amp;"|"&amp;200,LISTA_KLUCZ,0))),"")</f>
        <v/>
      </c>
      <c r="GV45" s="5" t="str">
        <f>IF(BAZA!$A45="","",BAZA!$A45)</f>
        <v>Deficit push up</v>
      </c>
      <c r="GW45" s="5" t="str">
        <f>IF(BAZA!$B45="","",BAZA!$B45&amp;"|"&amp;COUNTIF(BAZA!$B$3:$B45,BAZA!$B45))</f>
        <v>Upper push horizontal|5</v>
      </c>
    </row>
    <row r="46" ht="15.0" customHeight="1">
      <c r="A46" s="5" t="str">
        <f>IF('T1'!$K46="","",'T1'!$K46)</f>
        <v>D3-S08</v>
      </c>
      <c r="B46" s="5" t="str">
        <f>IF('T1'!$J46="","(wszystkie)",'T1'!$J46)</f>
        <v>(wszystkie)</v>
      </c>
      <c r="C46" s="5" t="str">
        <f t="array" ref="C46">IFERROR(IF('T1'!$J46="",INDEX(LISTA_EX,1),INDEX(LISTA_EX,MATCH('T1'!$J46&amp;"|"&amp;1,LISTA_KLUCZ,0))),"")</f>
        <v>Abduction machine</v>
      </c>
      <c r="D46" s="5" t="str">
        <f t="array" ref="D46">IFERROR(IF('T1'!$J46="",INDEX(LISTA_EX,2),INDEX(LISTA_EX,MATCH('T1'!$J46&amp;"|"&amp;2,LISTA_KLUCZ,0))),"")</f>
        <v>Adduction machine</v>
      </c>
      <c r="E46" s="5" t="str">
        <f t="array" ref="E46">IFERROR(IF('T1'!$J46="",INDEX(LISTA_EX,3),INDEX(LISTA_EX,MATCH('T1'!$J46&amp;"|"&amp;3,LISTA_KLUCZ,0))),"")</f>
        <v>Allah</v>
      </c>
      <c r="F46" s="5" t="str">
        <f t="array" ref="F46">IFERROR(IF('T1'!$J46="",INDEX(LISTA_EX,4),INDEX(LISTA_EX,MATCH('T1'!$J46&amp;"|"&amp;4,LISTA_KLUCZ,0))),"")</f>
        <v>Arnold press</v>
      </c>
      <c r="G46" s="5" t="str">
        <f t="array" ref="G46">IFERROR(IF('T1'!$J46="",INDEX(LISTA_EX,5),INDEX(LISTA_EX,MATCH('T1'!$J46&amp;"|"&amp;5,LISTA_KLUCZ,0))),"")</f>
        <v>Arnold press alternating</v>
      </c>
      <c r="H46" s="5" t="str">
        <f t="array" ref="H46">IFERROR(IF('T1'!$J46="",INDEX(LISTA_EX,6),INDEX(LISTA_EX,MATCH('T1'!$J46&amp;"|"&amp;6,LISTA_KLUCZ,0))),"")</f>
        <v>B/l dragonflag eccentric</v>
      </c>
      <c r="I46" s="5" t="str">
        <f t="array" ref="I46">IFERROR(IF('T1'!$J46="",INDEX(LISTA_EX,7),INDEX(LISTA_EX,MATCH('T1'!$J46&amp;"|"&amp;7,LISTA_KLUCZ,0))),"")</f>
        <v>Back extension</v>
      </c>
      <c r="J46" s="5" t="str">
        <f t="array" ref="J46">IFERROR(IF('T1'!$J46="",INDEX(LISTA_EX,8),INDEX(LISTA_EX,MATCH('T1'!$J46&amp;"|"&amp;8,LISTA_KLUCZ,0))),"")</f>
        <v>Banded pistol squat</v>
      </c>
      <c r="K46" s="5" t="str">
        <f t="array" ref="K46">IFERROR(IF('T1'!$J46="",INDEX(LISTA_EX,9),INDEX(LISTA_EX,MATCH('T1'!$J46&amp;"|"&amp;9,LISTA_KLUCZ,0))),"")</f>
        <v>Banded pull ups</v>
      </c>
      <c r="L46" s="5" t="str">
        <f t="array" ref="L46">IFERROR(IF('T1'!$J46="",INDEX(LISTA_EX,10),INDEX(LISTA_EX,MATCH('T1'!$J46&amp;"|"&amp;10,LISTA_KLUCZ,0))),"")</f>
        <v>Barbell back squat</v>
      </c>
      <c r="M46" s="5" t="str">
        <f t="array" ref="M46">IFERROR(IF('T1'!$J46="",INDEX(LISTA_EX,11),INDEX(LISTA_EX,MATCH('T1'!$J46&amp;"|"&amp;11,LISTA_KLUCZ,0))),"")</f>
        <v>Barbell bench press</v>
      </c>
      <c r="N46" s="5" t="str">
        <f t="array" ref="N46">IFERROR(IF('T1'!$J46="",INDEX(LISTA_EX,12),INDEX(LISTA_EX,MATCH('T1'!$J46&amp;"|"&amp;12,LISTA_KLUCZ,0))),"")</f>
        <v>Barbell curl</v>
      </c>
      <c r="O46" s="5" t="str">
        <f t="array" ref="O46">IFERROR(IF('T1'!$J46="",INDEX(LISTA_EX,13),INDEX(LISTA_EX,MATCH('T1'!$J46&amp;"|"&amp;13,LISTA_KLUCZ,0))),"")</f>
        <v>Barbell low bar squat</v>
      </c>
      <c r="P46" s="5" t="str">
        <f t="array" ref="P46">IFERROR(IF('T1'!$J46="",INDEX(LISTA_EX,14),INDEX(LISTA_EX,MATCH('T1'!$J46&amp;"|"&amp;14,LISTA_KLUCZ,0))),"")</f>
        <v>Barbell OHP</v>
      </c>
      <c r="Q46" s="5" t="str">
        <f t="array" ref="Q46">IFERROR(IF('T1'!$J46="",INDEX(LISTA_EX,15),INDEX(LISTA_EX,MATCH('T1'!$J46&amp;"|"&amp;15,LISTA_KLUCZ,0))),"")</f>
        <v>Barbell oscilation</v>
      </c>
      <c r="R46" s="5" t="str">
        <f t="array" ref="R46">IFERROR(IF('T1'!$J46="",INDEX(LISTA_EX,16),INDEX(LISTA_EX,MATCH('T1'!$J46&amp;"|"&amp;16,LISTA_KLUCZ,0))),"")</f>
        <v>Barbell row</v>
      </c>
      <c r="S46" s="5" t="str">
        <f t="array" ref="S46">IFERROR(IF('T1'!$J46="",INDEX(LISTA_EX,17),INDEX(LISTA_EX,MATCH('T1'!$J46&amp;"|"&amp;17,LISTA_KLUCZ,0))),"")</f>
        <v>Barbell row dead stop pins</v>
      </c>
      <c r="T46" s="5" t="str">
        <f t="array" ref="T46">IFERROR(IF('T1'!$J46="",INDEX(LISTA_EX,18),INDEX(LISTA_EX,MATCH('T1'!$J46&amp;"|"&amp;18,LISTA_KLUCZ,0))),"")</f>
        <v>Barbell SLDL</v>
      </c>
      <c r="U46" s="5" t="str">
        <f t="array" ref="U46">IFERROR(IF('T1'!$J46="",INDEX(LISTA_EX,19),INDEX(LISTA_EX,MATCH('T1'!$J46&amp;"|"&amp;19,LISTA_KLUCZ,0))),"")</f>
        <v>Bayesian curl</v>
      </c>
      <c r="V46" s="5" t="str">
        <f t="array" ref="V46">IFERROR(IF('T1'!$J46="",INDEX(LISTA_EX,20),INDEX(LISTA_EX,MATCH('T1'!$J46&amp;"|"&amp;20,LISTA_KLUCZ,0))),"")</f>
        <v>Bear renegade row</v>
      </c>
      <c r="W46" s="5" t="str">
        <f t="array" ref="W46">IFERROR(IF('T1'!$J46="",INDEX(LISTA_EX,21),INDEX(LISTA_EX,MATCH('T1'!$J46&amp;"|"&amp;21,LISTA_KLUCZ,0))),"")</f>
        <v>Bench press paused 3sec</v>
      </c>
      <c r="X46" s="5" t="str">
        <f t="array" ref="X46">IFERROR(IF('T1'!$J46="",INDEX(LISTA_EX,22),INDEX(LISTA_EX,MATCH('T1'!$J46&amp;"|"&amp;22,LISTA_KLUCZ,0))),"")</f>
        <v>Bicep hammer curl</v>
      </c>
      <c r="Y46" s="5" t="str">
        <f t="array" ref="Y46">IFERROR(IF('T1'!$J46="",INDEX(LISTA_EX,23),INDEX(LISTA_EX,MATCH('T1'!$J46&amp;"|"&amp;23,LISTA_KLUCZ,0))),"")</f>
        <v>Bicep squat cable curl</v>
      </c>
      <c r="Z46" s="5" t="str">
        <f t="array" ref="Z46">IFERROR(IF('T1'!$J46="",INDEX(LISTA_EX,24),INDEX(LISTA_EX,MATCH('T1'!$J46&amp;"|"&amp;24,LISTA_KLUCZ,0))),"")</f>
        <v>Bird dog row</v>
      </c>
      <c r="AA46" s="5" t="str">
        <f t="array" ref="AA46">IFERROR(IF('T1'!$J46="",INDEX(LISTA_EX,25),INDEX(LISTA_EX,MATCH('T1'!$J46&amp;"|"&amp;25,LISTA_KLUCZ,0))),"")</f>
        <v>Box jump</v>
      </c>
      <c r="AB46" s="5" t="str">
        <f t="array" ref="AB46">IFERROR(IF('T1'!$J46="",INDEX(LISTA_EX,26),INDEX(LISTA_EX,MATCH('T1'!$J46&amp;"|"&amp;26,LISTA_KLUCZ,0))),"")</f>
        <v>Bulgarian clean plyo</v>
      </c>
      <c r="AC46" s="5" t="str">
        <f t="array" ref="AC46">IFERROR(IF('T1'!$J46="",INDEX(LISTA_EX,27),INDEX(LISTA_EX,MATCH('T1'!$J46&amp;"|"&amp;27,LISTA_KLUCZ,0))),"")</f>
        <v>Bulgarian squat assisted</v>
      </c>
      <c r="AD46" s="5" t="str">
        <f t="array" ref="AD46">IFERROR(IF('T1'!$J46="",INDEX(LISTA_EX,28),INDEX(LISTA_EX,MATCH('T1'!$J46&amp;"|"&amp;28,LISTA_KLUCZ,0))),"")</f>
        <v>Cable biceps curl</v>
      </c>
      <c r="AE46" s="5" t="str">
        <f t="array" ref="AE46">IFERROR(IF('T1'!$J46="",INDEX(LISTA_EX,29),INDEX(LISTA_EX,MATCH('T1'!$J46&amp;"|"&amp;29,LISTA_KLUCZ,0))),"")</f>
        <v>Cable fly</v>
      </c>
      <c r="AF46" s="5" t="str">
        <f t="array" ref="AF46">IFERROR(IF('T1'!$J46="",INDEX(LISTA_EX,30),INDEX(LISTA_EX,MATCH('T1'!$J46&amp;"|"&amp;30,LISTA_KLUCZ,0))),"")</f>
        <v>Cable lateral raise s/a</v>
      </c>
      <c r="AG46" s="5" t="str">
        <f t="array" ref="AG46">IFERROR(IF('T1'!$J46="",INDEX(LISTA_EX,31),INDEX(LISTA_EX,MATCH('T1'!$J46&amp;"|"&amp;31,LISTA_KLUCZ,0))),"")</f>
        <v>Cable row</v>
      </c>
      <c r="AH46" s="5" t="str">
        <f t="array" ref="AH46">IFERROR(IF('T1'!$J46="",INDEX(LISTA_EX,32),INDEX(LISTA_EX,MATCH('T1'!$J46&amp;"|"&amp;32,LISTA_KLUCZ,0))),"")</f>
        <v>Cable row s/a</v>
      </c>
      <c r="AI46" s="5" t="str">
        <f t="array" ref="AI46">IFERROR(IF('T1'!$J46="",INDEX(LISTA_EX,33),INDEX(LISTA_EX,MATCH('T1'!$J46&amp;"|"&amp;33,LISTA_KLUCZ,0))),"")</f>
        <v>Calf raises</v>
      </c>
      <c r="AJ46" s="5" t="str">
        <f t="array" ref="AJ46">IFERROR(IF('T1'!$J46="",INDEX(LISTA_EX,34),INDEX(LISTA_EX,MATCH('T1'!$J46&amp;"|"&amp;34,LISTA_KLUCZ,0))),"")</f>
        <v>Chest fly machine</v>
      </c>
      <c r="AK46" s="5" t="str">
        <f t="array" ref="AK46">IFERROR(IF('T1'!$J46="",INDEX(LISTA_EX,35),INDEX(LISTA_EX,MATCH('T1'!$J46&amp;"|"&amp;35,LISTA_KLUCZ,0))),"")</f>
        <v>Clean</v>
      </c>
      <c r="AL46" s="5" t="str">
        <f t="array" ref="AL46">IFERROR(IF('T1'!$J46="",INDEX(LISTA_EX,36),INDEX(LISTA_EX,MATCH('T1'!$J46&amp;"|"&amp;36,LISTA_KLUCZ,0))),"")</f>
        <v>Clean pins</v>
      </c>
      <c r="AM46" s="5" t="str">
        <f t="array" ref="AM46">IFERROR(IF('T1'!$J46="",INDEX(LISTA_EX,37),INDEX(LISTA_EX,MATCH('T1'!$J46&amp;"|"&amp;37,LISTA_KLUCZ,0))),"")</f>
        <v>Copenhagen plank</v>
      </c>
      <c r="AN46" s="5" t="str">
        <f t="array" ref="AN46">IFERROR(IF('T1'!$J46="",INDEX(LISTA_EX,38),INDEX(LISTA_EX,MATCH('T1'!$J46&amp;"|"&amp;38,LISTA_KLUCZ,0))),"")</f>
        <v>Dead bug izo + OH</v>
      </c>
      <c r="AO46" s="5" t="str">
        <f t="array" ref="AO46">IFERROR(IF('T1'!$J46="",INDEX(LISTA_EX,39),INDEX(LISTA_EX,MATCH('T1'!$J46&amp;"|"&amp;39,LISTA_KLUCZ,0))),"")</f>
        <v>Dead bug straight legs</v>
      </c>
      <c r="AP46" s="5" t="str">
        <f t="array" ref="AP46">IFERROR(IF('T1'!$J46="",INDEX(LISTA_EX,40),INDEX(LISTA_EX,MATCH('T1'!$J46&amp;"|"&amp;40,LISTA_KLUCZ,0))),"")</f>
        <v>Dead stop barbell row</v>
      </c>
      <c r="AQ46" s="5" t="str">
        <f t="array" ref="AQ46">IFERROR(IF('T1'!$J46="",INDEX(LISTA_EX,41),INDEX(LISTA_EX,MATCH('T1'!$J46&amp;"|"&amp;41,LISTA_KLUCZ,0))),"")</f>
        <v>Deadbug OH</v>
      </c>
      <c r="AR46" s="5" t="str">
        <f t="array" ref="AR46">IFERROR(IF('T1'!$J46="",INDEX(LISTA_EX,42),INDEX(LISTA_EX,MATCH('T1'!$J46&amp;"|"&amp;42,LISTA_KLUCZ,0))),"")</f>
        <v>Deadlift</v>
      </c>
      <c r="AS46" s="5" t="str">
        <f t="array" ref="AS46">IFERROR(IF('T1'!$J46="",INDEX(LISTA_EX,43),INDEX(LISTA_EX,MATCH('T1'!$J46&amp;"|"&amp;43,LISTA_KLUCZ,0))),"")</f>
        <v>Deficit push up</v>
      </c>
      <c r="AT46" s="5" t="str">
        <f t="array" ref="AT46">IFERROR(IF('T1'!$J46="",INDEX(LISTA_EX,44),INDEX(LISTA_EX,MATCH('T1'!$J46&amp;"|"&amp;44,LISTA_KLUCZ,0))),"")</f>
        <v>Deficit reverse lunge</v>
      </c>
      <c r="AU46" s="5" t="str">
        <f t="array" ref="AU46">IFERROR(IF('T1'!$J46="",INDEX(LISTA_EX,45),INDEX(LISTA_EX,MATCH('T1'!$J46&amp;"|"&amp;45,LISTA_KLUCZ,0))),"")</f>
        <v>Dips</v>
      </c>
      <c r="AV46" s="5" t="str">
        <f t="array" ref="AV46">IFERROR(IF('T1'!$J46="",INDEX(LISTA_EX,46),INDEX(LISTA_EX,MATCH('T1'!$J46&amp;"|"&amp;46,LISTA_KLUCZ,0))),"")</f>
        <v>Dips weighted</v>
      </c>
      <c r="AW46" s="5" t="str">
        <f t="array" ref="AW46">IFERROR(IF('T1'!$J46="",INDEX(LISTA_EX,47),INDEX(LISTA_EX,MATCH('T1'!$J46&amp;"|"&amp;47,LISTA_KLUCZ,0))),"")</f>
        <v>Dumbbell bench press</v>
      </c>
      <c r="AX46" s="5" t="str">
        <f t="array" ref="AX46">IFERROR(IF('T1'!$J46="",INDEX(LISTA_EX,48),INDEX(LISTA_EX,MATCH('T1'!$J46&amp;"|"&amp;48,LISTA_KLUCZ,0))),"")</f>
        <v>Dumbbell bench press alternating</v>
      </c>
      <c r="AY46" s="5" t="str">
        <f t="array" ref="AY46">IFERROR(IF('T1'!$J46="",INDEX(LISTA_EX,49),INDEX(LISTA_EX,MATCH('T1'!$J46&amp;"|"&amp;49,LISTA_KLUCZ,0))),"")</f>
        <v>Dumbbell curl</v>
      </c>
      <c r="AZ46" s="5" t="str">
        <f t="array" ref="AZ46">IFERROR(IF('T1'!$J46="",INDEX(LISTA_EX,50),INDEX(LISTA_EX,MATCH('T1'!$J46&amp;"|"&amp;50,LISTA_KLUCZ,0))),"")</f>
        <v>Dumbbell external rotation</v>
      </c>
      <c r="BA46" s="5" t="str">
        <f t="array" ref="BA46">IFERROR(IF('T1'!$J46="",INDEX(LISTA_EX,51),INDEX(LISTA_EX,MATCH('T1'!$J46&amp;"|"&amp;51,LISTA_KLUCZ,0))),"")</f>
        <v>Dumbbell face down curl</v>
      </c>
      <c r="BB46" s="5" t="str">
        <f t="array" ref="BB46">IFERROR(IF('T1'!$J46="",INDEX(LISTA_EX,52),INDEX(LISTA_EX,MATCH('T1'!$J46&amp;"|"&amp;52,LISTA_KLUCZ,0))),"")</f>
        <v>Dumbbell fly</v>
      </c>
      <c r="BC46" s="5" t="str">
        <f t="array" ref="BC46">IFERROR(IF('T1'!$J46="",INDEX(LISTA_EX,53),INDEX(LISTA_EX,MATCH('T1'!$J46&amp;"|"&amp;53,LISTA_KLUCZ,0))),"")</f>
        <v>Dumbbell french press</v>
      </c>
      <c r="BD46" s="5" t="str">
        <f t="array" ref="BD46">IFERROR(IF('T1'!$J46="",INDEX(LISTA_EX,54),INDEX(LISTA_EX,MATCH('T1'!$J46&amp;"|"&amp;54,LISTA_KLUCZ,0))),"")</f>
        <v>Dumbbell lateral raise</v>
      </c>
      <c r="BE46" s="5" t="str">
        <f t="array" ref="BE46">IFERROR(IF('T1'!$J46="",INDEX(LISTA_EX,55),INDEX(LISTA_EX,MATCH('T1'!$J46&amp;"|"&amp;55,LISTA_KLUCZ,0))),"")</f>
        <v>Dumbbell lunges</v>
      </c>
      <c r="BF46" s="5" t="str">
        <f t="array" ref="BF46">IFERROR(IF('T1'!$J46="",INDEX(LISTA_EX,56),INDEX(LISTA_EX,MATCH('T1'!$J46&amp;"|"&amp;56,LISTA_KLUCZ,0))),"")</f>
        <v>Dumbbell OH press</v>
      </c>
      <c r="BG46" s="5" t="str">
        <f t="array" ref="BG46">IFERROR(IF('T1'!$J46="",INDEX(LISTA_EX,57),INDEX(LISTA_EX,MATCH('T1'!$J46&amp;"|"&amp;57,LISTA_KLUCZ,0))),"")</f>
        <v>Dumbbell over head press</v>
      </c>
      <c r="BH46" s="5" t="str">
        <f t="array" ref="BH46">IFERROR(IF('T1'!$J46="",INDEX(LISTA_EX,58),INDEX(LISTA_EX,MATCH('T1'!$J46&amp;"|"&amp;58,LISTA_KLUCZ,0))),"")</f>
        <v>Dumbbell over head press alternating</v>
      </c>
      <c r="BI46" s="5" t="str">
        <f t="array" ref="BI46">IFERROR(IF('T1'!$J46="",INDEX(LISTA_EX,59),INDEX(LISTA_EX,MATCH('T1'!$J46&amp;"|"&amp;59,LISTA_KLUCZ,0))),"")</f>
        <v>Dumbbell row</v>
      </c>
      <c r="BJ46" s="5" t="str">
        <f t="array" ref="BJ46">IFERROR(IF('T1'!$J46="",INDEX(LISTA_EX,60),INDEX(LISTA_EX,MATCH('T1'!$J46&amp;"|"&amp;60,LISTA_KLUCZ,0))),"")</f>
        <v>Dumbbell s/a Arnold press</v>
      </c>
      <c r="BK46" s="5" t="str">
        <f t="array" ref="BK46">IFERROR(IF('T1'!$J46="",INDEX(LISTA_EX,61),INDEX(LISTA_EX,MATCH('T1'!$J46&amp;"|"&amp;61,LISTA_KLUCZ,0))),"")</f>
        <v>Dumbbell s/a row</v>
      </c>
      <c r="BL46" s="5" t="str">
        <f t="array" ref="BL46">IFERROR(IF('T1'!$J46="",INDEX(LISTA_EX,62),INDEX(LISTA_EX,MATCH('T1'!$J46&amp;"|"&amp;62,LISTA_KLUCZ,0))),"")</f>
        <v>Dumbbell seal row</v>
      </c>
      <c r="BM46" s="5" t="str">
        <f t="array" ref="BM46">IFERROR(IF('T1'!$J46="",INDEX(LISTA_EX,63),INDEX(LISTA_EX,MATCH('T1'!$J46&amp;"|"&amp;63,LISTA_KLUCZ,0))),"")</f>
        <v>Dumbbells jumps</v>
      </c>
      <c r="BN46" s="5" t="str">
        <f t="array" ref="BN46">IFERROR(IF('T1'!$J46="",INDEX(LISTA_EX,64),INDEX(LISTA_EX,MATCH('T1'!$J46&amp;"|"&amp;64,LISTA_KLUCZ,0))),"")</f>
        <v>Eccentric pull up</v>
      </c>
      <c r="BO46" s="5" t="str">
        <f t="array" ref="BO46">IFERROR(IF('T1'!$J46="",INDEX(LISTA_EX,65),INDEX(LISTA_EX,MATCH('T1'!$J46&amp;"|"&amp;65,LISTA_KLUCZ,0))),"")</f>
        <v>Eccentric push up (5 sek w dół)</v>
      </c>
      <c r="BP46" s="5" t="str">
        <f t="array" ref="BP46">IFERROR(IF('T1'!$J46="",INDEX(LISTA_EX,66),INDEX(LISTA_EX,MATCH('T1'!$J46&amp;"|"&amp;66,LISTA_KLUCZ,0))),"")</f>
        <v>Extensive plyo jumps s/l</v>
      </c>
      <c r="BQ46" s="5" t="str">
        <f t="array" ref="BQ46">IFERROR(IF('T1'!$J46="",INDEX(LISTA_EX,67),INDEX(LISTA_EX,MATCH('T1'!$J46&amp;"|"&amp;67,LISTA_KLUCZ,0))),"")</f>
        <v>Ez bar curl</v>
      </c>
      <c r="BR46" s="5" t="str">
        <f t="array" ref="BR46">IFERROR(IF('T1'!$J46="",INDEX(LISTA_EX,68),INDEX(LISTA_EX,MATCH('T1'!$J46&amp;"|"&amp;68,LISTA_KLUCZ,0))),"")</f>
        <v>Facepull chest supported</v>
      </c>
      <c r="BS46" s="5" t="str">
        <f t="array" ref="BS46">IFERROR(IF('T1'!$J46="",INDEX(LISTA_EX,69),INDEX(LISTA_EX,MATCH('T1'!$J46&amp;"|"&amp;69,LISTA_KLUCZ,0))),"")</f>
        <v>Front foot elevated split squat</v>
      </c>
      <c r="BT46" s="5" t="str">
        <f t="array" ref="BT46">IFERROR(IF('T1'!$J46="",INDEX(LISTA_EX,70),INDEX(LISTA_EX,MATCH('T1'!$J46&amp;"|"&amp;70,LISTA_KLUCZ,0))),"")</f>
        <v>Front squat</v>
      </c>
      <c r="BU46" s="5" t="str">
        <f t="array" ref="BU46">IFERROR(IF('T1'!$J46="",INDEX(LISTA_EX,71),INDEX(LISTA_EX,MATCH('T1'!$J46&amp;"|"&amp;71,LISTA_KLUCZ,0))),"")</f>
        <v>GHD flexion</v>
      </c>
      <c r="BV46" s="5" t="str">
        <f t="array" ref="BV46">IFERROR(IF('T1'!$J46="",INDEX(LISTA_EX,72),INDEX(LISTA_EX,MATCH('T1'!$J46&amp;"|"&amp;72,LISTA_KLUCZ,0))),"")</f>
        <v>Glute bridge hamstrings izo + OH</v>
      </c>
      <c r="BW46" s="5" t="str">
        <f t="array" ref="BW46">IFERROR(IF('T1'!$J46="",INDEX(LISTA_EX,73),INDEX(LISTA_EX,MATCH('T1'!$J46&amp;"|"&amp;73,LISTA_KLUCZ,0))),"")</f>
        <v>Glute crusher</v>
      </c>
      <c r="BX46" s="5" t="str">
        <f t="array" ref="BX46">IFERROR(IF('T1'!$J46="",INDEX(LISTA_EX,74),INDEX(LISTA_EX,MATCH('T1'!$J46&amp;"|"&amp;74,LISTA_KLUCZ,0))),"")</f>
        <v>Gorilla row</v>
      </c>
      <c r="BY46" s="5" t="str">
        <f t="array" ref="BY46">IFERROR(IF('T1'!$J46="",INDEX(LISTA_EX,75),INDEX(LISTA_EX,MATCH('T1'!$J46&amp;"|"&amp;75,LISTA_KLUCZ,0))),"")</f>
        <v>Halfkneeling s/a cable pull</v>
      </c>
      <c r="BZ46" s="5" t="str">
        <f t="array" ref="BZ46">IFERROR(IF('T1'!$J46="",INDEX(LISTA_EX,76),INDEX(LISTA_EX,MATCH('T1'!$J46&amp;"|"&amp;76,LISTA_KLUCZ,0))),"")</f>
        <v>Halfkneeling wood chopper</v>
      </c>
      <c r="CA46" s="5" t="str">
        <f t="array" ref="CA46">IFERROR(IF('T1'!$J46="",INDEX(LISTA_EX,77),INDEX(LISTA_EX,MATCH('T1'!$J46&amp;"|"&amp;77,LISTA_KLUCZ,0))),"")</f>
        <v>Hinged dumbbell row</v>
      </c>
      <c r="CB46" s="5" t="str">
        <f t="array" ref="CB46">IFERROR(IF('T1'!$J46="",INDEX(LISTA_EX,78),INDEX(LISTA_EX,MATCH('T1'!$J46&amp;"|"&amp;78,LISTA_KLUCZ,0))),"")</f>
        <v>Hip aeroplane</v>
      </c>
      <c r="CC46" s="5" t="str">
        <f t="array" ref="CC46">IFERROR(IF('T1'!$J46="",INDEX(LISTA_EX,79),INDEX(LISTA_EX,MATCH('T1'!$J46&amp;"|"&amp;79,LISTA_KLUCZ,0))),"")</f>
        <v>Hip flexors cable</v>
      </c>
      <c r="CD46" s="5" t="str">
        <f t="array" ref="CD46">IFERROR(IF('T1'!$J46="",INDEX(LISTA_EX,80),INDEX(LISTA_EX,MATCH('T1'!$J46&amp;"|"&amp;80,LISTA_KLUCZ,0))),"")</f>
        <v>Hip thrust barbell</v>
      </c>
      <c r="CE46" s="5" t="str">
        <f t="array" ref="CE46">IFERROR(IF('T1'!$J46="",INDEX(LISTA_EX,81),INDEX(LISTA_EX,MATCH('T1'!$J46&amp;"|"&amp;81,LISTA_KLUCZ,0))),"")</f>
        <v>Hollow body + OH</v>
      </c>
      <c r="CF46" s="5" t="str">
        <f t="array" ref="CF46">IFERROR(IF('T1'!$J46="",INDEX(LISTA_EX,82),INDEX(LISTA_EX,MATCH('T1'!$J46&amp;"|"&amp;82,LISTA_KLUCZ,0))),"")</f>
        <v>Horizontal jump</v>
      </c>
      <c r="CG46" s="5" t="str">
        <f t="array" ref="CG46">IFERROR(IF('T1'!$J46="",INDEX(LISTA_EX,83),INDEX(LISTA_EX,MATCH('T1'!$J46&amp;"|"&amp;83,LISTA_KLUCZ,0))),"")</f>
        <v>Incline bench lateral raise s/a</v>
      </c>
      <c r="CH46" s="5" t="str">
        <f t="array" ref="CH46">IFERROR(IF('T1'!$J46="",INDEX(LISTA_EX,84),INDEX(LISTA_EX,MATCH('T1'!$J46&amp;"|"&amp;84,LISTA_KLUCZ,0))),"")</f>
        <v>Incline curl + OHP</v>
      </c>
      <c r="CI46" s="5" t="str">
        <f t="array" ref="CI46">IFERROR(IF('T1'!$J46="",INDEX(LISTA_EX,85),INDEX(LISTA_EX,MATCH('T1'!$J46&amp;"|"&amp;85,LISTA_KLUCZ,0))),"")</f>
        <v>Incline dumbbell curl</v>
      </c>
      <c r="CJ46" s="5" t="str">
        <f t="array" ref="CJ46">IFERROR(IF('T1'!$J46="",INDEX(LISTA_EX,86),INDEX(LISTA_EX,MATCH('T1'!$J46&amp;"|"&amp;86,LISTA_KLUCZ,0))),"")</f>
        <v>Incline dumbbell curl (back)</v>
      </c>
      <c r="CK46" s="5" t="str">
        <f t="array" ref="CK46">IFERROR(IF('T1'!$J46="",INDEX(LISTA_EX,87),INDEX(LISTA_EX,MATCH('T1'!$J46&amp;"|"&amp;87,LISTA_KLUCZ,0))),"")</f>
        <v>Incline dumbbell curl (front)</v>
      </c>
      <c r="CL46" s="5" t="str">
        <f t="array" ref="CL46">IFERROR(IF('T1'!$J46="",INDEX(LISTA_EX,88),INDEX(LISTA_EX,MATCH('T1'!$J46&amp;"|"&amp;88,LISTA_KLUCZ,0))),"")</f>
        <v>Incline dumbbell fly</v>
      </c>
      <c r="CM46" s="5" t="str">
        <f t="array" ref="CM46">IFERROR(IF('T1'!$J46="",INDEX(LISTA_EX,89),INDEX(LISTA_EX,MATCH('T1'!$J46&amp;"|"&amp;89,LISTA_KLUCZ,0))),"")</f>
        <v>Incline dumbbell press</v>
      </c>
      <c r="CN46" s="5" t="str">
        <f t="array" ref="CN46">IFERROR(IF('T1'!$J46="",INDEX(LISTA_EX,90),INDEX(LISTA_EX,MATCH('T1'!$J46&amp;"|"&amp;90,LISTA_KLUCZ,0))),"")</f>
        <v>Incline dumbbell press alternating</v>
      </c>
      <c r="CO46" s="5" t="str">
        <f t="array" ref="CO46">IFERROR(IF('T1'!$J46="",INDEX(LISTA_EX,91),INDEX(LISTA_EX,MATCH('T1'!$J46&amp;"|"&amp;91,LISTA_KLUCZ,0))),"")</f>
        <v>Incline sit-ups</v>
      </c>
      <c r="CP46" s="5" t="str">
        <f t="array" ref="CP46">IFERROR(IF('T1'!$J46="",INDEX(LISTA_EX,92),INDEX(LISTA_EX,MATCH('T1'!$J46&amp;"|"&amp;92,LISTA_KLUCZ,0))),"")</f>
        <v>Jefferson cable</v>
      </c>
      <c r="CQ46" s="5" t="str">
        <f t="array" ref="CQ46">IFERROR(IF('T1'!$J46="",INDEX(LISTA_EX,93),INDEX(LISTA_EX,MATCH('T1'!$J46&amp;"|"&amp;93,LISTA_KLUCZ,0))),"")</f>
        <v>Kettlebell march</v>
      </c>
      <c r="CR46" s="5" t="str">
        <f t="array" ref="CR46">IFERROR(IF('T1'!$J46="",INDEX(LISTA_EX,94),INDEX(LISTA_EX,MATCH('T1'!$J46&amp;"|"&amp;94,LISTA_KLUCZ,0))),"")</f>
        <v>Kickbacks</v>
      </c>
      <c r="CS46" s="5" t="str">
        <f t="array" ref="CS46">IFERROR(IF('T1'!$J46="",INDEX(LISTA_EX,95),INDEX(LISTA_EX,MATCH('T1'!$J46&amp;"|"&amp;95,LISTA_KLUCZ,0))),"")</f>
        <v>Knee extension machine</v>
      </c>
      <c r="CT46" s="5" t="str">
        <f t="array" ref="CT46">IFERROR(IF('T1'!$J46="",INDEX(LISTA_EX,96),INDEX(LISTA_EX,MATCH('T1'!$J46&amp;"|"&amp;96,LISTA_KLUCZ,0))),"")</f>
        <v>Knee flexion machine</v>
      </c>
      <c r="CU46" s="5" t="str">
        <f t="array" ref="CU46">IFERROR(IF('T1'!$J46="",INDEX(LISTA_EX,97),INDEX(LISTA_EX,MATCH('T1'!$J46&amp;"|"&amp;97,LISTA_KLUCZ,0))),"")</f>
        <v>Knee raises</v>
      </c>
      <c r="CV46" s="5" t="str">
        <f t="array" ref="CV46">IFERROR(IF('T1'!$J46="",INDEX(LISTA_EX,98),INDEX(LISTA_EX,MATCH('T1'!$J46&amp;"|"&amp;98,LISTA_KLUCZ,0))),"")</f>
        <v>Landmine core</v>
      </c>
      <c r="CW46" s="5" t="str">
        <f t="array" ref="CW46">IFERROR(IF('T1'!$J46="",INDEX(LISTA_EX,99),INDEX(LISTA_EX,MATCH('T1'!$J46&amp;"|"&amp;99,LISTA_KLUCZ,0))),"")</f>
        <v>Landmine press</v>
      </c>
      <c r="CX46" s="5" t="str">
        <f t="array" ref="CX46">IFERROR(IF('T1'!$J46="",INDEX(LISTA_EX,100),INDEX(LISTA_EX,MATCH('T1'!$J46&amp;"|"&amp;100,LISTA_KLUCZ,0))),"")</f>
        <v>Landmine rotations (powtórzenia x2)</v>
      </c>
      <c r="CY46" s="5" t="str">
        <f t="array" ref="CY46">IFERROR(IF('T1'!$J46="",INDEX(LISTA_EX,101),INDEX(LISTA_EX,MATCH('T1'!$J46&amp;"|"&amp;101,LISTA_KLUCZ,0))),"")</f>
        <v>Landmine SLDL</v>
      </c>
      <c r="CZ46" s="5" t="str">
        <f t="array" ref="CZ46">IFERROR(IF('T1'!$J46="",INDEX(LISTA_EX,102),INDEX(LISTA_EX,MATCH('T1'!$J46&amp;"|"&amp;102,LISTA_KLUCZ,0))),"")</f>
        <v>Lat pulldown</v>
      </c>
      <c r="DA46" s="5" t="str">
        <f t="array" ref="DA46">IFERROR(IF('T1'!$J46="",INDEX(LISTA_EX,103),INDEX(LISTA_EX,MATCH('T1'!$J46&amp;"|"&amp;103,LISTA_KLUCZ,0))),"")</f>
        <v>Lat pulldown behind the head</v>
      </c>
      <c r="DB46" s="5" t="str">
        <f t="array" ref="DB46">IFERROR(IF('T1'!$J46="",INDEX(LISTA_EX,104),INDEX(LISTA_EX,MATCH('T1'!$J46&amp;"|"&amp;104,LISTA_KLUCZ,0))),"")</f>
        <v>Lat pulldown s/a</v>
      </c>
      <c r="DC46" s="5" t="str">
        <f t="array" ref="DC46">IFERROR(IF('T1'!$J46="",INDEX(LISTA_EX,105),INDEX(LISTA_EX,MATCH('T1'!$J46&amp;"|"&amp;105,LISTA_KLUCZ,0))),"")</f>
        <v>Lateral raise s/a</v>
      </c>
      <c r="DD46" s="5" t="str">
        <f t="array" ref="DD46">IFERROR(IF('T1'!$J46="",INDEX(LISTA_EX,106),INDEX(LISTA_EX,MATCH('T1'!$J46&amp;"|"&amp;106,LISTA_KLUCZ,0))),"")</f>
        <v>Lateral raises</v>
      </c>
      <c r="DE46" s="5" t="str">
        <f t="array" ref="DE46">IFERROR(IF('T1'!$J46="",INDEX(LISTA_EX,107),INDEX(LISTA_EX,MATCH('T1'!$J46&amp;"|"&amp;107,LISTA_KLUCZ,0))),"")</f>
        <v>Lateral raises 2</v>
      </c>
      <c r="DF46" s="5" t="str">
        <f t="array" ref="DF46">IFERROR(IF('T1'!$J46="",INDEX(LISTA_EX,108),INDEX(LISTA_EX,MATCH('T1'!$J46&amp;"|"&amp;108,LISTA_KLUCZ,0))),"")</f>
        <v>Lateral raises full ROM</v>
      </c>
      <c r="DG46" s="5" t="str">
        <f t="array" ref="DG46">IFERROR(IF('T1'!$J46="",INDEX(LISTA_EX,109),INDEX(LISTA_EX,MATCH('T1'!$J46&amp;"|"&amp;109,LISTA_KLUCZ,0))),"")</f>
        <v>Lateral raises hinged</v>
      </c>
      <c r="DH46" s="5" t="str">
        <f t="array" ref="DH46">IFERROR(IF('T1'!$J46="",INDEX(LISTA_EX,110),INDEX(LISTA_EX,MATCH('T1'!$J46&amp;"|"&amp;110,LISTA_KLUCZ,0))),"")</f>
        <v>Lateral raises incline s/a</v>
      </c>
      <c r="DI46" s="5" t="str">
        <f t="array" ref="DI46">IFERROR(IF('T1'!$J46="",INDEX(LISTA_EX,111),INDEX(LISTA_EX,MATCH('T1'!$J46&amp;"|"&amp;111,LISTA_KLUCZ,0))),"")</f>
        <v>Leg curl</v>
      </c>
      <c r="DJ46" s="5" t="str">
        <f t="array" ref="DJ46">IFERROR(IF('T1'!$J46="",INDEX(LISTA_EX,112),INDEX(LISTA_EX,MATCH('T1'!$J46&amp;"|"&amp;112,LISTA_KLUCZ,0))),"")</f>
        <v>Machine row</v>
      </c>
      <c r="DK46" s="5" t="str">
        <f t="array" ref="DK46">IFERROR(IF('T1'!$J46="",INDEX(LISTA_EX,113),INDEX(LISTA_EX,MATCH('T1'!$J46&amp;"|"&amp;113,LISTA_KLUCZ,0))),"")</f>
        <v>Machine row s/a</v>
      </c>
      <c r="DL46" s="5" t="str">
        <f t="array" ref="DL46">IFERROR(IF('T1'!$J46="",INDEX(LISTA_EX,114),INDEX(LISTA_EX,MATCH('T1'!$J46&amp;"|"&amp;114,LISTA_KLUCZ,0))),"")</f>
        <v>Meadows row</v>
      </c>
      <c r="DM46" s="5" t="str">
        <f t="array" ref="DM46">IFERROR(IF('T1'!$J46="",INDEX(LISTA_EX,115),INDEX(LISTA_EX,MATCH('T1'!$J46&amp;"|"&amp;115,LISTA_KLUCZ,0))),"")</f>
        <v>Med ball slam</v>
      </c>
      <c r="DN46" s="5" t="str">
        <f t="array" ref="DN46">IFERROR(IF('T1'!$J46="",INDEX(LISTA_EX,116),INDEX(LISTA_EX,MATCH('T1'!$J46&amp;"|"&amp;116,LISTA_KLUCZ,0))),"")</f>
        <v>OH skullcrushers</v>
      </c>
      <c r="DO46" s="5" t="str">
        <f t="array" ref="DO46">IFERROR(IF('T1'!$J46="",INDEX(LISTA_EX,117),INDEX(LISTA_EX,MATCH('T1'!$J46&amp;"|"&amp;117,LISTA_KLUCZ,0))),"")</f>
        <v>OHP barbell squat 15kg</v>
      </c>
      <c r="DP46" s="5" t="str">
        <f t="array" ref="DP46">IFERROR(IF('T1'!$J46="",INDEX(LISTA_EX,118),INDEX(LISTA_EX,MATCH('T1'!$J46&amp;"|"&amp;118,LISTA_KLUCZ,0))),"")</f>
        <v>Pistol squat eccentric</v>
      </c>
      <c r="DQ46" s="5" t="str">
        <f t="array" ref="DQ46">IFERROR(IF('T1'!$J46="",INDEX(LISTA_EX,119),INDEX(LISTA_EX,MATCH('T1'!$J46&amp;"|"&amp;119,LISTA_KLUCZ,0))),"")</f>
        <v>Plank contralateral</v>
      </c>
      <c r="DR46" s="5" t="str">
        <f t="array" ref="DR46">IFERROR(IF('T1'!$J46="",INDEX(LISTA_EX,120),INDEX(LISTA_EX,MATCH('T1'!$J46&amp;"|"&amp;120,LISTA_KLUCZ,0))),"")</f>
        <v>Plank dumbbell rotation</v>
      </c>
      <c r="DS46" s="5" t="str">
        <f t="array" ref="DS46">IFERROR(IF('T1'!$J46="",INDEX(LISTA_EX,121),INDEX(LISTA_EX,MATCH('T1'!$J46&amp;"|"&amp;121,LISTA_KLUCZ,0))),"")</f>
        <v>Plank leg raises</v>
      </c>
      <c r="DT46" s="5" t="str">
        <f t="array" ref="DT46">IFERROR(IF('T1'!$J46="",INDEX(LISTA_EX,122),INDEX(LISTA_EX,MATCH('T1'!$J46&amp;"|"&amp;122,LISTA_KLUCZ,0))),"")</f>
        <v>Poliquin step up</v>
      </c>
      <c r="DU46" s="5" t="str">
        <f t="array" ref="DU46">IFERROR(IF('T1'!$J46="",INDEX(LISTA_EX,123),INDEX(LISTA_EX,MATCH('T1'!$J46&amp;"|"&amp;123,LISTA_KLUCZ,0))),"")</f>
        <v>Poliquin step up paused 3sec</v>
      </c>
      <c r="DV46" s="5" t="str">
        <f t="array" ref="DV46">IFERROR(IF('T1'!$J46="",INDEX(LISTA_EX,124),INDEX(LISTA_EX,MATCH('T1'!$J46&amp;"|"&amp;124,LISTA_KLUCZ,0))),"")</f>
        <v>Pronation/Supination</v>
      </c>
      <c r="DW46" s="5" t="str">
        <f t="array" ref="DW46">IFERROR(IF('T1'!$J46="",INDEX(LISTA_EX,125),INDEX(LISTA_EX,MATCH('T1'!$J46&amp;"|"&amp;125,LISTA_KLUCZ,0))),"")</f>
        <v>Pull up</v>
      </c>
      <c r="DX46" s="5" t="str">
        <f t="array" ref="DX46">IFERROR(IF('T1'!$J46="",INDEX(LISTA_EX,126),INDEX(LISTA_EX,MATCH('T1'!$J46&amp;"|"&amp;126,LISTA_KLUCZ,0))),"")</f>
        <v>Pull up eccentric weighted</v>
      </c>
      <c r="DY46" s="5" t="str">
        <f t="array" ref="DY46">IFERROR(IF('T1'!$J46="",INDEX(LISTA_EX,127),INDEX(LISTA_EX,MATCH('T1'!$J46&amp;"|"&amp;127,LISTA_KLUCZ,0))),"")</f>
        <v>Pull up eccentric weighted (5 sek w dół)</v>
      </c>
      <c r="DZ46" s="5" t="str">
        <f t="array" ref="DZ46">IFERROR(IF('T1'!$J46="",INDEX(LISTA_EX,128),INDEX(LISTA_EX,MATCH('T1'!$J46&amp;"|"&amp;128,LISTA_KLUCZ,0))),"")</f>
        <v>Pull up weighted</v>
      </c>
      <c r="EA46" s="5" t="str">
        <f t="array" ref="EA46">IFERROR(IF('T1'!$J46="",INDEX(LISTA_EX,129),INDEX(LISTA_EX,MATCH('T1'!$J46&amp;"|"&amp;129,LISTA_KLUCZ,0))),"")</f>
        <v>Pull ups (paused)</v>
      </c>
      <c r="EB46" s="5" t="str">
        <f t="array" ref="EB46">IFERROR(IF('T1'!$J46="",INDEX(LISTA_EX,130),INDEX(LISTA_EX,MATCH('T1'!$J46&amp;"|"&amp;130,LISTA_KLUCZ,0))),"")</f>
        <v>Push press barbell</v>
      </c>
      <c r="EC46" s="5" t="str">
        <f t="array" ref="EC46">IFERROR(IF('T1'!$J46="",INDEX(LISTA_EX,131),INDEX(LISTA_EX,MATCH('T1'!$J46&amp;"|"&amp;131,LISTA_KLUCZ,0))),"")</f>
        <v>Push up</v>
      </c>
      <c r="ED46" s="5" t="str">
        <f t="array" ref="ED46">IFERROR(IF('T1'!$J46="",INDEX(LISTA_EX,132),INDEX(LISTA_EX,MATCH('T1'!$J46&amp;"|"&amp;132,LISTA_KLUCZ,0))),"")</f>
        <v>Raised bird dog</v>
      </c>
      <c r="EE46" s="5" t="str">
        <f t="array" ref="EE46">IFERROR(IF('T1'!$J46="",INDEX(LISTA_EX,133),INDEX(LISTA_EX,MATCH('T1'!$J46&amp;"|"&amp;133,LISTA_KLUCZ,0))),"")</f>
        <v>RDL</v>
      </c>
      <c r="EF46" s="5" t="str">
        <f t="array" ref="EF46">IFERROR(IF('T1'!$J46="",INDEX(LISTA_EX,134),INDEX(LISTA_EX,MATCH('T1'!$J46&amp;"|"&amp;134,LISTA_KLUCZ,0))),"")</f>
        <v>Reverse Nordic</v>
      </c>
      <c r="EG46" s="5" t="str">
        <f t="array" ref="EG46">IFERROR(IF('T1'!$J46="",INDEX(LISTA_EX,135),INDEX(LISTA_EX,MATCH('T1'!$J46&amp;"|"&amp;135,LISTA_KLUCZ,0))),"")</f>
        <v>Rope pushdown</v>
      </c>
      <c r="EH46" s="5" t="str">
        <f t="array" ref="EH46">IFERROR(IF('T1'!$J46="",INDEX(LISTA_EX,136),INDEX(LISTA_EX,MATCH('T1'!$J46&amp;"|"&amp;136,LISTA_KLUCZ,0))),"")</f>
        <v>Rope pushdown OH</v>
      </c>
      <c r="EI46" s="5" t="str">
        <f t="array" ref="EI46">IFERROR(IF('T1'!$J46="",INDEX(LISTA_EX,137),INDEX(LISTA_EX,MATCH('T1'!$J46&amp;"|"&amp;137,LISTA_KLUCZ,0))),"")</f>
        <v>S/a cable pulldown incline bench</v>
      </c>
      <c r="EJ46" s="5" t="str">
        <f t="array" ref="EJ46">IFERROR(IF('T1'!$J46="",INDEX(LISTA_EX,138),INDEX(LISTA_EX,MATCH('T1'!$J46&amp;"|"&amp;138,LISTA_KLUCZ,0))),"")</f>
        <v>S/a lat pulldown incline bench</v>
      </c>
      <c r="EK46" s="5" t="str">
        <f t="array" ref="EK46">IFERROR(IF('T1'!$J46="",INDEX(LISTA_EX,139),INDEX(LISTA_EX,MATCH('T1'!$J46&amp;"|"&amp;139,LISTA_KLUCZ,0))),"")</f>
        <v>S/l dragonflag eccentric</v>
      </c>
      <c r="EL46" s="5" t="str">
        <f t="array" ref="EL46">IFERROR(IF('T1'!$J46="",INDEX(LISTA_EX,140),INDEX(LISTA_EX,MATCH('T1'!$J46&amp;"|"&amp;140,LISTA_KLUCZ,0))),"")</f>
        <v>S/l hip thrust</v>
      </c>
      <c r="EM46" s="5" t="str">
        <f t="array" ref="EM46">IFERROR(IF('T1'!$J46="",INDEX(LISTA_EX,141),INDEX(LISTA_EX,MATCH('T1'!$J46&amp;"|"&amp;141,LISTA_KLUCZ,0))),"")</f>
        <v>Seated broad jump</v>
      </c>
      <c r="EN46" s="5" t="str">
        <f t="array" ref="EN46">IFERROR(IF('T1'!$J46="",INDEX(LISTA_EX,142),INDEX(LISTA_EX,MATCH('T1'!$J46&amp;"|"&amp;142,LISTA_KLUCZ,0))),"")</f>
        <v>Seated cable facepull</v>
      </c>
      <c r="EO46" s="5" t="str">
        <f t="array" ref="EO46">IFERROR(IF('T1'!$J46="",INDEX(LISTA_EX,143),INDEX(LISTA_EX,MATCH('T1'!$J46&amp;"|"&amp;143,LISTA_KLUCZ,0))),"")</f>
        <v>Seated seesaw press (nogi proste)</v>
      </c>
      <c r="EP46" s="5" t="str">
        <f t="array" ref="EP46">IFERROR(IF('T1'!$J46="",INDEX(LISTA_EX,144),INDEX(LISTA_EX,MATCH('T1'!$J46&amp;"|"&amp;144,LISTA_KLUCZ,0))),"")</f>
        <v>Seesaw press</v>
      </c>
      <c r="EQ46" s="5" t="str">
        <f t="array" ref="EQ46">IFERROR(IF('T1'!$J46="",INDEX(LISTA_EX,145),INDEX(LISTA_EX,MATCH('T1'!$J46&amp;"|"&amp;145,LISTA_KLUCZ,0))),"")</f>
        <v>Side crunches</v>
      </c>
      <c r="ER46" s="5" t="str">
        <f t="array" ref="ER46">IFERROR(IF('T1'!$J46="",INDEX(LISTA_EX,146),INDEX(LISTA_EX,MATCH('T1'!$J46&amp;"|"&amp;146,LISTA_KLUCZ,0))),"")</f>
        <v>Side plank hip drop</v>
      </c>
      <c r="ES46" s="5" t="str">
        <f t="array" ref="ES46">IFERROR(IF('T1'!$J46="",INDEX(LISTA_EX,147),INDEX(LISTA_EX,MATCH('T1'!$J46&amp;"|"&amp;147,LISTA_KLUCZ,0))),"")</f>
        <v>Side plank rotations</v>
      </c>
      <c r="ET46" s="5" t="str">
        <f t="array" ref="ET46">IFERROR(IF('T1'!$J46="",INDEX(LISTA_EX,148),INDEX(LISTA_EX,MATCH('T1'!$J46&amp;"|"&amp;148,LISTA_KLUCZ,0))),"")</f>
        <v>SLDL balance</v>
      </c>
      <c r="EU46" s="5" t="str">
        <f t="array" ref="EU46">IFERROR(IF('T1'!$J46="",INDEX(LISTA_EX,149),INDEX(LISTA_EX,MATCH('T1'!$J46&amp;"|"&amp;149,LISTA_KLUCZ,0))),"")</f>
        <v>Split squat</v>
      </c>
      <c r="EV46" s="5" t="str">
        <f t="array" ref="EV46">IFERROR(IF('T1'!$J46="",INDEX(LISTA_EX,150),INDEX(LISTA_EX,MATCH('T1'!$J46&amp;"|"&amp;150,LISTA_KLUCZ,0))),"")</f>
        <v>Split stance SLDL</v>
      </c>
      <c r="EW46" s="5" t="str">
        <f t="array" ref="EW46">IFERROR(IF('T1'!$J46="",INDEX(LISTA_EX,151),INDEX(LISTA_EX,MATCH('T1'!$J46&amp;"|"&amp;151,LISTA_KLUCZ,0))),"")</f>
        <v>Squat izo (15 sek)</v>
      </c>
      <c r="EX46" s="5" t="str">
        <f t="array" ref="EX46">IFERROR(IF('T1'!$J46="",INDEX(LISTA_EX,152),INDEX(LISTA_EX,MATCH('T1'!$J46&amp;"|"&amp;152,LISTA_KLUCZ,0))),"")</f>
        <v>Standing landmine press</v>
      </c>
      <c r="EY46" s="5" t="str">
        <f t="array" ref="EY46">IFERROR(IF('T1'!$J46="",INDEX(LISTA_EX,153),INDEX(LISTA_EX,MATCH('T1'!$J46&amp;"|"&amp;153,LISTA_KLUCZ,0))),"")</f>
        <v>Suitcase carry</v>
      </c>
      <c r="EZ46" s="5" t="str">
        <f t="array" ref="EZ46">IFERROR(IF('T1'!$J46="",INDEX(LISTA_EX,154),INDEX(LISTA_EX,MATCH('T1'!$J46&amp;"|"&amp;154,LISTA_KLUCZ,0))),"")</f>
        <v>Supine pigeon abs</v>
      </c>
      <c r="FA46" s="5" t="str">
        <f t="array" ref="FA46">IFERROR(IF('T1'!$J46="",INDEX(LISTA_EX,155),INDEX(LISTA_EX,MATCH('T1'!$J46&amp;"|"&amp;155,LISTA_KLUCZ,0))),"")</f>
        <v>Swiss ball leg curl</v>
      </c>
      <c r="FB46" s="5" t="str">
        <f t="array" ref="FB46">IFERROR(IF('T1'!$J46="",INDEX(LISTA_EX,156),INDEX(LISTA_EX,MATCH('T1'!$J46&amp;"|"&amp;156,LISTA_KLUCZ,0))),"")</f>
        <v>Toes to bar</v>
      </c>
      <c r="FC46" s="5" t="str">
        <f t="array" ref="FC46">IFERROR(IF('T1'!$J46="",INDEX(LISTA_EX,157),INDEX(LISTA_EX,MATCH('T1'!$J46&amp;"|"&amp;157,LISTA_KLUCZ,0))),"")</f>
        <v>Trap bar deadlift</v>
      </c>
      <c r="FD46" s="5" t="str">
        <f t="array" ref="FD46">IFERROR(IF('T1'!$J46="",INDEX(LISTA_EX,158),INDEX(LISTA_EX,MATCH('T1'!$J46&amp;"|"&amp;158,LISTA_KLUCZ,0))),"")</f>
        <v>Tricep cable pushdown</v>
      </c>
      <c r="FE46" s="5" t="str">
        <f t="array" ref="FE46">IFERROR(IF('T1'!$J46="",INDEX(LISTA_EX,159),INDEX(LISTA_EX,MATCH('T1'!$J46&amp;"|"&amp;159,LISTA_KLUCZ,0))),"")</f>
        <v>Tricep JM press</v>
      </c>
      <c r="FF46" s="5" t="str">
        <f t="array" ref="FF46">IFERROR(IF('T1'!$J46="",INDEX(LISTA_EX,160),INDEX(LISTA_EX,MATCH('T1'!$J46&amp;"|"&amp;160,LISTA_KLUCZ,0))),"")</f>
        <v>Tricep OH cable</v>
      </c>
      <c r="FG46" s="5" t="str">
        <f t="array" ref="FG46">IFERROR(IF('T1'!$J46="",INDEX(LISTA_EX,161),INDEX(LISTA_EX,MATCH('T1'!$J46&amp;"|"&amp;161,LISTA_KLUCZ,0))),"")</f>
        <v>Tricep OH ez bar</v>
      </c>
      <c r="FH46" s="5" t="str">
        <f t="array" ref="FH46">IFERROR(IF('T1'!$J46="",INDEX(LISTA_EX,162),INDEX(LISTA_EX,MATCH('T1'!$J46&amp;"|"&amp;162,LISTA_KLUCZ,0))),"")</f>
        <v>Walking lunges</v>
      </c>
      <c r="FI46" s="5" t="str">
        <f t="array" ref="FI46">IFERROR(IF('T1'!$J46="",INDEX(LISTA_EX,163),INDEX(LISTA_EX,MATCH('T1'!$J46&amp;"|"&amp;163,LISTA_KLUCZ,0))),"")</f>
        <v>Wipers kettle</v>
      </c>
      <c r="FJ46" s="5" t="str">
        <f t="array" ref="FJ46">IFERROR(IF('T1'!$J46="",INDEX(LISTA_EX,164),INDEX(LISTA_EX,MATCH('T1'!$J46&amp;"|"&amp;164,LISTA_KLUCZ,0))),"")</f>
        <v>Zercher jumps</v>
      </c>
      <c r="FK46" s="5" t="str">
        <f t="array" ref="FK46">IFERROR(IF('T1'!$J46="",INDEX(LISTA_EX,165),INDEX(LISTA_EX,MATCH('T1'!$J46&amp;"|"&amp;165,LISTA_KLUCZ,0))),"")</f>
        <v/>
      </c>
      <c r="FL46" s="5" t="str">
        <f t="array" ref="FL46">IFERROR(IF('T1'!$J46="",INDEX(LISTA_EX,166),INDEX(LISTA_EX,MATCH('T1'!$J46&amp;"|"&amp;166,LISTA_KLUCZ,0))),"")</f>
        <v/>
      </c>
      <c r="FM46" s="5" t="str">
        <f t="array" ref="FM46">IFERROR(IF('T1'!$J46="",INDEX(LISTA_EX,167),INDEX(LISTA_EX,MATCH('T1'!$J46&amp;"|"&amp;167,LISTA_KLUCZ,0))),"")</f>
        <v/>
      </c>
      <c r="FN46" s="5" t="str">
        <f t="array" ref="FN46">IFERROR(IF('T1'!$J46="",INDEX(LISTA_EX,168),INDEX(LISTA_EX,MATCH('T1'!$J46&amp;"|"&amp;168,LISTA_KLUCZ,0))),"")</f>
        <v/>
      </c>
      <c r="FO46" s="5" t="str">
        <f t="array" ref="FO46">IFERROR(IF('T1'!$J46="",INDEX(LISTA_EX,169),INDEX(LISTA_EX,MATCH('T1'!$J46&amp;"|"&amp;169,LISTA_KLUCZ,0))),"")</f>
        <v/>
      </c>
      <c r="FP46" s="5" t="str">
        <f t="array" ref="FP46">IFERROR(IF('T1'!$J46="",INDEX(LISTA_EX,170),INDEX(LISTA_EX,MATCH('T1'!$J46&amp;"|"&amp;170,LISTA_KLUCZ,0))),"")</f>
        <v/>
      </c>
      <c r="FQ46" s="5" t="str">
        <f t="array" ref="FQ46">IFERROR(IF('T1'!$J46="",INDEX(LISTA_EX,171),INDEX(LISTA_EX,MATCH('T1'!$J46&amp;"|"&amp;171,LISTA_KLUCZ,0))),"")</f>
        <v/>
      </c>
      <c r="FR46" s="5" t="str">
        <f t="array" ref="FR46">IFERROR(IF('T1'!$J46="",INDEX(LISTA_EX,172),INDEX(LISTA_EX,MATCH('T1'!$J46&amp;"|"&amp;172,LISTA_KLUCZ,0))),"")</f>
        <v/>
      </c>
      <c r="FS46" s="5" t="str">
        <f t="array" ref="FS46">IFERROR(IF('T1'!$J46="",INDEX(LISTA_EX,173),INDEX(LISTA_EX,MATCH('T1'!$J46&amp;"|"&amp;173,LISTA_KLUCZ,0))),"")</f>
        <v/>
      </c>
      <c r="FT46" s="5" t="str">
        <f t="array" ref="FT46">IFERROR(IF('T1'!$J46="",INDEX(LISTA_EX,174),INDEX(LISTA_EX,MATCH('T1'!$J46&amp;"|"&amp;174,LISTA_KLUCZ,0))),"")</f>
        <v/>
      </c>
      <c r="FU46" s="5" t="str">
        <f t="array" ref="FU46">IFERROR(IF('T1'!$J46="",INDEX(LISTA_EX,175),INDEX(LISTA_EX,MATCH('T1'!$J46&amp;"|"&amp;175,LISTA_KLUCZ,0))),"")</f>
        <v/>
      </c>
      <c r="FV46" s="5" t="str">
        <f t="array" ref="FV46">IFERROR(IF('T1'!$J46="",INDEX(LISTA_EX,176),INDEX(LISTA_EX,MATCH('T1'!$J46&amp;"|"&amp;176,LISTA_KLUCZ,0))),"")</f>
        <v/>
      </c>
      <c r="FW46" s="5" t="str">
        <f t="array" ref="FW46">IFERROR(IF('T1'!$J46="",INDEX(LISTA_EX,177),INDEX(LISTA_EX,MATCH('T1'!$J46&amp;"|"&amp;177,LISTA_KLUCZ,0))),"")</f>
        <v/>
      </c>
      <c r="FX46" s="5" t="str">
        <f t="array" ref="FX46">IFERROR(IF('T1'!$J46="",INDEX(LISTA_EX,178),INDEX(LISTA_EX,MATCH('T1'!$J46&amp;"|"&amp;178,LISTA_KLUCZ,0))),"")</f>
        <v/>
      </c>
      <c r="FY46" s="5" t="str">
        <f t="array" ref="FY46">IFERROR(IF('T1'!$J46="",INDEX(LISTA_EX,179),INDEX(LISTA_EX,MATCH('T1'!$J46&amp;"|"&amp;179,LISTA_KLUCZ,0))),"")</f>
        <v/>
      </c>
      <c r="FZ46" s="5" t="str">
        <f t="array" ref="FZ46">IFERROR(IF('T1'!$J46="",INDEX(LISTA_EX,180),INDEX(LISTA_EX,MATCH('T1'!$J46&amp;"|"&amp;180,LISTA_KLUCZ,0))),"")</f>
        <v/>
      </c>
      <c r="GA46" s="5" t="str">
        <f t="array" ref="GA46">IFERROR(IF('T1'!$J46="",INDEX(LISTA_EX,181),INDEX(LISTA_EX,MATCH('T1'!$J46&amp;"|"&amp;181,LISTA_KLUCZ,0))),"")</f>
        <v/>
      </c>
      <c r="GB46" s="5" t="str">
        <f t="array" ref="GB46">IFERROR(IF('T1'!$J46="",INDEX(LISTA_EX,182),INDEX(LISTA_EX,MATCH('T1'!$J46&amp;"|"&amp;182,LISTA_KLUCZ,0))),"")</f>
        <v/>
      </c>
      <c r="GC46" s="5" t="str">
        <f t="array" ref="GC46">IFERROR(IF('T1'!$J46="",INDEX(LISTA_EX,183),INDEX(LISTA_EX,MATCH('T1'!$J46&amp;"|"&amp;183,LISTA_KLUCZ,0))),"")</f>
        <v/>
      </c>
      <c r="GD46" s="5" t="str">
        <f t="array" ref="GD46">IFERROR(IF('T1'!$J46="",INDEX(LISTA_EX,184),INDEX(LISTA_EX,MATCH('T1'!$J46&amp;"|"&amp;184,LISTA_KLUCZ,0))),"")</f>
        <v/>
      </c>
      <c r="GE46" s="5" t="str">
        <f t="array" ref="GE46">IFERROR(IF('T1'!$J46="",INDEX(LISTA_EX,185),INDEX(LISTA_EX,MATCH('T1'!$J46&amp;"|"&amp;185,LISTA_KLUCZ,0))),"")</f>
        <v/>
      </c>
      <c r="GF46" s="5" t="str">
        <f t="array" ref="GF46">IFERROR(IF('T1'!$J46="",INDEX(LISTA_EX,186),INDEX(LISTA_EX,MATCH('T1'!$J46&amp;"|"&amp;186,LISTA_KLUCZ,0))),"")</f>
        <v/>
      </c>
      <c r="GG46" s="5" t="str">
        <f t="array" ref="GG46">IFERROR(IF('T1'!$J46="",INDEX(LISTA_EX,187),INDEX(LISTA_EX,MATCH('T1'!$J46&amp;"|"&amp;187,LISTA_KLUCZ,0))),"")</f>
        <v/>
      </c>
      <c r="GH46" s="5" t="str">
        <f t="array" ref="GH46">IFERROR(IF('T1'!$J46="",INDEX(LISTA_EX,188),INDEX(LISTA_EX,MATCH('T1'!$J46&amp;"|"&amp;188,LISTA_KLUCZ,0))),"")</f>
        <v/>
      </c>
      <c r="GI46" s="5" t="str">
        <f t="array" ref="GI46">IFERROR(IF('T1'!$J46="",INDEX(LISTA_EX,189),INDEX(LISTA_EX,MATCH('T1'!$J46&amp;"|"&amp;189,LISTA_KLUCZ,0))),"")</f>
        <v/>
      </c>
      <c r="GJ46" s="5" t="str">
        <f t="array" ref="GJ46">IFERROR(IF('T1'!$J46="",INDEX(LISTA_EX,190),INDEX(LISTA_EX,MATCH('T1'!$J46&amp;"|"&amp;190,LISTA_KLUCZ,0))),"")</f>
        <v/>
      </c>
      <c r="GK46" s="5" t="str">
        <f t="array" ref="GK46">IFERROR(IF('T1'!$J46="",INDEX(LISTA_EX,191),INDEX(LISTA_EX,MATCH('T1'!$J46&amp;"|"&amp;191,LISTA_KLUCZ,0))),"")</f>
        <v/>
      </c>
      <c r="GL46" s="5" t="str">
        <f t="array" ref="GL46">IFERROR(IF('T1'!$J46="",INDEX(LISTA_EX,192),INDEX(LISTA_EX,MATCH('T1'!$J46&amp;"|"&amp;192,LISTA_KLUCZ,0))),"")</f>
        <v/>
      </c>
      <c r="GM46" s="5" t="str">
        <f t="array" ref="GM46">IFERROR(IF('T1'!$J46="",INDEX(LISTA_EX,193),INDEX(LISTA_EX,MATCH('T1'!$J46&amp;"|"&amp;193,LISTA_KLUCZ,0))),"")</f>
        <v/>
      </c>
      <c r="GN46" s="5" t="str">
        <f t="array" ref="GN46">IFERROR(IF('T1'!$J46="",INDEX(LISTA_EX,194),INDEX(LISTA_EX,MATCH('T1'!$J46&amp;"|"&amp;194,LISTA_KLUCZ,0))),"")</f>
        <v/>
      </c>
      <c r="GO46" s="5" t="str">
        <f t="array" ref="GO46">IFERROR(IF('T1'!$J46="",INDEX(LISTA_EX,195),INDEX(LISTA_EX,MATCH('T1'!$J46&amp;"|"&amp;195,LISTA_KLUCZ,0))),"")</f>
        <v/>
      </c>
      <c r="GP46" s="5" t="str">
        <f t="array" ref="GP46">IFERROR(IF('T1'!$J46="",INDEX(LISTA_EX,196),INDEX(LISTA_EX,MATCH('T1'!$J46&amp;"|"&amp;196,LISTA_KLUCZ,0))),"")</f>
        <v/>
      </c>
      <c r="GQ46" s="5" t="str">
        <f t="array" ref="GQ46">IFERROR(IF('T1'!$J46="",INDEX(LISTA_EX,197),INDEX(LISTA_EX,MATCH('T1'!$J46&amp;"|"&amp;197,LISTA_KLUCZ,0))),"")</f>
        <v/>
      </c>
      <c r="GR46" s="5" t="str">
        <f t="array" ref="GR46">IFERROR(IF('T1'!$J46="",INDEX(LISTA_EX,198),INDEX(LISTA_EX,MATCH('T1'!$J46&amp;"|"&amp;198,LISTA_KLUCZ,0))),"")</f>
        <v/>
      </c>
      <c r="GS46" s="5" t="str">
        <f t="array" ref="GS46">IFERROR(IF('T1'!$J46="",INDEX(LISTA_EX,199),INDEX(LISTA_EX,MATCH('T1'!$J46&amp;"|"&amp;199,LISTA_KLUCZ,0))),"")</f>
        <v/>
      </c>
      <c r="GT46" s="5" t="str">
        <f t="array" ref="GT46">IFERROR(IF('T1'!$J46="",INDEX(LISTA_EX,200),INDEX(LISTA_EX,MATCH('T1'!$J46&amp;"|"&amp;200,LISTA_KLUCZ,0))),"")</f>
        <v/>
      </c>
      <c r="GV46" s="5" t="str">
        <f>IF(BAZA!$A46="","",BAZA!$A46)</f>
        <v>Deficit reverse lunge</v>
      </c>
      <c r="GW46" s="5" t="str">
        <f>IF(BAZA!$B46="","",BAZA!$B46&amp;"|"&amp;COUNTIF(BAZA!$B$3:$B46,BAZA!$B46))</f>
        <v>Lower push|8</v>
      </c>
    </row>
    <row r="47" ht="15.0" customHeight="1">
      <c r="A47" s="5" t="str">
        <f>IF('T1'!$K47="","",'T1'!$K47)</f>
        <v>D3-S09</v>
      </c>
      <c r="B47" s="5" t="str">
        <f>IF('T1'!$J47="","(wszystkie)",'T1'!$J47)</f>
        <v>(wszystkie)</v>
      </c>
      <c r="C47" s="5" t="str">
        <f t="array" ref="C47">IFERROR(IF('T1'!$J47="",INDEX(LISTA_EX,1),INDEX(LISTA_EX,MATCH('T1'!$J47&amp;"|"&amp;1,LISTA_KLUCZ,0))),"")</f>
        <v>Abduction machine</v>
      </c>
      <c r="D47" s="5" t="str">
        <f t="array" ref="D47">IFERROR(IF('T1'!$J47="",INDEX(LISTA_EX,2),INDEX(LISTA_EX,MATCH('T1'!$J47&amp;"|"&amp;2,LISTA_KLUCZ,0))),"")</f>
        <v>Adduction machine</v>
      </c>
      <c r="E47" s="5" t="str">
        <f t="array" ref="E47">IFERROR(IF('T1'!$J47="",INDEX(LISTA_EX,3),INDEX(LISTA_EX,MATCH('T1'!$J47&amp;"|"&amp;3,LISTA_KLUCZ,0))),"")</f>
        <v>Allah</v>
      </c>
      <c r="F47" s="5" t="str">
        <f t="array" ref="F47">IFERROR(IF('T1'!$J47="",INDEX(LISTA_EX,4),INDEX(LISTA_EX,MATCH('T1'!$J47&amp;"|"&amp;4,LISTA_KLUCZ,0))),"")</f>
        <v>Arnold press</v>
      </c>
      <c r="G47" s="5" t="str">
        <f t="array" ref="G47">IFERROR(IF('T1'!$J47="",INDEX(LISTA_EX,5),INDEX(LISTA_EX,MATCH('T1'!$J47&amp;"|"&amp;5,LISTA_KLUCZ,0))),"")</f>
        <v>Arnold press alternating</v>
      </c>
      <c r="H47" s="5" t="str">
        <f t="array" ref="H47">IFERROR(IF('T1'!$J47="",INDEX(LISTA_EX,6),INDEX(LISTA_EX,MATCH('T1'!$J47&amp;"|"&amp;6,LISTA_KLUCZ,0))),"")</f>
        <v>B/l dragonflag eccentric</v>
      </c>
      <c r="I47" s="5" t="str">
        <f t="array" ref="I47">IFERROR(IF('T1'!$J47="",INDEX(LISTA_EX,7),INDEX(LISTA_EX,MATCH('T1'!$J47&amp;"|"&amp;7,LISTA_KLUCZ,0))),"")</f>
        <v>Back extension</v>
      </c>
      <c r="J47" s="5" t="str">
        <f t="array" ref="J47">IFERROR(IF('T1'!$J47="",INDEX(LISTA_EX,8),INDEX(LISTA_EX,MATCH('T1'!$J47&amp;"|"&amp;8,LISTA_KLUCZ,0))),"")</f>
        <v>Banded pistol squat</v>
      </c>
      <c r="K47" s="5" t="str">
        <f t="array" ref="K47">IFERROR(IF('T1'!$J47="",INDEX(LISTA_EX,9),INDEX(LISTA_EX,MATCH('T1'!$J47&amp;"|"&amp;9,LISTA_KLUCZ,0))),"")</f>
        <v>Banded pull ups</v>
      </c>
      <c r="L47" s="5" t="str">
        <f t="array" ref="L47">IFERROR(IF('T1'!$J47="",INDEX(LISTA_EX,10),INDEX(LISTA_EX,MATCH('T1'!$J47&amp;"|"&amp;10,LISTA_KLUCZ,0))),"")</f>
        <v>Barbell back squat</v>
      </c>
      <c r="M47" s="5" t="str">
        <f t="array" ref="M47">IFERROR(IF('T1'!$J47="",INDEX(LISTA_EX,11),INDEX(LISTA_EX,MATCH('T1'!$J47&amp;"|"&amp;11,LISTA_KLUCZ,0))),"")</f>
        <v>Barbell bench press</v>
      </c>
      <c r="N47" s="5" t="str">
        <f t="array" ref="N47">IFERROR(IF('T1'!$J47="",INDEX(LISTA_EX,12),INDEX(LISTA_EX,MATCH('T1'!$J47&amp;"|"&amp;12,LISTA_KLUCZ,0))),"")</f>
        <v>Barbell curl</v>
      </c>
      <c r="O47" s="5" t="str">
        <f t="array" ref="O47">IFERROR(IF('T1'!$J47="",INDEX(LISTA_EX,13),INDEX(LISTA_EX,MATCH('T1'!$J47&amp;"|"&amp;13,LISTA_KLUCZ,0))),"")</f>
        <v>Barbell low bar squat</v>
      </c>
      <c r="P47" s="5" t="str">
        <f t="array" ref="P47">IFERROR(IF('T1'!$J47="",INDEX(LISTA_EX,14),INDEX(LISTA_EX,MATCH('T1'!$J47&amp;"|"&amp;14,LISTA_KLUCZ,0))),"")</f>
        <v>Barbell OHP</v>
      </c>
      <c r="Q47" s="5" t="str">
        <f t="array" ref="Q47">IFERROR(IF('T1'!$J47="",INDEX(LISTA_EX,15),INDEX(LISTA_EX,MATCH('T1'!$J47&amp;"|"&amp;15,LISTA_KLUCZ,0))),"")</f>
        <v>Barbell oscilation</v>
      </c>
      <c r="R47" s="5" t="str">
        <f t="array" ref="R47">IFERROR(IF('T1'!$J47="",INDEX(LISTA_EX,16),INDEX(LISTA_EX,MATCH('T1'!$J47&amp;"|"&amp;16,LISTA_KLUCZ,0))),"")</f>
        <v>Barbell row</v>
      </c>
      <c r="S47" s="5" t="str">
        <f t="array" ref="S47">IFERROR(IF('T1'!$J47="",INDEX(LISTA_EX,17),INDEX(LISTA_EX,MATCH('T1'!$J47&amp;"|"&amp;17,LISTA_KLUCZ,0))),"")</f>
        <v>Barbell row dead stop pins</v>
      </c>
      <c r="T47" s="5" t="str">
        <f t="array" ref="T47">IFERROR(IF('T1'!$J47="",INDEX(LISTA_EX,18),INDEX(LISTA_EX,MATCH('T1'!$J47&amp;"|"&amp;18,LISTA_KLUCZ,0))),"")</f>
        <v>Barbell SLDL</v>
      </c>
      <c r="U47" s="5" t="str">
        <f t="array" ref="U47">IFERROR(IF('T1'!$J47="",INDEX(LISTA_EX,19),INDEX(LISTA_EX,MATCH('T1'!$J47&amp;"|"&amp;19,LISTA_KLUCZ,0))),"")</f>
        <v>Bayesian curl</v>
      </c>
      <c r="V47" s="5" t="str">
        <f t="array" ref="V47">IFERROR(IF('T1'!$J47="",INDEX(LISTA_EX,20),INDEX(LISTA_EX,MATCH('T1'!$J47&amp;"|"&amp;20,LISTA_KLUCZ,0))),"")</f>
        <v>Bear renegade row</v>
      </c>
      <c r="W47" s="5" t="str">
        <f t="array" ref="W47">IFERROR(IF('T1'!$J47="",INDEX(LISTA_EX,21),INDEX(LISTA_EX,MATCH('T1'!$J47&amp;"|"&amp;21,LISTA_KLUCZ,0))),"")</f>
        <v>Bench press paused 3sec</v>
      </c>
      <c r="X47" s="5" t="str">
        <f t="array" ref="X47">IFERROR(IF('T1'!$J47="",INDEX(LISTA_EX,22),INDEX(LISTA_EX,MATCH('T1'!$J47&amp;"|"&amp;22,LISTA_KLUCZ,0))),"")</f>
        <v>Bicep hammer curl</v>
      </c>
      <c r="Y47" s="5" t="str">
        <f t="array" ref="Y47">IFERROR(IF('T1'!$J47="",INDEX(LISTA_EX,23),INDEX(LISTA_EX,MATCH('T1'!$J47&amp;"|"&amp;23,LISTA_KLUCZ,0))),"")</f>
        <v>Bicep squat cable curl</v>
      </c>
      <c r="Z47" s="5" t="str">
        <f t="array" ref="Z47">IFERROR(IF('T1'!$J47="",INDEX(LISTA_EX,24),INDEX(LISTA_EX,MATCH('T1'!$J47&amp;"|"&amp;24,LISTA_KLUCZ,0))),"")</f>
        <v>Bird dog row</v>
      </c>
      <c r="AA47" s="5" t="str">
        <f t="array" ref="AA47">IFERROR(IF('T1'!$J47="",INDEX(LISTA_EX,25),INDEX(LISTA_EX,MATCH('T1'!$J47&amp;"|"&amp;25,LISTA_KLUCZ,0))),"")</f>
        <v>Box jump</v>
      </c>
      <c r="AB47" s="5" t="str">
        <f t="array" ref="AB47">IFERROR(IF('T1'!$J47="",INDEX(LISTA_EX,26),INDEX(LISTA_EX,MATCH('T1'!$J47&amp;"|"&amp;26,LISTA_KLUCZ,0))),"")</f>
        <v>Bulgarian clean plyo</v>
      </c>
      <c r="AC47" s="5" t="str">
        <f t="array" ref="AC47">IFERROR(IF('T1'!$J47="",INDEX(LISTA_EX,27),INDEX(LISTA_EX,MATCH('T1'!$J47&amp;"|"&amp;27,LISTA_KLUCZ,0))),"")</f>
        <v>Bulgarian squat assisted</v>
      </c>
      <c r="AD47" s="5" t="str">
        <f t="array" ref="AD47">IFERROR(IF('T1'!$J47="",INDEX(LISTA_EX,28),INDEX(LISTA_EX,MATCH('T1'!$J47&amp;"|"&amp;28,LISTA_KLUCZ,0))),"")</f>
        <v>Cable biceps curl</v>
      </c>
      <c r="AE47" s="5" t="str">
        <f t="array" ref="AE47">IFERROR(IF('T1'!$J47="",INDEX(LISTA_EX,29),INDEX(LISTA_EX,MATCH('T1'!$J47&amp;"|"&amp;29,LISTA_KLUCZ,0))),"")</f>
        <v>Cable fly</v>
      </c>
      <c r="AF47" s="5" t="str">
        <f t="array" ref="AF47">IFERROR(IF('T1'!$J47="",INDEX(LISTA_EX,30),INDEX(LISTA_EX,MATCH('T1'!$J47&amp;"|"&amp;30,LISTA_KLUCZ,0))),"")</f>
        <v>Cable lateral raise s/a</v>
      </c>
      <c r="AG47" s="5" t="str">
        <f t="array" ref="AG47">IFERROR(IF('T1'!$J47="",INDEX(LISTA_EX,31),INDEX(LISTA_EX,MATCH('T1'!$J47&amp;"|"&amp;31,LISTA_KLUCZ,0))),"")</f>
        <v>Cable row</v>
      </c>
      <c r="AH47" s="5" t="str">
        <f t="array" ref="AH47">IFERROR(IF('T1'!$J47="",INDEX(LISTA_EX,32),INDEX(LISTA_EX,MATCH('T1'!$J47&amp;"|"&amp;32,LISTA_KLUCZ,0))),"")</f>
        <v>Cable row s/a</v>
      </c>
      <c r="AI47" s="5" t="str">
        <f t="array" ref="AI47">IFERROR(IF('T1'!$J47="",INDEX(LISTA_EX,33),INDEX(LISTA_EX,MATCH('T1'!$J47&amp;"|"&amp;33,LISTA_KLUCZ,0))),"")</f>
        <v>Calf raises</v>
      </c>
      <c r="AJ47" s="5" t="str">
        <f t="array" ref="AJ47">IFERROR(IF('T1'!$J47="",INDEX(LISTA_EX,34),INDEX(LISTA_EX,MATCH('T1'!$J47&amp;"|"&amp;34,LISTA_KLUCZ,0))),"")</f>
        <v>Chest fly machine</v>
      </c>
      <c r="AK47" s="5" t="str">
        <f t="array" ref="AK47">IFERROR(IF('T1'!$J47="",INDEX(LISTA_EX,35),INDEX(LISTA_EX,MATCH('T1'!$J47&amp;"|"&amp;35,LISTA_KLUCZ,0))),"")</f>
        <v>Clean</v>
      </c>
      <c r="AL47" s="5" t="str">
        <f t="array" ref="AL47">IFERROR(IF('T1'!$J47="",INDEX(LISTA_EX,36),INDEX(LISTA_EX,MATCH('T1'!$J47&amp;"|"&amp;36,LISTA_KLUCZ,0))),"")</f>
        <v>Clean pins</v>
      </c>
      <c r="AM47" s="5" t="str">
        <f t="array" ref="AM47">IFERROR(IF('T1'!$J47="",INDEX(LISTA_EX,37),INDEX(LISTA_EX,MATCH('T1'!$J47&amp;"|"&amp;37,LISTA_KLUCZ,0))),"")</f>
        <v>Copenhagen plank</v>
      </c>
      <c r="AN47" s="5" t="str">
        <f t="array" ref="AN47">IFERROR(IF('T1'!$J47="",INDEX(LISTA_EX,38),INDEX(LISTA_EX,MATCH('T1'!$J47&amp;"|"&amp;38,LISTA_KLUCZ,0))),"")</f>
        <v>Dead bug izo + OH</v>
      </c>
      <c r="AO47" s="5" t="str">
        <f t="array" ref="AO47">IFERROR(IF('T1'!$J47="",INDEX(LISTA_EX,39),INDEX(LISTA_EX,MATCH('T1'!$J47&amp;"|"&amp;39,LISTA_KLUCZ,0))),"")</f>
        <v>Dead bug straight legs</v>
      </c>
      <c r="AP47" s="5" t="str">
        <f t="array" ref="AP47">IFERROR(IF('T1'!$J47="",INDEX(LISTA_EX,40),INDEX(LISTA_EX,MATCH('T1'!$J47&amp;"|"&amp;40,LISTA_KLUCZ,0))),"")</f>
        <v>Dead stop barbell row</v>
      </c>
      <c r="AQ47" s="5" t="str">
        <f t="array" ref="AQ47">IFERROR(IF('T1'!$J47="",INDEX(LISTA_EX,41),INDEX(LISTA_EX,MATCH('T1'!$J47&amp;"|"&amp;41,LISTA_KLUCZ,0))),"")</f>
        <v>Deadbug OH</v>
      </c>
      <c r="AR47" s="5" t="str">
        <f t="array" ref="AR47">IFERROR(IF('T1'!$J47="",INDEX(LISTA_EX,42),INDEX(LISTA_EX,MATCH('T1'!$J47&amp;"|"&amp;42,LISTA_KLUCZ,0))),"")</f>
        <v>Deadlift</v>
      </c>
      <c r="AS47" s="5" t="str">
        <f t="array" ref="AS47">IFERROR(IF('T1'!$J47="",INDEX(LISTA_EX,43),INDEX(LISTA_EX,MATCH('T1'!$J47&amp;"|"&amp;43,LISTA_KLUCZ,0))),"")</f>
        <v>Deficit push up</v>
      </c>
      <c r="AT47" s="5" t="str">
        <f t="array" ref="AT47">IFERROR(IF('T1'!$J47="",INDEX(LISTA_EX,44),INDEX(LISTA_EX,MATCH('T1'!$J47&amp;"|"&amp;44,LISTA_KLUCZ,0))),"")</f>
        <v>Deficit reverse lunge</v>
      </c>
      <c r="AU47" s="5" t="str">
        <f t="array" ref="AU47">IFERROR(IF('T1'!$J47="",INDEX(LISTA_EX,45),INDEX(LISTA_EX,MATCH('T1'!$J47&amp;"|"&amp;45,LISTA_KLUCZ,0))),"")</f>
        <v>Dips</v>
      </c>
      <c r="AV47" s="5" t="str">
        <f t="array" ref="AV47">IFERROR(IF('T1'!$J47="",INDEX(LISTA_EX,46),INDEX(LISTA_EX,MATCH('T1'!$J47&amp;"|"&amp;46,LISTA_KLUCZ,0))),"")</f>
        <v>Dips weighted</v>
      </c>
      <c r="AW47" s="5" t="str">
        <f t="array" ref="AW47">IFERROR(IF('T1'!$J47="",INDEX(LISTA_EX,47),INDEX(LISTA_EX,MATCH('T1'!$J47&amp;"|"&amp;47,LISTA_KLUCZ,0))),"")</f>
        <v>Dumbbell bench press</v>
      </c>
      <c r="AX47" s="5" t="str">
        <f t="array" ref="AX47">IFERROR(IF('T1'!$J47="",INDEX(LISTA_EX,48),INDEX(LISTA_EX,MATCH('T1'!$J47&amp;"|"&amp;48,LISTA_KLUCZ,0))),"")</f>
        <v>Dumbbell bench press alternating</v>
      </c>
      <c r="AY47" s="5" t="str">
        <f t="array" ref="AY47">IFERROR(IF('T1'!$J47="",INDEX(LISTA_EX,49),INDEX(LISTA_EX,MATCH('T1'!$J47&amp;"|"&amp;49,LISTA_KLUCZ,0))),"")</f>
        <v>Dumbbell curl</v>
      </c>
      <c r="AZ47" s="5" t="str">
        <f t="array" ref="AZ47">IFERROR(IF('T1'!$J47="",INDEX(LISTA_EX,50),INDEX(LISTA_EX,MATCH('T1'!$J47&amp;"|"&amp;50,LISTA_KLUCZ,0))),"")</f>
        <v>Dumbbell external rotation</v>
      </c>
      <c r="BA47" s="5" t="str">
        <f t="array" ref="BA47">IFERROR(IF('T1'!$J47="",INDEX(LISTA_EX,51),INDEX(LISTA_EX,MATCH('T1'!$J47&amp;"|"&amp;51,LISTA_KLUCZ,0))),"")</f>
        <v>Dumbbell face down curl</v>
      </c>
      <c r="BB47" s="5" t="str">
        <f t="array" ref="BB47">IFERROR(IF('T1'!$J47="",INDEX(LISTA_EX,52),INDEX(LISTA_EX,MATCH('T1'!$J47&amp;"|"&amp;52,LISTA_KLUCZ,0))),"")</f>
        <v>Dumbbell fly</v>
      </c>
      <c r="BC47" s="5" t="str">
        <f t="array" ref="BC47">IFERROR(IF('T1'!$J47="",INDEX(LISTA_EX,53),INDEX(LISTA_EX,MATCH('T1'!$J47&amp;"|"&amp;53,LISTA_KLUCZ,0))),"")</f>
        <v>Dumbbell french press</v>
      </c>
      <c r="BD47" s="5" t="str">
        <f t="array" ref="BD47">IFERROR(IF('T1'!$J47="",INDEX(LISTA_EX,54),INDEX(LISTA_EX,MATCH('T1'!$J47&amp;"|"&amp;54,LISTA_KLUCZ,0))),"")</f>
        <v>Dumbbell lateral raise</v>
      </c>
      <c r="BE47" s="5" t="str">
        <f t="array" ref="BE47">IFERROR(IF('T1'!$J47="",INDEX(LISTA_EX,55),INDEX(LISTA_EX,MATCH('T1'!$J47&amp;"|"&amp;55,LISTA_KLUCZ,0))),"")</f>
        <v>Dumbbell lunges</v>
      </c>
      <c r="BF47" s="5" t="str">
        <f t="array" ref="BF47">IFERROR(IF('T1'!$J47="",INDEX(LISTA_EX,56),INDEX(LISTA_EX,MATCH('T1'!$J47&amp;"|"&amp;56,LISTA_KLUCZ,0))),"")</f>
        <v>Dumbbell OH press</v>
      </c>
      <c r="BG47" s="5" t="str">
        <f t="array" ref="BG47">IFERROR(IF('T1'!$J47="",INDEX(LISTA_EX,57),INDEX(LISTA_EX,MATCH('T1'!$J47&amp;"|"&amp;57,LISTA_KLUCZ,0))),"")</f>
        <v>Dumbbell over head press</v>
      </c>
      <c r="BH47" s="5" t="str">
        <f t="array" ref="BH47">IFERROR(IF('T1'!$J47="",INDEX(LISTA_EX,58),INDEX(LISTA_EX,MATCH('T1'!$J47&amp;"|"&amp;58,LISTA_KLUCZ,0))),"")</f>
        <v>Dumbbell over head press alternating</v>
      </c>
      <c r="BI47" s="5" t="str">
        <f t="array" ref="BI47">IFERROR(IF('T1'!$J47="",INDEX(LISTA_EX,59),INDEX(LISTA_EX,MATCH('T1'!$J47&amp;"|"&amp;59,LISTA_KLUCZ,0))),"")</f>
        <v>Dumbbell row</v>
      </c>
      <c r="BJ47" s="5" t="str">
        <f t="array" ref="BJ47">IFERROR(IF('T1'!$J47="",INDEX(LISTA_EX,60),INDEX(LISTA_EX,MATCH('T1'!$J47&amp;"|"&amp;60,LISTA_KLUCZ,0))),"")</f>
        <v>Dumbbell s/a Arnold press</v>
      </c>
      <c r="BK47" s="5" t="str">
        <f t="array" ref="BK47">IFERROR(IF('T1'!$J47="",INDEX(LISTA_EX,61),INDEX(LISTA_EX,MATCH('T1'!$J47&amp;"|"&amp;61,LISTA_KLUCZ,0))),"")</f>
        <v>Dumbbell s/a row</v>
      </c>
      <c r="BL47" s="5" t="str">
        <f t="array" ref="BL47">IFERROR(IF('T1'!$J47="",INDEX(LISTA_EX,62),INDEX(LISTA_EX,MATCH('T1'!$J47&amp;"|"&amp;62,LISTA_KLUCZ,0))),"")</f>
        <v>Dumbbell seal row</v>
      </c>
      <c r="BM47" s="5" t="str">
        <f t="array" ref="BM47">IFERROR(IF('T1'!$J47="",INDEX(LISTA_EX,63),INDEX(LISTA_EX,MATCH('T1'!$J47&amp;"|"&amp;63,LISTA_KLUCZ,0))),"")</f>
        <v>Dumbbells jumps</v>
      </c>
      <c r="BN47" s="5" t="str">
        <f t="array" ref="BN47">IFERROR(IF('T1'!$J47="",INDEX(LISTA_EX,64),INDEX(LISTA_EX,MATCH('T1'!$J47&amp;"|"&amp;64,LISTA_KLUCZ,0))),"")</f>
        <v>Eccentric pull up</v>
      </c>
      <c r="BO47" s="5" t="str">
        <f t="array" ref="BO47">IFERROR(IF('T1'!$J47="",INDEX(LISTA_EX,65),INDEX(LISTA_EX,MATCH('T1'!$J47&amp;"|"&amp;65,LISTA_KLUCZ,0))),"")</f>
        <v>Eccentric push up (5 sek w dół)</v>
      </c>
      <c r="BP47" s="5" t="str">
        <f t="array" ref="BP47">IFERROR(IF('T1'!$J47="",INDEX(LISTA_EX,66),INDEX(LISTA_EX,MATCH('T1'!$J47&amp;"|"&amp;66,LISTA_KLUCZ,0))),"")</f>
        <v>Extensive plyo jumps s/l</v>
      </c>
      <c r="BQ47" s="5" t="str">
        <f t="array" ref="BQ47">IFERROR(IF('T1'!$J47="",INDEX(LISTA_EX,67),INDEX(LISTA_EX,MATCH('T1'!$J47&amp;"|"&amp;67,LISTA_KLUCZ,0))),"")</f>
        <v>Ez bar curl</v>
      </c>
      <c r="BR47" s="5" t="str">
        <f t="array" ref="BR47">IFERROR(IF('T1'!$J47="",INDEX(LISTA_EX,68),INDEX(LISTA_EX,MATCH('T1'!$J47&amp;"|"&amp;68,LISTA_KLUCZ,0))),"")</f>
        <v>Facepull chest supported</v>
      </c>
      <c r="BS47" s="5" t="str">
        <f t="array" ref="BS47">IFERROR(IF('T1'!$J47="",INDEX(LISTA_EX,69),INDEX(LISTA_EX,MATCH('T1'!$J47&amp;"|"&amp;69,LISTA_KLUCZ,0))),"")</f>
        <v>Front foot elevated split squat</v>
      </c>
      <c r="BT47" s="5" t="str">
        <f t="array" ref="BT47">IFERROR(IF('T1'!$J47="",INDEX(LISTA_EX,70),INDEX(LISTA_EX,MATCH('T1'!$J47&amp;"|"&amp;70,LISTA_KLUCZ,0))),"")</f>
        <v>Front squat</v>
      </c>
      <c r="BU47" s="5" t="str">
        <f t="array" ref="BU47">IFERROR(IF('T1'!$J47="",INDEX(LISTA_EX,71),INDEX(LISTA_EX,MATCH('T1'!$J47&amp;"|"&amp;71,LISTA_KLUCZ,0))),"")</f>
        <v>GHD flexion</v>
      </c>
      <c r="BV47" s="5" t="str">
        <f t="array" ref="BV47">IFERROR(IF('T1'!$J47="",INDEX(LISTA_EX,72),INDEX(LISTA_EX,MATCH('T1'!$J47&amp;"|"&amp;72,LISTA_KLUCZ,0))),"")</f>
        <v>Glute bridge hamstrings izo + OH</v>
      </c>
      <c r="BW47" s="5" t="str">
        <f t="array" ref="BW47">IFERROR(IF('T1'!$J47="",INDEX(LISTA_EX,73),INDEX(LISTA_EX,MATCH('T1'!$J47&amp;"|"&amp;73,LISTA_KLUCZ,0))),"")</f>
        <v>Glute crusher</v>
      </c>
      <c r="BX47" s="5" t="str">
        <f t="array" ref="BX47">IFERROR(IF('T1'!$J47="",INDEX(LISTA_EX,74),INDEX(LISTA_EX,MATCH('T1'!$J47&amp;"|"&amp;74,LISTA_KLUCZ,0))),"")</f>
        <v>Gorilla row</v>
      </c>
      <c r="BY47" s="5" t="str">
        <f t="array" ref="BY47">IFERROR(IF('T1'!$J47="",INDEX(LISTA_EX,75),INDEX(LISTA_EX,MATCH('T1'!$J47&amp;"|"&amp;75,LISTA_KLUCZ,0))),"")</f>
        <v>Halfkneeling s/a cable pull</v>
      </c>
      <c r="BZ47" s="5" t="str">
        <f t="array" ref="BZ47">IFERROR(IF('T1'!$J47="",INDEX(LISTA_EX,76),INDEX(LISTA_EX,MATCH('T1'!$J47&amp;"|"&amp;76,LISTA_KLUCZ,0))),"")</f>
        <v>Halfkneeling wood chopper</v>
      </c>
      <c r="CA47" s="5" t="str">
        <f t="array" ref="CA47">IFERROR(IF('T1'!$J47="",INDEX(LISTA_EX,77),INDEX(LISTA_EX,MATCH('T1'!$J47&amp;"|"&amp;77,LISTA_KLUCZ,0))),"")</f>
        <v>Hinged dumbbell row</v>
      </c>
      <c r="CB47" s="5" t="str">
        <f t="array" ref="CB47">IFERROR(IF('T1'!$J47="",INDEX(LISTA_EX,78),INDEX(LISTA_EX,MATCH('T1'!$J47&amp;"|"&amp;78,LISTA_KLUCZ,0))),"")</f>
        <v>Hip aeroplane</v>
      </c>
      <c r="CC47" s="5" t="str">
        <f t="array" ref="CC47">IFERROR(IF('T1'!$J47="",INDEX(LISTA_EX,79),INDEX(LISTA_EX,MATCH('T1'!$J47&amp;"|"&amp;79,LISTA_KLUCZ,0))),"")</f>
        <v>Hip flexors cable</v>
      </c>
      <c r="CD47" s="5" t="str">
        <f t="array" ref="CD47">IFERROR(IF('T1'!$J47="",INDEX(LISTA_EX,80),INDEX(LISTA_EX,MATCH('T1'!$J47&amp;"|"&amp;80,LISTA_KLUCZ,0))),"")</f>
        <v>Hip thrust barbell</v>
      </c>
      <c r="CE47" s="5" t="str">
        <f t="array" ref="CE47">IFERROR(IF('T1'!$J47="",INDEX(LISTA_EX,81),INDEX(LISTA_EX,MATCH('T1'!$J47&amp;"|"&amp;81,LISTA_KLUCZ,0))),"")</f>
        <v>Hollow body + OH</v>
      </c>
      <c r="CF47" s="5" t="str">
        <f t="array" ref="CF47">IFERROR(IF('T1'!$J47="",INDEX(LISTA_EX,82),INDEX(LISTA_EX,MATCH('T1'!$J47&amp;"|"&amp;82,LISTA_KLUCZ,0))),"")</f>
        <v>Horizontal jump</v>
      </c>
      <c r="CG47" s="5" t="str">
        <f t="array" ref="CG47">IFERROR(IF('T1'!$J47="",INDEX(LISTA_EX,83),INDEX(LISTA_EX,MATCH('T1'!$J47&amp;"|"&amp;83,LISTA_KLUCZ,0))),"")</f>
        <v>Incline bench lateral raise s/a</v>
      </c>
      <c r="CH47" s="5" t="str">
        <f t="array" ref="CH47">IFERROR(IF('T1'!$J47="",INDEX(LISTA_EX,84),INDEX(LISTA_EX,MATCH('T1'!$J47&amp;"|"&amp;84,LISTA_KLUCZ,0))),"")</f>
        <v>Incline curl + OHP</v>
      </c>
      <c r="CI47" s="5" t="str">
        <f t="array" ref="CI47">IFERROR(IF('T1'!$J47="",INDEX(LISTA_EX,85),INDEX(LISTA_EX,MATCH('T1'!$J47&amp;"|"&amp;85,LISTA_KLUCZ,0))),"")</f>
        <v>Incline dumbbell curl</v>
      </c>
      <c r="CJ47" s="5" t="str">
        <f t="array" ref="CJ47">IFERROR(IF('T1'!$J47="",INDEX(LISTA_EX,86),INDEX(LISTA_EX,MATCH('T1'!$J47&amp;"|"&amp;86,LISTA_KLUCZ,0))),"")</f>
        <v>Incline dumbbell curl (back)</v>
      </c>
      <c r="CK47" s="5" t="str">
        <f t="array" ref="CK47">IFERROR(IF('T1'!$J47="",INDEX(LISTA_EX,87),INDEX(LISTA_EX,MATCH('T1'!$J47&amp;"|"&amp;87,LISTA_KLUCZ,0))),"")</f>
        <v>Incline dumbbell curl (front)</v>
      </c>
      <c r="CL47" s="5" t="str">
        <f t="array" ref="CL47">IFERROR(IF('T1'!$J47="",INDEX(LISTA_EX,88),INDEX(LISTA_EX,MATCH('T1'!$J47&amp;"|"&amp;88,LISTA_KLUCZ,0))),"")</f>
        <v>Incline dumbbell fly</v>
      </c>
      <c r="CM47" s="5" t="str">
        <f t="array" ref="CM47">IFERROR(IF('T1'!$J47="",INDEX(LISTA_EX,89),INDEX(LISTA_EX,MATCH('T1'!$J47&amp;"|"&amp;89,LISTA_KLUCZ,0))),"")</f>
        <v>Incline dumbbell press</v>
      </c>
      <c r="CN47" s="5" t="str">
        <f t="array" ref="CN47">IFERROR(IF('T1'!$J47="",INDEX(LISTA_EX,90),INDEX(LISTA_EX,MATCH('T1'!$J47&amp;"|"&amp;90,LISTA_KLUCZ,0))),"")</f>
        <v>Incline dumbbell press alternating</v>
      </c>
      <c r="CO47" s="5" t="str">
        <f t="array" ref="CO47">IFERROR(IF('T1'!$J47="",INDEX(LISTA_EX,91),INDEX(LISTA_EX,MATCH('T1'!$J47&amp;"|"&amp;91,LISTA_KLUCZ,0))),"")</f>
        <v>Incline sit-ups</v>
      </c>
      <c r="CP47" s="5" t="str">
        <f t="array" ref="CP47">IFERROR(IF('T1'!$J47="",INDEX(LISTA_EX,92),INDEX(LISTA_EX,MATCH('T1'!$J47&amp;"|"&amp;92,LISTA_KLUCZ,0))),"")</f>
        <v>Jefferson cable</v>
      </c>
      <c r="CQ47" s="5" t="str">
        <f t="array" ref="CQ47">IFERROR(IF('T1'!$J47="",INDEX(LISTA_EX,93),INDEX(LISTA_EX,MATCH('T1'!$J47&amp;"|"&amp;93,LISTA_KLUCZ,0))),"")</f>
        <v>Kettlebell march</v>
      </c>
      <c r="CR47" s="5" t="str">
        <f t="array" ref="CR47">IFERROR(IF('T1'!$J47="",INDEX(LISTA_EX,94),INDEX(LISTA_EX,MATCH('T1'!$J47&amp;"|"&amp;94,LISTA_KLUCZ,0))),"")</f>
        <v>Kickbacks</v>
      </c>
      <c r="CS47" s="5" t="str">
        <f t="array" ref="CS47">IFERROR(IF('T1'!$J47="",INDEX(LISTA_EX,95),INDEX(LISTA_EX,MATCH('T1'!$J47&amp;"|"&amp;95,LISTA_KLUCZ,0))),"")</f>
        <v>Knee extension machine</v>
      </c>
      <c r="CT47" s="5" t="str">
        <f t="array" ref="CT47">IFERROR(IF('T1'!$J47="",INDEX(LISTA_EX,96),INDEX(LISTA_EX,MATCH('T1'!$J47&amp;"|"&amp;96,LISTA_KLUCZ,0))),"")</f>
        <v>Knee flexion machine</v>
      </c>
      <c r="CU47" s="5" t="str">
        <f t="array" ref="CU47">IFERROR(IF('T1'!$J47="",INDEX(LISTA_EX,97),INDEX(LISTA_EX,MATCH('T1'!$J47&amp;"|"&amp;97,LISTA_KLUCZ,0))),"")</f>
        <v>Knee raises</v>
      </c>
      <c r="CV47" s="5" t="str">
        <f t="array" ref="CV47">IFERROR(IF('T1'!$J47="",INDEX(LISTA_EX,98),INDEX(LISTA_EX,MATCH('T1'!$J47&amp;"|"&amp;98,LISTA_KLUCZ,0))),"")</f>
        <v>Landmine core</v>
      </c>
      <c r="CW47" s="5" t="str">
        <f t="array" ref="CW47">IFERROR(IF('T1'!$J47="",INDEX(LISTA_EX,99),INDEX(LISTA_EX,MATCH('T1'!$J47&amp;"|"&amp;99,LISTA_KLUCZ,0))),"")</f>
        <v>Landmine press</v>
      </c>
      <c r="CX47" s="5" t="str">
        <f t="array" ref="CX47">IFERROR(IF('T1'!$J47="",INDEX(LISTA_EX,100),INDEX(LISTA_EX,MATCH('T1'!$J47&amp;"|"&amp;100,LISTA_KLUCZ,0))),"")</f>
        <v>Landmine rotations (powtórzenia x2)</v>
      </c>
      <c r="CY47" s="5" t="str">
        <f t="array" ref="CY47">IFERROR(IF('T1'!$J47="",INDEX(LISTA_EX,101),INDEX(LISTA_EX,MATCH('T1'!$J47&amp;"|"&amp;101,LISTA_KLUCZ,0))),"")</f>
        <v>Landmine SLDL</v>
      </c>
      <c r="CZ47" s="5" t="str">
        <f t="array" ref="CZ47">IFERROR(IF('T1'!$J47="",INDEX(LISTA_EX,102),INDEX(LISTA_EX,MATCH('T1'!$J47&amp;"|"&amp;102,LISTA_KLUCZ,0))),"")</f>
        <v>Lat pulldown</v>
      </c>
      <c r="DA47" s="5" t="str">
        <f t="array" ref="DA47">IFERROR(IF('T1'!$J47="",INDEX(LISTA_EX,103),INDEX(LISTA_EX,MATCH('T1'!$J47&amp;"|"&amp;103,LISTA_KLUCZ,0))),"")</f>
        <v>Lat pulldown behind the head</v>
      </c>
      <c r="DB47" s="5" t="str">
        <f t="array" ref="DB47">IFERROR(IF('T1'!$J47="",INDEX(LISTA_EX,104),INDEX(LISTA_EX,MATCH('T1'!$J47&amp;"|"&amp;104,LISTA_KLUCZ,0))),"")</f>
        <v>Lat pulldown s/a</v>
      </c>
      <c r="DC47" s="5" t="str">
        <f t="array" ref="DC47">IFERROR(IF('T1'!$J47="",INDEX(LISTA_EX,105),INDEX(LISTA_EX,MATCH('T1'!$J47&amp;"|"&amp;105,LISTA_KLUCZ,0))),"")</f>
        <v>Lateral raise s/a</v>
      </c>
      <c r="DD47" s="5" t="str">
        <f t="array" ref="DD47">IFERROR(IF('T1'!$J47="",INDEX(LISTA_EX,106),INDEX(LISTA_EX,MATCH('T1'!$J47&amp;"|"&amp;106,LISTA_KLUCZ,0))),"")</f>
        <v>Lateral raises</v>
      </c>
      <c r="DE47" s="5" t="str">
        <f t="array" ref="DE47">IFERROR(IF('T1'!$J47="",INDEX(LISTA_EX,107),INDEX(LISTA_EX,MATCH('T1'!$J47&amp;"|"&amp;107,LISTA_KLUCZ,0))),"")</f>
        <v>Lateral raises 2</v>
      </c>
      <c r="DF47" s="5" t="str">
        <f t="array" ref="DF47">IFERROR(IF('T1'!$J47="",INDEX(LISTA_EX,108),INDEX(LISTA_EX,MATCH('T1'!$J47&amp;"|"&amp;108,LISTA_KLUCZ,0))),"")</f>
        <v>Lateral raises full ROM</v>
      </c>
      <c r="DG47" s="5" t="str">
        <f t="array" ref="DG47">IFERROR(IF('T1'!$J47="",INDEX(LISTA_EX,109),INDEX(LISTA_EX,MATCH('T1'!$J47&amp;"|"&amp;109,LISTA_KLUCZ,0))),"")</f>
        <v>Lateral raises hinged</v>
      </c>
      <c r="DH47" s="5" t="str">
        <f t="array" ref="DH47">IFERROR(IF('T1'!$J47="",INDEX(LISTA_EX,110),INDEX(LISTA_EX,MATCH('T1'!$J47&amp;"|"&amp;110,LISTA_KLUCZ,0))),"")</f>
        <v>Lateral raises incline s/a</v>
      </c>
      <c r="DI47" s="5" t="str">
        <f t="array" ref="DI47">IFERROR(IF('T1'!$J47="",INDEX(LISTA_EX,111),INDEX(LISTA_EX,MATCH('T1'!$J47&amp;"|"&amp;111,LISTA_KLUCZ,0))),"")</f>
        <v>Leg curl</v>
      </c>
      <c r="DJ47" s="5" t="str">
        <f t="array" ref="DJ47">IFERROR(IF('T1'!$J47="",INDEX(LISTA_EX,112),INDEX(LISTA_EX,MATCH('T1'!$J47&amp;"|"&amp;112,LISTA_KLUCZ,0))),"")</f>
        <v>Machine row</v>
      </c>
      <c r="DK47" s="5" t="str">
        <f t="array" ref="DK47">IFERROR(IF('T1'!$J47="",INDEX(LISTA_EX,113),INDEX(LISTA_EX,MATCH('T1'!$J47&amp;"|"&amp;113,LISTA_KLUCZ,0))),"")</f>
        <v>Machine row s/a</v>
      </c>
      <c r="DL47" s="5" t="str">
        <f t="array" ref="DL47">IFERROR(IF('T1'!$J47="",INDEX(LISTA_EX,114),INDEX(LISTA_EX,MATCH('T1'!$J47&amp;"|"&amp;114,LISTA_KLUCZ,0))),"")</f>
        <v>Meadows row</v>
      </c>
      <c r="DM47" s="5" t="str">
        <f t="array" ref="DM47">IFERROR(IF('T1'!$J47="",INDEX(LISTA_EX,115),INDEX(LISTA_EX,MATCH('T1'!$J47&amp;"|"&amp;115,LISTA_KLUCZ,0))),"")</f>
        <v>Med ball slam</v>
      </c>
      <c r="DN47" s="5" t="str">
        <f t="array" ref="DN47">IFERROR(IF('T1'!$J47="",INDEX(LISTA_EX,116),INDEX(LISTA_EX,MATCH('T1'!$J47&amp;"|"&amp;116,LISTA_KLUCZ,0))),"")</f>
        <v>OH skullcrushers</v>
      </c>
      <c r="DO47" s="5" t="str">
        <f t="array" ref="DO47">IFERROR(IF('T1'!$J47="",INDEX(LISTA_EX,117),INDEX(LISTA_EX,MATCH('T1'!$J47&amp;"|"&amp;117,LISTA_KLUCZ,0))),"")</f>
        <v>OHP barbell squat 15kg</v>
      </c>
      <c r="DP47" s="5" t="str">
        <f t="array" ref="DP47">IFERROR(IF('T1'!$J47="",INDEX(LISTA_EX,118),INDEX(LISTA_EX,MATCH('T1'!$J47&amp;"|"&amp;118,LISTA_KLUCZ,0))),"")</f>
        <v>Pistol squat eccentric</v>
      </c>
      <c r="DQ47" s="5" t="str">
        <f t="array" ref="DQ47">IFERROR(IF('T1'!$J47="",INDEX(LISTA_EX,119),INDEX(LISTA_EX,MATCH('T1'!$J47&amp;"|"&amp;119,LISTA_KLUCZ,0))),"")</f>
        <v>Plank contralateral</v>
      </c>
      <c r="DR47" s="5" t="str">
        <f t="array" ref="DR47">IFERROR(IF('T1'!$J47="",INDEX(LISTA_EX,120),INDEX(LISTA_EX,MATCH('T1'!$J47&amp;"|"&amp;120,LISTA_KLUCZ,0))),"")</f>
        <v>Plank dumbbell rotation</v>
      </c>
      <c r="DS47" s="5" t="str">
        <f t="array" ref="DS47">IFERROR(IF('T1'!$J47="",INDEX(LISTA_EX,121),INDEX(LISTA_EX,MATCH('T1'!$J47&amp;"|"&amp;121,LISTA_KLUCZ,0))),"")</f>
        <v>Plank leg raises</v>
      </c>
      <c r="DT47" s="5" t="str">
        <f t="array" ref="DT47">IFERROR(IF('T1'!$J47="",INDEX(LISTA_EX,122),INDEX(LISTA_EX,MATCH('T1'!$J47&amp;"|"&amp;122,LISTA_KLUCZ,0))),"")</f>
        <v>Poliquin step up</v>
      </c>
      <c r="DU47" s="5" t="str">
        <f t="array" ref="DU47">IFERROR(IF('T1'!$J47="",INDEX(LISTA_EX,123),INDEX(LISTA_EX,MATCH('T1'!$J47&amp;"|"&amp;123,LISTA_KLUCZ,0))),"")</f>
        <v>Poliquin step up paused 3sec</v>
      </c>
      <c r="DV47" s="5" t="str">
        <f t="array" ref="DV47">IFERROR(IF('T1'!$J47="",INDEX(LISTA_EX,124),INDEX(LISTA_EX,MATCH('T1'!$J47&amp;"|"&amp;124,LISTA_KLUCZ,0))),"")</f>
        <v>Pronation/Supination</v>
      </c>
      <c r="DW47" s="5" t="str">
        <f t="array" ref="DW47">IFERROR(IF('T1'!$J47="",INDEX(LISTA_EX,125),INDEX(LISTA_EX,MATCH('T1'!$J47&amp;"|"&amp;125,LISTA_KLUCZ,0))),"")</f>
        <v>Pull up</v>
      </c>
      <c r="DX47" s="5" t="str">
        <f t="array" ref="DX47">IFERROR(IF('T1'!$J47="",INDEX(LISTA_EX,126),INDEX(LISTA_EX,MATCH('T1'!$J47&amp;"|"&amp;126,LISTA_KLUCZ,0))),"")</f>
        <v>Pull up eccentric weighted</v>
      </c>
      <c r="DY47" s="5" t="str">
        <f t="array" ref="DY47">IFERROR(IF('T1'!$J47="",INDEX(LISTA_EX,127),INDEX(LISTA_EX,MATCH('T1'!$J47&amp;"|"&amp;127,LISTA_KLUCZ,0))),"")</f>
        <v>Pull up eccentric weighted (5 sek w dół)</v>
      </c>
      <c r="DZ47" s="5" t="str">
        <f t="array" ref="DZ47">IFERROR(IF('T1'!$J47="",INDEX(LISTA_EX,128),INDEX(LISTA_EX,MATCH('T1'!$J47&amp;"|"&amp;128,LISTA_KLUCZ,0))),"")</f>
        <v>Pull up weighted</v>
      </c>
      <c r="EA47" s="5" t="str">
        <f t="array" ref="EA47">IFERROR(IF('T1'!$J47="",INDEX(LISTA_EX,129),INDEX(LISTA_EX,MATCH('T1'!$J47&amp;"|"&amp;129,LISTA_KLUCZ,0))),"")</f>
        <v>Pull ups (paused)</v>
      </c>
      <c r="EB47" s="5" t="str">
        <f t="array" ref="EB47">IFERROR(IF('T1'!$J47="",INDEX(LISTA_EX,130),INDEX(LISTA_EX,MATCH('T1'!$J47&amp;"|"&amp;130,LISTA_KLUCZ,0))),"")</f>
        <v>Push press barbell</v>
      </c>
      <c r="EC47" s="5" t="str">
        <f t="array" ref="EC47">IFERROR(IF('T1'!$J47="",INDEX(LISTA_EX,131),INDEX(LISTA_EX,MATCH('T1'!$J47&amp;"|"&amp;131,LISTA_KLUCZ,0))),"")</f>
        <v>Push up</v>
      </c>
      <c r="ED47" s="5" t="str">
        <f t="array" ref="ED47">IFERROR(IF('T1'!$J47="",INDEX(LISTA_EX,132),INDEX(LISTA_EX,MATCH('T1'!$J47&amp;"|"&amp;132,LISTA_KLUCZ,0))),"")</f>
        <v>Raised bird dog</v>
      </c>
      <c r="EE47" s="5" t="str">
        <f t="array" ref="EE47">IFERROR(IF('T1'!$J47="",INDEX(LISTA_EX,133),INDEX(LISTA_EX,MATCH('T1'!$J47&amp;"|"&amp;133,LISTA_KLUCZ,0))),"")</f>
        <v>RDL</v>
      </c>
      <c r="EF47" s="5" t="str">
        <f t="array" ref="EF47">IFERROR(IF('T1'!$J47="",INDEX(LISTA_EX,134),INDEX(LISTA_EX,MATCH('T1'!$J47&amp;"|"&amp;134,LISTA_KLUCZ,0))),"")</f>
        <v>Reverse Nordic</v>
      </c>
      <c r="EG47" s="5" t="str">
        <f t="array" ref="EG47">IFERROR(IF('T1'!$J47="",INDEX(LISTA_EX,135),INDEX(LISTA_EX,MATCH('T1'!$J47&amp;"|"&amp;135,LISTA_KLUCZ,0))),"")</f>
        <v>Rope pushdown</v>
      </c>
      <c r="EH47" s="5" t="str">
        <f t="array" ref="EH47">IFERROR(IF('T1'!$J47="",INDEX(LISTA_EX,136),INDEX(LISTA_EX,MATCH('T1'!$J47&amp;"|"&amp;136,LISTA_KLUCZ,0))),"")</f>
        <v>Rope pushdown OH</v>
      </c>
      <c r="EI47" s="5" t="str">
        <f t="array" ref="EI47">IFERROR(IF('T1'!$J47="",INDEX(LISTA_EX,137),INDEX(LISTA_EX,MATCH('T1'!$J47&amp;"|"&amp;137,LISTA_KLUCZ,0))),"")</f>
        <v>S/a cable pulldown incline bench</v>
      </c>
      <c r="EJ47" s="5" t="str">
        <f t="array" ref="EJ47">IFERROR(IF('T1'!$J47="",INDEX(LISTA_EX,138),INDEX(LISTA_EX,MATCH('T1'!$J47&amp;"|"&amp;138,LISTA_KLUCZ,0))),"")</f>
        <v>S/a lat pulldown incline bench</v>
      </c>
      <c r="EK47" s="5" t="str">
        <f t="array" ref="EK47">IFERROR(IF('T1'!$J47="",INDEX(LISTA_EX,139),INDEX(LISTA_EX,MATCH('T1'!$J47&amp;"|"&amp;139,LISTA_KLUCZ,0))),"")</f>
        <v>S/l dragonflag eccentric</v>
      </c>
      <c r="EL47" s="5" t="str">
        <f t="array" ref="EL47">IFERROR(IF('T1'!$J47="",INDEX(LISTA_EX,140),INDEX(LISTA_EX,MATCH('T1'!$J47&amp;"|"&amp;140,LISTA_KLUCZ,0))),"")</f>
        <v>S/l hip thrust</v>
      </c>
      <c r="EM47" s="5" t="str">
        <f t="array" ref="EM47">IFERROR(IF('T1'!$J47="",INDEX(LISTA_EX,141),INDEX(LISTA_EX,MATCH('T1'!$J47&amp;"|"&amp;141,LISTA_KLUCZ,0))),"")</f>
        <v>Seated broad jump</v>
      </c>
      <c r="EN47" s="5" t="str">
        <f t="array" ref="EN47">IFERROR(IF('T1'!$J47="",INDEX(LISTA_EX,142),INDEX(LISTA_EX,MATCH('T1'!$J47&amp;"|"&amp;142,LISTA_KLUCZ,0))),"")</f>
        <v>Seated cable facepull</v>
      </c>
      <c r="EO47" s="5" t="str">
        <f t="array" ref="EO47">IFERROR(IF('T1'!$J47="",INDEX(LISTA_EX,143),INDEX(LISTA_EX,MATCH('T1'!$J47&amp;"|"&amp;143,LISTA_KLUCZ,0))),"")</f>
        <v>Seated seesaw press (nogi proste)</v>
      </c>
      <c r="EP47" s="5" t="str">
        <f t="array" ref="EP47">IFERROR(IF('T1'!$J47="",INDEX(LISTA_EX,144),INDEX(LISTA_EX,MATCH('T1'!$J47&amp;"|"&amp;144,LISTA_KLUCZ,0))),"")</f>
        <v>Seesaw press</v>
      </c>
      <c r="EQ47" s="5" t="str">
        <f t="array" ref="EQ47">IFERROR(IF('T1'!$J47="",INDEX(LISTA_EX,145),INDEX(LISTA_EX,MATCH('T1'!$J47&amp;"|"&amp;145,LISTA_KLUCZ,0))),"")</f>
        <v>Side crunches</v>
      </c>
      <c r="ER47" s="5" t="str">
        <f t="array" ref="ER47">IFERROR(IF('T1'!$J47="",INDEX(LISTA_EX,146),INDEX(LISTA_EX,MATCH('T1'!$J47&amp;"|"&amp;146,LISTA_KLUCZ,0))),"")</f>
        <v>Side plank hip drop</v>
      </c>
      <c r="ES47" s="5" t="str">
        <f t="array" ref="ES47">IFERROR(IF('T1'!$J47="",INDEX(LISTA_EX,147),INDEX(LISTA_EX,MATCH('T1'!$J47&amp;"|"&amp;147,LISTA_KLUCZ,0))),"")</f>
        <v>Side plank rotations</v>
      </c>
      <c r="ET47" s="5" t="str">
        <f t="array" ref="ET47">IFERROR(IF('T1'!$J47="",INDEX(LISTA_EX,148),INDEX(LISTA_EX,MATCH('T1'!$J47&amp;"|"&amp;148,LISTA_KLUCZ,0))),"")</f>
        <v>SLDL balance</v>
      </c>
      <c r="EU47" s="5" t="str">
        <f t="array" ref="EU47">IFERROR(IF('T1'!$J47="",INDEX(LISTA_EX,149),INDEX(LISTA_EX,MATCH('T1'!$J47&amp;"|"&amp;149,LISTA_KLUCZ,0))),"")</f>
        <v>Split squat</v>
      </c>
      <c r="EV47" s="5" t="str">
        <f t="array" ref="EV47">IFERROR(IF('T1'!$J47="",INDEX(LISTA_EX,150),INDEX(LISTA_EX,MATCH('T1'!$J47&amp;"|"&amp;150,LISTA_KLUCZ,0))),"")</f>
        <v>Split stance SLDL</v>
      </c>
      <c r="EW47" s="5" t="str">
        <f t="array" ref="EW47">IFERROR(IF('T1'!$J47="",INDEX(LISTA_EX,151),INDEX(LISTA_EX,MATCH('T1'!$J47&amp;"|"&amp;151,LISTA_KLUCZ,0))),"")</f>
        <v>Squat izo (15 sek)</v>
      </c>
      <c r="EX47" s="5" t="str">
        <f t="array" ref="EX47">IFERROR(IF('T1'!$J47="",INDEX(LISTA_EX,152),INDEX(LISTA_EX,MATCH('T1'!$J47&amp;"|"&amp;152,LISTA_KLUCZ,0))),"")</f>
        <v>Standing landmine press</v>
      </c>
      <c r="EY47" s="5" t="str">
        <f t="array" ref="EY47">IFERROR(IF('T1'!$J47="",INDEX(LISTA_EX,153),INDEX(LISTA_EX,MATCH('T1'!$J47&amp;"|"&amp;153,LISTA_KLUCZ,0))),"")</f>
        <v>Suitcase carry</v>
      </c>
      <c r="EZ47" s="5" t="str">
        <f t="array" ref="EZ47">IFERROR(IF('T1'!$J47="",INDEX(LISTA_EX,154),INDEX(LISTA_EX,MATCH('T1'!$J47&amp;"|"&amp;154,LISTA_KLUCZ,0))),"")</f>
        <v>Supine pigeon abs</v>
      </c>
      <c r="FA47" s="5" t="str">
        <f t="array" ref="FA47">IFERROR(IF('T1'!$J47="",INDEX(LISTA_EX,155),INDEX(LISTA_EX,MATCH('T1'!$J47&amp;"|"&amp;155,LISTA_KLUCZ,0))),"")</f>
        <v>Swiss ball leg curl</v>
      </c>
      <c r="FB47" s="5" t="str">
        <f t="array" ref="FB47">IFERROR(IF('T1'!$J47="",INDEX(LISTA_EX,156),INDEX(LISTA_EX,MATCH('T1'!$J47&amp;"|"&amp;156,LISTA_KLUCZ,0))),"")</f>
        <v>Toes to bar</v>
      </c>
      <c r="FC47" s="5" t="str">
        <f t="array" ref="FC47">IFERROR(IF('T1'!$J47="",INDEX(LISTA_EX,157),INDEX(LISTA_EX,MATCH('T1'!$J47&amp;"|"&amp;157,LISTA_KLUCZ,0))),"")</f>
        <v>Trap bar deadlift</v>
      </c>
      <c r="FD47" s="5" t="str">
        <f t="array" ref="FD47">IFERROR(IF('T1'!$J47="",INDEX(LISTA_EX,158),INDEX(LISTA_EX,MATCH('T1'!$J47&amp;"|"&amp;158,LISTA_KLUCZ,0))),"")</f>
        <v>Tricep cable pushdown</v>
      </c>
      <c r="FE47" s="5" t="str">
        <f t="array" ref="FE47">IFERROR(IF('T1'!$J47="",INDEX(LISTA_EX,159),INDEX(LISTA_EX,MATCH('T1'!$J47&amp;"|"&amp;159,LISTA_KLUCZ,0))),"")</f>
        <v>Tricep JM press</v>
      </c>
      <c r="FF47" s="5" t="str">
        <f t="array" ref="FF47">IFERROR(IF('T1'!$J47="",INDEX(LISTA_EX,160),INDEX(LISTA_EX,MATCH('T1'!$J47&amp;"|"&amp;160,LISTA_KLUCZ,0))),"")</f>
        <v>Tricep OH cable</v>
      </c>
      <c r="FG47" s="5" t="str">
        <f t="array" ref="FG47">IFERROR(IF('T1'!$J47="",INDEX(LISTA_EX,161),INDEX(LISTA_EX,MATCH('T1'!$J47&amp;"|"&amp;161,LISTA_KLUCZ,0))),"")</f>
        <v>Tricep OH ez bar</v>
      </c>
      <c r="FH47" s="5" t="str">
        <f t="array" ref="FH47">IFERROR(IF('T1'!$J47="",INDEX(LISTA_EX,162),INDEX(LISTA_EX,MATCH('T1'!$J47&amp;"|"&amp;162,LISTA_KLUCZ,0))),"")</f>
        <v>Walking lunges</v>
      </c>
      <c r="FI47" s="5" t="str">
        <f t="array" ref="FI47">IFERROR(IF('T1'!$J47="",INDEX(LISTA_EX,163),INDEX(LISTA_EX,MATCH('T1'!$J47&amp;"|"&amp;163,LISTA_KLUCZ,0))),"")</f>
        <v>Wipers kettle</v>
      </c>
      <c r="FJ47" s="5" t="str">
        <f t="array" ref="FJ47">IFERROR(IF('T1'!$J47="",INDEX(LISTA_EX,164),INDEX(LISTA_EX,MATCH('T1'!$J47&amp;"|"&amp;164,LISTA_KLUCZ,0))),"")</f>
        <v>Zercher jumps</v>
      </c>
      <c r="FK47" s="5" t="str">
        <f t="array" ref="FK47">IFERROR(IF('T1'!$J47="",INDEX(LISTA_EX,165),INDEX(LISTA_EX,MATCH('T1'!$J47&amp;"|"&amp;165,LISTA_KLUCZ,0))),"")</f>
        <v/>
      </c>
      <c r="FL47" s="5" t="str">
        <f t="array" ref="FL47">IFERROR(IF('T1'!$J47="",INDEX(LISTA_EX,166),INDEX(LISTA_EX,MATCH('T1'!$J47&amp;"|"&amp;166,LISTA_KLUCZ,0))),"")</f>
        <v/>
      </c>
      <c r="FM47" s="5" t="str">
        <f t="array" ref="FM47">IFERROR(IF('T1'!$J47="",INDEX(LISTA_EX,167),INDEX(LISTA_EX,MATCH('T1'!$J47&amp;"|"&amp;167,LISTA_KLUCZ,0))),"")</f>
        <v/>
      </c>
      <c r="FN47" s="5" t="str">
        <f t="array" ref="FN47">IFERROR(IF('T1'!$J47="",INDEX(LISTA_EX,168),INDEX(LISTA_EX,MATCH('T1'!$J47&amp;"|"&amp;168,LISTA_KLUCZ,0))),"")</f>
        <v/>
      </c>
      <c r="FO47" s="5" t="str">
        <f t="array" ref="FO47">IFERROR(IF('T1'!$J47="",INDEX(LISTA_EX,169),INDEX(LISTA_EX,MATCH('T1'!$J47&amp;"|"&amp;169,LISTA_KLUCZ,0))),"")</f>
        <v/>
      </c>
      <c r="FP47" s="5" t="str">
        <f t="array" ref="FP47">IFERROR(IF('T1'!$J47="",INDEX(LISTA_EX,170),INDEX(LISTA_EX,MATCH('T1'!$J47&amp;"|"&amp;170,LISTA_KLUCZ,0))),"")</f>
        <v/>
      </c>
      <c r="FQ47" s="5" t="str">
        <f t="array" ref="FQ47">IFERROR(IF('T1'!$J47="",INDEX(LISTA_EX,171),INDEX(LISTA_EX,MATCH('T1'!$J47&amp;"|"&amp;171,LISTA_KLUCZ,0))),"")</f>
        <v/>
      </c>
      <c r="FR47" s="5" t="str">
        <f t="array" ref="FR47">IFERROR(IF('T1'!$J47="",INDEX(LISTA_EX,172),INDEX(LISTA_EX,MATCH('T1'!$J47&amp;"|"&amp;172,LISTA_KLUCZ,0))),"")</f>
        <v/>
      </c>
      <c r="FS47" s="5" t="str">
        <f t="array" ref="FS47">IFERROR(IF('T1'!$J47="",INDEX(LISTA_EX,173),INDEX(LISTA_EX,MATCH('T1'!$J47&amp;"|"&amp;173,LISTA_KLUCZ,0))),"")</f>
        <v/>
      </c>
      <c r="FT47" s="5" t="str">
        <f t="array" ref="FT47">IFERROR(IF('T1'!$J47="",INDEX(LISTA_EX,174),INDEX(LISTA_EX,MATCH('T1'!$J47&amp;"|"&amp;174,LISTA_KLUCZ,0))),"")</f>
        <v/>
      </c>
      <c r="FU47" s="5" t="str">
        <f t="array" ref="FU47">IFERROR(IF('T1'!$J47="",INDEX(LISTA_EX,175),INDEX(LISTA_EX,MATCH('T1'!$J47&amp;"|"&amp;175,LISTA_KLUCZ,0))),"")</f>
        <v/>
      </c>
      <c r="FV47" s="5" t="str">
        <f t="array" ref="FV47">IFERROR(IF('T1'!$J47="",INDEX(LISTA_EX,176),INDEX(LISTA_EX,MATCH('T1'!$J47&amp;"|"&amp;176,LISTA_KLUCZ,0))),"")</f>
        <v/>
      </c>
      <c r="FW47" s="5" t="str">
        <f t="array" ref="FW47">IFERROR(IF('T1'!$J47="",INDEX(LISTA_EX,177),INDEX(LISTA_EX,MATCH('T1'!$J47&amp;"|"&amp;177,LISTA_KLUCZ,0))),"")</f>
        <v/>
      </c>
      <c r="FX47" s="5" t="str">
        <f t="array" ref="FX47">IFERROR(IF('T1'!$J47="",INDEX(LISTA_EX,178),INDEX(LISTA_EX,MATCH('T1'!$J47&amp;"|"&amp;178,LISTA_KLUCZ,0))),"")</f>
        <v/>
      </c>
      <c r="FY47" s="5" t="str">
        <f t="array" ref="FY47">IFERROR(IF('T1'!$J47="",INDEX(LISTA_EX,179),INDEX(LISTA_EX,MATCH('T1'!$J47&amp;"|"&amp;179,LISTA_KLUCZ,0))),"")</f>
        <v/>
      </c>
      <c r="FZ47" s="5" t="str">
        <f t="array" ref="FZ47">IFERROR(IF('T1'!$J47="",INDEX(LISTA_EX,180),INDEX(LISTA_EX,MATCH('T1'!$J47&amp;"|"&amp;180,LISTA_KLUCZ,0))),"")</f>
        <v/>
      </c>
      <c r="GA47" s="5" t="str">
        <f t="array" ref="GA47">IFERROR(IF('T1'!$J47="",INDEX(LISTA_EX,181),INDEX(LISTA_EX,MATCH('T1'!$J47&amp;"|"&amp;181,LISTA_KLUCZ,0))),"")</f>
        <v/>
      </c>
      <c r="GB47" s="5" t="str">
        <f t="array" ref="GB47">IFERROR(IF('T1'!$J47="",INDEX(LISTA_EX,182),INDEX(LISTA_EX,MATCH('T1'!$J47&amp;"|"&amp;182,LISTA_KLUCZ,0))),"")</f>
        <v/>
      </c>
      <c r="GC47" s="5" t="str">
        <f t="array" ref="GC47">IFERROR(IF('T1'!$J47="",INDEX(LISTA_EX,183),INDEX(LISTA_EX,MATCH('T1'!$J47&amp;"|"&amp;183,LISTA_KLUCZ,0))),"")</f>
        <v/>
      </c>
      <c r="GD47" s="5" t="str">
        <f t="array" ref="GD47">IFERROR(IF('T1'!$J47="",INDEX(LISTA_EX,184),INDEX(LISTA_EX,MATCH('T1'!$J47&amp;"|"&amp;184,LISTA_KLUCZ,0))),"")</f>
        <v/>
      </c>
      <c r="GE47" s="5" t="str">
        <f t="array" ref="GE47">IFERROR(IF('T1'!$J47="",INDEX(LISTA_EX,185),INDEX(LISTA_EX,MATCH('T1'!$J47&amp;"|"&amp;185,LISTA_KLUCZ,0))),"")</f>
        <v/>
      </c>
      <c r="GF47" s="5" t="str">
        <f t="array" ref="GF47">IFERROR(IF('T1'!$J47="",INDEX(LISTA_EX,186),INDEX(LISTA_EX,MATCH('T1'!$J47&amp;"|"&amp;186,LISTA_KLUCZ,0))),"")</f>
        <v/>
      </c>
      <c r="GG47" s="5" t="str">
        <f t="array" ref="GG47">IFERROR(IF('T1'!$J47="",INDEX(LISTA_EX,187),INDEX(LISTA_EX,MATCH('T1'!$J47&amp;"|"&amp;187,LISTA_KLUCZ,0))),"")</f>
        <v/>
      </c>
      <c r="GH47" s="5" t="str">
        <f t="array" ref="GH47">IFERROR(IF('T1'!$J47="",INDEX(LISTA_EX,188),INDEX(LISTA_EX,MATCH('T1'!$J47&amp;"|"&amp;188,LISTA_KLUCZ,0))),"")</f>
        <v/>
      </c>
      <c r="GI47" s="5" t="str">
        <f t="array" ref="GI47">IFERROR(IF('T1'!$J47="",INDEX(LISTA_EX,189),INDEX(LISTA_EX,MATCH('T1'!$J47&amp;"|"&amp;189,LISTA_KLUCZ,0))),"")</f>
        <v/>
      </c>
      <c r="GJ47" s="5" t="str">
        <f t="array" ref="GJ47">IFERROR(IF('T1'!$J47="",INDEX(LISTA_EX,190),INDEX(LISTA_EX,MATCH('T1'!$J47&amp;"|"&amp;190,LISTA_KLUCZ,0))),"")</f>
        <v/>
      </c>
      <c r="GK47" s="5" t="str">
        <f t="array" ref="GK47">IFERROR(IF('T1'!$J47="",INDEX(LISTA_EX,191),INDEX(LISTA_EX,MATCH('T1'!$J47&amp;"|"&amp;191,LISTA_KLUCZ,0))),"")</f>
        <v/>
      </c>
      <c r="GL47" s="5" t="str">
        <f t="array" ref="GL47">IFERROR(IF('T1'!$J47="",INDEX(LISTA_EX,192),INDEX(LISTA_EX,MATCH('T1'!$J47&amp;"|"&amp;192,LISTA_KLUCZ,0))),"")</f>
        <v/>
      </c>
      <c r="GM47" s="5" t="str">
        <f t="array" ref="GM47">IFERROR(IF('T1'!$J47="",INDEX(LISTA_EX,193),INDEX(LISTA_EX,MATCH('T1'!$J47&amp;"|"&amp;193,LISTA_KLUCZ,0))),"")</f>
        <v/>
      </c>
      <c r="GN47" s="5" t="str">
        <f t="array" ref="GN47">IFERROR(IF('T1'!$J47="",INDEX(LISTA_EX,194),INDEX(LISTA_EX,MATCH('T1'!$J47&amp;"|"&amp;194,LISTA_KLUCZ,0))),"")</f>
        <v/>
      </c>
      <c r="GO47" s="5" t="str">
        <f t="array" ref="GO47">IFERROR(IF('T1'!$J47="",INDEX(LISTA_EX,195),INDEX(LISTA_EX,MATCH('T1'!$J47&amp;"|"&amp;195,LISTA_KLUCZ,0))),"")</f>
        <v/>
      </c>
      <c r="GP47" s="5" t="str">
        <f t="array" ref="GP47">IFERROR(IF('T1'!$J47="",INDEX(LISTA_EX,196),INDEX(LISTA_EX,MATCH('T1'!$J47&amp;"|"&amp;196,LISTA_KLUCZ,0))),"")</f>
        <v/>
      </c>
      <c r="GQ47" s="5" t="str">
        <f t="array" ref="GQ47">IFERROR(IF('T1'!$J47="",INDEX(LISTA_EX,197),INDEX(LISTA_EX,MATCH('T1'!$J47&amp;"|"&amp;197,LISTA_KLUCZ,0))),"")</f>
        <v/>
      </c>
      <c r="GR47" s="5" t="str">
        <f t="array" ref="GR47">IFERROR(IF('T1'!$J47="",INDEX(LISTA_EX,198),INDEX(LISTA_EX,MATCH('T1'!$J47&amp;"|"&amp;198,LISTA_KLUCZ,0))),"")</f>
        <v/>
      </c>
      <c r="GS47" s="5" t="str">
        <f t="array" ref="GS47">IFERROR(IF('T1'!$J47="",INDEX(LISTA_EX,199),INDEX(LISTA_EX,MATCH('T1'!$J47&amp;"|"&amp;199,LISTA_KLUCZ,0))),"")</f>
        <v/>
      </c>
      <c r="GT47" s="5" t="str">
        <f t="array" ref="GT47">IFERROR(IF('T1'!$J47="",INDEX(LISTA_EX,200),INDEX(LISTA_EX,MATCH('T1'!$J47&amp;"|"&amp;200,LISTA_KLUCZ,0))),"")</f>
        <v/>
      </c>
      <c r="GV47" s="5" t="str">
        <f>IF(BAZA!$A47="","",BAZA!$A47)</f>
        <v>Dips</v>
      </c>
      <c r="GW47" s="5" t="str">
        <f>IF(BAZA!$B47="","",BAZA!$B47&amp;"|"&amp;COUNTIF(BAZA!$B$3:$B47,BAZA!$B47))</f>
        <v>Upper push horizontal|6</v>
      </c>
    </row>
    <row r="48" ht="15.0" customHeight="1">
      <c r="A48" s="5" t="str">
        <f>IF('T1'!$K48="","",'T1'!$K48)</f>
        <v>D3-S10</v>
      </c>
      <c r="B48" s="5" t="str">
        <f>IF('T1'!$J48="","(wszystkie)",'T1'!$J48)</f>
        <v>(wszystkie)</v>
      </c>
      <c r="C48" s="5" t="str">
        <f t="array" ref="C48">IFERROR(IF('T1'!$J48="",INDEX(LISTA_EX,1),INDEX(LISTA_EX,MATCH('T1'!$J48&amp;"|"&amp;1,LISTA_KLUCZ,0))),"")</f>
        <v>Abduction machine</v>
      </c>
      <c r="D48" s="5" t="str">
        <f t="array" ref="D48">IFERROR(IF('T1'!$J48="",INDEX(LISTA_EX,2),INDEX(LISTA_EX,MATCH('T1'!$J48&amp;"|"&amp;2,LISTA_KLUCZ,0))),"")</f>
        <v>Adduction machine</v>
      </c>
      <c r="E48" s="5" t="str">
        <f t="array" ref="E48">IFERROR(IF('T1'!$J48="",INDEX(LISTA_EX,3),INDEX(LISTA_EX,MATCH('T1'!$J48&amp;"|"&amp;3,LISTA_KLUCZ,0))),"")</f>
        <v>Allah</v>
      </c>
      <c r="F48" s="5" t="str">
        <f t="array" ref="F48">IFERROR(IF('T1'!$J48="",INDEX(LISTA_EX,4),INDEX(LISTA_EX,MATCH('T1'!$J48&amp;"|"&amp;4,LISTA_KLUCZ,0))),"")</f>
        <v>Arnold press</v>
      </c>
      <c r="G48" s="5" t="str">
        <f t="array" ref="G48">IFERROR(IF('T1'!$J48="",INDEX(LISTA_EX,5),INDEX(LISTA_EX,MATCH('T1'!$J48&amp;"|"&amp;5,LISTA_KLUCZ,0))),"")</f>
        <v>Arnold press alternating</v>
      </c>
      <c r="H48" s="5" t="str">
        <f t="array" ref="H48">IFERROR(IF('T1'!$J48="",INDEX(LISTA_EX,6),INDEX(LISTA_EX,MATCH('T1'!$J48&amp;"|"&amp;6,LISTA_KLUCZ,0))),"")</f>
        <v>B/l dragonflag eccentric</v>
      </c>
      <c r="I48" s="5" t="str">
        <f t="array" ref="I48">IFERROR(IF('T1'!$J48="",INDEX(LISTA_EX,7),INDEX(LISTA_EX,MATCH('T1'!$J48&amp;"|"&amp;7,LISTA_KLUCZ,0))),"")</f>
        <v>Back extension</v>
      </c>
      <c r="J48" s="5" t="str">
        <f t="array" ref="J48">IFERROR(IF('T1'!$J48="",INDEX(LISTA_EX,8),INDEX(LISTA_EX,MATCH('T1'!$J48&amp;"|"&amp;8,LISTA_KLUCZ,0))),"")</f>
        <v>Banded pistol squat</v>
      </c>
      <c r="K48" s="5" t="str">
        <f t="array" ref="K48">IFERROR(IF('T1'!$J48="",INDEX(LISTA_EX,9),INDEX(LISTA_EX,MATCH('T1'!$J48&amp;"|"&amp;9,LISTA_KLUCZ,0))),"")</f>
        <v>Banded pull ups</v>
      </c>
      <c r="L48" s="5" t="str">
        <f t="array" ref="L48">IFERROR(IF('T1'!$J48="",INDEX(LISTA_EX,10),INDEX(LISTA_EX,MATCH('T1'!$J48&amp;"|"&amp;10,LISTA_KLUCZ,0))),"")</f>
        <v>Barbell back squat</v>
      </c>
      <c r="M48" s="5" t="str">
        <f t="array" ref="M48">IFERROR(IF('T1'!$J48="",INDEX(LISTA_EX,11),INDEX(LISTA_EX,MATCH('T1'!$J48&amp;"|"&amp;11,LISTA_KLUCZ,0))),"")</f>
        <v>Barbell bench press</v>
      </c>
      <c r="N48" s="5" t="str">
        <f t="array" ref="N48">IFERROR(IF('T1'!$J48="",INDEX(LISTA_EX,12),INDEX(LISTA_EX,MATCH('T1'!$J48&amp;"|"&amp;12,LISTA_KLUCZ,0))),"")</f>
        <v>Barbell curl</v>
      </c>
      <c r="O48" s="5" t="str">
        <f t="array" ref="O48">IFERROR(IF('T1'!$J48="",INDEX(LISTA_EX,13),INDEX(LISTA_EX,MATCH('T1'!$J48&amp;"|"&amp;13,LISTA_KLUCZ,0))),"")</f>
        <v>Barbell low bar squat</v>
      </c>
      <c r="P48" s="5" t="str">
        <f t="array" ref="P48">IFERROR(IF('T1'!$J48="",INDEX(LISTA_EX,14),INDEX(LISTA_EX,MATCH('T1'!$J48&amp;"|"&amp;14,LISTA_KLUCZ,0))),"")</f>
        <v>Barbell OHP</v>
      </c>
      <c r="Q48" s="5" t="str">
        <f t="array" ref="Q48">IFERROR(IF('T1'!$J48="",INDEX(LISTA_EX,15),INDEX(LISTA_EX,MATCH('T1'!$J48&amp;"|"&amp;15,LISTA_KLUCZ,0))),"")</f>
        <v>Barbell oscilation</v>
      </c>
      <c r="R48" s="5" t="str">
        <f t="array" ref="R48">IFERROR(IF('T1'!$J48="",INDEX(LISTA_EX,16),INDEX(LISTA_EX,MATCH('T1'!$J48&amp;"|"&amp;16,LISTA_KLUCZ,0))),"")</f>
        <v>Barbell row</v>
      </c>
      <c r="S48" s="5" t="str">
        <f t="array" ref="S48">IFERROR(IF('T1'!$J48="",INDEX(LISTA_EX,17),INDEX(LISTA_EX,MATCH('T1'!$J48&amp;"|"&amp;17,LISTA_KLUCZ,0))),"")</f>
        <v>Barbell row dead stop pins</v>
      </c>
      <c r="T48" s="5" t="str">
        <f t="array" ref="T48">IFERROR(IF('T1'!$J48="",INDEX(LISTA_EX,18),INDEX(LISTA_EX,MATCH('T1'!$J48&amp;"|"&amp;18,LISTA_KLUCZ,0))),"")</f>
        <v>Barbell SLDL</v>
      </c>
      <c r="U48" s="5" t="str">
        <f t="array" ref="U48">IFERROR(IF('T1'!$J48="",INDEX(LISTA_EX,19),INDEX(LISTA_EX,MATCH('T1'!$J48&amp;"|"&amp;19,LISTA_KLUCZ,0))),"")</f>
        <v>Bayesian curl</v>
      </c>
      <c r="V48" s="5" t="str">
        <f t="array" ref="V48">IFERROR(IF('T1'!$J48="",INDEX(LISTA_EX,20),INDEX(LISTA_EX,MATCH('T1'!$J48&amp;"|"&amp;20,LISTA_KLUCZ,0))),"")</f>
        <v>Bear renegade row</v>
      </c>
      <c r="W48" s="5" t="str">
        <f t="array" ref="W48">IFERROR(IF('T1'!$J48="",INDEX(LISTA_EX,21),INDEX(LISTA_EX,MATCH('T1'!$J48&amp;"|"&amp;21,LISTA_KLUCZ,0))),"")</f>
        <v>Bench press paused 3sec</v>
      </c>
      <c r="X48" s="5" t="str">
        <f t="array" ref="X48">IFERROR(IF('T1'!$J48="",INDEX(LISTA_EX,22),INDEX(LISTA_EX,MATCH('T1'!$J48&amp;"|"&amp;22,LISTA_KLUCZ,0))),"")</f>
        <v>Bicep hammer curl</v>
      </c>
      <c r="Y48" s="5" t="str">
        <f t="array" ref="Y48">IFERROR(IF('T1'!$J48="",INDEX(LISTA_EX,23),INDEX(LISTA_EX,MATCH('T1'!$J48&amp;"|"&amp;23,LISTA_KLUCZ,0))),"")</f>
        <v>Bicep squat cable curl</v>
      </c>
      <c r="Z48" s="5" t="str">
        <f t="array" ref="Z48">IFERROR(IF('T1'!$J48="",INDEX(LISTA_EX,24),INDEX(LISTA_EX,MATCH('T1'!$J48&amp;"|"&amp;24,LISTA_KLUCZ,0))),"")</f>
        <v>Bird dog row</v>
      </c>
      <c r="AA48" s="5" t="str">
        <f t="array" ref="AA48">IFERROR(IF('T1'!$J48="",INDEX(LISTA_EX,25),INDEX(LISTA_EX,MATCH('T1'!$J48&amp;"|"&amp;25,LISTA_KLUCZ,0))),"")</f>
        <v>Box jump</v>
      </c>
      <c r="AB48" s="5" t="str">
        <f t="array" ref="AB48">IFERROR(IF('T1'!$J48="",INDEX(LISTA_EX,26),INDEX(LISTA_EX,MATCH('T1'!$J48&amp;"|"&amp;26,LISTA_KLUCZ,0))),"")</f>
        <v>Bulgarian clean plyo</v>
      </c>
      <c r="AC48" s="5" t="str">
        <f t="array" ref="AC48">IFERROR(IF('T1'!$J48="",INDEX(LISTA_EX,27),INDEX(LISTA_EX,MATCH('T1'!$J48&amp;"|"&amp;27,LISTA_KLUCZ,0))),"")</f>
        <v>Bulgarian squat assisted</v>
      </c>
      <c r="AD48" s="5" t="str">
        <f t="array" ref="AD48">IFERROR(IF('T1'!$J48="",INDEX(LISTA_EX,28),INDEX(LISTA_EX,MATCH('T1'!$J48&amp;"|"&amp;28,LISTA_KLUCZ,0))),"")</f>
        <v>Cable biceps curl</v>
      </c>
      <c r="AE48" s="5" t="str">
        <f t="array" ref="AE48">IFERROR(IF('T1'!$J48="",INDEX(LISTA_EX,29),INDEX(LISTA_EX,MATCH('T1'!$J48&amp;"|"&amp;29,LISTA_KLUCZ,0))),"")</f>
        <v>Cable fly</v>
      </c>
      <c r="AF48" s="5" t="str">
        <f t="array" ref="AF48">IFERROR(IF('T1'!$J48="",INDEX(LISTA_EX,30),INDEX(LISTA_EX,MATCH('T1'!$J48&amp;"|"&amp;30,LISTA_KLUCZ,0))),"")</f>
        <v>Cable lateral raise s/a</v>
      </c>
      <c r="AG48" s="5" t="str">
        <f t="array" ref="AG48">IFERROR(IF('T1'!$J48="",INDEX(LISTA_EX,31),INDEX(LISTA_EX,MATCH('T1'!$J48&amp;"|"&amp;31,LISTA_KLUCZ,0))),"")</f>
        <v>Cable row</v>
      </c>
      <c r="AH48" s="5" t="str">
        <f t="array" ref="AH48">IFERROR(IF('T1'!$J48="",INDEX(LISTA_EX,32),INDEX(LISTA_EX,MATCH('T1'!$J48&amp;"|"&amp;32,LISTA_KLUCZ,0))),"")</f>
        <v>Cable row s/a</v>
      </c>
      <c r="AI48" s="5" t="str">
        <f t="array" ref="AI48">IFERROR(IF('T1'!$J48="",INDEX(LISTA_EX,33),INDEX(LISTA_EX,MATCH('T1'!$J48&amp;"|"&amp;33,LISTA_KLUCZ,0))),"")</f>
        <v>Calf raises</v>
      </c>
      <c r="AJ48" s="5" t="str">
        <f t="array" ref="AJ48">IFERROR(IF('T1'!$J48="",INDEX(LISTA_EX,34),INDEX(LISTA_EX,MATCH('T1'!$J48&amp;"|"&amp;34,LISTA_KLUCZ,0))),"")</f>
        <v>Chest fly machine</v>
      </c>
      <c r="AK48" s="5" t="str">
        <f t="array" ref="AK48">IFERROR(IF('T1'!$J48="",INDEX(LISTA_EX,35),INDEX(LISTA_EX,MATCH('T1'!$J48&amp;"|"&amp;35,LISTA_KLUCZ,0))),"")</f>
        <v>Clean</v>
      </c>
      <c r="AL48" s="5" t="str">
        <f t="array" ref="AL48">IFERROR(IF('T1'!$J48="",INDEX(LISTA_EX,36),INDEX(LISTA_EX,MATCH('T1'!$J48&amp;"|"&amp;36,LISTA_KLUCZ,0))),"")</f>
        <v>Clean pins</v>
      </c>
      <c r="AM48" s="5" t="str">
        <f t="array" ref="AM48">IFERROR(IF('T1'!$J48="",INDEX(LISTA_EX,37),INDEX(LISTA_EX,MATCH('T1'!$J48&amp;"|"&amp;37,LISTA_KLUCZ,0))),"")</f>
        <v>Copenhagen plank</v>
      </c>
      <c r="AN48" s="5" t="str">
        <f t="array" ref="AN48">IFERROR(IF('T1'!$J48="",INDEX(LISTA_EX,38),INDEX(LISTA_EX,MATCH('T1'!$J48&amp;"|"&amp;38,LISTA_KLUCZ,0))),"")</f>
        <v>Dead bug izo + OH</v>
      </c>
      <c r="AO48" s="5" t="str">
        <f t="array" ref="AO48">IFERROR(IF('T1'!$J48="",INDEX(LISTA_EX,39),INDEX(LISTA_EX,MATCH('T1'!$J48&amp;"|"&amp;39,LISTA_KLUCZ,0))),"")</f>
        <v>Dead bug straight legs</v>
      </c>
      <c r="AP48" s="5" t="str">
        <f t="array" ref="AP48">IFERROR(IF('T1'!$J48="",INDEX(LISTA_EX,40),INDEX(LISTA_EX,MATCH('T1'!$J48&amp;"|"&amp;40,LISTA_KLUCZ,0))),"")</f>
        <v>Dead stop barbell row</v>
      </c>
      <c r="AQ48" s="5" t="str">
        <f t="array" ref="AQ48">IFERROR(IF('T1'!$J48="",INDEX(LISTA_EX,41),INDEX(LISTA_EX,MATCH('T1'!$J48&amp;"|"&amp;41,LISTA_KLUCZ,0))),"")</f>
        <v>Deadbug OH</v>
      </c>
      <c r="AR48" s="5" t="str">
        <f t="array" ref="AR48">IFERROR(IF('T1'!$J48="",INDEX(LISTA_EX,42),INDEX(LISTA_EX,MATCH('T1'!$J48&amp;"|"&amp;42,LISTA_KLUCZ,0))),"")</f>
        <v>Deadlift</v>
      </c>
      <c r="AS48" s="5" t="str">
        <f t="array" ref="AS48">IFERROR(IF('T1'!$J48="",INDEX(LISTA_EX,43),INDEX(LISTA_EX,MATCH('T1'!$J48&amp;"|"&amp;43,LISTA_KLUCZ,0))),"")</f>
        <v>Deficit push up</v>
      </c>
      <c r="AT48" s="5" t="str">
        <f t="array" ref="AT48">IFERROR(IF('T1'!$J48="",INDEX(LISTA_EX,44),INDEX(LISTA_EX,MATCH('T1'!$J48&amp;"|"&amp;44,LISTA_KLUCZ,0))),"")</f>
        <v>Deficit reverse lunge</v>
      </c>
      <c r="AU48" s="5" t="str">
        <f t="array" ref="AU48">IFERROR(IF('T1'!$J48="",INDEX(LISTA_EX,45),INDEX(LISTA_EX,MATCH('T1'!$J48&amp;"|"&amp;45,LISTA_KLUCZ,0))),"")</f>
        <v>Dips</v>
      </c>
      <c r="AV48" s="5" t="str">
        <f t="array" ref="AV48">IFERROR(IF('T1'!$J48="",INDEX(LISTA_EX,46),INDEX(LISTA_EX,MATCH('T1'!$J48&amp;"|"&amp;46,LISTA_KLUCZ,0))),"")</f>
        <v>Dips weighted</v>
      </c>
      <c r="AW48" s="5" t="str">
        <f t="array" ref="AW48">IFERROR(IF('T1'!$J48="",INDEX(LISTA_EX,47),INDEX(LISTA_EX,MATCH('T1'!$J48&amp;"|"&amp;47,LISTA_KLUCZ,0))),"")</f>
        <v>Dumbbell bench press</v>
      </c>
      <c r="AX48" s="5" t="str">
        <f t="array" ref="AX48">IFERROR(IF('T1'!$J48="",INDEX(LISTA_EX,48),INDEX(LISTA_EX,MATCH('T1'!$J48&amp;"|"&amp;48,LISTA_KLUCZ,0))),"")</f>
        <v>Dumbbell bench press alternating</v>
      </c>
      <c r="AY48" s="5" t="str">
        <f t="array" ref="AY48">IFERROR(IF('T1'!$J48="",INDEX(LISTA_EX,49),INDEX(LISTA_EX,MATCH('T1'!$J48&amp;"|"&amp;49,LISTA_KLUCZ,0))),"")</f>
        <v>Dumbbell curl</v>
      </c>
      <c r="AZ48" s="5" t="str">
        <f t="array" ref="AZ48">IFERROR(IF('T1'!$J48="",INDEX(LISTA_EX,50),INDEX(LISTA_EX,MATCH('T1'!$J48&amp;"|"&amp;50,LISTA_KLUCZ,0))),"")</f>
        <v>Dumbbell external rotation</v>
      </c>
      <c r="BA48" s="5" t="str">
        <f t="array" ref="BA48">IFERROR(IF('T1'!$J48="",INDEX(LISTA_EX,51),INDEX(LISTA_EX,MATCH('T1'!$J48&amp;"|"&amp;51,LISTA_KLUCZ,0))),"")</f>
        <v>Dumbbell face down curl</v>
      </c>
      <c r="BB48" s="5" t="str">
        <f t="array" ref="BB48">IFERROR(IF('T1'!$J48="",INDEX(LISTA_EX,52),INDEX(LISTA_EX,MATCH('T1'!$J48&amp;"|"&amp;52,LISTA_KLUCZ,0))),"")</f>
        <v>Dumbbell fly</v>
      </c>
      <c r="BC48" s="5" t="str">
        <f t="array" ref="BC48">IFERROR(IF('T1'!$J48="",INDEX(LISTA_EX,53),INDEX(LISTA_EX,MATCH('T1'!$J48&amp;"|"&amp;53,LISTA_KLUCZ,0))),"")</f>
        <v>Dumbbell french press</v>
      </c>
      <c r="BD48" s="5" t="str">
        <f t="array" ref="BD48">IFERROR(IF('T1'!$J48="",INDEX(LISTA_EX,54),INDEX(LISTA_EX,MATCH('T1'!$J48&amp;"|"&amp;54,LISTA_KLUCZ,0))),"")</f>
        <v>Dumbbell lateral raise</v>
      </c>
      <c r="BE48" s="5" t="str">
        <f t="array" ref="BE48">IFERROR(IF('T1'!$J48="",INDEX(LISTA_EX,55),INDEX(LISTA_EX,MATCH('T1'!$J48&amp;"|"&amp;55,LISTA_KLUCZ,0))),"")</f>
        <v>Dumbbell lunges</v>
      </c>
      <c r="BF48" s="5" t="str">
        <f t="array" ref="BF48">IFERROR(IF('T1'!$J48="",INDEX(LISTA_EX,56),INDEX(LISTA_EX,MATCH('T1'!$J48&amp;"|"&amp;56,LISTA_KLUCZ,0))),"")</f>
        <v>Dumbbell OH press</v>
      </c>
      <c r="BG48" s="5" t="str">
        <f t="array" ref="BG48">IFERROR(IF('T1'!$J48="",INDEX(LISTA_EX,57),INDEX(LISTA_EX,MATCH('T1'!$J48&amp;"|"&amp;57,LISTA_KLUCZ,0))),"")</f>
        <v>Dumbbell over head press</v>
      </c>
      <c r="BH48" s="5" t="str">
        <f t="array" ref="BH48">IFERROR(IF('T1'!$J48="",INDEX(LISTA_EX,58),INDEX(LISTA_EX,MATCH('T1'!$J48&amp;"|"&amp;58,LISTA_KLUCZ,0))),"")</f>
        <v>Dumbbell over head press alternating</v>
      </c>
      <c r="BI48" s="5" t="str">
        <f t="array" ref="BI48">IFERROR(IF('T1'!$J48="",INDEX(LISTA_EX,59),INDEX(LISTA_EX,MATCH('T1'!$J48&amp;"|"&amp;59,LISTA_KLUCZ,0))),"")</f>
        <v>Dumbbell row</v>
      </c>
      <c r="BJ48" s="5" t="str">
        <f t="array" ref="BJ48">IFERROR(IF('T1'!$J48="",INDEX(LISTA_EX,60),INDEX(LISTA_EX,MATCH('T1'!$J48&amp;"|"&amp;60,LISTA_KLUCZ,0))),"")</f>
        <v>Dumbbell s/a Arnold press</v>
      </c>
      <c r="BK48" s="5" t="str">
        <f t="array" ref="BK48">IFERROR(IF('T1'!$J48="",INDEX(LISTA_EX,61),INDEX(LISTA_EX,MATCH('T1'!$J48&amp;"|"&amp;61,LISTA_KLUCZ,0))),"")</f>
        <v>Dumbbell s/a row</v>
      </c>
      <c r="BL48" s="5" t="str">
        <f t="array" ref="BL48">IFERROR(IF('T1'!$J48="",INDEX(LISTA_EX,62),INDEX(LISTA_EX,MATCH('T1'!$J48&amp;"|"&amp;62,LISTA_KLUCZ,0))),"")</f>
        <v>Dumbbell seal row</v>
      </c>
      <c r="BM48" s="5" t="str">
        <f t="array" ref="BM48">IFERROR(IF('T1'!$J48="",INDEX(LISTA_EX,63),INDEX(LISTA_EX,MATCH('T1'!$J48&amp;"|"&amp;63,LISTA_KLUCZ,0))),"")</f>
        <v>Dumbbells jumps</v>
      </c>
      <c r="BN48" s="5" t="str">
        <f t="array" ref="BN48">IFERROR(IF('T1'!$J48="",INDEX(LISTA_EX,64),INDEX(LISTA_EX,MATCH('T1'!$J48&amp;"|"&amp;64,LISTA_KLUCZ,0))),"")</f>
        <v>Eccentric pull up</v>
      </c>
      <c r="BO48" s="5" t="str">
        <f t="array" ref="BO48">IFERROR(IF('T1'!$J48="",INDEX(LISTA_EX,65),INDEX(LISTA_EX,MATCH('T1'!$J48&amp;"|"&amp;65,LISTA_KLUCZ,0))),"")</f>
        <v>Eccentric push up (5 sek w dół)</v>
      </c>
      <c r="BP48" s="5" t="str">
        <f t="array" ref="BP48">IFERROR(IF('T1'!$J48="",INDEX(LISTA_EX,66),INDEX(LISTA_EX,MATCH('T1'!$J48&amp;"|"&amp;66,LISTA_KLUCZ,0))),"")</f>
        <v>Extensive plyo jumps s/l</v>
      </c>
      <c r="BQ48" s="5" t="str">
        <f t="array" ref="BQ48">IFERROR(IF('T1'!$J48="",INDEX(LISTA_EX,67),INDEX(LISTA_EX,MATCH('T1'!$J48&amp;"|"&amp;67,LISTA_KLUCZ,0))),"")</f>
        <v>Ez bar curl</v>
      </c>
      <c r="BR48" s="5" t="str">
        <f t="array" ref="BR48">IFERROR(IF('T1'!$J48="",INDEX(LISTA_EX,68),INDEX(LISTA_EX,MATCH('T1'!$J48&amp;"|"&amp;68,LISTA_KLUCZ,0))),"")</f>
        <v>Facepull chest supported</v>
      </c>
      <c r="BS48" s="5" t="str">
        <f t="array" ref="BS48">IFERROR(IF('T1'!$J48="",INDEX(LISTA_EX,69),INDEX(LISTA_EX,MATCH('T1'!$J48&amp;"|"&amp;69,LISTA_KLUCZ,0))),"")</f>
        <v>Front foot elevated split squat</v>
      </c>
      <c r="BT48" s="5" t="str">
        <f t="array" ref="BT48">IFERROR(IF('T1'!$J48="",INDEX(LISTA_EX,70),INDEX(LISTA_EX,MATCH('T1'!$J48&amp;"|"&amp;70,LISTA_KLUCZ,0))),"")</f>
        <v>Front squat</v>
      </c>
      <c r="BU48" s="5" t="str">
        <f t="array" ref="BU48">IFERROR(IF('T1'!$J48="",INDEX(LISTA_EX,71),INDEX(LISTA_EX,MATCH('T1'!$J48&amp;"|"&amp;71,LISTA_KLUCZ,0))),"")</f>
        <v>GHD flexion</v>
      </c>
      <c r="BV48" s="5" t="str">
        <f t="array" ref="BV48">IFERROR(IF('T1'!$J48="",INDEX(LISTA_EX,72),INDEX(LISTA_EX,MATCH('T1'!$J48&amp;"|"&amp;72,LISTA_KLUCZ,0))),"")</f>
        <v>Glute bridge hamstrings izo + OH</v>
      </c>
      <c r="BW48" s="5" t="str">
        <f t="array" ref="BW48">IFERROR(IF('T1'!$J48="",INDEX(LISTA_EX,73),INDEX(LISTA_EX,MATCH('T1'!$J48&amp;"|"&amp;73,LISTA_KLUCZ,0))),"")</f>
        <v>Glute crusher</v>
      </c>
      <c r="BX48" s="5" t="str">
        <f t="array" ref="BX48">IFERROR(IF('T1'!$J48="",INDEX(LISTA_EX,74),INDEX(LISTA_EX,MATCH('T1'!$J48&amp;"|"&amp;74,LISTA_KLUCZ,0))),"")</f>
        <v>Gorilla row</v>
      </c>
      <c r="BY48" s="5" t="str">
        <f t="array" ref="BY48">IFERROR(IF('T1'!$J48="",INDEX(LISTA_EX,75),INDEX(LISTA_EX,MATCH('T1'!$J48&amp;"|"&amp;75,LISTA_KLUCZ,0))),"")</f>
        <v>Halfkneeling s/a cable pull</v>
      </c>
      <c r="BZ48" s="5" t="str">
        <f t="array" ref="BZ48">IFERROR(IF('T1'!$J48="",INDEX(LISTA_EX,76),INDEX(LISTA_EX,MATCH('T1'!$J48&amp;"|"&amp;76,LISTA_KLUCZ,0))),"")</f>
        <v>Halfkneeling wood chopper</v>
      </c>
      <c r="CA48" s="5" t="str">
        <f t="array" ref="CA48">IFERROR(IF('T1'!$J48="",INDEX(LISTA_EX,77),INDEX(LISTA_EX,MATCH('T1'!$J48&amp;"|"&amp;77,LISTA_KLUCZ,0))),"")</f>
        <v>Hinged dumbbell row</v>
      </c>
      <c r="CB48" s="5" t="str">
        <f t="array" ref="CB48">IFERROR(IF('T1'!$J48="",INDEX(LISTA_EX,78),INDEX(LISTA_EX,MATCH('T1'!$J48&amp;"|"&amp;78,LISTA_KLUCZ,0))),"")</f>
        <v>Hip aeroplane</v>
      </c>
      <c r="CC48" s="5" t="str">
        <f t="array" ref="CC48">IFERROR(IF('T1'!$J48="",INDEX(LISTA_EX,79),INDEX(LISTA_EX,MATCH('T1'!$J48&amp;"|"&amp;79,LISTA_KLUCZ,0))),"")</f>
        <v>Hip flexors cable</v>
      </c>
      <c r="CD48" s="5" t="str">
        <f t="array" ref="CD48">IFERROR(IF('T1'!$J48="",INDEX(LISTA_EX,80),INDEX(LISTA_EX,MATCH('T1'!$J48&amp;"|"&amp;80,LISTA_KLUCZ,0))),"")</f>
        <v>Hip thrust barbell</v>
      </c>
      <c r="CE48" s="5" t="str">
        <f t="array" ref="CE48">IFERROR(IF('T1'!$J48="",INDEX(LISTA_EX,81),INDEX(LISTA_EX,MATCH('T1'!$J48&amp;"|"&amp;81,LISTA_KLUCZ,0))),"")</f>
        <v>Hollow body + OH</v>
      </c>
      <c r="CF48" s="5" t="str">
        <f t="array" ref="CF48">IFERROR(IF('T1'!$J48="",INDEX(LISTA_EX,82),INDEX(LISTA_EX,MATCH('T1'!$J48&amp;"|"&amp;82,LISTA_KLUCZ,0))),"")</f>
        <v>Horizontal jump</v>
      </c>
      <c r="CG48" s="5" t="str">
        <f t="array" ref="CG48">IFERROR(IF('T1'!$J48="",INDEX(LISTA_EX,83),INDEX(LISTA_EX,MATCH('T1'!$J48&amp;"|"&amp;83,LISTA_KLUCZ,0))),"")</f>
        <v>Incline bench lateral raise s/a</v>
      </c>
      <c r="CH48" s="5" t="str">
        <f t="array" ref="CH48">IFERROR(IF('T1'!$J48="",INDEX(LISTA_EX,84),INDEX(LISTA_EX,MATCH('T1'!$J48&amp;"|"&amp;84,LISTA_KLUCZ,0))),"")</f>
        <v>Incline curl + OHP</v>
      </c>
      <c r="CI48" s="5" t="str">
        <f t="array" ref="CI48">IFERROR(IF('T1'!$J48="",INDEX(LISTA_EX,85),INDEX(LISTA_EX,MATCH('T1'!$J48&amp;"|"&amp;85,LISTA_KLUCZ,0))),"")</f>
        <v>Incline dumbbell curl</v>
      </c>
      <c r="CJ48" s="5" t="str">
        <f t="array" ref="CJ48">IFERROR(IF('T1'!$J48="",INDEX(LISTA_EX,86),INDEX(LISTA_EX,MATCH('T1'!$J48&amp;"|"&amp;86,LISTA_KLUCZ,0))),"")</f>
        <v>Incline dumbbell curl (back)</v>
      </c>
      <c r="CK48" s="5" t="str">
        <f t="array" ref="CK48">IFERROR(IF('T1'!$J48="",INDEX(LISTA_EX,87),INDEX(LISTA_EX,MATCH('T1'!$J48&amp;"|"&amp;87,LISTA_KLUCZ,0))),"")</f>
        <v>Incline dumbbell curl (front)</v>
      </c>
      <c r="CL48" s="5" t="str">
        <f t="array" ref="CL48">IFERROR(IF('T1'!$J48="",INDEX(LISTA_EX,88),INDEX(LISTA_EX,MATCH('T1'!$J48&amp;"|"&amp;88,LISTA_KLUCZ,0))),"")</f>
        <v>Incline dumbbell fly</v>
      </c>
      <c r="CM48" s="5" t="str">
        <f t="array" ref="CM48">IFERROR(IF('T1'!$J48="",INDEX(LISTA_EX,89),INDEX(LISTA_EX,MATCH('T1'!$J48&amp;"|"&amp;89,LISTA_KLUCZ,0))),"")</f>
        <v>Incline dumbbell press</v>
      </c>
      <c r="CN48" s="5" t="str">
        <f t="array" ref="CN48">IFERROR(IF('T1'!$J48="",INDEX(LISTA_EX,90),INDEX(LISTA_EX,MATCH('T1'!$J48&amp;"|"&amp;90,LISTA_KLUCZ,0))),"")</f>
        <v>Incline dumbbell press alternating</v>
      </c>
      <c r="CO48" s="5" t="str">
        <f t="array" ref="CO48">IFERROR(IF('T1'!$J48="",INDEX(LISTA_EX,91),INDEX(LISTA_EX,MATCH('T1'!$J48&amp;"|"&amp;91,LISTA_KLUCZ,0))),"")</f>
        <v>Incline sit-ups</v>
      </c>
      <c r="CP48" s="5" t="str">
        <f t="array" ref="CP48">IFERROR(IF('T1'!$J48="",INDEX(LISTA_EX,92),INDEX(LISTA_EX,MATCH('T1'!$J48&amp;"|"&amp;92,LISTA_KLUCZ,0))),"")</f>
        <v>Jefferson cable</v>
      </c>
      <c r="CQ48" s="5" t="str">
        <f t="array" ref="CQ48">IFERROR(IF('T1'!$J48="",INDEX(LISTA_EX,93),INDEX(LISTA_EX,MATCH('T1'!$J48&amp;"|"&amp;93,LISTA_KLUCZ,0))),"")</f>
        <v>Kettlebell march</v>
      </c>
      <c r="CR48" s="5" t="str">
        <f t="array" ref="CR48">IFERROR(IF('T1'!$J48="",INDEX(LISTA_EX,94),INDEX(LISTA_EX,MATCH('T1'!$J48&amp;"|"&amp;94,LISTA_KLUCZ,0))),"")</f>
        <v>Kickbacks</v>
      </c>
      <c r="CS48" s="5" t="str">
        <f t="array" ref="CS48">IFERROR(IF('T1'!$J48="",INDEX(LISTA_EX,95),INDEX(LISTA_EX,MATCH('T1'!$J48&amp;"|"&amp;95,LISTA_KLUCZ,0))),"")</f>
        <v>Knee extension machine</v>
      </c>
      <c r="CT48" s="5" t="str">
        <f t="array" ref="CT48">IFERROR(IF('T1'!$J48="",INDEX(LISTA_EX,96),INDEX(LISTA_EX,MATCH('T1'!$J48&amp;"|"&amp;96,LISTA_KLUCZ,0))),"")</f>
        <v>Knee flexion machine</v>
      </c>
      <c r="CU48" s="5" t="str">
        <f t="array" ref="CU48">IFERROR(IF('T1'!$J48="",INDEX(LISTA_EX,97),INDEX(LISTA_EX,MATCH('T1'!$J48&amp;"|"&amp;97,LISTA_KLUCZ,0))),"")</f>
        <v>Knee raises</v>
      </c>
      <c r="CV48" s="5" t="str">
        <f t="array" ref="CV48">IFERROR(IF('T1'!$J48="",INDEX(LISTA_EX,98),INDEX(LISTA_EX,MATCH('T1'!$J48&amp;"|"&amp;98,LISTA_KLUCZ,0))),"")</f>
        <v>Landmine core</v>
      </c>
      <c r="CW48" s="5" t="str">
        <f t="array" ref="CW48">IFERROR(IF('T1'!$J48="",INDEX(LISTA_EX,99),INDEX(LISTA_EX,MATCH('T1'!$J48&amp;"|"&amp;99,LISTA_KLUCZ,0))),"")</f>
        <v>Landmine press</v>
      </c>
      <c r="CX48" s="5" t="str">
        <f t="array" ref="CX48">IFERROR(IF('T1'!$J48="",INDEX(LISTA_EX,100),INDEX(LISTA_EX,MATCH('T1'!$J48&amp;"|"&amp;100,LISTA_KLUCZ,0))),"")</f>
        <v>Landmine rotations (powtórzenia x2)</v>
      </c>
      <c r="CY48" s="5" t="str">
        <f t="array" ref="CY48">IFERROR(IF('T1'!$J48="",INDEX(LISTA_EX,101),INDEX(LISTA_EX,MATCH('T1'!$J48&amp;"|"&amp;101,LISTA_KLUCZ,0))),"")</f>
        <v>Landmine SLDL</v>
      </c>
      <c r="CZ48" s="5" t="str">
        <f t="array" ref="CZ48">IFERROR(IF('T1'!$J48="",INDEX(LISTA_EX,102),INDEX(LISTA_EX,MATCH('T1'!$J48&amp;"|"&amp;102,LISTA_KLUCZ,0))),"")</f>
        <v>Lat pulldown</v>
      </c>
      <c r="DA48" s="5" t="str">
        <f t="array" ref="DA48">IFERROR(IF('T1'!$J48="",INDEX(LISTA_EX,103),INDEX(LISTA_EX,MATCH('T1'!$J48&amp;"|"&amp;103,LISTA_KLUCZ,0))),"")</f>
        <v>Lat pulldown behind the head</v>
      </c>
      <c r="DB48" s="5" t="str">
        <f t="array" ref="DB48">IFERROR(IF('T1'!$J48="",INDEX(LISTA_EX,104),INDEX(LISTA_EX,MATCH('T1'!$J48&amp;"|"&amp;104,LISTA_KLUCZ,0))),"")</f>
        <v>Lat pulldown s/a</v>
      </c>
      <c r="DC48" s="5" t="str">
        <f t="array" ref="DC48">IFERROR(IF('T1'!$J48="",INDEX(LISTA_EX,105),INDEX(LISTA_EX,MATCH('T1'!$J48&amp;"|"&amp;105,LISTA_KLUCZ,0))),"")</f>
        <v>Lateral raise s/a</v>
      </c>
      <c r="DD48" s="5" t="str">
        <f t="array" ref="DD48">IFERROR(IF('T1'!$J48="",INDEX(LISTA_EX,106),INDEX(LISTA_EX,MATCH('T1'!$J48&amp;"|"&amp;106,LISTA_KLUCZ,0))),"")</f>
        <v>Lateral raises</v>
      </c>
      <c r="DE48" s="5" t="str">
        <f t="array" ref="DE48">IFERROR(IF('T1'!$J48="",INDEX(LISTA_EX,107),INDEX(LISTA_EX,MATCH('T1'!$J48&amp;"|"&amp;107,LISTA_KLUCZ,0))),"")</f>
        <v>Lateral raises 2</v>
      </c>
      <c r="DF48" s="5" t="str">
        <f t="array" ref="DF48">IFERROR(IF('T1'!$J48="",INDEX(LISTA_EX,108),INDEX(LISTA_EX,MATCH('T1'!$J48&amp;"|"&amp;108,LISTA_KLUCZ,0))),"")</f>
        <v>Lateral raises full ROM</v>
      </c>
      <c r="DG48" s="5" t="str">
        <f t="array" ref="DG48">IFERROR(IF('T1'!$J48="",INDEX(LISTA_EX,109),INDEX(LISTA_EX,MATCH('T1'!$J48&amp;"|"&amp;109,LISTA_KLUCZ,0))),"")</f>
        <v>Lateral raises hinged</v>
      </c>
      <c r="DH48" s="5" t="str">
        <f t="array" ref="DH48">IFERROR(IF('T1'!$J48="",INDEX(LISTA_EX,110),INDEX(LISTA_EX,MATCH('T1'!$J48&amp;"|"&amp;110,LISTA_KLUCZ,0))),"")</f>
        <v>Lateral raises incline s/a</v>
      </c>
      <c r="DI48" s="5" t="str">
        <f t="array" ref="DI48">IFERROR(IF('T1'!$J48="",INDEX(LISTA_EX,111),INDEX(LISTA_EX,MATCH('T1'!$J48&amp;"|"&amp;111,LISTA_KLUCZ,0))),"")</f>
        <v>Leg curl</v>
      </c>
      <c r="DJ48" s="5" t="str">
        <f t="array" ref="DJ48">IFERROR(IF('T1'!$J48="",INDEX(LISTA_EX,112),INDEX(LISTA_EX,MATCH('T1'!$J48&amp;"|"&amp;112,LISTA_KLUCZ,0))),"")</f>
        <v>Machine row</v>
      </c>
      <c r="DK48" s="5" t="str">
        <f t="array" ref="DK48">IFERROR(IF('T1'!$J48="",INDEX(LISTA_EX,113),INDEX(LISTA_EX,MATCH('T1'!$J48&amp;"|"&amp;113,LISTA_KLUCZ,0))),"")</f>
        <v>Machine row s/a</v>
      </c>
      <c r="DL48" s="5" t="str">
        <f t="array" ref="DL48">IFERROR(IF('T1'!$J48="",INDEX(LISTA_EX,114),INDEX(LISTA_EX,MATCH('T1'!$J48&amp;"|"&amp;114,LISTA_KLUCZ,0))),"")</f>
        <v>Meadows row</v>
      </c>
      <c r="DM48" s="5" t="str">
        <f t="array" ref="DM48">IFERROR(IF('T1'!$J48="",INDEX(LISTA_EX,115),INDEX(LISTA_EX,MATCH('T1'!$J48&amp;"|"&amp;115,LISTA_KLUCZ,0))),"")</f>
        <v>Med ball slam</v>
      </c>
      <c r="DN48" s="5" t="str">
        <f t="array" ref="DN48">IFERROR(IF('T1'!$J48="",INDEX(LISTA_EX,116),INDEX(LISTA_EX,MATCH('T1'!$J48&amp;"|"&amp;116,LISTA_KLUCZ,0))),"")</f>
        <v>OH skullcrushers</v>
      </c>
      <c r="DO48" s="5" t="str">
        <f t="array" ref="DO48">IFERROR(IF('T1'!$J48="",INDEX(LISTA_EX,117),INDEX(LISTA_EX,MATCH('T1'!$J48&amp;"|"&amp;117,LISTA_KLUCZ,0))),"")</f>
        <v>OHP barbell squat 15kg</v>
      </c>
      <c r="DP48" s="5" t="str">
        <f t="array" ref="DP48">IFERROR(IF('T1'!$J48="",INDEX(LISTA_EX,118),INDEX(LISTA_EX,MATCH('T1'!$J48&amp;"|"&amp;118,LISTA_KLUCZ,0))),"")</f>
        <v>Pistol squat eccentric</v>
      </c>
      <c r="DQ48" s="5" t="str">
        <f t="array" ref="DQ48">IFERROR(IF('T1'!$J48="",INDEX(LISTA_EX,119),INDEX(LISTA_EX,MATCH('T1'!$J48&amp;"|"&amp;119,LISTA_KLUCZ,0))),"")</f>
        <v>Plank contralateral</v>
      </c>
      <c r="DR48" s="5" t="str">
        <f t="array" ref="DR48">IFERROR(IF('T1'!$J48="",INDEX(LISTA_EX,120),INDEX(LISTA_EX,MATCH('T1'!$J48&amp;"|"&amp;120,LISTA_KLUCZ,0))),"")</f>
        <v>Plank dumbbell rotation</v>
      </c>
      <c r="DS48" s="5" t="str">
        <f t="array" ref="DS48">IFERROR(IF('T1'!$J48="",INDEX(LISTA_EX,121),INDEX(LISTA_EX,MATCH('T1'!$J48&amp;"|"&amp;121,LISTA_KLUCZ,0))),"")</f>
        <v>Plank leg raises</v>
      </c>
      <c r="DT48" s="5" t="str">
        <f t="array" ref="DT48">IFERROR(IF('T1'!$J48="",INDEX(LISTA_EX,122),INDEX(LISTA_EX,MATCH('T1'!$J48&amp;"|"&amp;122,LISTA_KLUCZ,0))),"")</f>
        <v>Poliquin step up</v>
      </c>
      <c r="DU48" s="5" t="str">
        <f t="array" ref="DU48">IFERROR(IF('T1'!$J48="",INDEX(LISTA_EX,123),INDEX(LISTA_EX,MATCH('T1'!$J48&amp;"|"&amp;123,LISTA_KLUCZ,0))),"")</f>
        <v>Poliquin step up paused 3sec</v>
      </c>
      <c r="DV48" s="5" t="str">
        <f t="array" ref="DV48">IFERROR(IF('T1'!$J48="",INDEX(LISTA_EX,124),INDEX(LISTA_EX,MATCH('T1'!$J48&amp;"|"&amp;124,LISTA_KLUCZ,0))),"")</f>
        <v>Pronation/Supination</v>
      </c>
      <c r="DW48" s="5" t="str">
        <f t="array" ref="DW48">IFERROR(IF('T1'!$J48="",INDEX(LISTA_EX,125),INDEX(LISTA_EX,MATCH('T1'!$J48&amp;"|"&amp;125,LISTA_KLUCZ,0))),"")</f>
        <v>Pull up</v>
      </c>
      <c r="DX48" s="5" t="str">
        <f t="array" ref="DX48">IFERROR(IF('T1'!$J48="",INDEX(LISTA_EX,126),INDEX(LISTA_EX,MATCH('T1'!$J48&amp;"|"&amp;126,LISTA_KLUCZ,0))),"")</f>
        <v>Pull up eccentric weighted</v>
      </c>
      <c r="DY48" s="5" t="str">
        <f t="array" ref="DY48">IFERROR(IF('T1'!$J48="",INDEX(LISTA_EX,127),INDEX(LISTA_EX,MATCH('T1'!$J48&amp;"|"&amp;127,LISTA_KLUCZ,0))),"")</f>
        <v>Pull up eccentric weighted (5 sek w dół)</v>
      </c>
      <c r="DZ48" s="5" t="str">
        <f t="array" ref="DZ48">IFERROR(IF('T1'!$J48="",INDEX(LISTA_EX,128),INDEX(LISTA_EX,MATCH('T1'!$J48&amp;"|"&amp;128,LISTA_KLUCZ,0))),"")</f>
        <v>Pull up weighted</v>
      </c>
      <c r="EA48" s="5" t="str">
        <f t="array" ref="EA48">IFERROR(IF('T1'!$J48="",INDEX(LISTA_EX,129),INDEX(LISTA_EX,MATCH('T1'!$J48&amp;"|"&amp;129,LISTA_KLUCZ,0))),"")</f>
        <v>Pull ups (paused)</v>
      </c>
      <c r="EB48" s="5" t="str">
        <f t="array" ref="EB48">IFERROR(IF('T1'!$J48="",INDEX(LISTA_EX,130),INDEX(LISTA_EX,MATCH('T1'!$J48&amp;"|"&amp;130,LISTA_KLUCZ,0))),"")</f>
        <v>Push press barbell</v>
      </c>
      <c r="EC48" s="5" t="str">
        <f t="array" ref="EC48">IFERROR(IF('T1'!$J48="",INDEX(LISTA_EX,131),INDEX(LISTA_EX,MATCH('T1'!$J48&amp;"|"&amp;131,LISTA_KLUCZ,0))),"")</f>
        <v>Push up</v>
      </c>
      <c r="ED48" s="5" t="str">
        <f t="array" ref="ED48">IFERROR(IF('T1'!$J48="",INDEX(LISTA_EX,132),INDEX(LISTA_EX,MATCH('T1'!$J48&amp;"|"&amp;132,LISTA_KLUCZ,0))),"")</f>
        <v>Raised bird dog</v>
      </c>
      <c r="EE48" s="5" t="str">
        <f t="array" ref="EE48">IFERROR(IF('T1'!$J48="",INDEX(LISTA_EX,133),INDEX(LISTA_EX,MATCH('T1'!$J48&amp;"|"&amp;133,LISTA_KLUCZ,0))),"")</f>
        <v>RDL</v>
      </c>
      <c r="EF48" s="5" t="str">
        <f t="array" ref="EF48">IFERROR(IF('T1'!$J48="",INDEX(LISTA_EX,134),INDEX(LISTA_EX,MATCH('T1'!$J48&amp;"|"&amp;134,LISTA_KLUCZ,0))),"")</f>
        <v>Reverse Nordic</v>
      </c>
      <c r="EG48" s="5" t="str">
        <f t="array" ref="EG48">IFERROR(IF('T1'!$J48="",INDEX(LISTA_EX,135),INDEX(LISTA_EX,MATCH('T1'!$J48&amp;"|"&amp;135,LISTA_KLUCZ,0))),"")</f>
        <v>Rope pushdown</v>
      </c>
      <c r="EH48" s="5" t="str">
        <f t="array" ref="EH48">IFERROR(IF('T1'!$J48="",INDEX(LISTA_EX,136),INDEX(LISTA_EX,MATCH('T1'!$J48&amp;"|"&amp;136,LISTA_KLUCZ,0))),"")</f>
        <v>Rope pushdown OH</v>
      </c>
      <c r="EI48" s="5" t="str">
        <f t="array" ref="EI48">IFERROR(IF('T1'!$J48="",INDEX(LISTA_EX,137),INDEX(LISTA_EX,MATCH('T1'!$J48&amp;"|"&amp;137,LISTA_KLUCZ,0))),"")</f>
        <v>S/a cable pulldown incline bench</v>
      </c>
      <c r="EJ48" s="5" t="str">
        <f t="array" ref="EJ48">IFERROR(IF('T1'!$J48="",INDEX(LISTA_EX,138),INDEX(LISTA_EX,MATCH('T1'!$J48&amp;"|"&amp;138,LISTA_KLUCZ,0))),"")</f>
        <v>S/a lat pulldown incline bench</v>
      </c>
      <c r="EK48" s="5" t="str">
        <f t="array" ref="EK48">IFERROR(IF('T1'!$J48="",INDEX(LISTA_EX,139),INDEX(LISTA_EX,MATCH('T1'!$J48&amp;"|"&amp;139,LISTA_KLUCZ,0))),"")</f>
        <v>S/l dragonflag eccentric</v>
      </c>
      <c r="EL48" s="5" t="str">
        <f t="array" ref="EL48">IFERROR(IF('T1'!$J48="",INDEX(LISTA_EX,140),INDEX(LISTA_EX,MATCH('T1'!$J48&amp;"|"&amp;140,LISTA_KLUCZ,0))),"")</f>
        <v>S/l hip thrust</v>
      </c>
      <c r="EM48" s="5" t="str">
        <f t="array" ref="EM48">IFERROR(IF('T1'!$J48="",INDEX(LISTA_EX,141),INDEX(LISTA_EX,MATCH('T1'!$J48&amp;"|"&amp;141,LISTA_KLUCZ,0))),"")</f>
        <v>Seated broad jump</v>
      </c>
      <c r="EN48" s="5" t="str">
        <f t="array" ref="EN48">IFERROR(IF('T1'!$J48="",INDEX(LISTA_EX,142),INDEX(LISTA_EX,MATCH('T1'!$J48&amp;"|"&amp;142,LISTA_KLUCZ,0))),"")</f>
        <v>Seated cable facepull</v>
      </c>
      <c r="EO48" s="5" t="str">
        <f t="array" ref="EO48">IFERROR(IF('T1'!$J48="",INDEX(LISTA_EX,143),INDEX(LISTA_EX,MATCH('T1'!$J48&amp;"|"&amp;143,LISTA_KLUCZ,0))),"")</f>
        <v>Seated seesaw press (nogi proste)</v>
      </c>
      <c r="EP48" s="5" t="str">
        <f t="array" ref="EP48">IFERROR(IF('T1'!$J48="",INDEX(LISTA_EX,144),INDEX(LISTA_EX,MATCH('T1'!$J48&amp;"|"&amp;144,LISTA_KLUCZ,0))),"")</f>
        <v>Seesaw press</v>
      </c>
      <c r="EQ48" s="5" t="str">
        <f t="array" ref="EQ48">IFERROR(IF('T1'!$J48="",INDEX(LISTA_EX,145),INDEX(LISTA_EX,MATCH('T1'!$J48&amp;"|"&amp;145,LISTA_KLUCZ,0))),"")</f>
        <v>Side crunches</v>
      </c>
      <c r="ER48" s="5" t="str">
        <f t="array" ref="ER48">IFERROR(IF('T1'!$J48="",INDEX(LISTA_EX,146),INDEX(LISTA_EX,MATCH('T1'!$J48&amp;"|"&amp;146,LISTA_KLUCZ,0))),"")</f>
        <v>Side plank hip drop</v>
      </c>
      <c r="ES48" s="5" t="str">
        <f t="array" ref="ES48">IFERROR(IF('T1'!$J48="",INDEX(LISTA_EX,147),INDEX(LISTA_EX,MATCH('T1'!$J48&amp;"|"&amp;147,LISTA_KLUCZ,0))),"")</f>
        <v>Side plank rotations</v>
      </c>
      <c r="ET48" s="5" t="str">
        <f t="array" ref="ET48">IFERROR(IF('T1'!$J48="",INDEX(LISTA_EX,148),INDEX(LISTA_EX,MATCH('T1'!$J48&amp;"|"&amp;148,LISTA_KLUCZ,0))),"")</f>
        <v>SLDL balance</v>
      </c>
      <c r="EU48" s="5" t="str">
        <f t="array" ref="EU48">IFERROR(IF('T1'!$J48="",INDEX(LISTA_EX,149),INDEX(LISTA_EX,MATCH('T1'!$J48&amp;"|"&amp;149,LISTA_KLUCZ,0))),"")</f>
        <v>Split squat</v>
      </c>
      <c r="EV48" s="5" t="str">
        <f t="array" ref="EV48">IFERROR(IF('T1'!$J48="",INDEX(LISTA_EX,150),INDEX(LISTA_EX,MATCH('T1'!$J48&amp;"|"&amp;150,LISTA_KLUCZ,0))),"")</f>
        <v>Split stance SLDL</v>
      </c>
      <c r="EW48" s="5" t="str">
        <f t="array" ref="EW48">IFERROR(IF('T1'!$J48="",INDEX(LISTA_EX,151),INDEX(LISTA_EX,MATCH('T1'!$J48&amp;"|"&amp;151,LISTA_KLUCZ,0))),"")</f>
        <v>Squat izo (15 sek)</v>
      </c>
      <c r="EX48" s="5" t="str">
        <f t="array" ref="EX48">IFERROR(IF('T1'!$J48="",INDEX(LISTA_EX,152),INDEX(LISTA_EX,MATCH('T1'!$J48&amp;"|"&amp;152,LISTA_KLUCZ,0))),"")</f>
        <v>Standing landmine press</v>
      </c>
      <c r="EY48" s="5" t="str">
        <f t="array" ref="EY48">IFERROR(IF('T1'!$J48="",INDEX(LISTA_EX,153),INDEX(LISTA_EX,MATCH('T1'!$J48&amp;"|"&amp;153,LISTA_KLUCZ,0))),"")</f>
        <v>Suitcase carry</v>
      </c>
      <c r="EZ48" s="5" t="str">
        <f t="array" ref="EZ48">IFERROR(IF('T1'!$J48="",INDEX(LISTA_EX,154),INDEX(LISTA_EX,MATCH('T1'!$J48&amp;"|"&amp;154,LISTA_KLUCZ,0))),"")</f>
        <v>Supine pigeon abs</v>
      </c>
      <c r="FA48" s="5" t="str">
        <f t="array" ref="FA48">IFERROR(IF('T1'!$J48="",INDEX(LISTA_EX,155),INDEX(LISTA_EX,MATCH('T1'!$J48&amp;"|"&amp;155,LISTA_KLUCZ,0))),"")</f>
        <v>Swiss ball leg curl</v>
      </c>
      <c r="FB48" s="5" t="str">
        <f t="array" ref="FB48">IFERROR(IF('T1'!$J48="",INDEX(LISTA_EX,156),INDEX(LISTA_EX,MATCH('T1'!$J48&amp;"|"&amp;156,LISTA_KLUCZ,0))),"")</f>
        <v>Toes to bar</v>
      </c>
      <c r="FC48" s="5" t="str">
        <f t="array" ref="FC48">IFERROR(IF('T1'!$J48="",INDEX(LISTA_EX,157),INDEX(LISTA_EX,MATCH('T1'!$J48&amp;"|"&amp;157,LISTA_KLUCZ,0))),"")</f>
        <v>Trap bar deadlift</v>
      </c>
      <c r="FD48" s="5" t="str">
        <f t="array" ref="FD48">IFERROR(IF('T1'!$J48="",INDEX(LISTA_EX,158),INDEX(LISTA_EX,MATCH('T1'!$J48&amp;"|"&amp;158,LISTA_KLUCZ,0))),"")</f>
        <v>Tricep cable pushdown</v>
      </c>
      <c r="FE48" s="5" t="str">
        <f t="array" ref="FE48">IFERROR(IF('T1'!$J48="",INDEX(LISTA_EX,159),INDEX(LISTA_EX,MATCH('T1'!$J48&amp;"|"&amp;159,LISTA_KLUCZ,0))),"")</f>
        <v>Tricep JM press</v>
      </c>
      <c r="FF48" s="5" t="str">
        <f t="array" ref="FF48">IFERROR(IF('T1'!$J48="",INDEX(LISTA_EX,160),INDEX(LISTA_EX,MATCH('T1'!$J48&amp;"|"&amp;160,LISTA_KLUCZ,0))),"")</f>
        <v>Tricep OH cable</v>
      </c>
      <c r="FG48" s="5" t="str">
        <f t="array" ref="FG48">IFERROR(IF('T1'!$J48="",INDEX(LISTA_EX,161),INDEX(LISTA_EX,MATCH('T1'!$J48&amp;"|"&amp;161,LISTA_KLUCZ,0))),"")</f>
        <v>Tricep OH ez bar</v>
      </c>
      <c r="FH48" s="5" t="str">
        <f t="array" ref="FH48">IFERROR(IF('T1'!$J48="",INDEX(LISTA_EX,162),INDEX(LISTA_EX,MATCH('T1'!$J48&amp;"|"&amp;162,LISTA_KLUCZ,0))),"")</f>
        <v>Walking lunges</v>
      </c>
      <c r="FI48" s="5" t="str">
        <f t="array" ref="FI48">IFERROR(IF('T1'!$J48="",INDEX(LISTA_EX,163),INDEX(LISTA_EX,MATCH('T1'!$J48&amp;"|"&amp;163,LISTA_KLUCZ,0))),"")</f>
        <v>Wipers kettle</v>
      </c>
      <c r="FJ48" s="5" t="str">
        <f t="array" ref="FJ48">IFERROR(IF('T1'!$J48="",INDEX(LISTA_EX,164),INDEX(LISTA_EX,MATCH('T1'!$J48&amp;"|"&amp;164,LISTA_KLUCZ,0))),"")</f>
        <v>Zercher jumps</v>
      </c>
      <c r="FK48" s="5" t="str">
        <f t="array" ref="FK48">IFERROR(IF('T1'!$J48="",INDEX(LISTA_EX,165),INDEX(LISTA_EX,MATCH('T1'!$J48&amp;"|"&amp;165,LISTA_KLUCZ,0))),"")</f>
        <v/>
      </c>
      <c r="FL48" s="5" t="str">
        <f t="array" ref="FL48">IFERROR(IF('T1'!$J48="",INDEX(LISTA_EX,166),INDEX(LISTA_EX,MATCH('T1'!$J48&amp;"|"&amp;166,LISTA_KLUCZ,0))),"")</f>
        <v/>
      </c>
      <c r="FM48" s="5" t="str">
        <f t="array" ref="FM48">IFERROR(IF('T1'!$J48="",INDEX(LISTA_EX,167),INDEX(LISTA_EX,MATCH('T1'!$J48&amp;"|"&amp;167,LISTA_KLUCZ,0))),"")</f>
        <v/>
      </c>
      <c r="FN48" s="5" t="str">
        <f t="array" ref="FN48">IFERROR(IF('T1'!$J48="",INDEX(LISTA_EX,168),INDEX(LISTA_EX,MATCH('T1'!$J48&amp;"|"&amp;168,LISTA_KLUCZ,0))),"")</f>
        <v/>
      </c>
      <c r="FO48" s="5" t="str">
        <f t="array" ref="FO48">IFERROR(IF('T1'!$J48="",INDEX(LISTA_EX,169),INDEX(LISTA_EX,MATCH('T1'!$J48&amp;"|"&amp;169,LISTA_KLUCZ,0))),"")</f>
        <v/>
      </c>
      <c r="FP48" s="5" t="str">
        <f t="array" ref="FP48">IFERROR(IF('T1'!$J48="",INDEX(LISTA_EX,170),INDEX(LISTA_EX,MATCH('T1'!$J48&amp;"|"&amp;170,LISTA_KLUCZ,0))),"")</f>
        <v/>
      </c>
      <c r="FQ48" s="5" t="str">
        <f t="array" ref="FQ48">IFERROR(IF('T1'!$J48="",INDEX(LISTA_EX,171),INDEX(LISTA_EX,MATCH('T1'!$J48&amp;"|"&amp;171,LISTA_KLUCZ,0))),"")</f>
        <v/>
      </c>
      <c r="FR48" s="5" t="str">
        <f t="array" ref="FR48">IFERROR(IF('T1'!$J48="",INDEX(LISTA_EX,172),INDEX(LISTA_EX,MATCH('T1'!$J48&amp;"|"&amp;172,LISTA_KLUCZ,0))),"")</f>
        <v/>
      </c>
      <c r="FS48" s="5" t="str">
        <f t="array" ref="FS48">IFERROR(IF('T1'!$J48="",INDEX(LISTA_EX,173),INDEX(LISTA_EX,MATCH('T1'!$J48&amp;"|"&amp;173,LISTA_KLUCZ,0))),"")</f>
        <v/>
      </c>
      <c r="FT48" s="5" t="str">
        <f t="array" ref="FT48">IFERROR(IF('T1'!$J48="",INDEX(LISTA_EX,174),INDEX(LISTA_EX,MATCH('T1'!$J48&amp;"|"&amp;174,LISTA_KLUCZ,0))),"")</f>
        <v/>
      </c>
      <c r="FU48" s="5" t="str">
        <f t="array" ref="FU48">IFERROR(IF('T1'!$J48="",INDEX(LISTA_EX,175),INDEX(LISTA_EX,MATCH('T1'!$J48&amp;"|"&amp;175,LISTA_KLUCZ,0))),"")</f>
        <v/>
      </c>
      <c r="FV48" s="5" t="str">
        <f t="array" ref="FV48">IFERROR(IF('T1'!$J48="",INDEX(LISTA_EX,176),INDEX(LISTA_EX,MATCH('T1'!$J48&amp;"|"&amp;176,LISTA_KLUCZ,0))),"")</f>
        <v/>
      </c>
      <c r="FW48" s="5" t="str">
        <f t="array" ref="FW48">IFERROR(IF('T1'!$J48="",INDEX(LISTA_EX,177),INDEX(LISTA_EX,MATCH('T1'!$J48&amp;"|"&amp;177,LISTA_KLUCZ,0))),"")</f>
        <v/>
      </c>
      <c r="FX48" s="5" t="str">
        <f t="array" ref="FX48">IFERROR(IF('T1'!$J48="",INDEX(LISTA_EX,178),INDEX(LISTA_EX,MATCH('T1'!$J48&amp;"|"&amp;178,LISTA_KLUCZ,0))),"")</f>
        <v/>
      </c>
      <c r="FY48" s="5" t="str">
        <f t="array" ref="FY48">IFERROR(IF('T1'!$J48="",INDEX(LISTA_EX,179),INDEX(LISTA_EX,MATCH('T1'!$J48&amp;"|"&amp;179,LISTA_KLUCZ,0))),"")</f>
        <v/>
      </c>
      <c r="FZ48" s="5" t="str">
        <f t="array" ref="FZ48">IFERROR(IF('T1'!$J48="",INDEX(LISTA_EX,180),INDEX(LISTA_EX,MATCH('T1'!$J48&amp;"|"&amp;180,LISTA_KLUCZ,0))),"")</f>
        <v/>
      </c>
      <c r="GA48" s="5" t="str">
        <f t="array" ref="GA48">IFERROR(IF('T1'!$J48="",INDEX(LISTA_EX,181),INDEX(LISTA_EX,MATCH('T1'!$J48&amp;"|"&amp;181,LISTA_KLUCZ,0))),"")</f>
        <v/>
      </c>
      <c r="GB48" s="5" t="str">
        <f t="array" ref="GB48">IFERROR(IF('T1'!$J48="",INDEX(LISTA_EX,182),INDEX(LISTA_EX,MATCH('T1'!$J48&amp;"|"&amp;182,LISTA_KLUCZ,0))),"")</f>
        <v/>
      </c>
      <c r="GC48" s="5" t="str">
        <f t="array" ref="GC48">IFERROR(IF('T1'!$J48="",INDEX(LISTA_EX,183),INDEX(LISTA_EX,MATCH('T1'!$J48&amp;"|"&amp;183,LISTA_KLUCZ,0))),"")</f>
        <v/>
      </c>
      <c r="GD48" s="5" t="str">
        <f t="array" ref="GD48">IFERROR(IF('T1'!$J48="",INDEX(LISTA_EX,184),INDEX(LISTA_EX,MATCH('T1'!$J48&amp;"|"&amp;184,LISTA_KLUCZ,0))),"")</f>
        <v/>
      </c>
      <c r="GE48" s="5" t="str">
        <f t="array" ref="GE48">IFERROR(IF('T1'!$J48="",INDEX(LISTA_EX,185),INDEX(LISTA_EX,MATCH('T1'!$J48&amp;"|"&amp;185,LISTA_KLUCZ,0))),"")</f>
        <v/>
      </c>
      <c r="GF48" s="5" t="str">
        <f t="array" ref="GF48">IFERROR(IF('T1'!$J48="",INDEX(LISTA_EX,186),INDEX(LISTA_EX,MATCH('T1'!$J48&amp;"|"&amp;186,LISTA_KLUCZ,0))),"")</f>
        <v/>
      </c>
      <c r="GG48" s="5" t="str">
        <f t="array" ref="GG48">IFERROR(IF('T1'!$J48="",INDEX(LISTA_EX,187),INDEX(LISTA_EX,MATCH('T1'!$J48&amp;"|"&amp;187,LISTA_KLUCZ,0))),"")</f>
        <v/>
      </c>
      <c r="GH48" s="5" t="str">
        <f t="array" ref="GH48">IFERROR(IF('T1'!$J48="",INDEX(LISTA_EX,188),INDEX(LISTA_EX,MATCH('T1'!$J48&amp;"|"&amp;188,LISTA_KLUCZ,0))),"")</f>
        <v/>
      </c>
      <c r="GI48" s="5" t="str">
        <f t="array" ref="GI48">IFERROR(IF('T1'!$J48="",INDEX(LISTA_EX,189),INDEX(LISTA_EX,MATCH('T1'!$J48&amp;"|"&amp;189,LISTA_KLUCZ,0))),"")</f>
        <v/>
      </c>
      <c r="GJ48" s="5" t="str">
        <f t="array" ref="GJ48">IFERROR(IF('T1'!$J48="",INDEX(LISTA_EX,190),INDEX(LISTA_EX,MATCH('T1'!$J48&amp;"|"&amp;190,LISTA_KLUCZ,0))),"")</f>
        <v/>
      </c>
      <c r="GK48" s="5" t="str">
        <f t="array" ref="GK48">IFERROR(IF('T1'!$J48="",INDEX(LISTA_EX,191),INDEX(LISTA_EX,MATCH('T1'!$J48&amp;"|"&amp;191,LISTA_KLUCZ,0))),"")</f>
        <v/>
      </c>
      <c r="GL48" s="5" t="str">
        <f t="array" ref="GL48">IFERROR(IF('T1'!$J48="",INDEX(LISTA_EX,192),INDEX(LISTA_EX,MATCH('T1'!$J48&amp;"|"&amp;192,LISTA_KLUCZ,0))),"")</f>
        <v/>
      </c>
      <c r="GM48" s="5" t="str">
        <f t="array" ref="GM48">IFERROR(IF('T1'!$J48="",INDEX(LISTA_EX,193),INDEX(LISTA_EX,MATCH('T1'!$J48&amp;"|"&amp;193,LISTA_KLUCZ,0))),"")</f>
        <v/>
      </c>
      <c r="GN48" s="5" t="str">
        <f t="array" ref="GN48">IFERROR(IF('T1'!$J48="",INDEX(LISTA_EX,194),INDEX(LISTA_EX,MATCH('T1'!$J48&amp;"|"&amp;194,LISTA_KLUCZ,0))),"")</f>
        <v/>
      </c>
      <c r="GO48" s="5" t="str">
        <f t="array" ref="GO48">IFERROR(IF('T1'!$J48="",INDEX(LISTA_EX,195),INDEX(LISTA_EX,MATCH('T1'!$J48&amp;"|"&amp;195,LISTA_KLUCZ,0))),"")</f>
        <v/>
      </c>
      <c r="GP48" s="5" t="str">
        <f t="array" ref="GP48">IFERROR(IF('T1'!$J48="",INDEX(LISTA_EX,196),INDEX(LISTA_EX,MATCH('T1'!$J48&amp;"|"&amp;196,LISTA_KLUCZ,0))),"")</f>
        <v/>
      </c>
      <c r="GQ48" s="5" t="str">
        <f t="array" ref="GQ48">IFERROR(IF('T1'!$J48="",INDEX(LISTA_EX,197),INDEX(LISTA_EX,MATCH('T1'!$J48&amp;"|"&amp;197,LISTA_KLUCZ,0))),"")</f>
        <v/>
      </c>
      <c r="GR48" s="5" t="str">
        <f t="array" ref="GR48">IFERROR(IF('T1'!$J48="",INDEX(LISTA_EX,198),INDEX(LISTA_EX,MATCH('T1'!$J48&amp;"|"&amp;198,LISTA_KLUCZ,0))),"")</f>
        <v/>
      </c>
      <c r="GS48" s="5" t="str">
        <f t="array" ref="GS48">IFERROR(IF('T1'!$J48="",INDEX(LISTA_EX,199),INDEX(LISTA_EX,MATCH('T1'!$J48&amp;"|"&amp;199,LISTA_KLUCZ,0))),"")</f>
        <v/>
      </c>
      <c r="GT48" s="5" t="str">
        <f t="array" ref="GT48">IFERROR(IF('T1'!$J48="",INDEX(LISTA_EX,200),INDEX(LISTA_EX,MATCH('T1'!$J48&amp;"|"&amp;200,LISTA_KLUCZ,0))),"")</f>
        <v/>
      </c>
      <c r="GV48" s="5" t="str">
        <f>IF(BAZA!$A48="","",BAZA!$A48)</f>
        <v>Dips weighted</v>
      </c>
      <c r="GW48" s="5" t="str">
        <f>IF(BAZA!$B48="","",BAZA!$B48&amp;"|"&amp;COUNTIF(BAZA!$B$3:$B48,BAZA!$B48))</f>
        <v>Upper push horizontal|7</v>
      </c>
    </row>
    <row r="49" ht="15.0" customHeight="1">
      <c r="A49" s="5" t="str">
        <f>IF('T1'!$K49="","",'T1'!$K49)</f>
        <v>D3-S11</v>
      </c>
      <c r="B49" s="5" t="str">
        <f>IF('T1'!$J49="","(wszystkie)",'T1'!$J49)</f>
        <v>(wszystkie)</v>
      </c>
      <c r="C49" s="5" t="str">
        <f t="array" ref="C49">IFERROR(IF('T1'!$J49="",INDEX(LISTA_EX,1),INDEX(LISTA_EX,MATCH('T1'!$J49&amp;"|"&amp;1,LISTA_KLUCZ,0))),"")</f>
        <v>Abduction machine</v>
      </c>
      <c r="D49" s="5" t="str">
        <f t="array" ref="D49">IFERROR(IF('T1'!$J49="",INDEX(LISTA_EX,2),INDEX(LISTA_EX,MATCH('T1'!$J49&amp;"|"&amp;2,LISTA_KLUCZ,0))),"")</f>
        <v>Adduction machine</v>
      </c>
      <c r="E49" s="5" t="str">
        <f t="array" ref="E49">IFERROR(IF('T1'!$J49="",INDEX(LISTA_EX,3),INDEX(LISTA_EX,MATCH('T1'!$J49&amp;"|"&amp;3,LISTA_KLUCZ,0))),"")</f>
        <v>Allah</v>
      </c>
      <c r="F49" s="5" t="str">
        <f t="array" ref="F49">IFERROR(IF('T1'!$J49="",INDEX(LISTA_EX,4),INDEX(LISTA_EX,MATCH('T1'!$J49&amp;"|"&amp;4,LISTA_KLUCZ,0))),"")</f>
        <v>Arnold press</v>
      </c>
      <c r="G49" s="5" t="str">
        <f t="array" ref="G49">IFERROR(IF('T1'!$J49="",INDEX(LISTA_EX,5),INDEX(LISTA_EX,MATCH('T1'!$J49&amp;"|"&amp;5,LISTA_KLUCZ,0))),"")</f>
        <v>Arnold press alternating</v>
      </c>
      <c r="H49" s="5" t="str">
        <f t="array" ref="H49">IFERROR(IF('T1'!$J49="",INDEX(LISTA_EX,6),INDEX(LISTA_EX,MATCH('T1'!$J49&amp;"|"&amp;6,LISTA_KLUCZ,0))),"")</f>
        <v>B/l dragonflag eccentric</v>
      </c>
      <c r="I49" s="5" t="str">
        <f t="array" ref="I49">IFERROR(IF('T1'!$J49="",INDEX(LISTA_EX,7),INDEX(LISTA_EX,MATCH('T1'!$J49&amp;"|"&amp;7,LISTA_KLUCZ,0))),"")</f>
        <v>Back extension</v>
      </c>
      <c r="J49" s="5" t="str">
        <f t="array" ref="J49">IFERROR(IF('T1'!$J49="",INDEX(LISTA_EX,8),INDEX(LISTA_EX,MATCH('T1'!$J49&amp;"|"&amp;8,LISTA_KLUCZ,0))),"")</f>
        <v>Banded pistol squat</v>
      </c>
      <c r="K49" s="5" t="str">
        <f t="array" ref="K49">IFERROR(IF('T1'!$J49="",INDEX(LISTA_EX,9),INDEX(LISTA_EX,MATCH('T1'!$J49&amp;"|"&amp;9,LISTA_KLUCZ,0))),"")</f>
        <v>Banded pull ups</v>
      </c>
      <c r="L49" s="5" t="str">
        <f t="array" ref="L49">IFERROR(IF('T1'!$J49="",INDEX(LISTA_EX,10),INDEX(LISTA_EX,MATCH('T1'!$J49&amp;"|"&amp;10,LISTA_KLUCZ,0))),"")</f>
        <v>Barbell back squat</v>
      </c>
      <c r="M49" s="5" t="str">
        <f t="array" ref="M49">IFERROR(IF('T1'!$J49="",INDEX(LISTA_EX,11),INDEX(LISTA_EX,MATCH('T1'!$J49&amp;"|"&amp;11,LISTA_KLUCZ,0))),"")</f>
        <v>Barbell bench press</v>
      </c>
      <c r="N49" s="5" t="str">
        <f t="array" ref="N49">IFERROR(IF('T1'!$J49="",INDEX(LISTA_EX,12),INDEX(LISTA_EX,MATCH('T1'!$J49&amp;"|"&amp;12,LISTA_KLUCZ,0))),"")</f>
        <v>Barbell curl</v>
      </c>
      <c r="O49" s="5" t="str">
        <f t="array" ref="O49">IFERROR(IF('T1'!$J49="",INDEX(LISTA_EX,13),INDEX(LISTA_EX,MATCH('T1'!$J49&amp;"|"&amp;13,LISTA_KLUCZ,0))),"")</f>
        <v>Barbell low bar squat</v>
      </c>
      <c r="P49" s="5" t="str">
        <f t="array" ref="P49">IFERROR(IF('T1'!$J49="",INDEX(LISTA_EX,14),INDEX(LISTA_EX,MATCH('T1'!$J49&amp;"|"&amp;14,LISTA_KLUCZ,0))),"")</f>
        <v>Barbell OHP</v>
      </c>
      <c r="Q49" s="5" t="str">
        <f t="array" ref="Q49">IFERROR(IF('T1'!$J49="",INDEX(LISTA_EX,15),INDEX(LISTA_EX,MATCH('T1'!$J49&amp;"|"&amp;15,LISTA_KLUCZ,0))),"")</f>
        <v>Barbell oscilation</v>
      </c>
      <c r="R49" s="5" t="str">
        <f t="array" ref="R49">IFERROR(IF('T1'!$J49="",INDEX(LISTA_EX,16),INDEX(LISTA_EX,MATCH('T1'!$J49&amp;"|"&amp;16,LISTA_KLUCZ,0))),"")</f>
        <v>Barbell row</v>
      </c>
      <c r="S49" s="5" t="str">
        <f t="array" ref="S49">IFERROR(IF('T1'!$J49="",INDEX(LISTA_EX,17),INDEX(LISTA_EX,MATCH('T1'!$J49&amp;"|"&amp;17,LISTA_KLUCZ,0))),"")</f>
        <v>Barbell row dead stop pins</v>
      </c>
      <c r="T49" s="5" t="str">
        <f t="array" ref="T49">IFERROR(IF('T1'!$J49="",INDEX(LISTA_EX,18),INDEX(LISTA_EX,MATCH('T1'!$J49&amp;"|"&amp;18,LISTA_KLUCZ,0))),"")</f>
        <v>Barbell SLDL</v>
      </c>
      <c r="U49" s="5" t="str">
        <f t="array" ref="U49">IFERROR(IF('T1'!$J49="",INDEX(LISTA_EX,19),INDEX(LISTA_EX,MATCH('T1'!$J49&amp;"|"&amp;19,LISTA_KLUCZ,0))),"")</f>
        <v>Bayesian curl</v>
      </c>
      <c r="V49" s="5" t="str">
        <f t="array" ref="V49">IFERROR(IF('T1'!$J49="",INDEX(LISTA_EX,20),INDEX(LISTA_EX,MATCH('T1'!$J49&amp;"|"&amp;20,LISTA_KLUCZ,0))),"")</f>
        <v>Bear renegade row</v>
      </c>
      <c r="W49" s="5" t="str">
        <f t="array" ref="W49">IFERROR(IF('T1'!$J49="",INDEX(LISTA_EX,21),INDEX(LISTA_EX,MATCH('T1'!$J49&amp;"|"&amp;21,LISTA_KLUCZ,0))),"")</f>
        <v>Bench press paused 3sec</v>
      </c>
      <c r="X49" s="5" t="str">
        <f t="array" ref="X49">IFERROR(IF('T1'!$J49="",INDEX(LISTA_EX,22),INDEX(LISTA_EX,MATCH('T1'!$J49&amp;"|"&amp;22,LISTA_KLUCZ,0))),"")</f>
        <v>Bicep hammer curl</v>
      </c>
      <c r="Y49" s="5" t="str">
        <f t="array" ref="Y49">IFERROR(IF('T1'!$J49="",INDEX(LISTA_EX,23),INDEX(LISTA_EX,MATCH('T1'!$J49&amp;"|"&amp;23,LISTA_KLUCZ,0))),"")</f>
        <v>Bicep squat cable curl</v>
      </c>
      <c r="Z49" s="5" t="str">
        <f t="array" ref="Z49">IFERROR(IF('T1'!$J49="",INDEX(LISTA_EX,24),INDEX(LISTA_EX,MATCH('T1'!$J49&amp;"|"&amp;24,LISTA_KLUCZ,0))),"")</f>
        <v>Bird dog row</v>
      </c>
      <c r="AA49" s="5" t="str">
        <f t="array" ref="AA49">IFERROR(IF('T1'!$J49="",INDEX(LISTA_EX,25),INDEX(LISTA_EX,MATCH('T1'!$J49&amp;"|"&amp;25,LISTA_KLUCZ,0))),"")</f>
        <v>Box jump</v>
      </c>
      <c r="AB49" s="5" t="str">
        <f t="array" ref="AB49">IFERROR(IF('T1'!$J49="",INDEX(LISTA_EX,26),INDEX(LISTA_EX,MATCH('T1'!$J49&amp;"|"&amp;26,LISTA_KLUCZ,0))),"")</f>
        <v>Bulgarian clean plyo</v>
      </c>
      <c r="AC49" s="5" t="str">
        <f t="array" ref="AC49">IFERROR(IF('T1'!$J49="",INDEX(LISTA_EX,27),INDEX(LISTA_EX,MATCH('T1'!$J49&amp;"|"&amp;27,LISTA_KLUCZ,0))),"")</f>
        <v>Bulgarian squat assisted</v>
      </c>
      <c r="AD49" s="5" t="str">
        <f t="array" ref="AD49">IFERROR(IF('T1'!$J49="",INDEX(LISTA_EX,28),INDEX(LISTA_EX,MATCH('T1'!$J49&amp;"|"&amp;28,LISTA_KLUCZ,0))),"")</f>
        <v>Cable biceps curl</v>
      </c>
      <c r="AE49" s="5" t="str">
        <f t="array" ref="AE49">IFERROR(IF('T1'!$J49="",INDEX(LISTA_EX,29),INDEX(LISTA_EX,MATCH('T1'!$J49&amp;"|"&amp;29,LISTA_KLUCZ,0))),"")</f>
        <v>Cable fly</v>
      </c>
      <c r="AF49" s="5" t="str">
        <f t="array" ref="AF49">IFERROR(IF('T1'!$J49="",INDEX(LISTA_EX,30),INDEX(LISTA_EX,MATCH('T1'!$J49&amp;"|"&amp;30,LISTA_KLUCZ,0))),"")</f>
        <v>Cable lateral raise s/a</v>
      </c>
      <c r="AG49" s="5" t="str">
        <f t="array" ref="AG49">IFERROR(IF('T1'!$J49="",INDEX(LISTA_EX,31),INDEX(LISTA_EX,MATCH('T1'!$J49&amp;"|"&amp;31,LISTA_KLUCZ,0))),"")</f>
        <v>Cable row</v>
      </c>
      <c r="AH49" s="5" t="str">
        <f t="array" ref="AH49">IFERROR(IF('T1'!$J49="",INDEX(LISTA_EX,32),INDEX(LISTA_EX,MATCH('T1'!$J49&amp;"|"&amp;32,LISTA_KLUCZ,0))),"")</f>
        <v>Cable row s/a</v>
      </c>
      <c r="AI49" s="5" t="str">
        <f t="array" ref="AI49">IFERROR(IF('T1'!$J49="",INDEX(LISTA_EX,33),INDEX(LISTA_EX,MATCH('T1'!$J49&amp;"|"&amp;33,LISTA_KLUCZ,0))),"")</f>
        <v>Calf raises</v>
      </c>
      <c r="AJ49" s="5" t="str">
        <f t="array" ref="AJ49">IFERROR(IF('T1'!$J49="",INDEX(LISTA_EX,34),INDEX(LISTA_EX,MATCH('T1'!$J49&amp;"|"&amp;34,LISTA_KLUCZ,0))),"")</f>
        <v>Chest fly machine</v>
      </c>
      <c r="AK49" s="5" t="str">
        <f t="array" ref="AK49">IFERROR(IF('T1'!$J49="",INDEX(LISTA_EX,35),INDEX(LISTA_EX,MATCH('T1'!$J49&amp;"|"&amp;35,LISTA_KLUCZ,0))),"")</f>
        <v>Clean</v>
      </c>
      <c r="AL49" s="5" t="str">
        <f t="array" ref="AL49">IFERROR(IF('T1'!$J49="",INDEX(LISTA_EX,36),INDEX(LISTA_EX,MATCH('T1'!$J49&amp;"|"&amp;36,LISTA_KLUCZ,0))),"")</f>
        <v>Clean pins</v>
      </c>
      <c r="AM49" s="5" t="str">
        <f t="array" ref="AM49">IFERROR(IF('T1'!$J49="",INDEX(LISTA_EX,37),INDEX(LISTA_EX,MATCH('T1'!$J49&amp;"|"&amp;37,LISTA_KLUCZ,0))),"")</f>
        <v>Copenhagen plank</v>
      </c>
      <c r="AN49" s="5" t="str">
        <f t="array" ref="AN49">IFERROR(IF('T1'!$J49="",INDEX(LISTA_EX,38),INDEX(LISTA_EX,MATCH('T1'!$J49&amp;"|"&amp;38,LISTA_KLUCZ,0))),"")</f>
        <v>Dead bug izo + OH</v>
      </c>
      <c r="AO49" s="5" t="str">
        <f t="array" ref="AO49">IFERROR(IF('T1'!$J49="",INDEX(LISTA_EX,39),INDEX(LISTA_EX,MATCH('T1'!$J49&amp;"|"&amp;39,LISTA_KLUCZ,0))),"")</f>
        <v>Dead bug straight legs</v>
      </c>
      <c r="AP49" s="5" t="str">
        <f t="array" ref="AP49">IFERROR(IF('T1'!$J49="",INDEX(LISTA_EX,40),INDEX(LISTA_EX,MATCH('T1'!$J49&amp;"|"&amp;40,LISTA_KLUCZ,0))),"")</f>
        <v>Dead stop barbell row</v>
      </c>
      <c r="AQ49" s="5" t="str">
        <f t="array" ref="AQ49">IFERROR(IF('T1'!$J49="",INDEX(LISTA_EX,41),INDEX(LISTA_EX,MATCH('T1'!$J49&amp;"|"&amp;41,LISTA_KLUCZ,0))),"")</f>
        <v>Deadbug OH</v>
      </c>
      <c r="AR49" s="5" t="str">
        <f t="array" ref="AR49">IFERROR(IF('T1'!$J49="",INDEX(LISTA_EX,42),INDEX(LISTA_EX,MATCH('T1'!$J49&amp;"|"&amp;42,LISTA_KLUCZ,0))),"")</f>
        <v>Deadlift</v>
      </c>
      <c r="AS49" s="5" t="str">
        <f t="array" ref="AS49">IFERROR(IF('T1'!$J49="",INDEX(LISTA_EX,43),INDEX(LISTA_EX,MATCH('T1'!$J49&amp;"|"&amp;43,LISTA_KLUCZ,0))),"")</f>
        <v>Deficit push up</v>
      </c>
      <c r="AT49" s="5" t="str">
        <f t="array" ref="AT49">IFERROR(IF('T1'!$J49="",INDEX(LISTA_EX,44),INDEX(LISTA_EX,MATCH('T1'!$J49&amp;"|"&amp;44,LISTA_KLUCZ,0))),"")</f>
        <v>Deficit reverse lunge</v>
      </c>
      <c r="AU49" s="5" t="str">
        <f t="array" ref="AU49">IFERROR(IF('T1'!$J49="",INDEX(LISTA_EX,45),INDEX(LISTA_EX,MATCH('T1'!$J49&amp;"|"&amp;45,LISTA_KLUCZ,0))),"")</f>
        <v>Dips</v>
      </c>
      <c r="AV49" s="5" t="str">
        <f t="array" ref="AV49">IFERROR(IF('T1'!$J49="",INDEX(LISTA_EX,46),INDEX(LISTA_EX,MATCH('T1'!$J49&amp;"|"&amp;46,LISTA_KLUCZ,0))),"")</f>
        <v>Dips weighted</v>
      </c>
      <c r="AW49" s="5" t="str">
        <f t="array" ref="AW49">IFERROR(IF('T1'!$J49="",INDEX(LISTA_EX,47),INDEX(LISTA_EX,MATCH('T1'!$J49&amp;"|"&amp;47,LISTA_KLUCZ,0))),"")</f>
        <v>Dumbbell bench press</v>
      </c>
      <c r="AX49" s="5" t="str">
        <f t="array" ref="AX49">IFERROR(IF('T1'!$J49="",INDEX(LISTA_EX,48),INDEX(LISTA_EX,MATCH('T1'!$J49&amp;"|"&amp;48,LISTA_KLUCZ,0))),"")</f>
        <v>Dumbbell bench press alternating</v>
      </c>
      <c r="AY49" s="5" t="str">
        <f t="array" ref="AY49">IFERROR(IF('T1'!$J49="",INDEX(LISTA_EX,49),INDEX(LISTA_EX,MATCH('T1'!$J49&amp;"|"&amp;49,LISTA_KLUCZ,0))),"")</f>
        <v>Dumbbell curl</v>
      </c>
      <c r="AZ49" s="5" t="str">
        <f t="array" ref="AZ49">IFERROR(IF('T1'!$J49="",INDEX(LISTA_EX,50),INDEX(LISTA_EX,MATCH('T1'!$J49&amp;"|"&amp;50,LISTA_KLUCZ,0))),"")</f>
        <v>Dumbbell external rotation</v>
      </c>
      <c r="BA49" s="5" t="str">
        <f t="array" ref="BA49">IFERROR(IF('T1'!$J49="",INDEX(LISTA_EX,51),INDEX(LISTA_EX,MATCH('T1'!$J49&amp;"|"&amp;51,LISTA_KLUCZ,0))),"")</f>
        <v>Dumbbell face down curl</v>
      </c>
      <c r="BB49" s="5" t="str">
        <f t="array" ref="BB49">IFERROR(IF('T1'!$J49="",INDEX(LISTA_EX,52),INDEX(LISTA_EX,MATCH('T1'!$J49&amp;"|"&amp;52,LISTA_KLUCZ,0))),"")</f>
        <v>Dumbbell fly</v>
      </c>
      <c r="BC49" s="5" t="str">
        <f t="array" ref="BC49">IFERROR(IF('T1'!$J49="",INDEX(LISTA_EX,53),INDEX(LISTA_EX,MATCH('T1'!$J49&amp;"|"&amp;53,LISTA_KLUCZ,0))),"")</f>
        <v>Dumbbell french press</v>
      </c>
      <c r="BD49" s="5" t="str">
        <f t="array" ref="BD49">IFERROR(IF('T1'!$J49="",INDEX(LISTA_EX,54),INDEX(LISTA_EX,MATCH('T1'!$J49&amp;"|"&amp;54,LISTA_KLUCZ,0))),"")</f>
        <v>Dumbbell lateral raise</v>
      </c>
      <c r="BE49" s="5" t="str">
        <f t="array" ref="BE49">IFERROR(IF('T1'!$J49="",INDEX(LISTA_EX,55),INDEX(LISTA_EX,MATCH('T1'!$J49&amp;"|"&amp;55,LISTA_KLUCZ,0))),"")</f>
        <v>Dumbbell lunges</v>
      </c>
      <c r="BF49" s="5" t="str">
        <f t="array" ref="BF49">IFERROR(IF('T1'!$J49="",INDEX(LISTA_EX,56),INDEX(LISTA_EX,MATCH('T1'!$J49&amp;"|"&amp;56,LISTA_KLUCZ,0))),"")</f>
        <v>Dumbbell OH press</v>
      </c>
      <c r="BG49" s="5" t="str">
        <f t="array" ref="BG49">IFERROR(IF('T1'!$J49="",INDEX(LISTA_EX,57),INDEX(LISTA_EX,MATCH('T1'!$J49&amp;"|"&amp;57,LISTA_KLUCZ,0))),"")</f>
        <v>Dumbbell over head press</v>
      </c>
      <c r="BH49" s="5" t="str">
        <f t="array" ref="BH49">IFERROR(IF('T1'!$J49="",INDEX(LISTA_EX,58),INDEX(LISTA_EX,MATCH('T1'!$J49&amp;"|"&amp;58,LISTA_KLUCZ,0))),"")</f>
        <v>Dumbbell over head press alternating</v>
      </c>
      <c r="BI49" s="5" t="str">
        <f t="array" ref="BI49">IFERROR(IF('T1'!$J49="",INDEX(LISTA_EX,59),INDEX(LISTA_EX,MATCH('T1'!$J49&amp;"|"&amp;59,LISTA_KLUCZ,0))),"")</f>
        <v>Dumbbell row</v>
      </c>
      <c r="BJ49" s="5" t="str">
        <f t="array" ref="BJ49">IFERROR(IF('T1'!$J49="",INDEX(LISTA_EX,60),INDEX(LISTA_EX,MATCH('T1'!$J49&amp;"|"&amp;60,LISTA_KLUCZ,0))),"")</f>
        <v>Dumbbell s/a Arnold press</v>
      </c>
      <c r="BK49" s="5" t="str">
        <f t="array" ref="BK49">IFERROR(IF('T1'!$J49="",INDEX(LISTA_EX,61),INDEX(LISTA_EX,MATCH('T1'!$J49&amp;"|"&amp;61,LISTA_KLUCZ,0))),"")</f>
        <v>Dumbbell s/a row</v>
      </c>
      <c r="BL49" s="5" t="str">
        <f t="array" ref="BL49">IFERROR(IF('T1'!$J49="",INDEX(LISTA_EX,62),INDEX(LISTA_EX,MATCH('T1'!$J49&amp;"|"&amp;62,LISTA_KLUCZ,0))),"")</f>
        <v>Dumbbell seal row</v>
      </c>
      <c r="BM49" s="5" t="str">
        <f t="array" ref="BM49">IFERROR(IF('T1'!$J49="",INDEX(LISTA_EX,63),INDEX(LISTA_EX,MATCH('T1'!$J49&amp;"|"&amp;63,LISTA_KLUCZ,0))),"")</f>
        <v>Dumbbells jumps</v>
      </c>
      <c r="BN49" s="5" t="str">
        <f t="array" ref="BN49">IFERROR(IF('T1'!$J49="",INDEX(LISTA_EX,64),INDEX(LISTA_EX,MATCH('T1'!$J49&amp;"|"&amp;64,LISTA_KLUCZ,0))),"")</f>
        <v>Eccentric pull up</v>
      </c>
      <c r="BO49" s="5" t="str">
        <f t="array" ref="BO49">IFERROR(IF('T1'!$J49="",INDEX(LISTA_EX,65),INDEX(LISTA_EX,MATCH('T1'!$J49&amp;"|"&amp;65,LISTA_KLUCZ,0))),"")</f>
        <v>Eccentric push up (5 sek w dół)</v>
      </c>
      <c r="BP49" s="5" t="str">
        <f t="array" ref="BP49">IFERROR(IF('T1'!$J49="",INDEX(LISTA_EX,66),INDEX(LISTA_EX,MATCH('T1'!$J49&amp;"|"&amp;66,LISTA_KLUCZ,0))),"")</f>
        <v>Extensive plyo jumps s/l</v>
      </c>
      <c r="BQ49" s="5" t="str">
        <f t="array" ref="BQ49">IFERROR(IF('T1'!$J49="",INDEX(LISTA_EX,67),INDEX(LISTA_EX,MATCH('T1'!$J49&amp;"|"&amp;67,LISTA_KLUCZ,0))),"")</f>
        <v>Ez bar curl</v>
      </c>
      <c r="BR49" s="5" t="str">
        <f t="array" ref="BR49">IFERROR(IF('T1'!$J49="",INDEX(LISTA_EX,68),INDEX(LISTA_EX,MATCH('T1'!$J49&amp;"|"&amp;68,LISTA_KLUCZ,0))),"")</f>
        <v>Facepull chest supported</v>
      </c>
      <c r="BS49" s="5" t="str">
        <f t="array" ref="BS49">IFERROR(IF('T1'!$J49="",INDEX(LISTA_EX,69),INDEX(LISTA_EX,MATCH('T1'!$J49&amp;"|"&amp;69,LISTA_KLUCZ,0))),"")</f>
        <v>Front foot elevated split squat</v>
      </c>
      <c r="BT49" s="5" t="str">
        <f t="array" ref="BT49">IFERROR(IF('T1'!$J49="",INDEX(LISTA_EX,70),INDEX(LISTA_EX,MATCH('T1'!$J49&amp;"|"&amp;70,LISTA_KLUCZ,0))),"")</f>
        <v>Front squat</v>
      </c>
      <c r="BU49" s="5" t="str">
        <f t="array" ref="BU49">IFERROR(IF('T1'!$J49="",INDEX(LISTA_EX,71),INDEX(LISTA_EX,MATCH('T1'!$J49&amp;"|"&amp;71,LISTA_KLUCZ,0))),"")</f>
        <v>GHD flexion</v>
      </c>
      <c r="BV49" s="5" t="str">
        <f t="array" ref="BV49">IFERROR(IF('T1'!$J49="",INDEX(LISTA_EX,72),INDEX(LISTA_EX,MATCH('T1'!$J49&amp;"|"&amp;72,LISTA_KLUCZ,0))),"")</f>
        <v>Glute bridge hamstrings izo + OH</v>
      </c>
      <c r="BW49" s="5" t="str">
        <f t="array" ref="BW49">IFERROR(IF('T1'!$J49="",INDEX(LISTA_EX,73),INDEX(LISTA_EX,MATCH('T1'!$J49&amp;"|"&amp;73,LISTA_KLUCZ,0))),"")</f>
        <v>Glute crusher</v>
      </c>
      <c r="BX49" s="5" t="str">
        <f t="array" ref="BX49">IFERROR(IF('T1'!$J49="",INDEX(LISTA_EX,74),INDEX(LISTA_EX,MATCH('T1'!$J49&amp;"|"&amp;74,LISTA_KLUCZ,0))),"")</f>
        <v>Gorilla row</v>
      </c>
      <c r="BY49" s="5" t="str">
        <f t="array" ref="BY49">IFERROR(IF('T1'!$J49="",INDEX(LISTA_EX,75),INDEX(LISTA_EX,MATCH('T1'!$J49&amp;"|"&amp;75,LISTA_KLUCZ,0))),"")</f>
        <v>Halfkneeling s/a cable pull</v>
      </c>
      <c r="BZ49" s="5" t="str">
        <f t="array" ref="BZ49">IFERROR(IF('T1'!$J49="",INDEX(LISTA_EX,76),INDEX(LISTA_EX,MATCH('T1'!$J49&amp;"|"&amp;76,LISTA_KLUCZ,0))),"")</f>
        <v>Halfkneeling wood chopper</v>
      </c>
      <c r="CA49" s="5" t="str">
        <f t="array" ref="CA49">IFERROR(IF('T1'!$J49="",INDEX(LISTA_EX,77),INDEX(LISTA_EX,MATCH('T1'!$J49&amp;"|"&amp;77,LISTA_KLUCZ,0))),"")</f>
        <v>Hinged dumbbell row</v>
      </c>
      <c r="CB49" s="5" t="str">
        <f t="array" ref="CB49">IFERROR(IF('T1'!$J49="",INDEX(LISTA_EX,78),INDEX(LISTA_EX,MATCH('T1'!$J49&amp;"|"&amp;78,LISTA_KLUCZ,0))),"")</f>
        <v>Hip aeroplane</v>
      </c>
      <c r="CC49" s="5" t="str">
        <f t="array" ref="CC49">IFERROR(IF('T1'!$J49="",INDEX(LISTA_EX,79),INDEX(LISTA_EX,MATCH('T1'!$J49&amp;"|"&amp;79,LISTA_KLUCZ,0))),"")</f>
        <v>Hip flexors cable</v>
      </c>
      <c r="CD49" s="5" t="str">
        <f t="array" ref="CD49">IFERROR(IF('T1'!$J49="",INDEX(LISTA_EX,80),INDEX(LISTA_EX,MATCH('T1'!$J49&amp;"|"&amp;80,LISTA_KLUCZ,0))),"")</f>
        <v>Hip thrust barbell</v>
      </c>
      <c r="CE49" s="5" t="str">
        <f t="array" ref="CE49">IFERROR(IF('T1'!$J49="",INDEX(LISTA_EX,81),INDEX(LISTA_EX,MATCH('T1'!$J49&amp;"|"&amp;81,LISTA_KLUCZ,0))),"")</f>
        <v>Hollow body + OH</v>
      </c>
      <c r="CF49" s="5" t="str">
        <f t="array" ref="CF49">IFERROR(IF('T1'!$J49="",INDEX(LISTA_EX,82),INDEX(LISTA_EX,MATCH('T1'!$J49&amp;"|"&amp;82,LISTA_KLUCZ,0))),"")</f>
        <v>Horizontal jump</v>
      </c>
      <c r="CG49" s="5" t="str">
        <f t="array" ref="CG49">IFERROR(IF('T1'!$J49="",INDEX(LISTA_EX,83),INDEX(LISTA_EX,MATCH('T1'!$J49&amp;"|"&amp;83,LISTA_KLUCZ,0))),"")</f>
        <v>Incline bench lateral raise s/a</v>
      </c>
      <c r="CH49" s="5" t="str">
        <f t="array" ref="CH49">IFERROR(IF('T1'!$J49="",INDEX(LISTA_EX,84),INDEX(LISTA_EX,MATCH('T1'!$J49&amp;"|"&amp;84,LISTA_KLUCZ,0))),"")</f>
        <v>Incline curl + OHP</v>
      </c>
      <c r="CI49" s="5" t="str">
        <f t="array" ref="CI49">IFERROR(IF('T1'!$J49="",INDEX(LISTA_EX,85),INDEX(LISTA_EX,MATCH('T1'!$J49&amp;"|"&amp;85,LISTA_KLUCZ,0))),"")</f>
        <v>Incline dumbbell curl</v>
      </c>
      <c r="CJ49" s="5" t="str">
        <f t="array" ref="CJ49">IFERROR(IF('T1'!$J49="",INDEX(LISTA_EX,86),INDEX(LISTA_EX,MATCH('T1'!$J49&amp;"|"&amp;86,LISTA_KLUCZ,0))),"")</f>
        <v>Incline dumbbell curl (back)</v>
      </c>
      <c r="CK49" s="5" t="str">
        <f t="array" ref="CK49">IFERROR(IF('T1'!$J49="",INDEX(LISTA_EX,87),INDEX(LISTA_EX,MATCH('T1'!$J49&amp;"|"&amp;87,LISTA_KLUCZ,0))),"")</f>
        <v>Incline dumbbell curl (front)</v>
      </c>
      <c r="CL49" s="5" t="str">
        <f t="array" ref="CL49">IFERROR(IF('T1'!$J49="",INDEX(LISTA_EX,88),INDEX(LISTA_EX,MATCH('T1'!$J49&amp;"|"&amp;88,LISTA_KLUCZ,0))),"")</f>
        <v>Incline dumbbell fly</v>
      </c>
      <c r="CM49" s="5" t="str">
        <f t="array" ref="CM49">IFERROR(IF('T1'!$J49="",INDEX(LISTA_EX,89),INDEX(LISTA_EX,MATCH('T1'!$J49&amp;"|"&amp;89,LISTA_KLUCZ,0))),"")</f>
        <v>Incline dumbbell press</v>
      </c>
      <c r="CN49" s="5" t="str">
        <f t="array" ref="CN49">IFERROR(IF('T1'!$J49="",INDEX(LISTA_EX,90),INDEX(LISTA_EX,MATCH('T1'!$J49&amp;"|"&amp;90,LISTA_KLUCZ,0))),"")</f>
        <v>Incline dumbbell press alternating</v>
      </c>
      <c r="CO49" s="5" t="str">
        <f t="array" ref="CO49">IFERROR(IF('T1'!$J49="",INDEX(LISTA_EX,91),INDEX(LISTA_EX,MATCH('T1'!$J49&amp;"|"&amp;91,LISTA_KLUCZ,0))),"")</f>
        <v>Incline sit-ups</v>
      </c>
      <c r="CP49" s="5" t="str">
        <f t="array" ref="CP49">IFERROR(IF('T1'!$J49="",INDEX(LISTA_EX,92),INDEX(LISTA_EX,MATCH('T1'!$J49&amp;"|"&amp;92,LISTA_KLUCZ,0))),"")</f>
        <v>Jefferson cable</v>
      </c>
      <c r="CQ49" s="5" t="str">
        <f t="array" ref="CQ49">IFERROR(IF('T1'!$J49="",INDEX(LISTA_EX,93),INDEX(LISTA_EX,MATCH('T1'!$J49&amp;"|"&amp;93,LISTA_KLUCZ,0))),"")</f>
        <v>Kettlebell march</v>
      </c>
      <c r="CR49" s="5" t="str">
        <f t="array" ref="CR49">IFERROR(IF('T1'!$J49="",INDEX(LISTA_EX,94),INDEX(LISTA_EX,MATCH('T1'!$J49&amp;"|"&amp;94,LISTA_KLUCZ,0))),"")</f>
        <v>Kickbacks</v>
      </c>
      <c r="CS49" s="5" t="str">
        <f t="array" ref="CS49">IFERROR(IF('T1'!$J49="",INDEX(LISTA_EX,95),INDEX(LISTA_EX,MATCH('T1'!$J49&amp;"|"&amp;95,LISTA_KLUCZ,0))),"")</f>
        <v>Knee extension machine</v>
      </c>
      <c r="CT49" s="5" t="str">
        <f t="array" ref="CT49">IFERROR(IF('T1'!$J49="",INDEX(LISTA_EX,96),INDEX(LISTA_EX,MATCH('T1'!$J49&amp;"|"&amp;96,LISTA_KLUCZ,0))),"")</f>
        <v>Knee flexion machine</v>
      </c>
      <c r="CU49" s="5" t="str">
        <f t="array" ref="CU49">IFERROR(IF('T1'!$J49="",INDEX(LISTA_EX,97),INDEX(LISTA_EX,MATCH('T1'!$J49&amp;"|"&amp;97,LISTA_KLUCZ,0))),"")</f>
        <v>Knee raises</v>
      </c>
      <c r="CV49" s="5" t="str">
        <f t="array" ref="CV49">IFERROR(IF('T1'!$J49="",INDEX(LISTA_EX,98),INDEX(LISTA_EX,MATCH('T1'!$J49&amp;"|"&amp;98,LISTA_KLUCZ,0))),"")</f>
        <v>Landmine core</v>
      </c>
      <c r="CW49" s="5" t="str">
        <f t="array" ref="CW49">IFERROR(IF('T1'!$J49="",INDEX(LISTA_EX,99),INDEX(LISTA_EX,MATCH('T1'!$J49&amp;"|"&amp;99,LISTA_KLUCZ,0))),"")</f>
        <v>Landmine press</v>
      </c>
      <c r="CX49" s="5" t="str">
        <f t="array" ref="CX49">IFERROR(IF('T1'!$J49="",INDEX(LISTA_EX,100),INDEX(LISTA_EX,MATCH('T1'!$J49&amp;"|"&amp;100,LISTA_KLUCZ,0))),"")</f>
        <v>Landmine rotations (powtórzenia x2)</v>
      </c>
      <c r="CY49" s="5" t="str">
        <f t="array" ref="CY49">IFERROR(IF('T1'!$J49="",INDEX(LISTA_EX,101),INDEX(LISTA_EX,MATCH('T1'!$J49&amp;"|"&amp;101,LISTA_KLUCZ,0))),"")</f>
        <v>Landmine SLDL</v>
      </c>
      <c r="CZ49" s="5" t="str">
        <f t="array" ref="CZ49">IFERROR(IF('T1'!$J49="",INDEX(LISTA_EX,102),INDEX(LISTA_EX,MATCH('T1'!$J49&amp;"|"&amp;102,LISTA_KLUCZ,0))),"")</f>
        <v>Lat pulldown</v>
      </c>
      <c r="DA49" s="5" t="str">
        <f t="array" ref="DA49">IFERROR(IF('T1'!$J49="",INDEX(LISTA_EX,103),INDEX(LISTA_EX,MATCH('T1'!$J49&amp;"|"&amp;103,LISTA_KLUCZ,0))),"")</f>
        <v>Lat pulldown behind the head</v>
      </c>
      <c r="DB49" s="5" t="str">
        <f t="array" ref="DB49">IFERROR(IF('T1'!$J49="",INDEX(LISTA_EX,104),INDEX(LISTA_EX,MATCH('T1'!$J49&amp;"|"&amp;104,LISTA_KLUCZ,0))),"")</f>
        <v>Lat pulldown s/a</v>
      </c>
      <c r="DC49" s="5" t="str">
        <f t="array" ref="DC49">IFERROR(IF('T1'!$J49="",INDEX(LISTA_EX,105),INDEX(LISTA_EX,MATCH('T1'!$J49&amp;"|"&amp;105,LISTA_KLUCZ,0))),"")</f>
        <v>Lateral raise s/a</v>
      </c>
      <c r="DD49" s="5" t="str">
        <f t="array" ref="DD49">IFERROR(IF('T1'!$J49="",INDEX(LISTA_EX,106),INDEX(LISTA_EX,MATCH('T1'!$J49&amp;"|"&amp;106,LISTA_KLUCZ,0))),"")</f>
        <v>Lateral raises</v>
      </c>
      <c r="DE49" s="5" t="str">
        <f t="array" ref="DE49">IFERROR(IF('T1'!$J49="",INDEX(LISTA_EX,107),INDEX(LISTA_EX,MATCH('T1'!$J49&amp;"|"&amp;107,LISTA_KLUCZ,0))),"")</f>
        <v>Lateral raises 2</v>
      </c>
      <c r="DF49" s="5" t="str">
        <f t="array" ref="DF49">IFERROR(IF('T1'!$J49="",INDEX(LISTA_EX,108),INDEX(LISTA_EX,MATCH('T1'!$J49&amp;"|"&amp;108,LISTA_KLUCZ,0))),"")</f>
        <v>Lateral raises full ROM</v>
      </c>
      <c r="DG49" s="5" t="str">
        <f t="array" ref="DG49">IFERROR(IF('T1'!$J49="",INDEX(LISTA_EX,109),INDEX(LISTA_EX,MATCH('T1'!$J49&amp;"|"&amp;109,LISTA_KLUCZ,0))),"")</f>
        <v>Lateral raises hinged</v>
      </c>
      <c r="DH49" s="5" t="str">
        <f t="array" ref="DH49">IFERROR(IF('T1'!$J49="",INDEX(LISTA_EX,110),INDEX(LISTA_EX,MATCH('T1'!$J49&amp;"|"&amp;110,LISTA_KLUCZ,0))),"")</f>
        <v>Lateral raises incline s/a</v>
      </c>
      <c r="DI49" s="5" t="str">
        <f t="array" ref="DI49">IFERROR(IF('T1'!$J49="",INDEX(LISTA_EX,111),INDEX(LISTA_EX,MATCH('T1'!$J49&amp;"|"&amp;111,LISTA_KLUCZ,0))),"")</f>
        <v>Leg curl</v>
      </c>
      <c r="DJ49" s="5" t="str">
        <f t="array" ref="DJ49">IFERROR(IF('T1'!$J49="",INDEX(LISTA_EX,112),INDEX(LISTA_EX,MATCH('T1'!$J49&amp;"|"&amp;112,LISTA_KLUCZ,0))),"")</f>
        <v>Machine row</v>
      </c>
      <c r="DK49" s="5" t="str">
        <f t="array" ref="DK49">IFERROR(IF('T1'!$J49="",INDEX(LISTA_EX,113),INDEX(LISTA_EX,MATCH('T1'!$J49&amp;"|"&amp;113,LISTA_KLUCZ,0))),"")</f>
        <v>Machine row s/a</v>
      </c>
      <c r="DL49" s="5" t="str">
        <f t="array" ref="DL49">IFERROR(IF('T1'!$J49="",INDEX(LISTA_EX,114),INDEX(LISTA_EX,MATCH('T1'!$J49&amp;"|"&amp;114,LISTA_KLUCZ,0))),"")</f>
        <v>Meadows row</v>
      </c>
      <c r="DM49" s="5" t="str">
        <f t="array" ref="DM49">IFERROR(IF('T1'!$J49="",INDEX(LISTA_EX,115),INDEX(LISTA_EX,MATCH('T1'!$J49&amp;"|"&amp;115,LISTA_KLUCZ,0))),"")</f>
        <v>Med ball slam</v>
      </c>
      <c r="DN49" s="5" t="str">
        <f t="array" ref="DN49">IFERROR(IF('T1'!$J49="",INDEX(LISTA_EX,116),INDEX(LISTA_EX,MATCH('T1'!$J49&amp;"|"&amp;116,LISTA_KLUCZ,0))),"")</f>
        <v>OH skullcrushers</v>
      </c>
      <c r="DO49" s="5" t="str">
        <f t="array" ref="DO49">IFERROR(IF('T1'!$J49="",INDEX(LISTA_EX,117),INDEX(LISTA_EX,MATCH('T1'!$J49&amp;"|"&amp;117,LISTA_KLUCZ,0))),"")</f>
        <v>OHP barbell squat 15kg</v>
      </c>
      <c r="DP49" s="5" t="str">
        <f t="array" ref="DP49">IFERROR(IF('T1'!$J49="",INDEX(LISTA_EX,118),INDEX(LISTA_EX,MATCH('T1'!$J49&amp;"|"&amp;118,LISTA_KLUCZ,0))),"")</f>
        <v>Pistol squat eccentric</v>
      </c>
      <c r="DQ49" s="5" t="str">
        <f t="array" ref="DQ49">IFERROR(IF('T1'!$J49="",INDEX(LISTA_EX,119),INDEX(LISTA_EX,MATCH('T1'!$J49&amp;"|"&amp;119,LISTA_KLUCZ,0))),"")</f>
        <v>Plank contralateral</v>
      </c>
      <c r="DR49" s="5" t="str">
        <f t="array" ref="DR49">IFERROR(IF('T1'!$J49="",INDEX(LISTA_EX,120),INDEX(LISTA_EX,MATCH('T1'!$J49&amp;"|"&amp;120,LISTA_KLUCZ,0))),"")</f>
        <v>Plank dumbbell rotation</v>
      </c>
      <c r="DS49" s="5" t="str">
        <f t="array" ref="DS49">IFERROR(IF('T1'!$J49="",INDEX(LISTA_EX,121),INDEX(LISTA_EX,MATCH('T1'!$J49&amp;"|"&amp;121,LISTA_KLUCZ,0))),"")</f>
        <v>Plank leg raises</v>
      </c>
      <c r="DT49" s="5" t="str">
        <f t="array" ref="DT49">IFERROR(IF('T1'!$J49="",INDEX(LISTA_EX,122),INDEX(LISTA_EX,MATCH('T1'!$J49&amp;"|"&amp;122,LISTA_KLUCZ,0))),"")</f>
        <v>Poliquin step up</v>
      </c>
      <c r="DU49" s="5" t="str">
        <f t="array" ref="DU49">IFERROR(IF('T1'!$J49="",INDEX(LISTA_EX,123),INDEX(LISTA_EX,MATCH('T1'!$J49&amp;"|"&amp;123,LISTA_KLUCZ,0))),"")</f>
        <v>Poliquin step up paused 3sec</v>
      </c>
      <c r="DV49" s="5" t="str">
        <f t="array" ref="DV49">IFERROR(IF('T1'!$J49="",INDEX(LISTA_EX,124),INDEX(LISTA_EX,MATCH('T1'!$J49&amp;"|"&amp;124,LISTA_KLUCZ,0))),"")</f>
        <v>Pronation/Supination</v>
      </c>
      <c r="DW49" s="5" t="str">
        <f t="array" ref="DW49">IFERROR(IF('T1'!$J49="",INDEX(LISTA_EX,125),INDEX(LISTA_EX,MATCH('T1'!$J49&amp;"|"&amp;125,LISTA_KLUCZ,0))),"")</f>
        <v>Pull up</v>
      </c>
      <c r="DX49" s="5" t="str">
        <f t="array" ref="DX49">IFERROR(IF('T1'!$J49="",INDEX(LISTA_EX,126),INDEX(LISTA_EX,MATCH('T1'!$J49&amp;"|"&amp;126,LISTA_KLUCZ,0))),"")</f>
        <v>Pull up eccentric weighted</v>
      </c>
      <c r="DY49" s="5" t="str">
        <f t="array" ref="DY49">IFERROR(IF('T1'!$J49="",INDEX(LISTA_EX,127),INDEX(LISTA_EX,MATCH('T1'!$J49&amp;"|"&amp;127,LISTA_KLUCZ,0))),"")</f>
        <v>Pull up eccentric weighted (5 sek w dół)</v>
      </c>
      <c r="DZ49" s="5" t="str">
        <f t="array" ref="DZ49">IFERROR(IF('T1'!$J49="",INDEX(LISTA_EX,128),INDEX(LISTA_EX,MATCH('T1'!$J49&amp;"|"&amp;128,LISTA_KLUCZ,0))),"")</f>
        <v>Pull up weighted</v>
      </c>
      <c r="EA49" s="5" t="str">
        <f t="array" ref="EA49">IFERROR(IF('T1'!$J49="",INDEX(LISTA_EX,129),INDEX(LISTA_EX,MATCH('T1'!$J49&amp;"|"&amp;129,LISTA_KLUCZ,0))),"")</f>
        <v>Pull ups (paused)</v>
      </c>
      <c r="EB49" s="5" t="str">
        <f t="array" ref="EB49">IFERROR(IF('T1'!$J49="",INDEX(LISTA_EX,130),INDEX(LISTA_EX,MATCH('T1'!$J49&amp;"|"&amp;130,LISTA_KLUCZ,0))),"")</f>
        <v>Push press barbell</v>
      </c>
      <c r="EC49" s="5" t="str">
        <f t="array" ref="EC49">IFERROR(IF('T1'!$J49="",INDEX(LISTA_EX,131),INDEX(LISTA_EX,MATCH('T1'!$J49&amp;"|"&amp;131,LISTA_KLUCZ,0))),"")</f>
        <v>Push up</v>
      </c>
      <c r="ED49" s="5" t="str">
        <f t="array" ref="ED49">IFERROR(IF('T1'!$J49="",INDEX(LISTA_EX,132),INDEX(LISTA_EX,MATCH('T1'!$J49&amp;"|"&amp;132,LISTA_KLUCZ,0))),"")</f>
        <v>Raised bird dog</v>
      </c>
      <c r="EE49" s="5" t="str">
        <f t="array" ref="EE49">IFERROR(IF('T1'!$J49="",INDEX(LISTA_EX,133),INDEX(LISTA_EX,MATCH('T1'!$J49&amp;"|"&amp;133,LISTA_KLUCZ,0))),"")</f>
        <v>RDL</v>
      </c>
      <c r="EF49" s="5" t="str">
        <f t="array" ref="EF49">IFERROR(IF('T1'!$J49="",INDEX(LISTA_EX,134),INDEX(LISTA_EX,MATCH('T1'!$J49&amp;"|"&amp;134,LISTA_KLUCZ,0))),"")</f>
        <v>Reverse Nordic</v>
      </c>
      <c r="EG49" s="5" t="str">
        <f t="array" ref="EG49">IFERROR(IF('T1'!$J49="",INDEX(LISTA_EX,135),INDEX(LISTA_EX,MATCH('T1'!$J49&amp;"|"&amp;135,LISTA_KLUCZ,0))),"")</f>
        <v>Rope pushdown</v>
      </c>
      <c r="EH49" s="5" t="str">
        <f t="array" ref="EH49">IFERROR(IF('T1'!$J49="",INDEX(LISTA_EX,136),INDEX(LISTA_EX,MATCH('T1'!$J49&amp;"|"&amp;136,LISTA_KLUCZ,0))),"")</f>
        <v>Rope pushdown OH</v>
      </c>
      <c r="EI49" s="5" t="str">
        <f t="array" ref="EI49">IFERROR(IF('T1'!$J49="",INDEX(LISTA_EX,137),INDEX(LISTA_EX,MATCH('T1'!$J49&amp;"|"&amp;137,LISTA_KLUCZ,0))),"")</f>
        <v>S/a cable pulldown incline bench</v>
      </c>
      <c r="EJ49" s="5" t="str">
        <f t="array" ref="EJ49">IFERROR(IF('T1'!$J49="",INDEX(LISTA_EX,138),INDEX(LISTA_EX,MATCH('T1'!$J49&amp;"|"&amp;138,LISTA_KLUCZ,0))),"")</f>
        <v>S/a lat pulldown incline bench</v>
      </c>
      <c r="EK49" s="5" t="str">
        <f t="array" ref="EK49">IFERROR(IF('T1'!$J49="",INDEX(LISTA_EX,139),INDEX(LISTA_EX,MATCH('T1'!$J49&amp;"|"&amp;139,LISTA_KLUCZ,0))),"")</f>
        <v>S/l dragonflag eccentric</v>
      </c>
      <c r="EL49" s="5" t="str">
        <f t="array" ref="EL49">IFERROR(IF('T1'!$J49="",INDEX(LISTA_EX,140),INDEX(LISTA_EX,MATCH('T1'!$J49&amp;"|"&amp;140,LISTA_KLUCZ,0))),"")</f>
        <v>S/l hip thrust</v>
      </c>
      <c r="EM49" s="5" t="str">
        <f t="array" ref="EM49">IFERROR(IF('T1'!$J49="",INDEX(LISTA_EX,141),INDEX(LISTA_EX,MATCH('T1'!$J49&amp;"|"&amp;141,LISTA_KLUCZ,0))),"")</f>
        <v>Seated broad jump</v>
      </c>
      <c r="EN49" s="5" t="str">
        <f t="array" ref="EN49">IFERROR(IF('T1'!$J49="",INDEX(LISTA_EX,142),INDEX(LISTA_EX,MATCH('T1'!$J49&amp;"|"&amp;142,LISTA_KLUCZ,0))),"")</f>
        <v>Seated cable facepull</v>
      </c>
      <c r="EO49" s="5" t="str">
        <f t="array" ref="EO49">IFERROR(IF('T1'!$J49="",INDEX(LISTA_EX,143),INDEX(LISTA_EX,MATCH('T1'!$J49&amp;"|"&amp;143,LISTA_KLUCZ,0))),"")</f>
        <v>Seated seesaw press (nogi proste)</v>
      </c>
      <c r="EP49" s="5" t="str">
        <f t="array" ref="EP49">IFERROR(IF('T1'!$J49="",INDEX(LISTA_EX,144),INDEX(LISTA_EX,MATCH('T1'!$J49&amp;"|"&amp;144,LISTA_KLUCZ,0))),"")</f>
        <v>Seesaw press</v>
      </c>
      <c r="EQ49" s="5" t="str">
        <f t="array" ref="EQ49">IFERROR(IF('T1'!$J49="",INDEX(LISTA_EX,145),INDEX(LISTA_EX,MATCH('T1'!$J49&amp;"|"&amp;145,LISTA_KLUCZ,0))),"")</f>
        <v>Side crunches</v>
      </c>
      <c r="ER49" s="5" t="str">
        <f t="array" ref="ER49">IFERROR(IF('T1'!$J49="",INDEX(LISTA_EX,146),INDEX(LISTA_EX,MATCH('T1'!$J49&amp;"|"&amp;146,LISTA_KLUCZ,0))),"")</f>
        <v>Side plank hip drop</v>
      </c>
      <c r="ES49" s="5" t="str">
        <f t="array" ref="ES49">IFERROR(IF('T1'!$J49="",INDEX(LISTA_EX,147),INDEX(LISTA_EX,MATCH('T1'!$J49&amp;"|"&amp;147,LISTA_KLUCZ,0))),"")</f>
        <v>Side plank rotations</v>
      </c>
      <c r="ET49" s="5" t="str">
        <f t="array" ref="ET49">IFERROR(IF('T1'!$J49="",INDEX(LISTA_EX,148),INDEX(LISTA_EX,MATCH('T1'!$J49&amp;"|"&amp;148,LISTA_KLUCZ,0))),"")</f>
        <v>SLDL balance</v>
      </c>
      <c r="EU49" s="5" t="str">
        <f t="array" ref="EU49">IFERROR(IF('T1'!$J49="",INDEX(LISTA_EX,149),INDEX(LISTA_EX,MATCH('T1'!$J49&amp;"|"&amp;149,LISTA_KLUCZ,0))),"")</f>
        <v>Split squat</v>
      </c>
      <c r="EV49" s="5" t="str">
        <f t="array" ref="EV49">IFERROR(IF('T1'!$J49="",INDEX(LISTA_EX,150),INDEX(LISTA_EX,MATCH('T1'!$J49&amp;"|"&amp;150,LISTA_KLUCZ,0))),"")</f>
        <v>Split stance SLDL</v>
      </c>
      <c r="EW49" s="5" t="str">
        <f t="array" ref="EW49">IFERROR(IF('T1'!$J49="",INDEX(LISTA_EX,151),INDEX(LISTA_EX,MATCH('T1'!$J49&amp;"|"&amp;151,LISTA_KLUCZ,0))),"")</f>
        <v>Squat izo (15 sek)</v>
      </c>
      <c r="EX49" s="5" t="str">
        <f t="array" ref="EX49">IFERROR(IF('T1'!$J49="",INDEX(LISTA_EX,152),INDEX(LISTA_EX,MATCH('T1'!$J49&amp;"|"&amp;152,LISTA_KLUCZ,0))),"")</f>
        <v>Standing landmine press</v>
      </c>
      <c r="EY49" s="5" t="str">
        <f t="array" ref="EY49">IFERROR(IF('T1'!$J49="",INDEX(LISTA_EX,153),INDEX(LISTA_EX,MATCH('T1'!$J49&amp;"|"&amp;153,LISTA_KLUCZ,0))),"")</f>
        <v>Suitcase carry</v>
      </c>
      <c r="EZ49" s="5" t="str">
        <f t="array" ref="EZ49">IFERROR(IF('T1'!$J49="",INDEX(LISTA_EX,154),INDEX(LISTA_EX,MATCH('T1'!$J49&amp;"|"&amp;154,LISTA_KLUCZ,0))),"")</f>
        <v>Supine pigeon abs</v>
      </c>
      <c r="FA49" s="5" t="str">
        <f t="array" ref="FA49">IFERROR(IF('T1'!$J49="",INDEX(LISTA_EX,155),INDEX(LISTA_EX,MATCH('T1'!$J49&amp;"|"&amp;155,LISTA_KLUCZ,0))),"")</f>
        <v>Swiss ball leg curl</v>
      </c>
      <c r="FB49" s="5" t="str">
        <f t="array" ref="FB49">IFERROR(IF('T1'!$J49="",INDEX(LISTA_EX,156),INDEX(LISTA_EX,MATCH('T1'!$J49&amp;"|"&amp;156,LISTA_KLUCZ,0))),"")</f>
        <v>Toes to bar</v>
      </c>
      <c r="FC49" s="5" t="str">
        <f t="array" ref="FC49">IFERROR(IF('T1'!$J49="",INDEX(LISTA_EX,157),INDEX(LISTA_EX,MATCH('T1'!$J49&amp;"|"&amp;157,LISTA_KLUCZ,0))),"")</f>
        <v>Trap bar deadlift</v>
      </c>
      <c r="FD49" s="5" t="str">
        <f t="array" ref="FD49">IFERROR(IF('T1'!$J49="",INDEX(LISTA_EX,158),INDEX(LISTA_EX,MATCH('T1'!$J49&amp;"|"&amp;158,LISTA_KLUCZ,0))),"")</f>
        <v>Tricep cable pushdown</v>
      </c>
      <c r="FE49" s="5" t="str">
        <f t="array" ref="FE49">IFERROR(IF('T1'!$J49="",INDEX(LISTA_EX,159),INDEX(LISTA_EX,MATCH('T1'!$J49&amp;"|"&amp;159,LISTA_KLUCZ,0))),"")</f>
        <v>Tricep JM press</v>
      </c>
      <c r="FF49" s="5" t="str">
        <f t="array" ref="FF49">IFERROR(IF('T1'!$J49="",INDEX(LISTA_EX,160),INDEX(LISTA_EX,MATCH('T1'!$J49&amp;"|"&amp;160,LISTA_KLUCZ,0))),"")</f>
        <v>Tricep OH cable</v>
      </c>
      <c r="FG49" s="5" t="str">
        <f t="array" ref="FG49">IFERROR(IF('T1'!$J49="",INDEX(LISTA_EX,161),INDEX(LISTA_EX,MATCH('T1'!$J49&amp;"|"&amp;161,LISTA_KLUCZ,0))),"")</f>
        <v>Tricep OH ez bar</v>
      </c>
      <c r="FH49" s="5" t="str">
        <f t="array" ref="FH49">IFERROR(IF('T1'!$J49="",INDEX(LISTA_EX,162),INDEX(LISTA_EX,MATCH('T1'!$J49&amp;"|"&amp;162,LISTA_KLUCZ,0))),"")</f>
        <v>Walking lunges</v>
      </c>
      <c r="FI49" s="5" t="str">
        <f t="array" ref="FI49">IFERROR(IF('T1'!$J49="",INDEX(LISTA_EX,163),INDEX(LISTA_EX,MATCH('T1'!$J49&amp;"|"&amp;163,LISTA_KLUCZ,0))),"")</f>
        <v>Wipers kettle</v>
      </c>
      <c r="FJ49" s="5" t="str">
        <f t="array" ref="FJ49">IFERROR(IF('T1'!$J49="",INDEX(LISTA_EX,164),INDEX(LISTA_EX,MATCH('T1'!$J49&amp;"|"&amp;164,LISTA_KLUCZ,0))),"")</f>
        <v>Zercher jumps</v>
      </c>
      <c r="FK49" s="5" t="str">
        <f t="array" ref="FK49">IFERROR(IF('T1'!$J49="",INDEX(LISTA_EX,165),INDEX(LISTA_EX,MATCH('T1'!$J49&amp;"|"&amp;165,LISTA_KLUCZ,0))),"")</f>
        <v/>
      </c>
      <c r="FL49" s="5" t="str">
        <f t="array" ref="FL49">IFERROR(IF('T1'!$J49="",INDEX(LISTA_EX,166),INDEX(LISTA_EX,MATCH('T1'!$J49&amp;"|"&amp;166,LISTA_KLUCZ,0))),"")</f>
        <v/>
      </c>
      <c r="FM49" s="5" t="str">
        <f t="array" ref="FM49">IFERROR(IF('T1'!$J49="",INDEX(LISTA_EX,167),INDEX(LISTA_EX,MATCH('T1'!$J49&amp;"|"&amp;167,LISTA_KLUCZ,0))),"")</f>
        <v/>
      </c>
      <c r="FN49" s="5" t="str">
        <f t="array" ref="FN49">IFERROR(IF('T1'!$J49="",INDEX(LISTA_EX,168),INDEX(LISTA_EX,MATCH('T1'!$J49&amp;"|"&amp;168,LISTA_KLUCZ,0))),"")</f>
        <v/>
      </c>
      <c r="FO49" s="5" t="str">
        <f t="array" ref="FO49">IFERROR(IF('T1'!$J49="",INDEX(LISTA_EX,169),INDEX(LISTA_EX,MATCH('T1'!$J49&amp;"|"&amp;169,LISTA_KLUCZ,0))),"")</f>
        <v/>
      </c>
      <c r="FP49" s="5" t="str">
        <f t="array" ref="FP49">IFERROR(IF('T1'!$J49="",INDEX(LISTA_EX,170),INDEX(LISTA_EX,MATCH('T1'!$J49&amp;"|"&amp;170,LISTA_KLUCZ,0))),"")</f>
        <v/>
      </c>
      <c r="FQ49" s="5" t="str">
        <f t="array" ref="FQ49">IFERROR(IF('T1'!$J49="",INDEX(LISTA_EX,171),INDEX(LISTA_EX,MATCH('T1'!$J49&amp;"|"&amp;171,LISTA_KLUCZ,0))),"")</f>
        <v/>
      </c>
      <c r="FR49" s="5" t="str">
        <f t="array" ref="FR49">IFERROR(IF('T1'!$J49="",INDEX(LISTA_EX,172),INDEX(LISTA_EX,MATCH('T1'!$J49&amp;"|"&amp;172,LISTA_KLUCZ,0))),"")</f>
        <v/>
      </c>
      <c r="FS49" s="5" t="str">
        <f t="array" ref="FS49">IFERROR(IF('T1'!$J49="",INDEX(LISTA_EX,173),INDEX(LISTA_EX,MATCH('T1'!$J49&amp;"|"&amp;173,LISTA_KLUCZ,0))),"")</f>
        <v/>
      </c>
      <c r="FT49" s="5" t="str">
        <f t="array" ref="FT49">IFERROR(IF('T1'!$J49="",INDEX(LISTA_EX,174),INDEX(LISTA_EX,MATCH('T1'!$J49&amp;"|"&amp;174,LISTA_KLUCZ,0))),"")</f>
        <v/>
      </c>
      <c r="FU49" s="5" t="str">
        <f t="array" ref="FU49">IFERROR(IF('T1'!$J49="",INDEX(LISTA_EX,175),INDEX(LISTA_EX,MATCH('T1'!$J49&amp;"|"&amp;175,LISTA_KLUCZ,0))),"")</f>
        <v/>
      </c>
      <c r="FV49" s="5" t="str">
        <f t="array" ref="FV49">IFERROR(IF('T1'!$J49="",INDEX(LISTA_EX,176),INDEX(LISTA_EX,MATCH('T1'!$J49&amp;"|"&amp;176,LISTA_KLUCZ,0))),"")</f>
        <v/>
      </c>
      <c r="FW49" s="5" t="str">
        <f t="array" ref="FW49">IFERROR(IF('T1'!$J49="",INDEX(LISTA_EX,177),INDEX(LISTA_EX,MATCH('T1'!$J49&amp;"|"&amp;177,LISTA_KLUCZ,0))),"")</f>
        <v/>
      </c>
      <c r="FX49" s="5" t="str">
        <f t="array" ref="FX49">IFERROR(IF('T1'!$J49="",INDEX(LISTA_EX,178),INDEX(LISTA_EX,MATCH('T1'!$J49&amp;"|"&amp;178,LISTA_KLUCZ,0))),"")</f>
        <v/>
      </c>
      <c r="FY49" s="5" t="str">
        <f t="array" ref="FY49">IFERROR(IF('T1'!$J49="",INDEX(LISTA_EX,179),INDEX(LISTA_EX,MATCH('T1'!$J49&amp;"|"&amp;179,LISTA_KLUCZ,0))),"")</f>
        <v/>
      </c>
      <c r="FZ49" s="5" t="str">
        <f t="array" ref="FZ49">IFERROR(IF('T1'!$J49="",INDEX(LISTA_EX,180),INDEX(LISTA_EX,MATCH('T1'!$J49&amp;"|"&amp;180,LISTA_KLUCZ,0))),"")</f>
        <v/>
      </c>
      <c r="GA49" s="5" t="str">
        <f t="array" ref="GA49">IFERROR(IF('T1'!$J49="",INDEX(LISTA_EX,181),INDEX(LISTA_EX,MATCH('T1'!$J49&amp;"|"&amp;181,LISTA_KLUCZ,0))),"")</f>
        <v/>
      </c>
      <c r="GB49" s="5" t="str">
        <f t="array" ref="GB49">IFERROR(IF('T1'!$J49="",INDEX(LISTA_EX,182),INDEX(LISTA_EX,MATCH('T1'!$J49&amp;"|"&amp;182,LISTA_KLUCZ,0))),"")</f>
        <v/>
      </c>
      <c r="GC49" s="5" t="str">
        <f t="array" ref="GC49">IFERROR(IF('T1'!$J49="",INDEX(LISTA_EX,183),INDEX(LISTA_EX,MATCH('T1'!$J49&amp;"|"&amp;183,LISTA_KLUCZ,0))),"")</f>
        <v/>
      </c>
      <c r="GD49" s="5" t="str">
        <f t="array" ref="GD49">IFERROR(IF('T1'!$J49="",INDEX(LISTA_EX,184),INDEX(LISTA_EX,MATCH('T1'!$J49&amp;"|"&amp;184,LISTA_KLUCZ,0))),"")</f>
        <v/>
      </c>
      <c r="GE49" s="5" t="str">
        <f t="array" ref="GE49">IFERROR(IF('T1'!$J49="",INDEX(LISTA_EX,185),INDEX(LISTA_EX,MATCH('T1'!$J49&amp;"|"&amp;185,LISTA_KLUCZ,0))),"")</f>
        <v/>
      </c>
      <c r="GF49" s="5" t="str">
        <f t="array" ref="GF49">IFERROR(IF('T1'!$J49="",INDEX(LISTA_EX,186),INDEX(LISTA_EX,MATCH('T1'!$J49&amp;"|"&amp;186,LISTA_KLUCZ,0))),"")</f>
        <v/>
      </c>
      <c r="GG49" s="5" t="str">
        <f t="array" ref="GG49">IFERROR(IF('T1'!$J49="",INDEX(LISTA_EX,187),INDEX(LISTA_EX,MATCH('T1'!$J49&amp;"|"&amp;187,LISTA_KLUCZ,0))),"")</f>
        <v/>
      </c>
      <c r="GH49" s="5" t="str">
        <f t="array" ref="GH49">IFERROR(IF('T1'!$J49="",INDEX(LISTA_EX,188),INDEX(LISTA_EX,MATCH('T1'!$J49&amp;"|"&amp;188,LISTA_KLUCZ,0))),"")</f>
        <v/>
      </c>
      <c r="GI49" s="5" t="str">
        <f t="array" ref="GI49">IFERROR(IF('T1'!$J49="",INDEX(LISTA_EX,189),INDEX(LISTA_EX,MATCH('T1'!$J49&amp;"|"&amp;189,LISTA_KLUCZ,0))),"")</f>
        <v/>
      </c>
      <c r="GJ49" s="5" t="str">
        <f t="array" ref="GJ49">IFERROR(IF('T1'!$J49="",INDEX(LISTA_EX,190),INDEX(LISTA_EX,MATCH('T1'!$J49&amp;"|"&amp;190,LISTA_KLUCZ,0))),"")</f>
        <v/>
      </c>
      <c r="GK49" s="5" t="str">
        <f t="array" ref="GK49">IFERROR(IF('T1'!$J49="",INDEX(LISTA_EX,191),INDEX(LISTA_EX,MATCH('T1'!$J49&amp;"|"&amp;191,LISTA_KLUCZ,0))),"")</f>
        <v/>
      </c>
      <c r="GL49" s="5" t="str">
        <f t="array" ref="GL49">IFERROR(IF('T1'!$J49="",INDEX(LISTA_EX,192),INDEX(LISTA_EX,MATCH('T1'!$J49&amp;"|"&amp;192,LISTA_KLUCZ,0))),"")</f>
        <v/>
      </c>
      <c r="GM49" s="5" t="str">
        <f t="array" ref="GM49">IFERROR(IF('T1'!$J49="",INDEX(LISTA_EX,193),INDEX(LISTA_EX,MATCH('T1'!$J49&amp;"|"&amp;193,LISTA_KLUCZ,0))),"")</f>
        <v/>
      </c>
      <c r="GN49" s="5" t="str">
        <f t="array" ref="GN49">IFERROR(IF('T1'!$J49="",INDEX(LISTA_EX,194),INDEX(LISTA_EX,MATCH('T1'!$J49&amp;"|"&amp;194,LISTA_KLUCZ,0))),"")</f>
        <v/>
      </c>
      <c r="GO49" s="5" t="str">
        <f t="array" ref="GO49">IFERROR(IF('T1'!$J49="",INDEX(LISTA_EX,195),INDEX(LISTA_EX,MATCH('T1'!$J49&amp;"|"&amp;195,LISTA_KLUCZ,0))),"")</f>
        <v/>
      </c>
      <c r="GP49" s="5" t="str">
        <f t="array" ref="GP49">IFERROR(IF('T1'!$J49="",INDEX(LISTA_EX,196),INDEX(LISTA_EX,MATCH('T1'!$J49&amp;"|"&amp;196,LISTA_KLUCZ,0))),"")</f>
        <v/>
      </c>
      <c r="GQ49" s="5" t="str">
        <f t="array" ref="GQ49">IFERROR(IF('T1'!$J49="",INDEX(LISTA_EX,197),INDEX(LISTA_EX,MATCH('T1'!$J49&amp;"|"&amp;197,LISTA_KLUCZ,0))),"")</f>
        <v/>
      </c>
      <c r="GR49" s="5" t="str">
        <f t="array" ref="GR49">IFERROR(IF('T1'!$J49="",INDEX(LISTA_EX,198),INDEX(LISTA_EX,MATCH('T1'!$J49&amp;"|"&amp;198,LISTA_KLUCZ,0))),"")</f>
        <v/>
      </c>
      <c r="GS49" s="5" t="str">
        <f t="array" ref="GS49">IFERROR(IF('T1'!$J49="",INDEX(LISTA_EX,199),INDEX(LISTA_EX,MATCH('T1'!$J49&amp;"|"&amp;199,LISTA_KLUCZ,0))),"")</f>
        <v/>
      </c>
      <c r="GT49" s="5" t="str">
        <f t="array" ref="GT49">IFERROR(IF('T1'!$J49="",INDEX(LISTA_EX,200),INDEX(LISTA_EX,MATCH('T1'!$J49&amp;"|"&amp;200,LISTA_KLUCZ,0))),"")</f>
        <v/>
      </c>
      <c r="GV49" s="5" t="str">
        <f>IF(BAZA!$A49="","",BAZA!$A49)</f>
        <v>Dumbbell bench press</v>
      </c>
      <c r="GW49" s="5" t="str">
        <f>IF(BAZA!$B49="","",BAZA!$B49&amp;"|"&amp;COUNTIF(BAZA!$B$3:$B49,BAZA!$B49))</f>
        <v>Upper push horizontal|8</v>
      </c>
    </row>
    <row r="50" ht="15.0" customHeight="1">
      <c r="A50" s="5" t="str">
        <f>IF('T1'!$K50="","",'T1'!$K50)</f>
        <v>D3-S12</v>
      </c>
      <c r="B50" s="5" t="str">
        <f>IF('T1'!$J50="","(wszystkie)",'T1'!$J50)</f>
        <v>(wszystkie)</v>
      </c>
      <c r="C50" s="5" t="str">
        <f t="array" ref="C50">IFERROR(IF('T1'!$J50="",INDEX(LISTA_EX,1),INDEX(LISTA_EX,MATCH('T1'!$J50&amp;"|"&amp;1,LISTA_KLUCZ,0))),"")</f>
        <v>Abduction machine</v>
      </c>
      <c r="D50" s="5" t="str">
        <f t="array" ref="D50">IFERROR(IF('T1'!$J50="",INDEX(LISTA_EX,2),INDEX(LISTA_EX,MATCH('T1'!$J50&amp;"|"&amp;2,LISTA_KLUCZ,0))),"")</f>
        <v>Adduction machine</v>
      </c>
      <c r="E50" s="5" t="str">
        <f t="array" ref="E50">IFERROR(IF('T1'!$J50="",INDEX(LISTA_EX,3),INDEX(LISTA_EX,MATCH('T1'!$J50&amp;"|"&amp;3,LISTA_KLUCZ,0))),"")</f>
        <v>Allah</v>
      </c>
      <c r="F50" s="5" t="str">
        <f t="array" ref="F50">IFERROR(IF('T1'!$J50="",INDEX(LISTA_EX,4),INDEX(LISTA_EX,MATCH('T1'!$J50&amp;"|"&amp;4,LISTA_KLUCZ,0))),"")</f>
        <v>Arnold press</v>
      </c>
      <c r="G50" s="5" t="str">
        <f t="array" ref="G50">IFERROR(IF('T1'!$J50="",INDEX(LISTA_EX,5),INDEX(LISTA_EX,MATCH('T1'!$J50&amp;"|"&amp;5,LISTA_KLUCZ,0))),"")</f>
        <v>Arnold press alternating</v>
      </c>
      <c r="H50" s="5" t="str">
        <f t="array" ref="H50">IFERROR(IF('T1'!$J50="",INDEX(LISTA_EX,6),INDEX(LISTA_EX,MATCH('T1'!$J50&amp;"|"&amp;6,LISTA_KLUCZ,0))),"")</f>
        <v>B/l dragonflag eccentric</v>
      </c>
      <c r="I50" s="5" t="str">
        <f t="array" ref="I50">IFERROR(IF('T1'!$J50="",INDEX(LISTA_EX,7),INDEX(LISTA_EX,MATCH('T1'!$J50&amp;"|"&amp;7,LISTA_KLUCZ,0))),"")</f>
        <v>Back extension</v>
      </c>
      <c r="J50" s="5" t="str">
        <f t="array" ref="J50">IFERROR(IF('T1'!$J50="",INDEX(LISTA_EX,8),INDEX(LISTA_EX,MATCH('T1'!$J50&amp;"|"&amp;8,LISTA_KLUCZ,0))),"")</f>
        <v>Banded pistol squat</v>
      </c>
      <c r="K50" s="5" t="str">
        <f t="array" ref="K50">IFERROR(IF('T1'!$J50="",INDEX(LISTA_EX,9),INDEX(LISTA_EX,MATCH('T1'!$J50&amp;"|"&amp;9,LISTA_KLUCZ,0))),"")</f>
        <v>Banded pull ups</v>
      </c>
      <c r="L50" s="5" t="str">
        <f t="array" ref="L50">IFERROR(IF('T1'!$J50="",INDEX(LISTA_EX,10),INDEX(LISTA_EX,MATCH('T1'!$J50&amp;"|"&amp;10,LISTA_KLUCZ,0))),"")</f>
        <v>Barbell back squat</v>
      </c>
      <c r="M50" s="5" t="str">
        <f t="array" ref="M50">IFERROR(IF('T1'!$J50="",INDEX(LISTA_EX,11),INDEX(LISTA_EX,MATCH('T1'!$J50&amp;"|"&amp;11,LISTA_KLUCZ,0))),"")</f>
        <v>Barbell bench press</v>
      </c>
      <c r="N50" s="5" t="str">
        <f t="array" ref="N50">IFERROR(IF('T1'!$J50="",INDEX(LISTA_EX,12),INDEX(LISTA_EX,MATCH('T1'!$J50&amp;"|"&amp;12,LISTA_KLUCZ,0))),"")</f>
        <v>Barbell curl</v>
      </c>
      <c r="O50" s="5" t="str">
        <f t="array" ref="O50">IFERROR(IF('T1'!$J50="",INDEX(LISTA_EX,13),INDEX(LISTA_EX,MATCH('T1'!$J50&amp;"|"&amp;13,LISTA_KLUCZ,0))),"")</f>
        <v>Barbell low bar squat</v>
      </c>
      <c r="P50" s="5" t="str">
        <f t="array" ref="P50">IFERROR(IF('T1'!$J50="",INDEX(LISTA_EX,14),INDEX(LISTA_EX,MATCH('T1'!$J50&amp;"|"&amp;14,LISTA_KLUCZ,0))),"")</f>
        <v>Barbell OHP</v>
      </c>
      <c r="Q50" s="5" t="str">
        <f t="array" ref="Q50">IFERROR(IF('T1'!$J50="",INDEX(LISTA_EX,15),INDEX(LISTA_EX,MATCH('T1'!$J50&amp;"|"&amp;15,LISTA_KLUCZ,0))),"")</f>
        <v>Barbell oscilation</v>
      </c>
      <c r="R50" s="5" t="str">
        <f t="array" ref="R50">IFERROR(IF('T1'!$J50="",INDEX(LISTA_EX,16),INDEX(LISTA_EX,MATCH('T1'!$J50&amp;"|"&amp;16,LISTA_KLUCZ,0))),"")</f>
        <v>Barbell row</v>
      </c>
      <c r="S50" s="5" t="str">
        <f t="array" ref="S50">IFERROR(IF('T1'!$J50="",INDEX(LISTA_EX,17),INDEX(LISTA_EX,MATCH('T1'!$J50&amp;"|"&amp;17,LISTA_KLUCZ,0))),"")</f>
        <v>Barbell row dead stop pins</v>
      </c>
      <c r="T50" s="5" t="str">
        <f t="array" ref="T50">IFERROR(IF('T1'!$J50="",INDEX(LISTA_EX,18),INDEX(LISTA_EX,MATCH('T1'!$J50&amp;"|"&amp;18,LISTA_KLUCZ,0))),"")</f>
        <v>Barbell SLDL</v>
      </c>
      <c r="U50" s="5" t="str">
        <f t="array" ref="U50">IFERROR(IF('T1'!$J50="",INDEX(LISTA_EX,19),INDEX(LISTA_EX,MATCH('T1'!$J50&amp;"|"&amp;19,LISTA_KLUCZ,0))),"")</f>
        <v>Bayesian curl</v>
      </c>
      <c r="V50" s="5" t="str">
        <f t="array" ref="V50">IFERROR(IF('T1'!$J50="",INDEX(LISTA_EX,20),INDEX(LISTA_EX,MATCH('T1'!$J50&amp;"|"&amp;20,LISTA_KLUCZ,0))),"")</f>
        <v>Bear renegade row</v>
      </c>
      <c r="W50" s="5" t="str">
        <f t="array" ref="W50">IFERROR(IF('T1'!$J50="",INDEX(LISTA_EX,21),INDEX(LISTA_EX,MATCH('T1'!$J50&amp;"|"&amp;21,LISTA_KLUCZ,0))),"")</f>
        <v>Bench press paused 3sec</v>
      </c>
      <c r="X50" s="5" t="str">
        <f t="array" ref="X50">IFERROR(IF('T1'!$J50="",INDEX(LISTA_EX,22),INDEX(LISTA_EX,MATCH('T1'!$J50&amp;"|"&amp;22,LISTA_KLUCZ,0))),"")</f>
        <v>Bicep hammer curl</v>
      </c>
      <c r="Y50" s="5" t="str">
        <f t="array" ref="Y50">IFERROR(IF('T1'!$J50="",INDEX(LISTA_EX,23),INDEX(LISTA_EX,MATCH('T1'!$J50&amp;"|"&amp;23,LISTA_KLUCZ,0))),"")</f>
        <v>Bicep squat cable curl</v>
      </c>
      <c r="Z50" s="5" t="str">
        <f t="array" ref="Z50">IFERROR(IF('T1'!$J50="",INDEX(LISTA_EX,24),INDEX(LISTA_EX,MATCH('T1'!$J50&amp;"|"&amp;24,LISTA_KLUCZ,0))),"")</f>
        <v>Bird dog row</v>
      </c>
      <c r="AA50" s="5" t="str">
        <f t="array" ref="AA50">IFERROR(IF('T1'!$J50="",INDEX(LISTA_EX,25),INDEX(LISTA_EX,MATCH('T1'!$J50&amp;"|"&amp;25,LISTA_KLUCZ,0))),"")</f>
        <v>Box jump</v>
      </c>
      <c r="AB50" s="5" t="str">
        <f t="array" ref="AB50">IFERROR(IF('T1'!$J50="",INDEX(LISTA_EX,26),INDEX(LISTA_EX,MATCH('T1'!$J50&amp;"|"&amp;26,LISTA_KLUCZ,0))),"")</f>
        <v>Bulgarian clean plyo</v>
      </c>
      <c r="AC50" s="5" t="str">
        <f t="array" ref="AC50">IFERROR(IF('T1'!$J50="",INDEX(LISTA_EX,27),INDEX(LISTA_EX,MATCH('T1'!$J50&amp;"|"&amp;27,LISTA_KLUCZ,0))),"")</f>
        <v>Bulgarian squat assisted</v>
      </c>
      <c r="AD50" s="5" t="str">
        <f t="array" ref="AD50">IFERROR(IF('T1'!$J50="",INDEX(LISTA_EX,28),INDEX(LISTA_EX,MATCH('T1'!$J50&amp;"|"&amp;28,LISTA_KLUCZ,0))),"")</f>
        <v>Cable biceps curl</v>
      </c>
      <c r="AE50" s="5" t="str">
        <f t="array" ref="AE50">IFERROR(IF('T1'!$J50="",INDEX(LISTA_EX,29),INDEX(LISTA_EX,MATCH('T1'!$J50&amp;"|"&amp;29,LISTA_KLUCZ,0))),"")</f>
        <v>Cable fly</v>
      </c>
      <c r="AF50" s="5" t="str">
        <f t="array" ref="AF50">IFERROR(IF('T1'!$J50="",INDEX(LISTA_EX,30),INDEX(LISTA_EX,MATCH('T1'!$J50&amp;"|"&amp;30,LISTA_KLUCZ,0))),"")</f>
        <v>Cable lateral raise s/a</v>
      </c>
      <c r="AG50" s="5" t="str">
        <f t="array" ref="AG50">IFERROR(IF('T1'!$J50="",INDEX(LISTA_EX,31),INDEX(LISTA_EX,MATCH('T1'!$J50&amp;"|"&amp;31,LISTA_KLUCZ,0))),"")</f>
        <v>Cable row</v>
      </c>
      <c r="AH50" s="5" t="str">
        <f t="array" ref="AH50">IFERROR(IF('T1'!$J50="",INDEX(LISTA_EX,32),INDEX(LISTA_EX,MATCH('T1'!$J50&amp;"|"&amp;32,LISTA_KLUCZ,0))),"")</f>
        <v>Cable row s/a</v>
      </c>
      <c r="AI50" s="5" t="str">
        <f t="array" ref="AI50">IFERROR(IF('T1'!$J50="",INDEX(LISTA_EX,33),INDEX(LISTA_EX,MATCH('T1'!$J50&amp;"|"&amp;33,LISTA_KLUCZ,0))),"")</f>
        <v>Calf raises</v>
      </c>
      <c r="AJ50" s="5" t="str">
        <f t="array" ref="AJ50">IFERROR(IF('T1'!$J50="",INDEX(LISTA_EX,34),INDEX(LISTA_EX,MATCH('T1'!$J50&amp;"|"&amp;34,LISTA_KLUCZ,0))),"")</f>
        <v>Chest fly machine</v>
      </c>
      <c r="AK50" s="5" t="str">
        <f t="array" ref="AK50">IFERROR(IF('T1'!$J50="",INDEX(LISTA_EX,35),INDEX(LISTA_EX,MATCH('T1'!$J50&amp;"|"&amp;35,LISTA_KLUCZ,0))),"")</f>
        <v>Clean</v>
      </c>
      <c r="AL50" s="5" t="str">
        <f t="array" ref="AL50">IFERROR(IF('T1'!$J50="",INDEX(LISTA_EX,36),INDEX(LISTA_EX,MATCH('T1'!$J50&amp;"|"&amp;36,LISTA_KLUCZ,0))),"")</f>
        <v>Clean pins</v>
      </c>
      <c r="AM50" s="5" t="str">
        <f t="array" ref="AM50">IFERROR(IF('T1'!$J50="",INDEX(LISTA_EX,37),INDEX(LISTA_EX,MATCH('T1'!$J50&amp;"|"&amp;37,LISTA_KLUCZ,0))),"")</f>
        <v>Copenhagen plank</v>
      </c>
      <c r="AN50" s="5" t="str">
        <f t="array" ref="AN50">IFERROR(IF('T1'!$J50="",INDEX(LISTA_EX,38),INDEX(LISTA_EX,MATCH('T1'!$J50&amp;"|"&amp;38,LISTA_KLUCZ,0))),"")</f>
        <v>Dead bug izo + OH</v>
      </c>
      <c r="AO50" s="5" t="str">
        <f t="array" ref="AO50">IFERROR(IF('T1'!$J50="",INDEX(LISTA_EX,39),INDEX(LISTA_EX,MATCH('T1'!$J50&amp;"|"&amp;39,LISTA_KLUCZ,0))),"")</f>
        <v>Dead bug straight legs</v>
      </c>
      <c r="AP50" s="5" t="str">
        <f t="array" ref="AP50">IFERROR(IF('T1'!$J50="",INDEX(LISTA_EX,40),INDEX(LISTA_EX,MATCH('T1'!$J50&amp;"|"&amp;40,LISTA_KLUCZ,0))),"")</f>
        <v>Dead stop barbell row</v>
      </c>
      <c r="AQ50" s="5" t="str">
        <f t="array" ref="AQ50">IFERROR(IF('T1'!$J50="",INDEX(LISTA_EX,41),INDEX(LISTA_EX,MATCH('T1'!$J50&amp;"|"&amp;41,LISTA_KLUCZ,0))),"")</f>
        <v>Deadbug OH</v>
      </c>
      <c r="AR50" s="5" t="str">
        <f t="array" ref="AR50">IFERROR(IF('T1'!$J50="",INDEX(LISTA_EX,42),INDEX(LISTA_EX,MATCH('T1'!$J50&amp;"|"&amp;42,LISTA_KLUCZ,0))),"")</f>
        <v>Deadlift</v>
      </c>
      <c r="AS50" s="5" t="str">
        <f t="array" ref="AS50">IFERROR(IF('T1'!$J50="",INDEX(LISTA_EX,43),INDEX(LISTA_EX,MATCH('T1'!$J50&amp;"|"&amp;43,LISTA_KLUCZ,0))),"")</f>
        <v>Deficit push up</v>
      </c>
      <c r="AT50" s="5" t="str">
        <f t="array" ref="AT50">IFERROR(IF('T1'!$J50="",INDEX(LISTA_EX,44),INDEX(LISTA_EX,MATCH('T1'!$J50&amp;"|"&amp;44,LISTA_KLUCZ,0))),"")</f>
        <v>Deficit reverse lunge</v>
      </c>
      <c r="AU50" s="5" t="str">
        <f t="array" ref="AU50">IFERROR(IF('T1'!$J50="",INDEX(LISTA_EX,45),INDEX(LISTA_EX,MATCH('T1'!$J50&amp;"|"&amp;45,LISTA_KLUCZ,0))),"")</f>
        <v>Dips</v>
      </c>
      <c r="AV50" s="5" t="str">
        <f t="array" ref="AV50">IFERROR(IF('T1'!$J50="",INDEX(LISTA_EX,46),INDEX(LISTA_EX,MATCH('T1'!$J50&amp;"|"&amp;46,LISTA_KLUCZ,0))),"")</f>
        <v>Dips weighted</v>
      </c>
      <c r="AW50" s="5" t="str">
        <f t="array" ref="AW50">IFERROR(IF('T1'!$J50="",INDEX(LISTA_EX,47),INDEX(LISTA_EX,MATCH('T1'!$J50&amp;"|"&amp;47,LISTA_KLUCZ,0))),"")</f>
        <v>Dumbbell bench press</v>
      </c>
      <c r="AX50" s="5" t="str">
        <f t="array" ref="AX50">IFERROR(IF('T1'!$J50="",INDEX(LISTA_EX,48),INDEX(LISTA_EX,MATCH('T1'!$J50&amp;"|"&amp;48,LISTA_KLUCZ,0))),"")</f>
        <v>Dumbbell bench press alternating</v>
      </c>
      <c r="AY50" s="5" t="str">
        <f t="array" ref="AY50">IFERROR(IF('T1'!$J50="",INDEX(LISTA_EX,49),INDEX(LISTA_EX,MATCH('T1'!$J50&amp;"|"&amp;49,LISTA_KLUCZ,0))),"")</f>
        <v>Dumbbell curl</v>
      </c>
      <c r="AZ50" s="5" t="str">
        <f t="array" ref="AZ50">IFERROR(IF('T1'!$J50="",INDEX(LISTA_EX,50),INDEX(LISTA_EX,MATCH('T1'!$J50&amp;"|"&amp;50,LISTA_KLUCZ,0))),"")</f>
        <v>Dumbbell external rotation</v>
      </c>
      <c r="BA50" s="5" t="str">
        <f t="array" ref="BA50">IFERROR(IF('T1'!$J50="",INDEX(LISTA_EX,51),INDEX(LISTA_EX,MATCH('T1'!$J50&amp;"|"&amp;51,LISTA_KLUCZ,0))),"")</f>
        <v>Dumbbell face down curl</v>
      </c>
      <c r="BB50" s="5" t="str">
        <f t="array" ref="BB50">IFERROR(IF('T1'!$J50="",INDEX(LISTA_EX,52),INDEX(LISTA_EX,MATCH('T1'!$J50&amp;"|"&amp;52,LISTA_KLUCZ,0))),"")</f>
        <v>Dumbbell fly</v>
      </c>
      <c r="BC50" s="5" t="str">
        <f t="array" ref="BC50">IFERROR(IF('T1'!$J50="",INDEX(LISTA_EX,53),INDEX(LISTA_EX,MATCH('T1'!$J50&amp;"|"&amp;53,LISTA_KLUCZ,0))),"")</f>
        <v>Dumbbell french press</v>
      </c>
      <c r="BD50" s="5" t="str">
        <f t="array" ref="BD50">IFERROR(IF('T1'!$J50="",INDEX(LISTA_EX,54),INDEX(LISTA_EX,MATCH('T1'!$J50&amp;"|"&amp;54,LISTA_KLUCZ,0))),"")</f>
        <v>Dumbbell lateral raise</v>
      </c>
      <c r="BE50" s="5" t="str">
        <f t="array" ref="BE50">IFERROR(IF('T1'!$J50="",INDEX(LISTA_EX,55),INDEX(LISTA_EX,MATCH('T1'!$J50&amp;"|"&amp;55,LISTA_KLUCZ,0))),"")</f>
        <v>Dumbbell lunges</v>
      </c>
      <c r="BF50" s="5" t="str">
        <f t="array" ref="BF50">IFERROR(IF('T1'!$J50="",INDEX(LISTA_EX,56),INDEX(LISTA_EX,MATCH('T1'!$J50&amp;"|"&amp;56,LISTA_KLUCZ,0))),"")</f>
        <v>Dumbbell OH press</v>
      </c>
      <c r="BG50" s="5" t="str">
        <f t="array" ref="BG50">IFERROR(IF('T1'!$J50="",INDEX(LISTA_EX,57),INDEX(LISTA_EX,MATCH('T1'!$J50&amp;"|"&amp;57,LISTA_KLUCZ,0))),"")</f>
        <v>Dumbbell over head press</v>
      </c>
      <c r="BH50" s="5" t="str">
        <f t="array" ref="BH50">IFERROR(IF('T1'!$J50="",INDEX(LISTA_EX,58),INDEX(LISTA_EX,MATCH('T1'!$J50&amp;"|"&amp;58,LISTA_KLUCZ,0))),"")</f>
        <v>Dumbbell over head press alternating</v>
      </c>
      <c r="BI50" s="5" t="str">
        <f t="array" ref="BI50">IFERROR(IF('T1'!$J50="",INDEX(LISTA_EX,59),INDEX(LISTA_EX,MATCH('T1'!$J50&amp;"|"&amp;59,LISTA_KLUCZ,0))),"")</f>
        <v>Dumbbell row</v>
      </c>
      <c r="BJ50" s="5" t="str">
        <f t="array" ref="BJ50">IFERROR(IF('T1'!$J50="",INDEX(LISTA_EX,60),INDEX(LISTA_EX,MATCH('T1'!$J50&amp;"|"&amp;60,LISTA_KLUCZ,0))),"")</f>
        <v>Dumbbell s/a Arnold press</v>
      </c>
      <c r="BK50" s="5" t="str">
        <f t="array" ref="BK50">IFERROR(IF('T1'!$J50="",INDEX(LISTA_EX,61),INDEX(LISTA_EX,MATCH('T1'!$J50&amp;"|"&amp;61,LISTA_KLUCZ,0))),"")</f>
        <v>Dumbbell s/a row</v>
      </c>
      <c r="BL50" s="5" t="str">
        <f t="array" ref="BL50">IFERROR(IF('T1'!$J50="",INDEX(LISTA_EX,62),INDEX(LISTA_EX,MATCH('T1'!$J50&amp;"|"&amp;62,LISTA_KLUCZ,0))),"")</f>
        <v>Dumbbell seal row</v>
      </c>
      <c r="BM50" s="5" t="str">
        <f t="array" ref="BM50">IFERROR(IF('T1'!$J50="",INDEX(LISTA_EX,63),INDEX(LISTA_EX,MATCH('T1'!$J50&amp;"|"&amp;63,LISTA_KLUCZ,0))),"")</f>
        <v>Dumbbells jumps</v>
      </c>
      <c r="BN50" s="5" t="str">
        <f t="array" ref="BN50">IFERROR(IF('T1'!$J50="",INDEX(LISTA_EX,64),INDEX(LISTA_EX,MATCH('T1'!$J50&amp;"|"&amp;64,LISTA_KLUCZ,0))),"")</f>
        <v>Eccentric pull up</v>
      </c>
      <c r="BO50" s="5" t="str">
        <f t="array" ref="BO50">IFERROR(IF('T1'!$J50="",INDEX(LISTA_EX,65),INDEX(LISTA_EX,MATCH('T1'!$J50&amp;"|"&amp;65,LISTA_KLUCZ,0))),"")</f>
        <v>Eccentric push up (5 sek w dół)</v>
      </c>
      <c r="BP50" s="5" t="str">
        <f t="array" ref="BP50">IFERROR(IF('T1'!$J50="",INDEX(LISTA_EX,66),INDEX(LISTA_EX,MATCH('T1'!$J50&amp;"|"&amp;66,LISTA_KLUCZ,0))),"")</f>
        <v>Extensive plyo jumps s/l</v>
      </c>
      <c r="BQ50" s="5" t="str">
        <f t="array" ref="BQ50">IFERROR(IF('T1'!$J50="",INDEX(LISTA_EX,67),INDEX(LISTA_EX,MATCH('T1'!$J50&amp;"|"&amp;67,LISTA_KLUCZ,0))),"")</f>
        <v>Ez bar curl</v>
      </c>
      <c r="BR50" s="5" t="str">
        <f t="array" ref="BR50">IFERROR(IF('T1'!$J50="",INDEX(LISTA_EX,68),INDEX(LISTA_EX,MATCH('T1'!$J50&amp;"|"&amp;68,LISTA_KLUCZ,0))),"")</f>
        <v>Facepull chest supported</v>
      </c>
      <c r="BS50" s="5" t="str">
        <f t="array" ref="BS50">IFERROR(IF('T1'!$J50="",INDEX(LISTA_EX,69),INDEX(LISTA_EX,MATCH('T1'!$J50&amp;"|"&amp;69,LISTA_KLUCZ,0))),"")</f>
        <v>Front foot elevated split squat</v>
      </c>
      <c r="BT50" s="5" t="str">
        <f t="array" ref="BT50">IFERROR(IF('T1'!$J50="",INDEX(LISTA_EX,70),INDEX(LISTA_EX,MATCH('T1'!$J50&amp;"|"&amp;70,LISTA_KLUCZ,0))),"")</f>
        <v>Front squat</v>
      </c>
      <c r="BU50" s="5" t="str">
        <f t="array" ref="BU50">IFERROR(IF('T1'!$J50="",INDEX(LISTA_EX,71),INDEX(LISTA_EX,MATCH('T1'!$J50&amp;"|"&amp;71,LISTA_KLUCZ,0))),"")</f>
        <v>GHD flexion</v>
      </c>
      <c r="BV50" s="5" t="str">
        <f t="array" ref="BV50">IFERROR(IF('T1'!$J50="",INDEX(LISTA_EX,72),INDEX(LISTA_EX,MATCH('T1'!$J50&amp;"|"&amp;72,LISTA_KLUCZ,0))),"")</f>
        <v>Glute bridge hamstrings izo + OH</v>
      </c>
      <c r="BW50" s="5" t="str">
        <f t="array" ref="BW50">IFERROR(IF('T1'!$J50="",INDEX(LISTA_EX,73),INDEX(LISTA_EX,MATCH('T1'!$J50&amp;"|"&amp;73,LISTA_KLUCZ,0))),"")</f>
        <v>Glute crusher</v>
      </c>
      <c r="BX50" s="5" t="str">
        <f t="array" ref="BX50">IFERROR(IF('T1'!$J50="",INDEX(LISTA_EX,74),INDEX(LISTA_EX,MATCH('T1'!$J50&amp;"|"&amp;74,LISTA_KLUCZ,0))),"")</f>
        <v>Gorilla row</v>
      </c>
      <c r="BY50" s="5" t="str">
        <f t="array" ref="BY50">IFERROR(IF('T1'!$J50="",INDEX(LISTA_EX,75),INDEX(LISTA_EX,MATCH('T1'!$J50&amp;"|"&amp;75,LISTA_KLUCZ,0))),"")</f>
        <v>Halfkneeling s/a cable pull</v>
      </c>
      <c r="BZ50" s="5" t="str">
        <f t="array" ref="BZ50">IFERROR(IF('T1'!$J50="",INDEX(LISTA_EX,76),INDEX(LISTA_EX,MATCH('T1'!$J50&amp;"|"&amp;76,LISTA_KLUCZ,0))),"")</f>
        <v>Halfkneeling wood chopper</v>
      </c>
      <c r="CA50" s="5" t="str">
        <f t="array" ref="CA50">IFERROR(IF('T1'!$J50="",INDEX(LISTA_EX,77),INDEX(LISTA_EX,MATCH('T1'!$J50&amp;"|"&amp;77,LISTA_KLUCZ,0))),"")</f>
        <v>Hinged dumbbell row</v>
      </c>
      <c r="CB50" s="5" t="str">
        <f t="array" ref="CB50">IFERROR(IF('T1'!$J50="",INDEX(LISTA_EX,78),INDEX(LISTA_EX,MATCH('T1'!$J50&amp;"|"&amp;78,LISTA_KLUCZ,0))),"")</f>
        <v>Hip aeroplane</v>
      </c>
      <c r="CC50" s="5" t="str">
        <f t="array" ref="CC50">IFERROR(IF('T1'!$J50="",INDEX(LISTA_EX,79),INDEX(LISTA_EX,MATCH('T1'!$J50&amp;"|"&amp;79,LISTA_KLUCZ,0))),"")</f>
        <v>Hip flexors cable</v>
      </c>
      <c r="CD50" s="5" t="str">
        <f t="array" ref="CD50">IFERROR(IF('T1'!$J50="",INDEX(LISTA_EX,80),INDEX(LISTA_EX,MATCH('T1'!$J50&amp;"|"&amp;80,LISTA_KLUCZ,0))),"")</f>
        <v>Hip thrust barbell</v>
      </c>
      <c r="CE50" s="5" t="str">
        <f t="array" ref="CE50">IFERROR(IF('T1'!$J50="",INDEX(LISTA_EX,81),INDEX(LISTA_EX,MATCH('T1'!$J50&amp;"|"&amp;81,LISTA_KLUCZ,0))),"")</f>
        <v>Hollow body + OH</v>
      </c>
      <c r="CF50" s="5" t="str">
        <f t="array" ref="CF50">IFERROR(IF('T1'!$J50="",INDEX(LISTA_EX,82),INDEX(LISTA_EX,MATCH('T1'!$J50&amp;"|"&amp;82,LISTA_KLUCZ,0))),"")</f>
        <v>Horizontal jump</v>
      </c>
      <c r="CG50" s="5" t="str">
        <f t="array" ref="CG50">IFERROR(IF('T1'!$J50="",INDEX(LISTA_EX,83),INDEX(LISTA_EX,MATCH('T1'!$J50&amp;"|"&amp;83,LISTA_KLUCZ,0))),"")</f>
        <v>Incline bench lateral raise s/a</v>
      </c>
      <c r="CH50" s="5" t="str">
        <f t="array" ref="CH50">IFERROR(IF('T1'!$J50="",INDEX(LISTA_EX,84),INDEX(LISTA_EX,MATCH('T1'!$J50&amp;"|"&amp;84,LISTA_KLUCZ,0))),"")</f>
        <v>Incline curl + OHP</v>
      </c>
      <c r="CI50" s="5" t="str">
        <f t="array" ref="CI50">IFERROR(IF('T1'!$J50="",INDEX(LISTA_EX,85),INDEX(LISTA_EX,MATCH('T1'!$J50&amp;"|"&amp;85,LISTA_KLUCZ,0))),"")</f>
        <v>Incline dumbbell curl</v>
      </c>
      <c r="CJ50" s="5" t="str">
        <f t="array" ref="CJ50">IFERROR(IF('T1'!$J50="",INDEX(LISTA_EX,86),INDEX(LISTA_EX,MATCH('T1'!$J50&amp;"|"&amp;86,LISTA_KLUCZ,0))),"")</f>
        <v>Incline dumbbell curl (back)</v>
      </c>
      <c r="CK50" s="5" t="str">
        <f t="array" ref="CK50">IFERROR(IF('T1'!$J50="",INDEX(LISTA_EX,87),INDEX(LISTA_EX,MATCH('T1'!$J50&amp;"|"&amp;87,LISTA_KLUCZ,0))),"")</f>
        <v>Incline dumbbell curl (front)</v>
      </c>
      <c r="CL50" s="5" t="str">
        <f t="array" ref="CL50">IFERROR(IF('T1'!$J50="",INDEX(LISTA_EX,88),INDEX(LISTA_EX,MATCH('T1'!$J50&amp;"|"&amp;88,LISTA_KLUCZ,0))),"")</f>
        <v>Incline dumbbell fly</v>
      </c>
      <c r="CM50" s="5" t="str">
        <f t="array" ref="CM50">IFERROR(IF('T1'!$J50="",INDEX(LISTA_EX,89),INDEX(LISTA_EX,MATCH('T1'!$J50&amp;"|"&amp;89,LISTA_KLUCZ,0))),"")</f>
        <v>Incline dumbbell press</v>
      </c>
      <c r="CN50" s="5" t="str">
        <f t="array" ref="CN50">IFERROR(IF('T1'!$J50="",INDEX(LISTA_EX,90),INDEX(LISTA_EX,MATCH('T1'!$J50&amp;"|"&amp;90,LISTA_KLUCZ,0))),"")</f>
        <v>Incline dumbbell press alternating</v>
      </c>
      <c r="CO50" s="5" t="str">
        <f t="array" ref="CO50">IFERROR(IF('T1'!$J50="",INDEX(LISTA_EX,91),INDEX(LISTA_EX,MATCH('T1'!$J50&amp;"|"&amp;91,LISTA_KLUCZ,0))),"")</f>
        <v>Incline sit-ups</v>
      </c>
      <c r="CP50" s="5" t="str">
        <f t="array" ref="CP50">IFERROR(IF('T1'!$J50="",INDEX(LISTA_EX,92),INDEX(LISTA_EX,MATCH('T1'!$J50&amp;"|"&amp;92,LISTA_KLUCZ,0))),"")</f>
        <v>Jefferson cable</v>
      </c>
      <c r="CQ50" s="5" t="str">
        <f t="array" ref="CQ50">IFERROR(IF('T1'!$J50="",INDEX(LISTA_EX,93),INDEX(LISTA_EX,MATCH('T1'!$J50&amp;"|"&amp;93,LISTA_KLUCZ,0))),"")</f>
        <v>Kettlebell march</v>
      </c>
      <c r="CR50" s="5" t="str">
        <f t="array" ref="CR50">IFERROR(IF('T1'!$J50="",INDEX(LISTA_EX,94),INDEX(LISTA_EX,MATCH('T1'!$J50&amp;"|"&amp;94,LISTA_KLUCZ,0))),"")</f>
        <v>Kickbacks</v>
      </c>
      <c r="CS50" s="5" t="str">
        <f t="array" ref="CS50">IFERROR(IF('T1'!$J50="",INDEX(LISTA_EX,95),INDEX(LISTA_EX,MATCH('T1'!$J50&amp;"|"&amp;95,LISTA_KLUCZ,0))),"")</f>
        <v>Knee extension machine</v>
      </c>
      <c r="CT50" s="5" t="str">
        <f t="array" ref="CT50">IFERROR(IF('T1'!$J50="",INDEX(LISTA_EX,96),INDEX(LISTA_EX,MATCH('T1'!$J50&amp;"|"&amp;96,LISTA_KLUCZ,0))),"")</f>
        <v>Knee flexion machine</v>
      </c>
      <c r="CU50" s="5" t="str">
        <f t="array" ref="CU50">IFERROR(IF('T1'!$J50="",INDEX(LISTA_EX,97),INDEX(LISTA_EX,MATCH('T1'!$J50&amp;"|"&amp;97,LISTA_KLUCZ,0))),"")</f>
        <v>Knee raises</v>
      </c>
      <c r="CV50" s="5" t="str">
        <f t="array" ref="CV50">IFERROR(IF('T1'!$J50="",INDEX(LISTA_EX,98),INDEX(LISTA_EX,MATCH('T1'!$J50&amp;"|"&amp;98,LISTA_KLUCZ,0))),"")</f>
        <v>Landmine core</v>
      </c>
      <c r="CW50" s="5" t="str">
        <f t="array" ref="CW50">IFERROR(IF('T1'!$J50="",INDEX(LISTA_EX,99),INDEX(LISTA_EX,MATCH('T1'!$J50&amp;"|"&amp;99,LISTA_KLUCZ,0))),"")</f>
        <v>Landmine press</v>
      </c>
      <c r="CX50" s="5" t="str">
        <f t="array" ref="CX50">IFERROR(IF('T1'!$J50="",INDEX(LISTA_EX,100),INDEX(LISTA_EX,MATCH('T1'!$J50&amp;"|"&amp;100,LISTA_KLUCZ,0))),"")</f>
        <v>Landmine rotations (powtórzenia x2)</v>
      </c>
      <c r="CY50" s="5" t="str">
        <f t="array" ref="CY50">IFERROR(IF('T1'!$J50="",INDEX(LISTA_EX,101),INDEX(LISTA_EX,MATCH('T1'!$J50&amp;"|"&amp;101,LISTA_KLUCZ,0))),"")</f>
        <v>Landmine SLDL</v>
      </c>
      <c r="CZ50" s="5" t="str">
        <f t="array" ref="CZ50">IFERROR(IF('T1'!$J50="",INDEX(LISTA_EX,102),INDEX(LISTA_EX,MATCH('T1'!$J50&amp;"|"&amp;102,LISTA_KLUCZ,0))),"")</f>
        <v>Lat pulldown</v>
      </c>
      <c r="DA50" s="5" t="str">
        <f t="array" ref="DA50">IFERROR(IF('T1'!$J50="",INDEX(LISTA_EX,103),INDEX(LISTA_EX,MATCH('T1'!$J50&amp;"|"&amp;103,LISTA_KLUCZ,0))),"")</f>
        <v>Lat pulldown behind the head</v>
      </c>
      <c r="DB50" s="5" t="str">
        <f t="array" ref="DB50">IFERROR(IF('T1'!$J50="",INDEX(LISTA_EX,104),INDEX(LISTA_EX,MATCH('T1'!$J50&amp;"|"&amp;104,LISTA_KLUCZ,0))),"")</f>
        <v>Lat pulldown s/a</v>
      </c>
      <c r="DC50" s="5" t="str">
        <f t="array" ref="DC50">IFERROR(IF('T1'!$J50="",INDEX(LISTA_EX,105),INDEX(LISTA_EX,MATCH('T1'!$J50&amp;"|"&amp;105,LISTA_KLUCZ,0))),"")</f>
        <v>Lateral raise s/a</v>
      </c>
      <c r="DD50" s="5" t="str">
        <f t="array" ref="DD50">IFERROR(IF('T1'!$J50="",INDEX(LISTA_EX,106),INDEX(LISTA_EX,MATCH('T1'!$J50&amp;"|"&amp;106,LISTA_KLUCZ,0))),"")</f>
        <v>Lateral raises</v>
      </c>
      <c r="DE50" s="5" t="str">
        <f t="array" ref="DE50">IFERROR(IF('T1'!$J50="",INDEX(LISTA_EX,107),INDEX(LISTA_EX,MATCH('T1'!$J50&amp;"|"&amp;107,LISTA_KLUCZ,0))),"")</f>
        <v>Lateral raises 2</v>
      </c>
      <c r="DF50" s="5" t="str">
        <f t="array" ref="DF50">IFERROR(IF('T1'!$J50="",INDEX(LISTA_EX,108),INDEX(LISTA_EX,MATCH('T1'!$J50&amp;"|"&amp;108,LISTA_KLUCZ,0))),"")</f>
        <v>Lateral raises full ROM</v>
      </c>
      <c r="DG50" s="5" t="str">
        <f t="array" ref="DG50">IFERROR(IF('T1'!$J50="",INDEX(LISTA_EX,109),INDEX(LISTA_EX,MATCH('T1'!$J50&amp;"|"&amp;109,LISTA_KLUCZ,0))),"")</f>
        <v>Lateral raises hinged</v>
      </c>
      <c r="DH50" s="5" t="str">
        <f t="array" ref="DH50">IFERROR(IF('T1'!$J50="",INDEX(LISTA_EX,110),INDEX(LISTA_EX,MATCH('T1'!$J50&amp;"|"&amp;110,LISTA_KLUCZ,0))),"")</f>
        <v>Lateral raises incline s/a</v>
      </c>
      <c r="DI50" s="5" t="str">
        <f t="array" ref="DI50">IFERROR(IF('T1'!$J50="",INDEX(LISTA_EX,111),INDEX(LISTA_EX,MATCH('T1'!$J50&amp;"|"&amp;111,LISTA_KLUCZ,0))),"")</f>
        <v>Leg curl</v>
      </c>
      <c r="DJ50" s="5" t="str">
        <f t="array" ref="DJ50">IFERROR(IF('T1'!$J50="",INDEX(LISTA_EX,112),INDEX(LISTA_EX,MATCH('T1'!$J50&amp;"|"&amp;112,LISTA_KLUCZ,0))),"")</f>
        <v>Machine row</v>
      </c>
      <c r="DK50" s="5" t="str">
        <f t="array" ref="DK50">IFERROR(IF('T1'!$J50="",INDEX(LISTA_EX,113),INDEX(LISTA_EX,MATCH('T1'!$J50&amp;"|"&amp;113,LISTA_KLUCZ,0))),"")</f>
        <v>Machine row s/a</v>
      </c>
      <c r="DL50" s="5" t="str">
        <f t="array" ref="DL50">IFERROR(IF('T1'!$J50="",INDEX(LISTA_EX,114),INDEX(LISTA_EX,MATCH('T1'!$J50&amp;"|"&amp;114,LISTA_KLUCZ,0))),"")</f>
        <v>Meadows row</v>
      </c>
      <c r="DM50" s="5" t="str">
        <f t="array" ref="DM50">IFERROR(IF('T1'!$J50="",INDEX(LISTA_EX,115),INDEX(LISTA_EX,MATCH('T1'!$J50&amp;"|"&amp;115,LISTA_KLUCZ,0))),"")</f>
        <v>Med ball slam</v>
      </c>
      <c r="DN50" s="5" t="str">
        <f t="array" ref="DN50">IFERROR(IF('T1'!$J50="",INDEX(LISTA_EX,116),INDEX(LISTA_EX,MATCH('T1'!$J50&amp;"|"&amp;116,LISTA_KLUCZ,0))),"")</f>
        <v>OH skullcrushers</v>
      </c>
      <c r="DO50" s="5" t="str">
        <f t="array" ref="DO50">IFERROR(IF('T1'!$J50="",INDEX(LISTA_EX,117),INDEX(LISTA_EX,MATCH('T1'!$J50&amp;"|"&amp;117,LISTA_KLUCZ,0))),"")</f>
        <v>OHP barbell squat 15kg</v>
      </c>
      <c r="DP50" s="5" t="str">
        <f t="array" ref="DP50">IFERROR(IF('T1'!$J50="",INDEX(LISTA_EX,118),INDEX(LISTA_EX,MATCH('T1'!$J50&amp;"|"&amp;118,LISTA_KLUCZ,0))),"")</f>
        <v>Pistol squat eccentric</v>
      </c>
      <c r="DQ50" s="5" t="str">
        <f t="array" ref="DQ50">IFERROR(IF('T1'!$J50="",INDEX(LISTA_EX,119),INDEX(LISTA_EX,MATCH('T1'!$J50&amp;"|"&amp;119,LISTA_KLUCZ,0))),"")</f>
        <v>Plank contralateral</v>
      </c>
      <c r="DR50" s="5" t="str">
        <f t="array" ref="DR50">IFERROR(IF('T1'!$J50="",INDEX(LISTA_EX,120),INDEX(LISTA_EX,MATCH('T1'!$J50&amp;"|"&amp;120,LISTA_KLUCZ,0))),"")</f>
        <v>Plank dumbbell rotation</v>
      </c>
      <c r="DS50" s="5" t="str">
        <f t="array" ref="DS50">IFERROR(IF('T1'!$J50="",INDEX(LISTA_EX,121),INDEX(LISTA_EX,MATCH('T1'!$J50&amp;"|"&amp;121,LISTA_KLUCZ,0))),"")</f>
        <v>Plank leg raises</v>
      </c>
      <c r="DT50" s="5" t="str">
        <f t="array" ref="DT50">IFERROR(IF('T1'!$J50="",INDEX(LISTA_EX,122),INDEX(LISTA_EX,MATCH('T1'!$J50&amp;"|"&amp;122,LISTA_KLUCZ,0))),"")</f>
        <v>Poliquin step up</v>
      </c>
      <c r="DU50" s="5" t="str">
        <f t="array" ref="DU50">IFERROR(IF('T1'!$J50="",INDEX(LISTA_EX,123),INDEX(LISTA_EX,MATCH('T1'!$J50&amp;"|"&amp;123,LISTA_KLUCZ,0))),"")</f>
        <v>Poliquin step up paused 3sec</v>
      </c>
      <c r="DV50" s="5" t="str">
        <f t="array" ref="DV50">IFERROR(IF('T1'!$J50="",INDEX(LISTA_EX,124),INDEX(LISTA_EX,MATCH('T1'!$J50&amp;"|"&amp;124,LISTA_KLUCZ,0))),"")</f>
        <v>Pronation/Supination</v>
      </c>
      <c r="DW50" s="5" t="str">
        <f t="array" ref="DW50">IFERROR(IF('T1'!$J50="",INDEX(LISTA_EX,125),INDEX(LISTA_EX,MATCH('T1'!$J50&amp;"|"&amp;125,LISTA_KLUCZ,0))),"")</f>
        <v>Pull up</v>
      </c>
      <c r="DX50" s="5" t="str">
        <f t="array" ref="DX50">IFERROR(IF('T1'!$J50="",INDEX(LISTA_EX,126),INDEX(LISTA_EX,MATCH('T1'!$J50&amp;"|"&amp;126,LISTA_KLUCZ,0))),"")</f>
        <v>Pull up eccentric weighted</v>
      </c>
      <c r="DY50" s="5" t="str">
        <f t="array" ref="DY50">IFERROR(IF('T1'!$J50="",INDEX(LISTA_EX,127),INDEX(LISTA_EX,MATCH('T1'!$J50&amp;"|"&amp;127,LISTA_KLUCZ,0))),"")</f>
        <v>Pull up eccentric weighted (5 sek w dół)</v>
      </c>
      <c r="DZ50" s="5" t="str">
        <f t="array" ref="DZ50">IFERROR(IF('T1'!$J50="",INDEX(LISTA_EX,128),INDEX(LISTA_EX,MATCH('T1'!$J50&amp;"|"&amp;128,LISTA_KLUCZ,0))),"")</f>
        <v>Pull up weighted</v>
      </c>
      <c r="EA50" s="5" t="str">
        <f t="array" ref="EA50">IFERROR(IF('T1'!$J50="",INDEX(LISTA_EX,129),INDEX(LISTA_EX,MATCH('T1'!$J50&amp;"|"&amp;129,LISTA_KLUCZ,0))),"")</f>
        <v>Pull ups (paused)</v>
      </c>
      <c r="EB50" s="5" t="str">
        <f t="array" ref="EB50">IFERROR(IF('T1'!$J50="",INDEX(LISTA_EX,130),INDEX(LISTA_EX,MATCH('T1'!$J50&amp;"|"&amp;130,LISTA_KLUCZ,0))),"")</f>
        <v>Push press barbell</v>
      </c>
      <c r="EC50" s="5" t="str">
        <f t="array" ref="EC50">IFERROR(IF('T1'!$J50="",INDEX(LISTA_EX,131),INDEX(LISTA_EX,MATCH('T1'!$J50&amp;"|"&amp;131,LISTA_KLUCZ,0))),"")</f>
        <v>Push up</v>
      </c>
      <c r="ED50" s="5" t="str">
        <f t="array" ref="ED50">IFERROR(IF('T1'!$J50="",INDEX(LISTA_EX,132),INDEX(LISTA_EX,MATCH('T1'!$J50&amp;"|"&amp;132,LISTA_KLUCZ,0))),"")</f>
        <v>Raised bird dog</v>
      </c>
      <c r="EE50" s="5" t="str">
        <f t="array" ref="EE50">IFERROR(IF('T1'!$J50="",INDEX(LISTA_EX,133),INDEX(LISTA_EX,MATCH('T1'!$J50&amp;"|"&amp;133,LISTA_KLUCZ,0))),"")</f>
        <v>RDL</v>
      </c>
      <c r="EF50" s="5" t="str">
        <f t="array" ref="EF50">IFERROR(IF('T1'!$J50="",INDEX(LISTA_EX,134),INDEX(LISTA_EX,MATCH('T1'!$J50&amp;"|"&amp;134,LISTA_KLUCZ,0))),"")</f>
        <v>Reverse Nordic</v>
      </c>
      <c r="EG50" s="5" t="str">
        <f t="array" ref="EG50">IFERROR(IF('T1'!$J50="",INDEX(LISTA_EX,135),INDEX(LISTA_EX,MATCH('T1'!$J50&amp;"|"&amp;135,LISTA_KLUCZ,0))),"")</f>
        <v>Rope pushdown</v>
      </c>
      <c r="EH50" s="5" t="str">
        <f t="array" ref="EH50">IFERROR(IF('T1'!$J50="",INDEX(LISTA_EX,136),INDEX(LISTA_EX,MATCH('T1'!$J50&amp;"|"&amp;136,LISTA_KLUCZ,0))),"")</f>
        <v>Rope pushdown OH</v>
      </c>
      <c r="EI50" s="5" t="str">
        <f t="array" ref="EI50">IFERROR(IF('T1'!$J50="",INDEX(LISTA_EX,137),INDEX(LISTA_EX,MATCH('T1'!$J50&amp;"|"&amp;137,LISTA_KLUCZ,0))),"")</f>
        <v>S/a cable pulldown incline bench</v>
      </c>
      <c r="EJ50" s="5" t="str">
        <f t="array" ref="EJ50">IFERROR(IF('T1'!$J50="",INDEX(LISTA_EX,138),INDEX(LISTA_EX,MATCH('T1'!$J50&amp;"|"&amp;138,LISTA_KLUCZ,0))),"")</f>
        <v>S/a lat pulldown incline bench</v>
      </c>
      <c r="EK50" s="5" t="str">
        <f t="array" ref="EK50">IFERROR(IF('T1'!$J50="",INDEX(LISTA_EX,139),INDEX(LISTA_EX,MATCH('T1'!$J50&amp;"|"&amp;139,LISTA_KLUCZ,0))),"")</f>
        <v>S/l dragonflag eccentric</v>
      </c>
      <c r="EL50" s="5" t="str">
        <f t="array" ref="EL50">IFERROR(IF('T1'!$J50="",INDEX(LISTA_EX,140),INDEX(LISTA_EX,MATCH('T1'!$J50&amp;"|"&amp;140,LISTA_KLUCZ,0))),"")</f>
        <v>S/l hip thrust</v>
      </c>
      <c r="EM50" s="5" t="str">
        <f t="array" ref="EM50">IFERROR(IF('T1'!$J50="",INDEX(LISTA_EX,141),INDEX(LISTA_EX,MATCH('T1'!$J50&amp;"|"&amp;141,LISTA_KLUCZ,0))),"")</f>
        <v>Seated broad jump</v>
      </c>
      <c r="EN50" s="5" t="str">
        <f t="array" ref="EN50">IFERROR(IF('T1'!$J50="",INDEX(LISTA_EX,142),INDEX(LISTA_EX,MATCH('T1'!$J50&amp;"|"&amp;142,LISTA_KLUCZ,0))),"")</f>
        <v>Seated cable facepull</v>
      </c>
      <c r="EO50" s="5" t="str">
        <f t="array" ref="EO50">IFERROR(IF('T1'!$J50="",INDEX(LISTA_EX,143),INDEX(LISTA_EX,MATCH('T1'!$J50&amp;"|"&amp;143,LISTA_KLUCZ,0))),"")</f>
        <v>Seated seesaw press (nogi proste)</v>
      </c>
      <c r="EP50" s="5" t="str">
        <f t="array" ref="EP50">IFERROR(IF('T1'!$J50="",INDEX(LISTA_EX,144),INDEX(LISTA_EX,MATCH('T1'!$J50&amp;"|"&amp;144,LISTA_KLUCZ,0))),"")</f>
        <v>Seesaw press</v>
      </c>
      <c r="EQ50" s="5" t="str">
        <f t="array" ref="EQ50">IFERROR(IF('T1'!$J50="",INDEX(LISTA_EX,145),INDEX(LISTA_EX,MATCH('T1'!$J50&amp;"|"&amp;145,LISTA_KLUCZ,0))),"")</f>
        <v>Side crunches</v>
      </c>
      <c r="ER50" s="5" t="str">
        <f t="array" ref="ER50">IFERROR(IF('T1'!$J50="",INDEX(LISTA_EX,146),INDEX(LISTA_EX,MATCH('T1'!$J50&amp;"|"&amp;146,LISTA_KLUCZ,0))),"")</f>
        <v>Side plank hip drop</v>
      </c>
      <c r="ES50" s="5" t="str">
        <f t="array" ref="ES50">IFERROR(IF('T1'!$J50="",INDEX(LISTA_EX,147),INDEX(LISTA_EX,MATCH('T1'!$J50&amp;"|"&amp;147,LISTA_KLUCZ,0))),"")</f>
        <v>Side plank rotations</v>
      </c>
      <c r="ET50" s="5" t="str">
        <f t="array" ref="ET50">IFERROR(IF('T1'!$J50="",INDEX(LISTA_EX,148),INDEX(LISTA_EX,MATCH('T1'!$J50&amp;"|"&amp;148,LISTA_KLUCZ,0))),"")</f>
        <v>SLDL balance</v>
      </c>
      <c r="EU50" s="5" t="str">
        <f t="array" ref="EU50">IFERROR(IF('T1'!$J50="",INDEX(LISTA_EX,149),INDEX(LISTA_EX,MATCH('T1'!$J50&amp;"|"&amp;149,LISTA_KLUCZ,0))),"")</f>
        <v>Split squat</v>
      </c>
      <c r="EV50" s="5" t="str">
        <f t="array" ref="EV50">IFERROR(IF('T1'!$J50="",INDEX(LISTA_EX,150),INDEX(LISTA_EX,MATCH('T1'!$J50&amp;"|"&amp;150,LISTA_KLUCZ,0))),"")</f>
        <v>Split stance SLDL</v>
      </c>
      <c r="EW50" s="5" t="str">
        <f t="array" ref="EW50">IFERROR(IF('T1'!$J50="",INDEX(LISTA_EX,151),INDEX(LISTA_EX,MATCH('T1'!$J50&amp;"|"&amp;151,LISTA_KLUCZ,0))),"")</f>
        <v>Squat izo (15 sek)</v>
      </c>
      <c r="EX50" s="5" t="str">
        <f t="array" ref="EX50">IFERROR(IF('T1'!$J50="",INDEX(LISTA_EX,152),INDEX(LISTA_EX,MATCH('T1'!$J50&amp;"|"&amp;152,LISTA_KLUCZ,0))),"")</f>
        <v>Standing landmine press</v>
      </c>
      <c r="EY50" s="5" t="str">
        <f t="array" ref="EY50">IFERROR(IF('T1'!$J50="",INDEX(LISTA_EX,153),INDEX(LISTA_EX,MATCH('T1'!$J50&amp;"|"&amp;153,LISTA_KLUCZ,0))),"")</f>
        <v>Suitcase carry</v>
      </c>
      <c r="EZ50" s="5" t="str">
        <f t="array" ref="EZ50">IFERROR(IF('T1'!$J50="",INDEX(LISTA_EX,154),INDEX(LISTA_EX,MATCH('T1'!$J50&amp;"|"&amp;154,LISTA_KLUCZ,0))),"")</f>
        <v>Supine pigeon abs</v>
      </c>
      <c r="FA50" s="5" t="str">
        <f t="array" ref="FA50">IFERROR(IF('T1'!$J50="",INDEX(LISTA_EX,155),INDEX(LISTA_EX,MATCH('T1'!$J50&amp;"|"&amp;155,LISTA_KLUCZ,0))),"")</f>
        <v>Swiss ball leg curl</v>
      </c>
      <c r="FB50" s="5" t="str">
        <f t="array" ref="FB50">IFERROR(IF('T1'!$J50="",INDEX(LISTA_EX,156),INDEX(LISTA_EX,MATCH('T1'!$J50&amp;"|"&amp;156,LISTA_KLUCZ,0))),"")</f>
        <v>Toes to bar</v>
      </c>
      <c r="FC50" s="5" t="str">
        <f t="array" ref="FC50">IFERROR(IF('T1'!$J50="",INDEX(LISTA_EX,157),INDEX(LISTA_EX,MATCH('T1'!$J50&amp;"|"&amp;157,LISTA_KLUCZ,0))),"")</f>
        <v>Trap bar deadlift</v>
      </c>
      <c r="FD50" s="5" t="str">
        <f t="array" ref="FD50">IFERROR(IF('T1'!$J50="",INDEX(LISTA_EX,158),INDEX(LISTA_EX,MATCH('T1'!$J50&amp;"|"&amp;158,LISTA_KLUCZ,0))),"")</f>
        <v>Tricep cable pushdown</v>
      </c>
      <c r="FE50" s="5" t="str">
        <f t="array" ref="FE50">IFERROR(IF('T1'!$J50="",INDEX(LISTA_EX,159),INDEX(LISTA_EX,MATCH('T1'!$J50&amp;"|"&amp;159,LISTA_KLUCZ,0))),"")</f>
        <v>Tricep JM press</v>
      </c>
      <c r="FF50" s="5" t="str">
        <f t="array" ref="FF50">IFERROR(IF('T1'!$J50="",INDEX(LISTA_EX,160),INDEX(LISTA_EX,MATCH('T1'!$J50&amp;"|"&amp;160,LISTA_KLUCZ,0))),"")</f>
        <v>Tricep OH cable</v>
      </c>
      <c r="FG50" s="5" t="str">
        <f t="array" ref="FG50">IFERROR(IF('T1'!$J50="",INDEX(LISTA_EX,161),INDEX(LISTA_EX,MATCH('T1'!$J50&amp;"|"&amp;161,LISTA_KLUCZ,0))),"")</f>
        <v>Tricep OH ez bar</v>
      </c>
      <c r="FH50" s="5" t="str">
        <f t="array" ref="FH50">IFERROR(IF('T1'!$J50="",INDEX(LISTA_EX,162),INDEX(LISTA_EX,MATCH('T1'!$J50&amp;"|"&amp;162,LISTA_KLUCZ,0))),"")</f>
        <v>Walking lunges</v>
      </c>
      <c r="FI50" s="5" t="str">
        <f t="array" ref="FI50">IFERROR(IF('T1'!$J50="",INDEX(LISTA_EX,163),INDEX(LISTA_EX,MATCH('T1'!$J50&amp;"|"&amp;163,LISTA_KLUCZ,0))),"")</f>
        <v>Wipers kettle</v>
      </c>
      <c r="FJ50" s="5" t="str">
        <f t="array" ref="FJ50">IFERROR(IF('T1'!$J50="",INDEX(LISTA_EX,164),INDEX(LISTA_EX,MATCH('T1'!$J50&amp;"|"&amp;164,LISTA_KLUCZ,0))),"")</f>
        <v>Zercher jumps</v>
      </c>
      <c r="FK50" s="5" t="str">
        <f t="array" ref="FK50">IFERROR(IF('T1'!$J50="",INDEX(LISTA_EX,165),INDEX(LISTA_EX,MATCH('T1'!$J50&amp;"|"&amp;165,LISTA_KLUCZ,0))),"")</f>
        <v/>
      </c>
      <c r="FL50" s="5" t="str">
        <f t="array" ref="FL50">IFERROR(IF('T1'!$J50="",INDEX(LISTA_EX,166),INDEX(LISTA_EX,MATCH('T1'!$J50&amp;"|"&amp;166,LISTA_KLUCZ,0))),"")</f>
        <v/>
      </c>
      <c r="FM50" s="5" t="str">
        <f t="array" ref="FM50">IFERROR(IF('T1'!$J50="",INDEX(LISTA_EX,167),INDEX(LISTA_EX,MATCH('T1'!$J50&amp;"|"&amp;167,LISTA_KLUCZ,0))),"")</f>
        <v/>
      </c>
      <c r="FN50" s="5" t="str">
        <f t="array" ref="FN50">IFERROR(IF('T1'!$J50="",INDEX(LISTA_EX,168),INDEX(LISTA_EX,MATCH('T1'!$J50&amp;"|"&amp;168,LISTA_KLUCZ,0))),"")</f>
        <v/>
      </c>
      <c r="FO50" s="5" t="str">
        <f t="array" ref="FO50">IFERROR(IF('T1'!$J50="",INDEX(LISTA_EX,169),INDEX(LISTA_EX,MATCH('T1'!$J50&amp;"|"&amp;169,LISTA_KLUCZ,0))),"")</f>
        <v/>
      </c>
      <c r="FP50" s="5" t="str">
        <f t="array" ref="FP50">IFERROR(IF('T1'!$J50="",INDEX(LISTA_EX,170),INDEX(LISTA_EX,MATCH('T1'!$J50&amp;"|"&amp;170,LISTA_KLUCZ,0))),"")</f>
        <v/>
      </c>
      <c r="FQ50" s="5" t="str">
        <f t="array" ref="FQ50">IFERROR(IF('T1'!$J50="",INDEX(LISTA_EX,171),INDEX(LISTA_EX,MATCH('T1'!$J50&amp;"|"&amp;171,LISTA_KLUCZ,0))),"")</f>
        <v/>
      </c>
      <c r="FR50" s="5" t="str">
        <f t="array" ref="FR50">IFERROR(IF('T1'!$J50="",INDEX(LISTA_EX,172),INDEX(LISTA_EX,MATCH('T1'!$J50&amp;"|"&amp;172,LISTA_KLUCZ,0))),"")</f>
        <v/>
      </c>
      <c r="FS50" s="5" t="str">
        <f t="array" ref="FS50">IFERROR(IF('T1'!$J50="",INDEX(LISTA_EX,173),INDEX(LISTA_EX,MATCH('T1'!$J50&amp;"|"&amp;173,LISTA_KLUCZ,0))),"")</f>
        <v/>
      </c>
      <c r="FT50" s="5" t="str">
        <f t="array" ref="FT50">IFERROR(IF('T1'!$J50="",INDEX(LISTA_EX,174),INDEX(LISTA_EX,MATCH('T1'!$J50&amp;"|"&amp;174,LISTA_KLUCZ,0))),"")</f>
        <v/>
      </c>
      <c r="FU50" s="5" t="str">
        <f t="array" ref="FU50">IFERROR(IF('T1'!$J50="",INDEX(LISTA_EX,175),INDEX(LISTA_EX,MATCH('T1'!$J50&amp;"|"&amp;175,LISTA_KLUCZ,0))),"")</f>
        <v/>
      </c>
      <c r="FV50" s="5" t="str">
        <f t="array" ref="FV50">IFERROR(IF('T1'!$J50="",INDEX(LISTA_EX,176),INDEX(LISTA_EX,MATCH('T1'!$J50&amp;"|"&amp;176,LISTA_KLUCZ,0))),"")</f>
        <v/>
      </c>
      <c r="FW50" s="5" t="str">
        <f t="array" ref="FW50">IFERROR(IF('T1'!$J50="",INDEX(LISTA_EX,177),INDEX(LISTA_EX,MATCH('T1'!$J50&amp;"|"&amp;177,LISTA_KLUCZ,0))),"")</f>
        <v/>
      </c>
      <c r="FX50" s="5" t="str">
        <f t="array" ref="FX50">IFERROR(IF('T1'!$J50="",INDEX(LISTA_EX,178),INDEX(LISTA_EX,MATCH('T1'!$J50&amp;"|"&amp;178,LISTA_KLUCZ,0))),"")</f>
        <v/>
      </c>
      <c r="FY50" s="5" t="str">
        <f t="array" ref="FY50">IFERROR(IF('T1'!$J50="",INDEX(LISTA_EX,179),INDEX(LISTA_EX,MATCH('T1'!$J50&amp;"|"&amp;179,LISTA_KLUCZ,0))),"")</f>
        <v/>
      </c>
      <c r="FZ50" s="5" t="str">
        <f t="array" ref="FZ50">IFERROR(IF('T1'!$J50="",INDEX(LISTA_EX,180),INDEX(LISTA_EX,MATCH('T1'!$J50&amp;"|"&amp;180,LISTA_KLUCZ,0))),"")</f>
        <v/>
      </c>
      <c r="GA50" s="5" t="str">
        <f t="array" ref="GA50">IFERROR(IF('T1'!$J50="",INDEX(LISTA_EX,181),INDEX(LISTA_EX,MATCH('T1'!$J50&amp;"|"&amp;181,LISTA_KLUCZ,0))),"")</f>
        <v/>
      </c>
      <c r="GB50" s="5" t="str">
        <f t="array" ref="GB50">IFERROR(IF('T1'!$J50="",INDEX(LISTA_EX,182),INDEX(LISTA_EX,MATCH('T1'!$J50&amp;"|"&amp;182,LISTA_KLUCZ,0))),"")</f>
        <v/>
      </c>
      <c r="GC50" s="5" t="str">
        <f t="array" ref="GC50">IFERROR(IF('T1'!$J50="",INDEX(LISTA_EX,183),INDEX(LISTA_EX,MATCH('T1'!$J50&amp;"|"&amp;183,LISTA_KLUCZ,0))),"")</f>
        <v/>
      </c>
      <c r="GD50" s="5" t="str">
        <f t="array" ref="GD50">IFERROR(IF('T1'!$J50="",INDEX(LISTA_EX,184),INDEX(LISTA_EX,MATCH('T1'!$J50&amp;"|"&amp;184,LISTA_KLUCZ,0))),"")</f>
        <v/>
      </c>
      <c r="GE50" s="5" t="str">
        <f t="array" ref="GE50">IFERROR(IF('T1'!$J50="",INDEX(LISTA_EX,185),INDEX(LISTA_EX,MATCH('T1'!$J50&amp;"|"&amp;185,LISTA_KLUCZ,0))),"")</f>
        <v/>
      </c>
      <c r="GF50" s="5" t="str">
        <f t="array" ref="GF50">IFERROR(IF('T1'!$J50="",INDEX(LISTA_EX,186),INDEX(LISTA_EX,MATCH('T1'!$J50&amp;"|"&amp;186,LISTA_KLUCZ,0))),"")</f>
        <v/>
      </c>
      <c r="GG50" s="5" t="str">
        <f t="array" ref="GG50">IFERROR(IF('T1'!$J50="",INDEX(LISTA_EX,187),INDEX(LISTA_EX,MATCH('T1'!$J50&amp;"|"&amp;187,LISTA_KLUCZ,0))),"")</f>
        <v/>
      </c>
      <c r="GH50" s="5" t="str">
        <f t="array" ref="GH50">IFERROR(IF('T1'!$J50="",INDEX(LISTA_EX,188),INDEX(LISTA_EX,MATCH('T1'!$J50&amp;"|"&amp;188,LISTA_KLUCZ,0))),"")</f>
        <v/>
      </c>
      <c r="GI50" s="5" t="str">
        <f t="array" ref="GI50">IFERROR(IF('T1'!$J50="",INDEX(LISTA_EX,189),INDEX(LISTA_EX,MATCH('T1'!$J50&amp;"|"&amp;189,LISTA_KLUCZ,0))),"")</f>
        <v/>
      </c>
      <c r="GJ50" s="5" t="str">
        <f t="array" ref="GJ50">IFERROR(IF('T1'!$J50="",INDEX(LISTA_EX,190),INDEX(LISTA_EX,MATCH('T1'!$J50&amp;"|"&amp;190,LISTA_KLUCZ,0))),"")</f>
        <v/>
      </c>
      <c r="GK50" s="5" t="str">
        <f t="array" ref="GK50">IFERROR(IF('T1'!$J50="",INDEX(LISTA_EX,191),INDEX(LISTA_EX,MATCH('T1'!$J50&amp;"|"&amp;191,LISTA_KLUCZ,0))),"")</f>
        <v/>
      </c>
      <c r="GL50" s="5" t="str">
        <f t="array" ref="GL50">IFERROR(IF('T1'!$J50="",INDEX(LISTA_EX,192),INDEX(LISTA_EX,MATCH('T1'!$J50&amp;"|"&amp;192,LISTA_KLUCZ,0))),"")</f>
        <v/>
      </c>
      <c r="GM50" s="5" t="str">
        <f t="array" ref="GM50">IFERROR(IF('T1'!$J50="",INDEX(LISTA_EX,193),INDEX(LISTA_EX,MATCH('T1'!$J50&amp;"|"&amp;193,LISTA_KLUCZ,0))),"")</f>
        <v/>
      </c>
      <c r="GN50" s="5" t="str">
        <f t="array" ref="GN50">IFERROR(IF('T1'!$J50="",INDEX(LISTA_EX,194),INDEX(LISTA_EX,MATCH('T1'!$J50&amp;"|"&amp;194,LISTA_KLUCZ,0))),"")</f>
        <v/>
      </c>
      <c r="GO50" s="5" t="str">
        <f t="array" ref="GO50">IFERROR(IF('T1'!$J50="",INDEX(LISTA_EX,195),INDEX(LISTA_EX,MATCH('T1'!$J50&amp;"|"&amp;195,LISTA_KLUCZ,0))),"")</f>
        <v/>
      </c>
      <c r="GP50" s="5" t="str">
        <f t="array" ref="GP50">IFERROR(IF('T1'!$J50="",INDEX(LISTA_EX,196),INDEX(LISTA_EX,MATCH('T1'!$J50&amp;"|"&amp;196,LISTA_KLUCZ,0))),"")</f>
        <v/>
      </c>
      <c r="GQ50" s="5" t="str">
        <f t="array" ref="GQ50">IFERROR(IF('T1'!$J50="",INDEX(LISTA_EX,197),INDEX(LISTA_EX,MATCH('T1'!$J50&amp;"|"&amp;197,LISTA_KLUCZ,0))),"")</f>
        <v/>
      </c>
      <c r="GR50" s="5" t="str">
        <f t="array" ref="GR50">IFERROR(IF('T1'!$J50="",INDEX(LISTA_EX,198),INDEX(LISTA_EX,MATCH('T1'!$J50&amp;"|"&amp;198,LISTA_KLUCZ,0))),"")</f>
        <v/>
      </c>
      <c r="GS50" s="5" t="str">
        <f t="array" ref="GS50">IFERROR(IF('T1'!$J50="",INDEX(LISTA_EX,199),INDEX(LISTA_EX,MATCH('T1'!$J50&amp;"|"&amp;199,LISTA_KLUCZ,0))),"")</f>
        <v/>
      </c>
      <c r="GT50" s="5" t="str">
        <f t="array" ref="GT50">IFERROR(IF('T1'!$J50="",INDEX(LISTA_EX,200),INDEX(LISTA_EX,MATCH('T1'!$J50&amp;"|"&amp;200,LISTA_KLUCZ,0))),"")</f>
        <v/>
      </c>
      <c r="GV50" s="5" t="str">
        <f>IF(BAZA!$A50="","",BAZA!$A50)</f>
        <v>Dumbbell bench press alternating</v>
      </c>
      <c r="GW50" s="5" t="str">
        <f>IF(BAZA!$B50="","",BAZA!$B50&amp;"|"&amp;COUNTIF(BAZA!$B$3:$B50,BAZA!$B50))</f>
        <v>Upper push horizontal|9</v>
      </c>
    </row>
    <row r="51" ht="15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L51" s="5"/>
      <c r="FM51" s="5"/>
      <c r="GV51" s="5" t="str">
        <f>IF(BAZA!$A51="","",BAZA!$A51)</f>
        <v>Dumbbell curl</v>
      </c>
      <c r="GW51" s="5" t="str">
        <f>IF(BAZA!$B51="","",BAZA!$B51&amp;"|"&amp;COUNTIF(BAZA!$B$3:$B51,BAZA!$B51))</f>
        <v>Bicep|6</v>
      </c>
    </row>
    <row r="52" ht="15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L52" s="5"/>
      <c r="FM52" s="5"/>
      <c r="GV52" s="5" t="str">
        <f>IF(BAZA!$A52="","",BAZA!$A52)</f>
        <v>Dumbbell external rotation</v>
      </c>
      <c r="GW52" s="5" t="str">
        <f>IF(BAZA!$B52="","",BAZA!$B52&amp;"|"&amp;COUNTIF(BAZA!$B$3:$B52,BAZA!$B52))</f>
        <v>Upper pull horizontal|7</v>
      </c>
    </row>
    <row r="53" ht="15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L53" s="5"/>
      <c r="FM53" s="5"/>
      <c r="GV53" s="5" t="str">
        <f>IF(BAZA!$A53="","",BAZA!$A53)</f>
        <v>Dumbbell face down curl</v>
      </c>
      <c r="GW53" s="5" t="str">
        <f>IF(BAZA!$B53="","",BAZA!$B53&amp;"|"&amp;COUNTIF(BAZA!$B$3:$B53,BAZA!$B53))</f>
        <v>Bicep|7</v>
      </c>
    </row>
    <row r="54" ht="15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L54" s="5"/>
      <c r="FM54" s="5"/>
      <c r="GV54" s="5" t="str">
        <f>IF(BAZA!$A54="","",BAZA!$A54)</f>
        <v>Dumbbell fly</v>
      </c>
      <c r="GW54" s="5" t="str">
        <f>IF(BAZA!$B54="","",BAZA!$B54&amp;"|"&amp;COUNTIF(BAZA!$B$3:$B54,BAZA!$B54))</f>
        <v>Upper push horizontal|10</v>
      </c>
    </row>
    <row r="55" ht="15.0" customHeight="1">
      <c r="A55" s="5" t="str">
        <f>IF('T1'!$K55="","",'T1'!$K55)</f>
        <v>D4-S01</v>
      </c>
      <c r="B55" s="5" t="str">
        <f>IF('T1'!$J55="","(wszystkie)",'T1'!$J55)</f>
        <v>(wszystkie)</v>
      </c>
      <c r="C55" s="5" t="str">
        <f t="array" ref="C55">IFERROR(IF('T1'!$J55="",INDEX(LISTA_EX,1),INDEX(LISTA_EX,MATCH('T1'!$J55&amp;"|"&amp;1,LISTA_KLUCZ,0))),"")</f>
        <v>Abduction machine</v>
      </c>
      <c r="D55" s="5" t="str">
        <f t="array" ref="D55">IFERROR(IF('T1'!$J55="",INDEX(LISTA_EX,2),INDEX(LISTA_EX,MATCH('T1'!$J55&amp;"|"&amp;2,LISTA_KLUCZ,0))),"")</f>
        <v>Adduction machine</v>
      </c>
      <c r="E55" s="5" t="str">
        <f t="array" ref="E55">IFERROR(IF('T1'!$J55="",INDEX(LISTA_EX,3),INDEX(LISTA_EX,MATCH('T1'!$J55&amp;"|"&amp;3,LISTA_KLUCZ,0))),"")</f>
        <v>Allah</v>
      </c>
      <c r="F55" s="5" t="str">
        <f t="array" ref="F55">IFERROR(IF('T1'!$J55="",INDEX(LISTA_EX,4),INDEX(LISTA_EX,MATCH('T1'!$J55&amp;"|"&amp;4,LISTA_KLUCZ,0))),"")</f>
        <v>Arnold press</v>
      </c>
      <c r="G55" s="5" t="str">
        <f t="array" ref="G55">IFERROR(IF('T1'!$J55="",INDEX(LISTA_EX,5),INDEX(LISTA_EX,MATCH('T1'!$J55&amp;"|"&amp;5,LISTA_KLUCZ,0))),"")</f>
        <v>Arnold press alternating</v>
      </c>
      <c r="H55" s="5" t="str">
        <f t="array" ref="H55">IFERROR(IF('T1'!$J55="",INDEX(LISTA_EX,6),INDEX(LISTA_EX,MATCH('T1'!$J55&amp;"|"&amp;6,LISTA_KLUCZ,0))),"")</f>
        <v>B/l dragonflag eccentric</v>
      </c>
      <c r="I55" s="5" t="str">
        <f t="array" ref="I55">IFERROR(IF('T1'!$J55="",INDEX(LISTA_EX,7),INDEX(LISTA_EX,MATCH('T1'!$J55&amp;"|"&amp;7,LISTA_KLUCZ,0))),"")</f>
        <v>Back extension</v>
      </c>
      <c r="J55" s="5" t="str">
        <f t="array" ref="J55">IFERROR(IF('T1'!$J55="",INDEX(LISTA_EX,8),INDEX(LISTA_EX,MATCH('T1'!$J55&amp;"|"&amp;8,LISTA_KLUCZ,0))),"")</f>
        <v>Banded pistol squat</v>
      </c>
      <c r="K55" s="5" t="str">
        <f t="array" ref="K55">IFERROR(IF('T1'!$J55="",INDEX(LISTA_EX,9),INDEX(LISTA_EX,MATCH('T1'!$J55&amp;"|"&amp;9,LISTA_KLUCZ,0))),"")</f>
        <v>Banded pull ups</v>
      </c>
      <c r="L55" s="5" t="str">
        <f t="array" ref="L55">IFERROR(IF('T1'!$J55="",INDEX(LISTA_EX,10),INDEX(LISTA_EX,MATCH('T1'!$J55&amp;"|"&amp;10,LISTA_KLUCZ,0))),"")</f>
        <v>Barbell back squat</v>
      </c>
      <c r="M55" s="5" t="str">
        <f t="array" ref="M55">IFERROR(IF('T1'!$J55="",INDEX(LISTA_EX,11),INDEX(LISTA_EX,MATCH('T1'!$J55&amp;"|"&amp;11,LISTA_KLUCZ,0))),"")</f>
        <v>Barbell bench press</v>
      </c>
      <c r="N55" s="5" t="str">
        <f t="array" ref="N55">IFERROR(IF('T1'!$J55="",INDEX(LISTA_EX,12),INDEX(LISTA_EX,MATCH('T1'!$J55&amp;"|"&amp;12,LISTA_KLUCZ,0))),"")</f>
        <v>Barbell curl</v>
      </c>
      <c r="O55" s="5" t="str">
        <f t="array" ref="O55">IFERROR(IF('T1'!$J55="",INDEX(LISTA_EX,13),INDEX(LISTA_EX,MATCH('T1'!$J55&amp;"|"&amp;13,LISTA_KLUCZ,0))),"")</f>
        <v>Barbell low bar squat</v>
      </c>
      <c r="P55" s="5" t="str">
        <f t="array" ref="P55">IFERROR(IF('T1'!$J55="",INDEX(LISTA_EX,14),INDEX(LISTA_EX,MATCH('T1'!$J55&amp;"|"&amp;14,LISTA_KLUCZ,0))),"")</f>
        <v>Barbell OHP</v>
      </c>
      <c r="Q55" s="5" t="str">
        <f t="array" ref="Q55">IFERROR(IF('T1'!$J55="",INDEX(LISTA_EX,15),INDEX(LISTA_EX,MATCH('T1'!$J55&amp;"|"&amp;15,LISTA_KLUCZ,0))),"")</f>
        <v>Barbell oscilation</v>
      </c>
      <c r="R55" s="5" t="str">
        <f t="array" ref="R55">IFERROR(IF('T1'!$J55="",INDEX(LISTA_EX,16),INDEX(LISTA_EX,MATCH('T1'!$J55&amp;"|"&amp;16,LISTA_KLUCZ,0))),"")</f>
        <v>Barbell row</v>
      </c>
      <c r="S55" s="5" t="str">
        <f t="array" ref="S55">IFERROR(IF('T1'!$J55="",INDEX(LISTA_EX,17),INDEX(LISTA_EX,MATCH('T1'!$J55&amp;"|"&amp;17,LISTA_KLUCZ,0))),"")</f>
        <v>Barbell row dead stop pins</v>
      </c>
      <c r="T55" s="5" t="str">
        <f t="array" ref="T55">IFERROR(IF('T1'!$J55="",INDEX(LISTA_EX,18),INDEX(LISTA_EX,MATCH('T1'!$J55&amp;"|"&amp;18,LISTA_KLUCZ,0))),"")</f>
        <v>Barbell SLDL</v>
      </c>
      <c r="U55" s="5" t="str">
        <f t="array" ref="U55">IFERROR(IF('T1'!$J55="",INDEX(LISTA_EX,19),INDEX(LISTA_EX,MATCH('T1'!$J55&amp;"|"&amp;19,LISTA_KLUCZ,0))),"")</f>
        <v>Bayesian curl</v>
      </c>
      <c r="V55" s="5" t="str">
        <f t="array" ref="V55">IFERROR(IF('T1'!$J55="",INDEX(LISTA_EX,20),INDEX(LISTA_EX,MATCH('T1'!$J55&amp;"|"&amp;20,LISTA_KLUCZ,0))),"")</f>
        <v>Bear renegade row</v>
      </c>
      <c r="W55" s="5" t="str">
        <f t="array" ref="W55">IFERROR(IF('T1'!$J55="",INDEX(LISTA_EX,21),INDEX(LISTA_EX,MATCH('T1'!$J55&amp;"|"&amp;21,LISTA_KLUCZ,0))),"")</f>
        <v>Bench press paused 3sec</v>
      </c>
      <c r="X55" s="5" t="str">
        <f t="array" ref="X55">IFERROR(IF('T1'!$J55="",INDEX(LISTA_EX,22),INDEX(LISTA_EX,MATCH('T1'!$J55&amp;"|"&amp;22,LISTA_KLUCZ,0))),"")</f>
        <v>Bicep hammer curl</v>
      </c>
      <c r="Y55" s="5" t="str">
        <f t="array" ref="Y55">IFERROR(IF('T1'!$J55="",INDEX(LISTA_EX,23),INDEX(LISTA_EX,MATCH('T1'!$J55&amp;"|"&amp;23,LISTA_KLUCZ,0))),"")</f>
        <v>Bicep squat cable curl</v>
      </c>
      <c r="Z55" s="5" t="str">
        <f t="array" ref="Z55">IFERROR(IF('T1'!$J55="",INDEX(LISTA_EX,24),INDEX(LISTA_EX,MATCH('T1'!$J55&amp;"|"&amp;24,LISTA_KLUCZ,0))),"")</f>
        <v>Bird dog row</v>
      </c>
      <c r="AA55" s="5" t="str">
        <f t="array" ref="AA55">IFERROR(IF('T1'!$J55="",INDEX(LISTA_EX,25),INDEX(LISTA_EX,MATCH('T1'!$J55&amp;"|"&amp;25,LISTA_KLUCZ,0))),"")</f>
        <v>Box jump</v>
      </c>
      <c r="AB55" s="5" t="str">
        <f t="array" ref="AB55">IFERROR(IF('T1'!$J55="",INDEX(LISTA_EX,26),INDEX(LISTA_EX,MATCH('T1'!$J55&amp;"|"&amp;26,LISTA_KLUCZ,0))),"")</f>
        <v>Bulgarian clean plyo</v>
      </c>
      <c r="AC55" s="5" t="str">
        <f t="array" ref="AC55">IFERROR(IF('T1'!$J55="",INDEX(LISTA_EX,27),INDEX(LISTA_EX,MATCH('T1'!$J55&amp;"|"&amp;27,LISTA_KLUCZ,0))),"")</f>
        <v>Bulgarian squat assisted</v>
      </c>
      <c r="AD55" s="5" t="str">
        <f t="array" ref="AD55">IFERROR(IF('T1'!$J55="",INDEX(LISTA_EX,28),INDEX(LISTA_EX,MATCH('T1'!$J55&amp;"|"&amp;28,LISTA_KLUCZ,0))),"")</f>
        <v>Cable biceps curl</v>
      </c>
      <c r="AE55" s="5" t="str">
        <f t="array" ref="AE55">IFERROR(IF('T1'!$J55="",INDEX(LISTA_EX,29),INDEX(LISTA_EX,MATCH('T1'!$J55&amp;"|"&amp;29,LISTA_KLUCZ,0))),"")</f>
        <v>Cable fly</v>
      </c>
      <c r="AF55" s="5" t="str">
        <f t="array" ref="AF55">IFERROR(IF('T1'!$J55="",INDEX(LISTA_EX,30),INDEX(LISTA_EX,MATCH('T1'!$J55&amp;"|"&amp;30,LISTA_KLUCZ,0))),"")</f>
        <v>Cable lateral raise s/a</v>
      </c>
      <c r="AG55" s="5" t="str">
        <f t="array" ref="AG55">IFERROR(IF('T1'!$J55="",INDEX(LISTA_EX,31),INDEX(LISTA_EX,MATCH('T1'!$J55&amp;"|"&amp;31,LISTA_KLUCZ,0))),"")</f>
        <v>Cable row</v>
      </c>
      <c r="AH55" s="5" t="str">
        <f t="array" ref="AH55">IFERROR(IF('T1'!$J55="",INDEX(LISTA_EX,32),INDEX(LISTA_EX,MATCH('T1'!$J55&amp;"|"&amp;32,LISTA_KLUCZ,0))),"")</f>
        <v>Cable row s/a</v>
      </c>
      <c r="AI55" s="5" t="str">
        <f t="array" ref="AI55">IFERROR(IF('T1'!$J55="",INDEX(LISTA_EX,33),INDEX(LISTA_EX,MATCH('T1'!$J55&amp;"|"&amp;33,LISTA_KLUCZ,0))),"")</f>
        <v>Calf raises</v>
      </c>
      <c r="AJ55" s="5" t="str">
        <f t="array" ref="AJ55">IFERROR(IF('T1'!$J55="",INDEX(LISTA_EX,34),INDEX(LISTA_EX,MATCH('T1'!$J55&amp;"|"&amp;34,LISTA_KLUCZ,0))),"")</f>
        <v>Chest fly machine</v>
      </c>
      <c r="AK55" s="5" t="str">
        <f t="array" ref="AK55">IFERROR(IF('T1'!$J55="",INDEX(LISTA_EX,35),INDEX(LISTA_EX,MATCH('T1'!$J55&amp;"|"&amp;35,LISTA_KLUCZ,0))),"")</f>
        <v>Clean</v>
      </c>
      <c r="AL55" s="5" t="str">
        <f t="array" ref="AL55">IFERROR(IF('T1'!$J55="",INDEX(LISTA_EX,36),INDEX(LISTA_EX,MATCH('T1'!$J55&amp;"|"&amp;36,LISTA_KLUCZ,0))),"")</f>
        <v>Clean pins</v>
      </c>
      <c r="AM55" s="5" t="str">
        <f t="array" ref="AM55">IFERROR(IF('T1'!$J55="",INDEX(LISTA_EX,37),INDEX(LISTA_EX,MATCH('T1'!$J55&amp;"|"&amp;37,LISTA_KLUCZ,0))),"")</f>
        <v>Copenhagen plank</v>
      </c>
      <c r="AN55" s="5" t="str">
        <f t="array" ref="AN55">IFERROR(IF('T1'!$J55="",INDEX(LISTA_EX,38),INDEX(LISTA_EX,MATCH('T1'!$J55&amp;"|"&amp;38,LISTA_KLUCZ,0))),"")</f>
        <v>Dead bug izo + OH</v>
      </c>
      <c r="AO55" s="5" t="str">
        <f t="array" ref="AO55">IFERROR(IF('T1'!$J55="",INDEX(LISTA_EX,39),INDEX(LISTA_EX,MATCH('T1'!$J55&amp;"|"&amp;39,LISTA_KLUCZ,0))),"")</f>
        <v>Dead bug straight legs</v>
      </c>
      <c r="AP55" s="5" t="str">
        <f t="array" ref="AP55">IFERROR(IF('T1'!$J55="",INDEX(LISTA_EX,40),INDEX(LISTA_EX,MATCH('T1'!$J55&amp;"|"&amp;40,LISTA_KLUCZ,0))),"")</f>
        <v>Dead stop barbell row</v>
      </c>
      <c r="AQ55" s="5" t="str">
        <f t="array" ref="AQ55">IFERROR(IF('T1'!$J55="",INDEX(LISTA_EX,41),INDEX(LISTA_EX,MATCH('T1'!$J55&amp;"|"&amp;41,LISTA_KLUCZ,0))),"")</f>
        <v>Deadbug OH</v>
      </c>
      <c r="AR55" s="5" t="str">
        <f t="array" ref="AR55">IFERROR(IF('T1'!$J55="",INDEX(LISTA_EX,42),INDEX(LISTA_EX,MATCH('T1'!$J55&amp;"|"&amp;42,LISTA_KLUCZ,0))),"")</f>
        <v>Deadlift</v>
      </c>
      <c r="AS55" s="5" t="str">
        <f t="array" ref="AS55">IFERROR(IF('T1'!$J55="",INDEX(LISTA_EX,43),INDEX(LISTA_EX,MATCH('T1'!$J55&amp;"|"&amp;43,LISTA_KLUCZ,0))),"")</f>
        <v>Deficit push up</v>
      </c>
      <c r="AT55" s="5" t="str">
        <f t="array" ref="AT55">IFERROR(IF('T1'!$J55="",INDEX(LISTA_EX,44),INDEX(LISTA_EX,MATCH('T1'!$J55&amp;"|"&amp;44,LISTA_KLUCZ,0))),"")</f>
        <v>Deficit reverse lunge</v>
      </c>
      <c r="AU55" s="5" t="str">
        <f t="array" ref="AU55">IFERROR(IF('T1'!$J55="",INDEX(LISTA_EX,45),INDEX(LISTA_EX,MATCH('T1'!$J55&amp;"|"&amp;45,LISTA_KLUCZ,0))),"")</f>
        <v>Dips</v>
      </c>
      <c r="AV55" s="5" t="str">
        <f t="array" ref="AV55">IFERROR(IF('T1'!$J55="",INDEX(LISTA_EX,46),INDEX(LISTA_EX,MATCH('T1'!$J55&amp;"|"&amp;46,LISTA_KLUCZ,0))),"")</f>
        <v>Dips weighted</v>
      </c>
      <c r="AW55" s="5" t="str">
        <f t="array" ref="AW55">IFERROR(IF('T1'!$J55="",INDEX(LISTA_EX,47),INDEX(LISTA_EX,MATCH('T1'!$J55&amp;"|"&amp;47,LISTA_KLUCZ,0))),"")</f>
        <v>Dumbbell bench press</v>
      </c>
      <c r="AX55" s="5" t="str">
        <f t="array" ref="AX55">IFERROR(IF('T1'!$J55="",INDEX(LISTA_EX,48),INDEX(LISTA_EX,MATCH('T1'!$J55&amp;"|"&amp;48,LISTA_KLUCZ,0))),"")</f>
        <v>Dumbbell bench press alternating</v>
      </c>
      <c r="AY55" s="5" t="str">
        <f t="array" ref="AY55">IFERROR(IF('T1'!$J55="",INDEX(LISTA_EX,49),INDEX(LISTA_EX,MATCH('T1'!$J55&amp;"|"&amp;49,LISTA_KLUCZ,0))),"")</f>
        <v>Dumbbell curl</v>
      </c>
      <c r="AZ55" s="5" t="str">
        <f t="array" ref="AZ55">IFERROR(IF('T1'!$J55="",INDEX(LISTA_EX,50),INDEX(LISTA_EX,MATCH('T1'!$J55&amp;"|"&amp;50,LISTA_KLUCZ,0))),"")</f>
        <v>Dumbbell external rotation</v>
      </c>
      <c r="BA55" s="5" t="str">
        <f t="array" ref="BA55">IFERROR(IF('T1'!$J55="",INDEX(LISTA_EX,51),INDEX(LISTA_EX,MATCH('T1'!$J55&amp;"|"&amp;51,LISTA_KLUCZ,0))),"")</f>
        <v>Dumbbell face down curl</v>
      </c>
      <c r="BB55" s="5" t="str">
        <f t="array" ref="BB55">IFERROR(IF('T1'!$J55="",INDEX(LISTA_EX,52),INDEX(LISTA_EX,MATCH('T1'!$J55&amp;"|"&amp;52,LISTA_KLUCZ,0))),"")</f>
        <v>Dumbbell fly</v>
      </c>
      <c r="BC55" s="5" t="str">
        <f t="array" ref="BC55">IFERROR(IF('T1'!$J55="",INDEX(LISTA_EX,53),INDEX(LISTA_EX,MATCH('T1'!$J55&amp;"|"&amp;53,LISTA_KLUCZ,0))),"")</f>
        <v>Dumbbell french press</v>
      </c>
      <c r="BD55" s="5" t="str">
        <f t="array" ref="BD55">IFERROR(IF('T1'!$J55="",INDEX(LISTA_EX,54),INDEX(LISTA_EX,MATCH('T1'!$J55&amp;"|"&amp;54,LISTA_KLUCZ,0))),"")</f>
        <v>Dumbbell lateral raise</v>
      </c>
      <c r="BE55" s="5" t="str">
        <f t="array" ref="BE55">IFERROR(IF('T1'!$J55="",INDEX(LISTA_EX,55),INDEX(LISTA_EX,MATCH('T1'!$J55&amp;"|"&amp;55,LISTA_KLUCZ,0))),"")</f>
        <v>Dumbbell lunges</v>
      </c>
      <c r="BF55" s="5" t="str">
        <f t="array" ref="BF55">IFERROR(IF('T1'!$J55="",INDEX(LISTA_EX,56),INDEX(LISTA_EX,MATCH('T1'!$J55&amp;"|"&amp;56,LISTA_KLUCZ,0))),"")</f>
        <v>Dumbbell OH press</v>
      </c>
      <c r="BG55" s="5" t="str">
        <f t="array" ref="BG55">IFERROR(IF('T1'!$J55="",INDEX(LISTA_EX,57),INDEX(LISTA_EX,MATCH('T1'!$J55&amp;"|"&amp;57,LISTA_KLUCZ,0))),"")</f>
        <v>Dumbbell over head press</v>
      </c>
      <c r="BH55" s="5" t="str">
        <f t="array" ref="BH55">IFERROR(IF('T1'!$J55="",INDEX(LISTA_EX,58),INDEX(LISTA_EX,MATCH('T1'!$J55&amp;"|"&amp;58,LISTA_KLUCZ,0))),"")</f>
        <v>Dumbbell over head press alternating</v>
      </c>
      <c r="BI55" s="5" t="str">
        <f t="array" ref="BI55">IFERROR(IF('T1'!$J55="",INDEX(LISTA_EX,59),INDEX(LISTA_EX,MATCH('T1'!$J55&amp;"|"&amp;59,LISTA_KLUCZ,0))),"")</f>
        <v>Dumbbell row</v>
      </c>
      <c r="BJ55" s="5" t="str">
        <f t="array" ref="BJ55">IFERROR(IF('T1'!$J55="",INDEX(LISTA_EX,60),INDEX(LISTA_EX,MATCH('T1'!$J55&amp;"|"&amp;60,LISTA_KLUCZ,0))),"")</f>
        <v>Dumbbell s/a Arnold press</v>
      </c>
      <c r="BK55" s="5" t="str">
        <f t="array" ref="BK55">IFERROR(IF('T1'!$J55="",INDEX(LISTA_EX,61),INDEX(LISTA_EX,MATCH('T1'!$J55&amp;"|"&amp;61,LISTA_KLUCZ,0))),"")</f>
        <v>Dumbbell s/a row</v>
      </c>
      <c r="BL55" s="5" t="str">
        <f t="array" ref="BL55">IFERROR(IF('T1'!$J55="",INDEX(LISTA_EX,62),INDEX(LISTA_EX,MATCH('T1'!$J55&amp;"|"&amp;62,LISTA_KLUCZ,0))),"")</f>
        <v>Dumbbell seal row</v>
      </c>
      <c r="BM55" s="5" t="str">
        <f t="array" ref="BM55">IFERROR(IF('T1'!$J55="",INDEX(LISTA_EX,63),INDEX(LISTA_EX,MATCH('T1'!$J55&amp;"|"&amp;63,LISTA_KLUCZ,0))),"")</f>
        <v>Dumbbells jumps</v>
      </c>
      <c r="BN55" s="5" t="str">
        <f t="array" ref="BN55">IFERROR(IF('T1'!$J55="",INDEX(LISTA_EX,64),INDEX(LISTA_EX,MATCH('T1'!$J55&amp;"|"&amp;64,LISTA_KLUCZ,0))),"")</f>
        <v>Eccentric pull up</v>
      </c>
      <c r="BO55" s="5" t="str">
        <f t="array" ref="BO55">IFERROR(IF('T1'!$J55="",INDEX(LISTA_EX,65),INDEX(LISTA_EX,MATCH('T1'!$J55&amp;"|"&amp;65,LISTA_KLUCZ,0))),"")</f>
        <v>Eccentric push up (5 sek w dół)</v>
      </c>
      <c r="BP55" s="5" t="str">
        <f t="array" ref="BP55">IFERROR(IF('T1'!$J55="",INDEX(LISTA_EX,66),INDEX(LISTA_EX,MATCH('T1'!$J55&amp;"|"&amp;66,LISTA_KLUCZ,0))),"")</f>
        <v>Extensive plyo jumps s/l</v>
      </c>
      <c r="BQ55" s="5" t="str">
        <f t="array" ref="BQ55">IFERROR(IF('T1'!$J55="",INDEX(LISTA_EX,67),INDEX(LISTA_EX,MATCH('T1'!$J55&amp;"|"&amp;67,LISTA_KLUCZ,0))),"")</f>
        <v>Ez bar curl</v>
      </c>
      <c r="BR55" s="5" t="str">
        <f t="array" ref="BR55">IFERROR(IF('T1'!$J55="",INDEX(LISTA_EX,68),INDEX(LISTA_EX,MATCH('T1'!$J55&amp;"|"&amp;68,LISTA_KLUCZ,0))),"")</f>
        <v>Facepull chest supported</v>
      </c>
      <c r="BS55" s="5" t="str">
        <f t="array" ref="BS55">IFERROR(IF('T1'!$J55="",INDEX(LISTA_EX,69),INDEX(LISTA_EX,MATCH('T1'!$J55&amp;"|"&amp;69,LISTA_KLUCZ,0))),"")</f>
        <v>Front foot elevated split squat</v>
      </c>
      <c r="BT55" s="5" t="str">
        <f t="array" ref="BT55">IFERROR(IF('T1'!$J55="",INDEX(LISTA_EX,70),INDEX(LISTA_EX,MATCH('T1'!$J55&amp;"|"&amp;70,LISTA_KLUCZ,0))),"")</f>
        <v>Front squat</v>
      </c>
      <c r="BU55" s="5" t="str">
        <f t="array" ref="BU55">IFERROR(IF('T1'!$J55="",INDEX(LISTA_EX,71),INDEX(LISTA_EX,MATCH('T1'!$J55&amp;"|"&amp;71,LISTA_KLUCZ,0))),"")</f>
        <v>GHD flexion</v>
      </c>
      <c r="BV55" s="5" t="str">
        <f t="array" ref="BV55">IFERROR(IF('T1'!$J55="",INDEX(LISTA_EX,72),INDEX(LISTA_EX,MATCH('T1'!$J55&amp;"|"&amp;72,LISTA_KLUCZ,0))),"")</f>
        <v>Glute bridge hamstrings izo + OH</v>
      </c>
      <c r="BW55" s="5" t="str">
        <f t="array" ref="BW55">IFERROR(IF('T1'!$J55="",INDEX(LISTA_EX,73),INDEX(LISTA_EX,MATCH('T1'!$J55&amp;"|"&amp;73,LISTA_KLUCZ,0))),"")</f>
        <v>Glute crusher</v>
      </c>
      <c r="BX55" s="5" t="str">
        <f t="array" ref="BX55">IFERROR(IF('T1'!$J55="",INDEX(LISTA_EX,74),INDEX(LISTA_EX,MATCH('T1'!$J55&amp;"|"&amp;74,LISTA_KLUCZ,0))),"")</f>
        <v>Gorilla row</v>
      </c>
      <c r="BY55" s="5" t="str">
        <f t="array" ref="BY55">IFERROR(IF('T1'!$J55="",INDEX(LISTA_EX,75),INDEX(LISTA_EX,MATCH('T1'!$J55&amp;"|"&amp;75,LISTA_KLUCZ,0))),"")</f>
        <v>Halfkneeling s/a cable pull</v>
      </c>
      <c r="BZ55" s="5" t="str">
        <f t="array" ref="BZ55">IFERROR(IF('T1'!$J55="",INDEX(LISTA_EX,76),INDEX(LISTA_EX,MATCH('T1'!$J55&amp;"|"&amp;76,LISTA_KLUCZ,0))),"")</f>
        <v>Halfkneeling wood chopper</v>
      </c>
      <c r="CA55" s="5" t="str">
        <f t="array" ref="CA55">IFERROR(IF('T1'!$J55="",INDEX(LISTA_EX,77),INDEX(LISTA_EX,MATCH('T1'!$J55&amp;"|"&amp;77,LISTA_KLUCZ,0))),"")</f>
        <v>Hinged dumbbell row</v>
      </c>
      <c r="CB55" s="5" t="str">
        <f t="array" ref="CB55">IFERROR(IF('T1'!$J55="",INDEX(LISTA_EX,78),INDEX(LISTA_EX,MATCH('T1'!$J55&amp;"|"&amp;78,LISTA_KLUCZ,0))),"")</f>
        <v>Hip aeroplane</v>
      </c>
      <c r="CC55" s="5" t="str">
        <f t="array" ref="CC55">IFERROR(IF('T1'!$J55="",INDEX(LISTA_EX,79),INDEX(LISTA_EX,MATCH('T1'!$J55&amp;"|"&amp;79,LISTA_KLUCZ,0))),"")</f>
        <v>Hip flexors cable</v>
      </c>
      <c r="CD55" s="5" t="str">
        <f t="array" ref="CD55">IFERROR(IF('T1'!$J55="",INDEX(LISTA_EX,80),INDEX(LISTA_EX,MATCH('T1'!$J55&amp;"|"&amp;80,LISTA_KLUCZ,0))),"")</f>
        <v>Hip thrust barbell</v>
      </c>
      <c r="CE55" s="5" t="str">
        <f t="array" ref="CE55">IFERROR(IF('T1'!$J55="",INDEX(LISTA_EX,81),INDEX(LISTA_EX,MATCH('T1'!$J55&amp;"|"&amp;81,LISTA_KLUCZ,0))),"")</f>
        <v>Hollow body + OH</v>
      </c>
      <c r="CF55" s="5" t="str">
        <f t="array" ref="CF55">IFERROR(IF('T1'!$J55="",INDEX(LISTA_EX,82),INDEX(LISTA_EX,MATCH('T1'!$J55&amp;"|"&amp;82,LISTA_KLUCZ,0))),"")</f>
        <v>Horizontal jump</v>
      </c>
      <c r="CG55" s="5" t="str">
        <f t="array" ref="CG55">IFERROR(IF('T1'!$J55="",INDEX(LISTA_EX,83),INDEX(LISTA_EX,MATCH('T1'!$J55&amp;"|"&amp;83,LISTA_KLUCZ,0))),"")</f>
        <v>Incline bench lateral raise s/a</v>
      </c>
      <c r="CH55" s="5" t="str">
        <f t="array" ref="CH55">IFERROR(IF('T1'!$J55="",INDEX(LISTA_EX,84),INDEX(LISTA_EX,MATCH('T1'!$J55&amp;"|"&amp;84,LISTA_KLUCZ,0))),"")</f>
        <v>Incline curl + OHP</v>
      </c>
      <c r="CI55" s="5" t="str">
        <f t="array" ref="CI55">IFERROR(IF('T1'!$J55="",INDEX(LISTA_EX,85),INDEX(LISTA_EX,MATCH('T1'!$J55&amp;"|"&amp;85,LISTA_KLUCZ,0))),"")</f>
        <v>Incline dumbbell curl</v>
      </c>
      <c r="CJ55" s="5" t="str">
        <f t="array" ref="CJ55">IFERROR(IF('T1'!$J55="",INDEX(LISTA_EX,86),INDEX(LISTA_EX,MATCH('T1'!$J55&amp;"|"&amp;86,LISTA_KLUCZ,0))),"")</f>
        <v>Incline dumbbell curl (back)</v>
      </c>
      <c r="CK55" s="5" t="str">
        <f t="array" ref="CK55">IFERROR(IF('T1'!$J55="",INDEX(LISTA_EX,87),INDEX(LISTA_EX,MATCH('T1'!$J55&amp;"|"&amp;87,LISTA_KLUCZ,0))),"")</f>
        <v>Incline dumbbell curl (front)</v>
      </c>
      <c r="CL55" s="5" t="str">
        <f t="array" ref="CL55">IFERROR(IF('T1'!$J55="",INDEX(LISTA_EX,88),INDEX(LISTA_EX,MATCH('T1'!$J55&amp;"|"&amp;88,LISTA_KLUCZ,0))),"")</f>
        <v>Incline dumbbell fly</v>
      </c>
      <c r="CM55" s="5" t="str">
        <f t="array" ref="CM55">IFERROR(IF('T1'!$J55="",INDEX(LISTA_EX,89),INDEX(LISTA_EX,MATCH('T1'!$J55&amp;"|"&amp;89,LISTA_KLUCZ,0))),"")</f>
        <v>Incline dumbbell press</v>
      </c>
      <c r="CN55" s="5" t="str">
        <f t="array" ref="CN55">IFERROR(IF('T1'!$J55="",INDEX(LISTA_EX,90),INDEX(LISTA_EX,MATCH('T1'!$J55&amp;"|"&amp;90,LISTA_KLUCZ,0))),"")</f>
        <v>Incline dumbbell press alternating</v>
      </c>
      <c r="CO55" s="5" t="str">
        <f t="array" ref="CO55">IFERROR(IF('T1'!$J55="",INDEX(LISTA_EX,91),INDEX(LISTA_EX,MATCH('T1'!$J55&amp;"|"&amp;91,LISTA_KLUCZ,0))),"")</f>
        <v>Incline sit-ups</v>
      </c>
      <c r="CP55" s="5" t="str">
        <f t="array" ref="CP55">IFERROR(IF('T1'!$J55="",INDEX(LISTA_EX,92),INDEX(LISTA_EX,MATCH('T1'!$J55&amp;"|"&amp;92,LISTA_KLUCZ,0))),"")</f>
        <v>Jefferson cable</v>
      </c>
      <c r="CQ55" s="5" t="str">
        <f t="array" ref="CQ55">IFERROR(IF('T1'!$J55="",INDEX(LISTA_EX,93),INDEX(LISTA_EX,MATCH('T1'!$J55&amp;"|"&amp;93,LISTA_KLUCZ,0))),"")</f>
        <v>Kettlebell march</v>
      </c>
      <c r="CR55" s="5" t="str">
        <f t="array" ref="CR55">IFERROR(IF('T1'!$J55="",INDEX(LISTA_EX,94),INDEX(LISTA_EX,MATCH('T1'!$J55&amp;"|"&amp;94,LISTA_KLUCZ,0))),"")</f>
        <v>Kickbacks</v>
      </c>
      <c r="CS55" s="5" t="str">
        <f t="array" ref="CS55">IFERROR(IF('T1'!$J55="",INDEX(LISTA_EX,95),INDEX(LISTA_EX,MATCH('T1'!$J55&amp;"|"&amp;95,LISTA_KLUCZ,0))),"")</f>
        <v>Knee extension machine</v>
      </c>
      <c r="CT55" s="5" t="str">
        <f t="array" ref="CT55">IFERROR(IF('T1'!$J55="",INDEX(LISTA_EX,96),INDEX(LISTA_EX,MATCH('T1'!$J55&amp;"|"&amp;96,LISTA_KLUCZ,0))),"")</f>
        <v>Knee flexion machine</v>
      </c>
      <c r="CU55" s="5" t="str">
        <f t="array" ref="CU55">IFERROR(IF('T1'!$J55="",INDEX(LISTA_EX,97),INDEX(LISTA_EX,MATCH('T1'!$J55&amp;"|"&amp;97,LISTA_KLUCZ,0))),"")</f>
        <v>Knee raises</v>
      </c>
      <c r="CV55" s="5" t="str">
        <f t="array" ref="CV55">IFERROR(IF('T1'!$J55="",INDEX(LISTA_EX,98),INDEX(LISTA_EX,MATCH('T1'!$J55&amp;"|"&amp;98,LISTA_KLUCZ,0))),"")</f>
        <v>Landmine core</v>
      </c>
      <c r="CW55" s="5" t="str">
        <f t="array" ref="CW55">IFERROR(IF('T1'!$J55="",INDEX(LISTA_EX,99),INDEX(LISTA_EX,MATCH('T1'!$J55&amp;"|"&amp;99,LISTA_KLUCZ,0))),"")</f>
        <v>Landmine press</v>
      </c>
      <c r="CX55" s="5" t="str">
        <f t="array" ref="CX55">IFERROR(IF('T1'!$J55="",INDEX(LISTA_EX,100),INDEX(LISTA_EX,MATCH('T1'!$J55&amp;"|"&amp;100,LISTA_KLUCZ,0))),"")</f>
        <v>Landmine rotations (powtórzenia x2)</v>
      </c>
      <c r="CY55" s="5" t="str">
        <f t="array" ref="CY55">IFERROR(IF('T1'!$J55="",INDEX(LISTA_EX,101),INDEX(LISTA_EX,MATCH('T1'!$J55&amp;"|"&amp;101,LISTA_KLUCZ,0))),"")</f>
        <v>Landmine SLDL</v>
      </c>
      <c r="CZ55" s="5" t="str">
        <f t="array" ref="CZ55">IFERROR(IF('T1'!$J55="",INDEX(LISTA_EX,102),INDEX(LISTA_EX,MATCH('T1'!$J55&amp;"|"&amp;102,LISTA_KLUCZ,0))),"")</f>
        <v>Lat pulldown</v>
      </c>
      <c r="DA55" s="5" t="str">
        <f t="array" ref="DA55">IFERROR(IF('T1'!$J55="",INDEX(LISTA_EX,103),INDEX(LISTA_EX,MATCH('T1'!$J55&amp;"|"&amp;103,LISTA_KLUCZ,0))),"")</f>
        <v>Lat pulldown behind the head</v>
      </c>
      <c r="DB55" s="5" t="str">
        <f t="array" ref="DB55">IFERROR(IF('T1'!$J55="",INDEX(LISTA_EX,104),INDEX(LISTA_EX,MATCH('T1'!$J55&amp;"|"&amp;104,LISTA_KLUCZ,0))),"")</f>
        <v>Lat pulldown s/a</v>
      </c>
      <c r="DC55" s="5" t="str">
        <f t="array" ref="DC55">IFERROR(IF('T1'!$J55="",INDEX(LISTA_EX,105),INDEX(LISTA_EX,MATCH('T1'!$J55&amp;"|"&amp;105,LISTA_KLUCZ,0))),"")</f>
        <v>Lateral raise s/a</v>
      </c>
      <c r="DD55" s="5" t="str">
        <f t="array" ref="DD55">IFERROR(IF('T1'!$J55="",INDEX(LISTA_EX,106),INDEX(LISTA_EX,MATCH('T1'!$J55&amp;"|"&amp;106,LISTA_KLUCZ,0))),"")</f>
        <v>Lateral raises</v>
      </c>
      <c r="DE55" s="5" t="str">
        <f t="array" ref="DE55">IFERROR(IF('T1'!$J55="",INDEX(LISTA_EX,107),INDEX(LISTA_EX,MATCH('T1'!$J55&amp;"|"&amp;107,LISTA_KLUCZ,0))),"")</f>
        <v>Lateral raises 2</v>
      </c>
      <c r="DF55" s="5" t="str">
        <f t="array" ref="DF55">IFERROR(IF('T1'!$J55="",INDEX(LISTA_EX,108),INDEX(LISTA_EX,MATCH('T1'!$J55&amp;"|"&amp;108,LISTA_KLUCZ,0))),"")</f>
        <v>Lateral raises full ROM</v>
      </c>
      <c r="DG55" s="5" t="str">
        <f t="array" ref="DG55">IFERROR(IF('T1'!$J55="",INDEX(LISTA_EX,109),INDEX(LISTA_EX,MATCH('T1'!$J55&amp;"|"&amp;109,LISTA_KLUCZ,0))),"")</f>
        <v>Lateral raises hinged</v>
      </c>
      <c r="DH55" s="5" t="str">
        <f t="array" ref="DH55">IFERROR(IF('T1'!$J55="",INDEX(LISTA_EX,110),INDEX(LISTA_EX,MATCH('T1'!$J55&amp;"|"&amp;110,LISTA_KLUCZ,0))),"")</f>
        <v>Lateral raises incline s/a</v>
      </c>
      <c r="DI55" s="5" t="str">
        <f t="array" ref="DI55">IFERROR(IF('T1'!$J55="",INDEX(LISTA_EX,111),INDEX(LISTA_EX,MATCH('T1'!$J55&amp;"|"&amp;111,LISTA_KLUCZ,0))),"")</f>
        <v>Leg curl</v>
      </c>
      <c r="DJ55" s="5" t="str">
        <f t="array" ref="DJ55">IFERROR(IF('T1'!$J55="",INDEX(LISTA_EX,112),INDEX(LISTA_EX,MATCH('T1'!$J55&amp;"|"&amp;112,LISTA_KLUCZ,0))),"")</f>
        <v>Machine row</v>
      </c>
      <c r="DK55" s="5" t="str">
        <f t="array" ref="DK55">IFERROR(IF('T1'!$J55="",INDEX(LISTA_EX,113),INDEX(LISTA_EX,MATCH('T1'!$J55&amp;"|"&amp;113,LISTA_KLUCZ,0))),"")</f>
        <v>Machine row s/a</v>
      </c>
      <c r="DL55" s="5" t="str">
        <f t="array" ref="DL55">IFERROR(IF('T1'!$J55="",INDEX(LISTA_EX,114),INDEX(LISTA_EX,MATCH('T1'!$J55&amp;"|"&amp;114,LISTA_KLUCZ,0))),"")</f>
        <v>Meadows row</v>
      </c>
      <c r="DM55" s="5" t="str">
        <f t="array" ref="DM55">IFERROR(IF('T1'!$J55="",INDEX(LISTA_EX,115),INDEX(LISTA_EX,MATCH('T1'!$J55&amp;"|"&amp;115,LISTA_KLUCZ,0))),"")</f>
        <v>Med ball slam</v>
      </c>
      <c r="DN55" s="5" t="str">
        <f t="array" ref="DN55">IFERROR(IF('T1'!$J55="",INDEX(LISTA_EX,116),INDEX(LISTA_EX,MATCH('T1'!$J55&amp;"|"&amp;116,LISTA_KLUCZ,0))),"")</f>
        <v>OH skullcrushers</v>
      </c>
      <c r="DO55" s="5" t="str">
        <f t="array" ref="DO55">IFERROR(IF('T1'!$J55="",INDEX(LISTA_EX,117),INDEX(LISTA_EX,MATCH('T1'!$J55&amp;"|"&amp;117,LISTA_KLUCZ,0))),"")</f>
        <v>OHP barbell squat 15kg</v>
      </c>
      <c r="DP55" s="5" t="str">
        <f t="array" ref="DP55">IFERROR(IF('T1'!$J55="",INDEX(LISTA_EX,118),INDEX(LISTA_EX,MATCH('T1'!$J55&amp;"|"&amp;118,LISTA_KLUCZ,0))),"")</f>
        <v>Pistol squat eccentric</v>
      </c>
      <c r="DQ55" s="5" t="str">
        <f t="array" ref="DQ55">IFERROR(IF('T1'!$J55="",INDEX(LISTA_EX,119),INDEX(LISTA_EX,MATCH('T1'!$J55&amp;"|"&amp;119,LISTA_KLUCZ,0))),"")</f>
        <v>Plank contralateral</v>
      </c>
      <c r="DR55" s="5" t="str">
        <f t="array" ref="DR55">IFERROR(IF('T1'!$J55="",INDEX(LISTA_EX,120),INDEX(LISTA_EX,MATCH('T1'!$J55&amp;"|"&amp;120,LISTA_KLUCZ,0))),"")</f>
        <v>Plank dumbbell rotation</v>
      </c>
      <c r="DS55" s="5" t="str">
        <f t="array" ref="DS55">IFERROR(IF('T1'!$J55="",INDEX(LISTA_EX,121),INDEX(LISTA_EX,MATCH('T1'!$J55&amp;"|"&amp;121,LISTA_KLUCZ,0))),"")</f>
        <v>Plank leg raises</v>
      </c>
      <c r="DT55" s="5" t="str">
        <f t="array" ref="DT55">IFERROR(IF('T1'!$J55="",INDEX(LISTA_EX,122),INDEX(LISTA_EX,MATCH('T1'!$J55&amp;"|"&amp;122,LISTA_KLUCZ,0))),"")</f>
        <v>Poliquin step up</v>
      </c>
      <c r="DU55" s="5" t="str">
        <f t="array" ref="DU55">IFERROR(IF('T1'!$J55="",INDEX(LISTA_EX,123),INDEX(LISTA_EX,MATCH('T1'!$J55&amp;"|"&amp;123,LISTA_KLUCZ,0))),"")</f>
        <v>Poliquin step up paused 3sec</v>
      </c>
      <c r="DV55" s="5" t="str">
        <f t="array" ref="DV55">IFERROR(IF('T1'!$J55="",INDEX(LISTA_EX,124),INDEX(LISTA_EX,MATCH('T1'!$J55&amp;"|"&amp;124,LISTA_KLUCZ,0))),"")</f>
        <v>Pronation/Supination</v>
      </c>
      <c r="DW55" s="5" t="str">
        <f t="array" ref="DW55">IFERROR(IF('T1'!$J55="",INDEX(LISTA_EX,125),INDEX(LISTA_EX,MATCH('T1'!$J55&amp;"|"&amp;125,LISTA_KLUCZ,0))),"")</f>
        <v>Pull up</v>
      </c>
      <c r="DX55" s="5" t="str">
        <f t="array" ref="DX55">IFERROR(IF('T1'!$J55="",INDEX(LISTA_EX,126),INDEX(LISTA_EX,MATCH('T1'!$J55&amp;"|"&amp;126,LISTA_KLUCZ,0))),"")</f>
        <v>Pull up eccentric weighted</v>
      </c>
      <c r="DY55" s="5" t="str">
        <f t="array" ref="DY55">IFERROR(IF('T1'!$J55="",INDEX(LISTA_EX,127),INDEX(LISTA_EX,MATCH('T1'!$J55&amp;"|"&amp;127,LISTA_KLUCZ,0))),"")</f>
        <v>Pull up eccentric weighted (5 sek w dół)</v>
      </c>
      <c r="DZ55" s="5" t="str">
        <f t="array" ref="DZ55">IFERROR(IF('T1'!$J55="",INDEX(LISTA_EX,128),INDEX(LISTA_EX,MATCH('T1'!$J55&amp;"|"&amp;128,LISTA_KLUCZ,0))),"")</f>
        <v>Pull up weighted</v>
      </c>
      <c r="EA55" s="5" t="str">
        <f t="array" ref="EA55">IFERROR(IF('T1'!$J55="",INDEX(LISTA_EX,129),INDEX(LISTA_EX,MATCH('T1'!$J55&amp;"|"&amp;129,LISTA_KLUCZ,0))),"")</f>
        <v>Pull ups (paused)</v>
      </c>
      <c r="EB55" s="5" t="str">
        <f t="array" ref="EB55">IFERROR(IF('T1'!$J55="",INDEX(LISTA_EX,130),INDEX(LISTA_EX,MATCH('T1'!$J55&amp;"|"&amp;130,LISTA_KLUCZ,0))),"")</f>
        <v>Push press barbell</v>
      </c>
      <c r="EC55" s="5" t="str">
        <f t="array" ref="EC55">IFERROR(IF('T1'!$J55="",INDEX(LISTA_EX,131),INDEX(LISTA_EX,MATCH('T1'!$J55&amp;"|"&amp;131,LISTA_KLUCZ,0))),"")</f>
        <v>Push up</v>
      </c>
      <c r="ED55" s="5" t="str">
        <f t="array" ref="ED55">IFERROR(IF('T1'!$J55="",INDEX(LISTA_EX,132),INDEX(LISTA_EX,MATCH('T1'!$J55&amp;"|"&amp;132,LISTA_KLUCZ,0))),"")</f>
        <v>Raised bird dog</v>
      </c>
      <c r="EE55" s="5" t="str">
        <f t="array" ref="EE55">IFERROR(IF('T1'!$J55="",INDEX(LISTA_EX,133),INDEX(LISTA_EX,MATCH('T1'!$J55&amp;"|"&amp;133,LISTA_KLUCZ,0))),"")</f>
        <v>RDL</v>
      </c>
      <c r="EF55" s="5" t="str">
        <f t="array" ref="EF55">IFERROR(IF('T1'!$J55="",INDEX(LISTA_EX,134),INDEX(LISTA_EX,MATCH('T1'!$J55&amp;"|"&amp;134,LISTA_KLUCZ,0))),"")</f>
        <v>Reverse Nordic</v>
      </c>
      <c r="EG55" s="5" t="str">
        <f t="array" ref="EG55">IFERROR(IF('T1'!$J55="",INDEX(LISTA_EX,135),INDEX(LISTA_EX,MATCH('T1'!$J55&amp;"|"&amp;135,LISTA_KLUCZ,0))),"")</f>
        <v>Rope pushdown</v>
      </c>
      <c r="EH55" s="5" t="str">
        <f t="array" ref="EH55">IFERROR(IF('T1'!$J55="",INDEX(LISTA_EX,136),INDEX(LISTA_EX,MATCH('T1'!$J55&amp;"|"&amp;136,LISTA_KLUCZ,0))),"")</f>
        <v>Rope pushdown OH</v>
      </c>
      <c r="EI55" s="5" t="str">
        <f t="array" ref="EI55">IFERROR(IF('T1'!$J55="",INDEX(LISTA_EX,137),INDEX(LISTA_EX,MATCH('T1'!$J55&amp;"|"&amp;137,LISTA_KLUCZ,0))),"")</f>
        <v>S/a cable pulldown incline bench</v>
      </c>
      <c r="EJ55" s="5" t="str">
        <f t="array" ref="EJ55">IFERROR(IF('T1'!$J55="",INDEX(LISTA_EX,138),INDEX(LISTA_EX,MATCH('T1'!$J55&amp;"|"&amp;138,LISTA_KLUCZ,0))),"")</f>
        <v>S/a lat pulldown incline bench</v>
      </c>
      <c r="EK55" s="5" t="str">
        <f t="array" ref="EK55">IFERROR(IF('T1'!$J55="",INDEX(LISTA_EX,139),INDEX(LISTA_EX,MATCH('T1'!$J55&amp;"|"&amp;139,LISTA_KLUCZ,0))),"")</f>
        <v>S/l dragonflag eccentric</v>
      </c>
      <c r="EL55" s="5" t="str">
        <f t="array" ref="EL55">IFERROR(IF('T1'!$J55="",INDEX(LISTA_EX,140),INDEX(LISTA_EX,MATCH('T1'!$J55&amp;"|"&amp;140,LISTA_KLUCZ,0))),"")</f>
        <v>S/l hip thrust</v>
      </c>
      <c r="EM55" s="5" t="str">
        <f t="array" ref="EM55">IFERROR(IF('T1'!$J55="",INDEX(LISTA_EX,141),INDEX(LISTA_EX,MATCH('T1'!$J55&amp;"|"&amp;141,LISTA_KLUCZ,0))),"")</f>
        <v>Seated broad jump</v>
      </c>
      <c r="EN55" s="5" t="str">
        <f t="array" ref="EN55">IFERROR(IF('T1'!$J55="",INDEX(LISTA_EX,142),INDEX(LISTA_EX,MATCH('T1'!$J55&amp;"|"&amp;142,LISTA_KLUCZ,0))),"")</f>
        <v>Seated cable facepull</v>
      </c>
      <c r="EO55" s="5" t="str">
        <f t="array" ref="EO55">IFERROR(IF('T1'!$J55="",INDEX(LISTA_EX,143),INDEX(LISTA_EX,MATCH('T1'!$J55&amp;"|"&amp;143,LISTA_KLUCZ,0))),"")</f>
        <v>Seated seesaw press (nogi proste)</v>
      </c>
      <c r="EP55" s="5" t="str">
        <f t="array" ref="EP55">IFERROR(IF('T1'!$J55="",INDEX(LISTA_EX,144),INDEX(LISTA_EX,MATCH('T1'!$J55&amp;"|"&amp;144,LISTA_KLUCZ,0))),"")</f>
        <v>Seesaw press</v>
      </c>
      <c r="EQ55" s="5" t="str">
        <f t="array" ref="EQ55">IFERROR(IF('T1'!$J55="",INDEX(LISTA_EX,145),INDEX(LISTA_EX,MATCH('T1'!$J55&amp;"|"&amp;145,LISTA_KLUCZ,0))),"")</f>
        <v>Side crunches</v>
      </c>
      <c r="ER55" s="5" t="str">
        <f t="array" ref="ER55">IFERROR(IF('T1'!$J55="",INDEX(LISTA_EX,146),INDEX(LISTA_EX,MATCH('T1'!$J55&amp;"|"&amp;146,LISTA_KLUCZ,0))),"")</f>
        <v>Side plank hip drop</v>
      </c>
      <c r="ES55" s="5" t="str">
        <f t="array" ref="ES55">IFERROR(IF('T1'!$J55="",INDEX(LISTA_EX,147),INDEX(LISTA_EX,MATCH('T1'!$J55&amp;"|"&amp;147,LISTA_KLUCZ,0))),"")</f>
        <v>Side plank rotations</v>
      </c>
      <c r="ET55" s="5" t="str">
        <f t="array" ref="ET55">IFERROR(IF('T1'!$J55="",INDEX(LISTA_EX,148),INDEX(LISTA_EX,MATCH('T1'!$J55&amp;"|"&amp;148,LISTA_KLUCZ,0))),"")</f>
        <v>SLDL balance</v>
      </c>
      <c r="EU55" s="5" t="str">
        <f t="array" ref="EU55">IFERROR(IF('T1'!$J55="",INDEX(LISTA_EX,149),INDEX(LISTA_EX,MATCH('T1'!$J55&amp;"|"&amp;149,LISTA_KLUCZ,0))),"")</f>
        <v>Split squat</v>
      </c>
      <c r="EV55" s="5" t="str">
        <f t="array" ref="EV55">IFERROR(IF('T1'!$J55="",INDEX(LISTA_EX,150),INDEX(LISTA_EX,MATCH('T1'!$J55&amp;"|"&amp;150,LISTA_KLUCZ,0))),"")</f>
        <v>Split stance SLDL</v>
      </c>
      <c r="EW55" s="5" t="str">
        <f t="array" ref="EW55">IFERROR(IF('T1'!$J55="",INDEX(LISTA_EX,151),INDEX(LISTA_EX,MATCH('T1'!$J55&amp;"|"&amp;151,LISTA_KLUCZ,0))),"")</f>
        <v>Squat izo (15 sek)</v>
      </c>
      <c r="EX55" s="5" t="str">
        <f t="array" ref="EX55">IFERROR(IF('T1'!$J55="",INDEX(LISTA_EX,152),INDEX(LISTA_EX,MATCH('T1'!$J55&amp;"|"&amp;152,LISTA_KLUCZ,0))),"")</f>
        <v>Standing landmine press</v>
      </c>
      <c r="EY55" s="5" t="str">
        <f t="array" ref="EY55">IFERROR(IF('T1'!$J55="",INDEX(LISTA_EX,153),INDEX(LISTA_EX,MATCH('T1'!$J55&amp;"|"&amp;153,LISTA_KLUCZ,0))),"")</f>
        <v>Suitcase carry</v>
      </c>
      <c r="EZ55" s="5" t="str">
        <f t="array" ref="EZ55">IFERROR(IF('T1'!$J55="",INDEX(LISTA_EX,154),INDEX(LISTA_EX,MATCH('T1'!$J55&amp;"|"&amp;154,LISTA_KLUCZ,0))),"")</f>
        <v>Supine pigeon abs</v>
      </c>
      <c r="FA55" s="5" t="str">
        <f t="array" ref="FA55">IFERROR(IF('T1'!$J55="",INDEX(LISTA_EX,155),INDEX(LISTA_EX,MATCH('T1'!$J55&amp;"|"&amp;155,LISTA_KLUCZ,0))),"")</f>
        <v>Swiss ball leg curl</v>
      </c>
      <c r="FB55" s="5" t="str">
        <f t="array" ref="FB55">IFERROR(IF('T1'!$J55="",INDEX(LISTA_EX,156),INDEX(LISTA_EX,MATCH('T1'!$J55&amp;"|"&amp;156,LISTA_KLUCZ,0))),"")</f>
        <v>Toes to bar</v>
      </c>
      <c r="FC55" s="5" t="str">
        <f t="array" ref="FC55">IFERROR(IF('T1'!$J55="",INDEX(LISTA_EX,157),INDEX(LISTA_EX,MATCH('T1'!$J55&amp;"|"&amp;157,LISTA_KLUCZ,0))),"")</f>
        <v>Trap bar deadlift</v>
      </c>
      <c r="FD55" s="5" t="str">
        <f t="array" ref="FD55">IFERROR(IF('T1'!$J55="",INDEX(LISTA_EX,158),INDEX(LISTA_EX,MATCH('T1'!$J55&amp;"|"&amp;158,LISTA_KLUCZ,0))),"")</f>
        <v>Tricep cable pushdown</v>
      </c>
      <c r="FE55" s="5" t="str">
        <f t="array" ref="FE55">IFERROR(IF('T1'!$J55="",INDEX(LISTA_EX,159),INDEX(LISTA_EX,MATCH('T1'!$J55&amp;"|"&amp;159,LISTA_KLUCZ,0))),"")</f>
        <v>Tricep JM press</v>
      </c>
      <c r="FF55" s="5" t="str">
        <f t="array" ref="FF55">IFERROR(IF('T1'!$J55="",INDEX(LISTA_EX,160),INDEX(LISTA_EX,MATCH('T1'!$J55&amp;"|"&amp;160,LISTA_KLUCZ,0))),"")</f>
        <v>Tricep OH cable</v>
      </c>
      <c r="FG55" s="5" t="str">
        <f t="array" ref="FG55">IFERROR(IF('T1'!$J55="",INDEX(LISTA_EX,161),INDEX(LISTA_EX,MATCH('T1'!$J55&amp;"|"&amp;161,LISTA_KLUCZ,0))),"")</f>
        <v>Tricep OH ez bar</v>
      </c>
      <c r="FH55" s="5" t="str">
        <f t="array" ref="FH55">IFERROR(IF('T1'!$J55="",INDEX(LISTA_EX,162),INDEX(LISTA_EX,MATCH('T1'!$J55&amp;"|"&amp;162,LISTA_KLUCZ,0))),"")</f>
        <v>Walking lunges</v>
      </c>
      <c r="FI55" s="5" t="str">
        <f t="array" ref="FI55">IFERROR(IF('T1'!$J55="",INDEX(LISTA_EX,163),INDEX(LISTA_EX,MATCH('T1'!$J55&amp;"|"&amp;163,LISTA_KLUCZ,0))),"")</f>
        <v>Wipers kettle</v>
      </c>
      <c r="FJ55" s="5" t="str">
        <f t="array" ref="FJ55">IFERROR(IF('T1'!$J55="",INDEX(LISTA_EX,164),INDEX(LISTA_EX,MATCH('T1'!$J55&amp;"|"&amp;164,LISTA_KLUCZ,0))),"")</f>
        <v>Zercher jumps</v>
      </c>
      <c r="FK55" s="5" t="str">
        <f t="array" ref="FK55">IFERROR(IF('T1'!$J55="",INDEX(LISTA_EX,165),INDEX(LISTA_EX,MATCH('T1'!$J55&amp;"|"&amp;165,LISTA_KLUCZ,0))),"")</f>
        <v/>
      </c>
      <c r="FL55" s="5" t="str">
        <f t="array" ref="FL55">IFERROR(IF('T1'!$J55="",INDEX(LISTA_EX,166),INDEX(LISTA_EX,MATCH('T1'!$J55&amp;"|"&amp;166,LISTA_KLUCZ,0))),"")</f>
        <v/>
      </c>
      <c r="FM55" s="5" t="str">
        <f t="array" ref="FM55">IFERROR(IF('T1'!$J55="",INDEX(LISTA_EX,167),INDEX(LISTA_EX,MATCH('T1'!$J55&amp;"|"&amp;167,LISTA_KLUCZ,0))),"")</f>
        <v/>
      </c>
      <c r="FN55" s="5" t="str">
        <f t="array" ref="FN55">IFERROR(IF('T1'!$J55="",INDEX(LISTA_EX,168),INDEX(LISTA_EX,MATCH('T1'!$J55&amp;"|"&amp;168,LISTA_KLUCZ,0))),"")</f>
        <v/>
      </c>
      <c r="FO55" s="5" t="str">
        <f t="array" ref="FO55">IFERROR(IF('T1'!$J55="",INDEX(LISTA_EX,169),INDEX(LISTA_EX,MATCH('T1'!$J55&amp;"|"&amp;169,LISTA_KLUCZ,0))),"")</f>
        <v/>
      </c>
      <c r="FP55" s="5" t="str">
        <f t="array" ref="FP55">IFERROR(IF('T1'!$J55="",INDEX(LISTA_EX,170),INDEX(LISTA_EX,MATCH('T1'!$J55&amp;"|"&amp;170,LISTA_KLUCZ,0))),"")</f>
        <v/>
      </c>
      <c r="FQ55" s="5" t="str">
        <f t="array" ref="FQ55">IFERROR(IF('T1'!$J55="",INDEX(LISTA_EX,171),INDEX(LISTA_EX,MATCH('T1'!$J55&amp;"|"&amp;171,LISTA_KLUCZ,0))),"")</f>
        <v/>
      </c>
      <c r="FR55" s="5" t="str">
        <f t="array" ref="FR55">IFERROR(IF('T1'!$J55="",INDEX(LISTA_EX,172),INDEX(LISTA_EX,MATCH('T1'!$J55&amp;"|"&amp;172,LISTA_KLUCZ,0))),"")</f>
        <v/>
      </c>
      <c r="FS55" s="5" t="str">
        <f t="array" ref="FS55">IFERROR(IF('T1'!$J55="",INDEX(LISTA_EX,173),INDEX(LISTA_EX,MATCH('T1'!$J55&amp;"|"&amp;173,LISTA_KLUCZ,0))),"")</f>
        <v/>
      </c>
      <c r="FT55" s="5" t="str">
        <f t="array" ref="FT55">IFERROR(IF('T1'!$J55="",INDEX(LISTA_EX,174),INDEX(LISTA_EX,MATCH('T1'!$J55&amp;"|"&amp;174,LISTA_KLUCZ,0))),"")</f>
        <v/>
      </c>
      <c r="FU55" s="5" t="str">
        <f t="array" ref="FU55">IFERROR(IF('T1'!$J55="",INDEX(LISTA_EX,175),INDEX(LISTA_EX,MATCH('T1'!$J55&amp;"|"&amp;175,LISTA_KLUCZ,0))),"")</f>
        <v/>
      </c>
      <c r="FV55" s="5" t="str">
        <f t="array" ref="FV55">IFERROR(IF('T1'!$J55="",INDEX(LISTA_EX,176),INDEX(LISTA_EX,MATCH('T1'!$J55&amp;"|"&amp;176,LISTA_KLUCZ,0))),"")</f>
        <v/>
      </c>
      <c r="FW55" s="5" t="str">
        <f t="array" ref="FW55">IFERROR(IF('T1'!$J55="",INDEX(LISTA_EX,177),INDEX(LISTA_EX,MATCH('T1'!$J55&amp;"|"&amp;177,LISTA_KLUCZ,0))),"")</f>
        <v/>
      </c>
      <c r="FX55" s="5" t="str">
        <f t="array" ref="FX55">IFERROR(IF('T1'!$J55="",INDEX(LISTA_EX,178),INDEX(LISTA_EX,MATCH('T1'!$J55&amp;"|"&amp;178,LISTA_KLUCZ,0))),"")</f>
        <v/>
      </c>
      <c r="FY55" s="5" t="str">
        <f t="array" ref="FY55">IFERROR(IF('T1'!$J55="",INDEX(LISTA_EX,179),INDEX(LISTA_EX,MATCH('T1'!$J55&amp;"|"&amp;179,LISTA_KLUCZ,0))),"")</f>
        <v/>
      </c>
      <c r="FZ55" s="5" t="str">
        <f t="array" ref="FZ55">IFERROR(IF('T1'!$J55="",INDEX(LISTA_EX,180),INDEX(LISTA_EX,MATCH('T1'!$J55&amp;"|"&amp;180,LISTA_KLUCZ,0))),"")</f>
        <v/>
      </c>
      <c r="GA55" s="5" t="str">
        <f t="array" ref="GA55">IFERROR(IF('T1'!$J55="",INDEX(LISTA_EX,181),INDEX(LISTA_EX,MATCH('T1'!$J55&amp;"|"&amp;181,LISTA_KLUCZ,0))),"")</f>
        <v/>
      </c>
      <c r="GB55" s="5" t="str">
        <f t="array" ref="GB55">IFERROR(IF('T1'!$J55="",INDEX(LISTA_EX,182),INDEX(LISTA_EX,MATCH('T1'!$J55&amp;"|"&amp;182,LISTA_KLUCZ,0))),"")</f>
        <v/>
      </c>
      <c r="GC55" s="5" t="str">
        <f t="array" ref="GC55">IFERROR(IF('T1'!$J55="",INDEX(LISTA_EX,183),INDEX(LISTA_EX,MATCH('T1'!$J55&amp;"|"&amp;183,LISTA_KLUCZ,0))),"")</f>
        <v/>
      </c>
      <c r="GD55" s="5" t="str">
        <f t="array" ref="GD55">IFERROR(IF('T1'!$J55="",INDEX(LISTA_EX,184),INDEX(LISTA_EX,MATCH('T1'!$J55&amp;"|"&amp;184,LISTA_KLUCZ,0))),"")</f>
        <v/>
      </c>
      <c r="GE55" s="5" t="str">
        <f t="array" ref="GE55">IFERROR(IF('T1'!$J55="",INDEX(LISTA_EX,185),INDEX(LISTA_EX,MATCH('T1'!$J55&amp;"|"&amp;185,LISTA_KLUCZ,0))),"")</f>
        <v/>
      </c>
      <c r="GF55" s="5" t="str">
        <f t="array" ref="GF55">IFERROR(IF('T1'!$J55="",INDEX(LISTA_EX,186),INDEX(LISTA_EX,MATCH('T1'!$J55&amp;"|"&amp;186,LISTA_KLUCZ,0))),"")</f>
        <v/>
      </c>
      <c r="GG55" s="5" t="str">
        <f t="array" ref="GG55">IFERROR(IF('T1'!$J55="",INDEX(LISTA_EX,187),INDEX(LISTA_EX,MATCH('T1'!$J55&amp;"|"&amp;187,LISTA_KLUCZ,0))),"")</f>
        <v/>
      </c>
      <c r="GH55" s="5" t="str">
        <f t="array" ref="GH55">IFERROR(IF('T1'!$J55="",INDEX(LISTA_EX,188),INDEX(LISTA_EX,MATCH('T1'!$J55&amp;"|"&amp;188,LISTA_KLUCZ,0))),"")</f>
        <v/>
      </c>
      <c r="GI55" s="5" t="str">
        <f t="array" ref="GI55">IFERROR(IF('T1'!$J55="",INDEX(LISTA_EX,189),INDEX(LISTA_EX,MATCH('T1'!$J55&amp;"|"&amp;189,LISTA_KLUCZ,0))),"")</f>
        <v/>
      </c>
      <c r="GJ55" s="5" t="str">
        <f t="array" ref="GJ55">IFERROR(IF('T1'!$J55="",INDEX(LISTA_EX,190),INDEX(LISTA_EX,MATCH('T1'!$J55&amp;"|"&amp;190,LISTA_KLUCZ,0))),"")</f>
        <v/>
      </c>
      <c r="GK55" s="5" t="str">
        <f t="array" ref="GK55">IFERROR(IF('T1'!$J55="",INDEX(LISTA_EX,191),INDEX(LISTA_EX,MATCH('T1'!$J55&amp;"|"&amp;191,LISTA_KLUCZ,0))),"")</f>
        <v/>
      </c>
      <c r="GL55" s="5" t="str">
        <f t="array" ref="GL55">IFERROR(IF('T1'!$J55="",INDEX(LISTA_EX,192),INDEX(LISTA_EX,MATCH('T1'!$J55&amp;"|"&amp;192,LISTA_KLUCZ,0))),"")</f>
        <v/>
      </c>
      <c r="GM55" s="5" t="str">
        <f t="array" ref="GM55">IFERROR(IF('T1'!$J55="",INDEX(LISTA_EX,193),INDEX(LISTA_EX,MATCH('T1'!$J55&amp;"|"&amp;193,LISTA_KLUCZ,0))),"")</f>
        <v/>
      </c>
      <c r="GN55" s="5" t="str">
        <f t="array" ref="GN55">IFERROR(IF('T1'!$J55="",INDEX(LISTA_EX,194),INDEX(LISTA_EX,MATCH('T1'!$J55&amp;"|"&amp;194,LISTA_KLUCZ,0))),"")</f>
        <v/>
      </c>
      <c r="GO55" s="5" t="str">
        <f t="array" ref="GO55">IFERROR(IF('T1'!$J55="",INDEX(LISTA_EX,195),INDEX(LISTA_EX,MATCH('T1'!$J55&amp;"|"&amp;195,LISTA_KLUCZ,0))),"")</f>
        <v/>
      </c>
      <c r="GP55" s="5" t="str">
        <f t="array" ref="GP55">IFERROR(IF('T1'!$J55="",INDEX(LISTA_EX,196),INDEX(LISTA_EX,MATCH('T1'!$J55&amp;"|"&amp;196,LISTA_KLUCZ,0))),"")</f>
        <v/>
      </c>
      <c r="GQ55" s="5" t="str">
        <f t="array" ref="GQ55">IFERROR(IF('T1'!$J55="",INDEX(LISTA_EX,197),INDEX(LISTA_EX,MATCH('T1'!$J55&amp;"|"&amp;197,LISTA_KLUCZ,0))),"")</f>
        <v/>
      </c>
      <c r="GR55" s="5" t="str">
        <f t="array" ref="GR55">IFERROR(IF('T1'!$J55="",INDEX(LISTA_EX,198),INDEX(LISTA_EX,MATCH('T1'!$J55&amp;"|"&amp;198,LISTA_KLUCZ,0))),"")</f>
        <v/>
      </c>
      <c r="GS55" s="5" t="str">
        <f t="array" ref="GS55">IFERROR(IF('T1'!$J55="",INDEX(LISTA_EX,199),INDEX(LISTA_EX,MATCH('T1'!$J55&amp;"|"&amp;199,LISTA_KLUCZ,0))),"")</f>
        <v/>
      </c>
      <c r="GT55" s="5" t="str">
        <f t="array" ref="GT55">IFERROR(IF('T1'!$J55="",INDEX(LISTA_EX,200),INDEX(LISTA_EX,MATCH('T1'!$J55&amp;"|"&amp;200,LISTA_KLUCZ,0))),"")</f>
        <v/>
      </c>
      <c r="GV55" s="5" t="str">
        <f>IF(BAZA!$A55="","",BAZA!$A55)</f>
        <v>Dumbbell french press</v>
      </c>
      <c r="GW55" s="5" t="str">
        <f>IF(BAZA!$B55="","",BAZA!$B55&amp;"|"&amp;COUNTIF(BAZA!$B$3:$B55,BAZA!$B55))</f>
        <v>Tricep|1</v>
      </c>
    </row>
    <row r="56" ht="15.0" customHeight="1">
      <c r="A56" s="5" t="str">
        <f>IF('T1'!$K56="","",'T1'!$K56)</f>
        <v>D4-S02</v>
      </c>
      <c r="B56" s="5" t="str">
        <f>IF('T1'!$J56="","(wszystkie)",'T1'!$J56)</f>
        <v>(wszystkie)</v>
      </c>
      <c r="C56" s="5" t="str">
        <f t="array" ref="C56">IFERROR(IF('T1'!$J56="",INDEX(LISTA_EX,1),INDEX(LISTA_EX,MATCH('T1'!$J56&amp;"|"&amp;1,LISTA_KLUCZ,0))),"")</f>
        <v>Abduction machine</v>
      </c>
      <c r="D56" s="5" t="str">
        <f t="array" ref="D56">IFERROR(IF('T1'!$J56="",INDEX(LISTA_EX,2),INDEX(LISTA_EX,MATCH('T1'!$J56&amp;"|"&amp;2,LISTA_KLUCZ,0))),"")</f>
        <v>Adduction machine</v>
      </c>
      <c r="E56" s="5" t="str">
        <f t="array" ref="E56">IFERROR(IF('T1'!$J56="",INDEX(LISTA_EX,3),INDEX(LISTA_EX,MATCH('T1'!$J56&amp;"|"&amp;3,LISTA_KLUCZ,0))),"")</f>
        <v>Allah</v>
      </c>
      <c r="F56" s="5" t="str">
        <f t="array" ref="F56">IFERROR(IF('T1'!$J56="",INDEX(LISTA_EX,4),INDEX(LISTA_EX,MATCH('T1'!$J56&amp;"|"&amp;4,LISTA_KLUCZ,0))),"")</f>
        <v>Arnold press</v>
      </c>
      <c r="G56" s="5" t="str">
        <f t="array" ref="G56">IFERROR(IF('T1'!$J56="",INDEX(LISTA_EX,5),INDEX(LISTA_EX,MATCH('T1'!$J56&amp;"|"&amp;5,LISTA_KLUCZ,0))),"")</f>
        <v>Arnold press alternating</v>
      </c>
      <c r="H56" s="5" t="str">
        <f t="array" ref="H56">IFERROR(IF('T1'!$J56="",INDEX(LISTA_EX,6),INDEX(LISTA_EX,MATCH('T1'!$J56&amp;"|"&amp;6,LISTA_KLUCZ,0))),"")</f>
        <v>B/l dragonflag eccentric</v>
      </c>
      <c r="I56" s="5" t="str">
        <f t="array" ref="I56">IFERROR(IF('T1'!$J56="",INDEX(LISTA_EX,7),INDEX(LISTA_EX,MATCH('T1'!$J56&amp;"|"&amp;7,LISTA_KLUCZ,0))),"")</f>
        <v>Back extension</v>
      </c>
      <c r="J56" s="5" t="str">
        <f t="array" ref="J56">IFERROR(IF('T1'!$J56="",INDEX(LISTA_EX,8),INDEX(LISTA_EX,MATCH('T1'!$J56&amp;"|"&amp;8,LISTA_KLUCZ,0))),"")</f>
        <v>Banded pistol squat</v>
      </c>
      <c r="K56" s="5" t="str">
        <f t="array" ref="K56">IFERROR(IF('T1'!$J56="",INDEX(LISTA_EX,9),INDEX(LISTA_EX,MATCH('T1'!$J56&amp;"|"&amp;9,LISTA_KLUCZ,0))),"")</f>
        <v>Banded pull ups</v>
      </c>
      <c r="L56" s="5" t="str">
        <f t="array" ref="L56">IFERROR(IF('T1'!$J56="",INDEX(LISTA_EX,10),INDEX(LISTA_EX,MATCH('T1'!$J56&amp;"|"&amp;10,LISTA_KLUCZ,0))),"")</f>
        <v>Barbell back squat</v>
      </c>
      <c r="M56" s="5" t="str">
        <f t="array" ref="M56">IFERROR(IF('T1'!$J56="",INDEX(LISTA_EX,11),INDEX(LISTA_EX,MATCH('T1'!$J56&amp;"|"&amp;11,LISTA_KLUCZ,0))),"")</f>
        <v>Barbell bench press</v>
      </c>
      <c r="N56" s="5" t="str">
        <f t="array" ref="N56">IFERROR(IF('T1'!$J56="",INDEX(LISTA_EX,12),INDEX(LISTA_EX,MATCH('T1'!$J56&amp;"|"&amp;12,LISTA_KLUCZ,0))),"")</f>
        <v>Barbell curl</v>
      </c>
      <c r="O56" s="5" t="str">
        <f t="array" ref="O56">IFERROR(IF('T1'!$J56="",INDEX(LISTA_EX,13),INDEX(LISTA_EX,MATCH('T1'!$J56&amp;"|"&amp;13,LISTA_KLUCZ,0))),"")</f>
        <v>Barbell low bar squat</v>
      </c>
      <c r="P56" s="5" t="str">
        <f t="array" ref="P56">IFERROR(IF('T1'!$J56="",INDEX(LISTA_EX,14),INDEX(LISTA_EX,MATCH('T1'!$J56&amp;"|"&amp;14,LISTA_KLUCZ,0))),"")</f>
        <v>Barbell OHP</v>
      </c>
      <c r="Q56" s="5" t="str">
        <f t="array" ref="Q56">IFERROR(IF('T1'!$J56="",INDEX(LISTA_EX,15),INDEX(LISTA_EX,MATCH('T1'!$J56&amp;"|"&amp;15,LISTA_KLUCZ,0))),"")</f>
        <v>Barbell oscilation</v>
      </c>
      <c r="R56" s="5" t="str">
        <f t="array" ref="R56">IFERROR(IF('T1'!$J56="",INDEX(LISTA_EX,16),INDEX(LISTA_EX,MATCH('T1'!$J56&amp;"|"&amp;16,LISTA_KLUCZ,0))),"")</f>
        <v>Barbell row</v>
      </c>
      <c r="S56" s="5" t="str">
        <f t="array" ref="S56">IFERROR(IF('T1'!$J56="",INDEX(LISTA_EX,17),INDEX(LISTA_EX,MATCH('T1'!$J56&amp;"|"&amp;17,LISTA_KLUCZ,0))),"")</f>
        <v>Barbell row dead stop pins</v>
      </c>
      <c r="T56" s="5" t="str">
        <f t="array" ref="T56">IFERROR(IF('T1'!$J56="",INDEX(LISTA_EX,18),INDEX(LISTA_EX,MATCH('T1'!$J56&amp;"|"&amp;18,LISTA_KLUCZ,0))),"")</f>
        <v>Barbell SLDL</v>
      </c>
      <c r="U56" s="5" t="str">
        <f t="array" ref="U56">IFERROR(IF('T1'!$J56="",INDEX(LISTA_EX,19),INDEX(LISTA_EX,MATCH('T1'!$J56&amp;"|"&amp;19,LISTA_KLUCZ,0))),"")</f>
        <v>Bayesian curl</v>
      </c>
      <c r="V56" s="5" t="str">
        <f t="array" ref="V56">IFERROR(IF('T1'!$J56="",INDEX(LISTA_EX,20),INDEX(LISTA_EX,MATCH('T1'!$J56&amp;"|"&amp;20,LISTA_KLUCZ,0))),"")</f>
        <v>Bear renegade row</v>
      </c>
      <c r="W56" s="5" t="str">
        <f t="array" ref="W56">IFERROR(IF('T1'!$J56="",INDEX(LISTA_EX,21),INDEX(LISTA_EX,MATCH('T1'!$J56&amp;"|"&amp;21,LISTA_KLUCZ,0))),"")</f>
        <v>Bench press paused 3sec</v>
      </c>
      <c r="X56" s="5" t="str">
        <f t="array" ref="X56">IFERROR(IF('T1'!$J56="",INDEX(LISTA_EX,22),INDEX(LISTA_EX,MATCH('T1'!$J56&amp;"|"&amp;22,LISTA_KLUCZ,0))),"")</f>
        <v>Bicep hammer curl</v>
      </c>
      <c r="Y56" s="5" t="str">
        <f t="array" ref="Y56">IFERROR(IF('T1'!$J56="",INDEX(LISTA_EX,23),INDEX(LISTA_EX,MATCH('T1'!$J56&amp;"|"&amp;23,LISTA_KLUCZ,0))),"")</f>
        <v>Bicep squat cable curl</v>
      </c>
      <c r="Z56" s="5" t="str">
        <f t="array" ref="Z56">IFERROR(IF('T1'!$J56="",INDEX(LISTA_EX,24),INDEX(LISTA_EX,MATCH('T1'!$J56&amp;"|"&amp;24,LISTA_KLUCZ,0))),"")</f>
        <v>Bird dog row</v>
      </c>
      <c r="AA56" s="5" t="str">
        <f t="array" ref="AA56">IFERROR(IF('T1'!$J56="",INDEX(LISTA_EX,25),INDEX(LISTA_EX,MATCH('T1'!$J56&amp;"|"&amp;25,LISTA_KLUCZ,0))),"")</f>
        <v>Box jump</v>
      </c>
      <c r="AB56" s="5" t="str">
        <f t="array" ref="AB56">IFERROR(IF('T1'!$J56="",INDEX(LISTA_EX,26),INDEX(LISTA_EX,MATCH('T1'!$J56&amp;"|"&amp;26,LISTA_KLUCZ,0))),"")</f>
        <v>Bulgarian clean plyo</v>
      </c>
      <c r="AC56" s="5" t="str">
        <f t="array" ref="AC56">IFERROR(IF('T1'!$J56="",INDEX(LISTA_EX,27),INDEX(LISTA_EX,MATCH('T1'!$J56&amp;"|"&amp;27,LISTA_KLUCZ,0))),"")</f>
        <v>Bulgarian squat assisted</v>
      </c>
      <c r="AD56" s="5" t="str">
        <f t="array" ref="AD56">IFERROR(IF('T1'!$J56="",INDEX(LISTA_EX,28),INDEX(LISTA_EX,MATCH('T1'!$J56&amp;"|"&amp;28,LISTA_KLUCZ,0))),"")</f>
        <v>Cable biceps curl</v>
      </c>
      <c r="AE56" s="5" t="str">
        <f t="array" ref="AE56">IFERROR(IF('T1'!$J56="",INDEX(LISTA_EX,29),INDEX(LISTA_EX,MATCH('T1'!$J56&amp;"|"&amp;29,LISTA_KLUCZ,0))),"")</f>
        <v>Cable fly</v>
      </c>
      <c r="AF56" s="5" t="str">
        <f t="array" ref="AF56">IFERROR(IF('T1'!$J56="",INDEX(LISTA_EX,30),INDEX(LISTA_EX,MATCH('T1'!$J56&amp;"|"&amp;30,LISTA_KLUCZ,0))),"")</f>
        <v>Cable lateral raise s/a</v>
      </c>
      <c r="AG56" s="5" t="str">
        <f t="array" ref="AG56">IFERROR(IF('T1'!$J56="",INDEX(LISTA_EX,31),INDEX(LISTA_EX,MATCH('T1'!$J56&amp;"|"&amp;31,LISTA_KLUCZ,0))),"")</f>
        <v>Cable row</v>
      </c>
      <c r="AH56" s="5" t="str">
        <f t="array" ref="AH56">IFERROR(IF('T1'!$J56="",INDEX(LISTA_EX,32),INDEX(LISTA_EX,MATCH('T1'!$J56&amp;"|"&amp;32,LISTA_KLUCZ,0))),"")</f>
        <v>Cable row s/a</v>
      </c>
      <c r="AI56" s="5" t="str">
        <f t="array" ref="AI56">IFERROR(IF('T1'!$J56="",INDEX(LISTA_EX,33),INDEX(LISTA_EX,MATCH('T1'!$J56&amp;"|"&amp;33,LISTA_KLUCZ,0))),"")</f>
        <v>Calf raises</v>
      </c>
      <c r="AJ56" s="5" t="str">
        <f t="array" ref="AJ56">IFERROR(IF('T1'!$J56="",INDEX(LISTA_EX,34),INDEX(LISTA_EX,MATCH('T1'!$J56&amp;"|"&amp;34,LISTA_KLUCZ,0))),"")</f>
        <v>Chest fly machine</v>
      </c>
      <c r="AK56" s="5" t="str">
        <f t="array" ref="AK56">IFERROR(IF('T1'!$J56="",INDEX(LISTA_EX,35),INDEX(LISTA_EX,MATCH('T1'!$J56&amp;"|"&amp;35,LISTA_KLUCZ,0))),"")</f>
        <v>Clean</v>
      </c>
      <c r="AL56" s="5" t="str">
        <f t="array" ref="AL56">IFERROR(IF('T1'!$J56="",INDEX(LISTA_EX,36),INDEX(LISTA_EX,MATCH('T1'!$J56&amp;"|"&amp;36,LISTA_KLUCZ,0))),"")</f>
        <v>Clean pins</v>
      </c>
      <c r="AM56" s="5" t="str">
        <f t="array" ref="AM56">IFERROR(IF('T1'!$J56="",INDEX(LISTA_EX,37),INDEX(LISTA_EX,MATCH('T1'!$J56&amp;"|"&amp;37,LISTA_KLUCZ,0))),"")</f>
        <v>Copenhagen plank</v>
      </c>
      <c r="AN56" s="5" t="str">
        <f t="array" ref="AN56">IFERROR(IF('T1'!$J56="",INDEX(LISTA_EX,38),INDEX(LISTA_EX,MATCH('T1'!$J56&amp;"|"&amp;38,LISTA_KLUCZ,0))),"")</f>
        <v>Dead bug izo + OH</v>
      </c>
      <c r="AO56" s="5" t="str">
        <f t="array" ref="AO56">IFERROR(IF('T1'!$J56="",INDEX(LISTA_EX,39),INDEX(LISTA_EX,MATCH('T1'!$J56&amp;"|"&amp;39,LISTA_KLUCZ,0))),"")</f>
        <v>Dead bug straight legs</v>
      </c>
      <c r="AP56" s="5" t="str">
        <f t="array" ref="AP56">IFERROR(IF('T1'!$J56="",INDEX(LISTA_EX,40),INDEX(LISTA_EX,MATCH('T1'!$J56&amp;"|"&amp;40,LISTA_KLUCZ,0))),"")</f>
        <v>Dead stop barbell row</v>
      </c>
      <c r="AQ56" s="5" t="str">
        <f t="array" ref="AQ56">IFERROR(IF('T1'!$J56="",INDEX(LISTA_EX,41),INDEX(LISTA_EX,MATCH('T1'!$J56&amp;"|"&amp;41,LISTA_KLUCZ,0))),"")</f>
        <v>Deadbug OH</v>
      </c>
      <c r="AR56" s="5" t="str">
        <f t="array" ref="AR56">IFERROR(IF('T1'!$J56="",INDEX(LISTA_EX,42),INDEX(LISTA_EX,MATCH('T1'!$J56&amp;"|"&amp;42,LISTA_KLUCZ,0))),"")</f>
        <v>Deadlift</v>
      </c>
      <c r="AS56" s="5" t="str">
        <f t="array" ref="AS56">IFERROR(IF('T1'!$J56="",INDEX(LISTA_EX,43),INDEX(LISTA_EX,MATCH('T1'!$J56&amp;"|"&amp;43,LISTA_KLUCZ,0))),"")</f>
        <v>Deficit push up</v>
      </c>
      <c r="AT56" s="5" t="str">
        <f t="array" ref="AT56">IFERROR(IF('T1'!$J56="",INDEX(LISTA_EX,44),INDEX(LISTA_EX,MATCH('T1'!$J56&amp;"|"&amp;44,LISTA_KLUCZ,0))),"")</f>
        <v>Deficit reverse lunge</v>
      </c>
      <c r="AU56" s="5" t="str">
        <f t="array" ref="AU56">IFERROR(IF('T1'!$J56="",INDEX(LISTA_EX,45),INDEX(LISTA_EX,MATCH('T1'!$J56&amp;"|"&amp;45,LISTA_KLUCZ,0))),"")</f>
        <v>Dips</v>
      </c>
      <c r="AV56" s="5" t="str">
        <f t="array" ref="AV56">IFERROR(IF('T1'!$J56="",INDEX(LISTA_EX,46),INDEX(LISTA_EX,MATCH('T1'!$J56&amp;"|"&amp;46,LISTA_KLUCZ,0))),"")</f>
        <v>Dips weighted</v>
      </c>
      <c r="AW56" s="5" t="str">
        <f t="array" ref="AW56">IFERROR(IF('T1'!$J56="",INDEX(LISTA_EX,47),INDEX(LISTA_EX,MATCH('T1'!$J56&amp;"|"&amp;47,LISTA_KLUCZ,0))),"")</f>
        <v>Dumbbell bench press</v>
      </c>
      <c r="AX56" s="5" t="str">
        <f t="array" ref="AX56">IFERROR(IF('T1'!$J56="",INDEX(LISTA_EX,48),INDEX(LISTA_EX,MATCH('T1'!$J56&amp;"|"&amp;48,LISTA_KLUCZ,0))),"")</f>
        <v>Dumbbell bench press alternating</v>
      </c>
      <c r="AY56" s="5" t="str">
        <f t="array" ref="AY56">IFERROR(IF('T1'!$J56="",INDEX(LISTA_EX,49),INDEX(LISTA_EX,MATCH('T1'!$J56&amp;"|"&amp;49,LISTA_KLUCZ,0))),"")</f>
        <v>Dumbbell curl</v>
      </c>
      <c r="AZ56" s="5" t="str">
        <f t="array" ref="AZ56">IFERROR(IF('T1'!$J56="",INDEX(LISTA_EX,50),INDEX(LISTA_EX,MATCH('T1'!$J56&amp;"|"&amp;50,LISTA_KLUCZ,0))),"")</f>
        <v>Dumbbell external rotation</v>
      </c>
      <c r="BA56" s="5" t="str">
        <f t="array" ref="BA56">IFERROR(IF('T1'!$J56="",INDEX(LISTA_EX,51),INDEX(LISTA_EX,MATCH('T1'!$J56&amp;"|"&amp;51,LISTA_KLUCZ,0))),"")</f>
        <v>Dumbbell face down curl</v>
      </c>
      <c r="BB56" s="5" t="str">
        <f t="array" ref="BB56">IFERROR(IF('T1'!$J56="",INDEX(LISTA_EX,52),INDEX(LISTA_EX,MATCH('T1'!$J56&amp;"|"&amp;52,LISTA_KLUCZ,0))),"")</f>
        <v>Dumbbell fly</v>
      </c>
      <c r="BC56" s="5" t="str">
        <f t="array" ref="BC56">IFERROR(IF('T1'!$J56="",INDEX(LISTA_EX,53),INDEX(LISTA_EX,MATCH('T1'!$J56&amp;"|"&amp;53,LISTA_KLUCZ,0))),"")</f>
        <v>Dumbbell french press</v>
      </c>
      <c r="BD56" s="5" t="str">
        <f t="array" ref="BD56">IFERROR(IF('T1'!$J56="",INDEX(LISTA_EX,54),INDEX(LISTA_EX,MATCH('T1'!$J56&amp;"|"&amp;54,LISTA_KLUCZ,0))),"")</f>
        <v>Dumbbell lateral raise</v>
      </c>
      <c r="BE56" s="5" t="str">
        <f t="array" ref="BE56">IFERROR(IF('T1'!$J56="",INDEX(LISTA_EX,55),INDEX(LISTA_EX,MATCH('T1'!$J56&amp;"|"&amp;55,LISTA_KLUCZ,0))),"")</f>
        <v>Dumbbell lunges</v>
      </c>
      <c r="BF56" s="5" t="str">
        <f t="array" ref="BF56">IFERROR(IF('T1'!$J56="",INDEX(LISTA_EX,56),INDEX(LISTA_EX,MATCH('T1'!$J56&amp;"|"&amp;56,LISTA_KLUCZ,0))),"")</f>
        <v>Dumbbell OH press</v>
      </c>
      <c r="BG56" s="5" t="str">
        <f t="array" ref="BG56">IFERROR(IF('T1'!$J56="",INDEX(LISTA_EX,57),INDEX(LISTA_EX,MATCH('T1'!$J56&amp;"|"&amp;57,LISTA_KLUCZ,0))),"")</f>
        <v>Dumbbell over head press</v>
      </c>
      <c r="BH56" s="5" t="str">
        <f t="array" ref="BH56">IFERROR(IF('T1'!$J56="",INDEX(LISTA_EX,58),INDEX(LISTA_EX,MATCH('T1'!$J56&amp;"|"&amp;58,LISTA_KLUCZ,0))),"")</f>
        <v>Dumbbell over head press alternating</v>
      </c>
      <c r="BI56" s="5" t="str">
        <f t="array" ref="BI56">IFERROR(IF('T1'!$J56="",INDEX(LISTA_EX,59),INDEX(LISTA_EX,MATCH('T1'!$J56&amp;"|"&amp;59,LISTA_KLUCZ,0))),"")</f>
        <v>Dumbbell row</v>
      </c>
      <c r="BJ56" s="5" t="str">
        <f t="array" ref="BJ56">IFERROR(IF('T1'!$J56="",INDEX(LISTA_EX,60),INDEX(LISTA_EX,MATCH('T1'!$J56&amp;"|"&amp;60,LISTA_KLUCZ,0))),"")</f>
        <v>Dumbbell s/a Arnold press</v>
      </c>
      <c r="BK56" s="5" t="str">
        <f t="array" ref="BK56">IFERROR(IF('T1'!$J56="",INDEX(LISTA_EX,61),INDEX(LISTA_EX,MATCH('T1'!$J56&amp;"|"&amp;61,LISTA_KLUCZ,0))),"")</f>
        <v>Dumbbell s/a row</v>
      </c>
      <c r="BL56" s="5" t="str">
        <f t="array" ref="BL56">IFERROR(IF('T1'!$J56="",INDEX(LISTA_EX,62),INDEX(LISTA_EX,MATCH('T1'!$J56&amp;"|"&amp;62,LISTA_KLUCZ,0))),"")</f>
        <v>Dumbbell seal row</v>
      </c>
      <c r="BM56" s="5" t="str">
        <f t="array" ref="BM56">IFERROR(IF('T1'!$J56="",INDEX(LISTA_EX,63),INDEX(LISTA_EX,MATCH('T1'!$J56&amp;"|"&amp;63,LISTA_KLUCZ,0))),"")</f>
        <v>Dumbbells jumps</v>
      </c>
      <c r="BN56" s="5" t="str">
        <f t="array" ref="BN56">IFERROR(IF('T1'!$J56="",INDEX(LISTA_EX,64),INDEX(LISTA_EX,MATCH('T1'!$J56&amp;"|"&amp;64,LISTA_KLUCZ,0))),"")</f>
        <v>Eccentric pull up</v>
      </c>
      <c r="BO56" s="5" t="str">
        <f t="array" ref="BO56">IFERROR(IF('T1'!$J56="",INDEX(LISTA_EX,65),INDEX(LISTA_EX,MATCH('T1'!$J56&amp;"|"&amp;65,LISTA_KLUCZ,0))),"")</f>
        <v>Eccentric push up (5 sek w dół)</v>
      </c>
      <c r="BP56" s="5" t="str">
        <f t="array" ref="BP56">IFERROR(IF('T1'!$J56="",INDEX(LISTA_EX,66),INDEX(LISTA_EX,MATCH('T1'!$J56&amp;"|"&amp;66,LISTA_KLUCZ,0))),"")</f>
        <v>Extensive plyo jumps s/l</v>
      </c>
      <c r="BQ56" s="5" t="str">
        <f t="array" ref="BQ56">IFERROR(IF('T1'!$J56="",INDEX(LISTA_EX,67),INDEX(LISTA_EX,MATCH('T1'!$J56&amp;"|"&amp;67,LISTA_KLUCZ,0))),"")</f>
        <v>Ez bar curl</v>
      </c>
      <c r="BR56" s="5" t="str">
        <f t="array" ref="BR56">IFERROR(IF('T1'!$J56="",INDEX(LISTA_EX,68),INDEX(LISTA_EX,MATCH('T1'!$J56&amp;"|"&amp;68,LISTA_KLUCZ,0))),"")</f>
        <v>Facepull chest supported</v>
      </c>
      <c r="BS56" s="5" t="str">
        <f t="array" ref="BS56">IFERROR(IF('T1'!$J56="",INDEX(LISTA_EX,69),INDEX(LISTA_EX,MATCH('T1'!$J56&amp;"|"&amp;69,LISTA_KLUCZ,0))),"")</f>
        <v>Front foot elevated split squat</v>
      </c>
      <c r="BT56" s="5" t="str">
        <f t="array" ref="BT56">IFERROR(IF('T1'!$J56="",INDEX(LISTA_EX,70),INDEX(LISTA_EX,MATCH('T1'!$J56&amp;"|"&amp;70,LISTA_KLUCZ,0))),"")</f>
        <v>Front squat</v>
      </c>
      <c r="BU56" s="5" t="str">
        <f t="array" ref="BU56">IFERROR(IF('T1'!$J56="",INDEX(LISTA_EX,71),INDEX(LISTA_EX,MATCH('T1'!$J56&amp;"|"&amp;71,LISTA_KLUCZ,0))),"")</f>
        <v>GHD flexion</v>
      </c>
      <c r="BV56" s="5" t="str">
        <f t="array" ref="BV56">IFERROR(IF('T1'!$J56="",INDEX(LISTA_EX,72),INDEX(LISTA_EX,MATCH('T1'!$J56&amp;"|"&amp;72,LISTA_KLUCZ,0))),"")</f>
        <v>Glute bridge hamstrings izo + OH</v>
      </c>
      <c r="BW56" s="5" t="str">
        <f t="array" ref="BW56">IFERROR(IF('T1'!$J56="",INDEX(LISTA_EX,73),INDEX(LISTA_EX,MATCH('T1'!$J56&amp;"|"&amp;73,LISTA_KLUCZ,0))),"")</f>
        <v>Glute crusher</v>
      </c>
      <c r="BX56" s="5" t="str">
        <f t="array" ref="BX56">IFERROR(IF('T1'!$J56="",INDEX(LISTA_EX,74),INDEX(LISTA_EX,MATCH('T1'!$J56&amp;"|"&amp;74,LISTA_KLUCZ,0))),"")</f>
        <v>Gorilla row</v>
      </c>
      <c r="BY56" s="5" t="str">
        <f t="array" ref="BY56">IFERROR(IF('T1'!$J56="",INDEX(LISTA_EX,75),INDEX(LISTA_EX,MATCH('T1'!$J56&amp;"|"&amp;75,LISTA_KLUCZ,0))),"")</f>
        <v>Halfkneeling s/a cable pull</v>
      </c>
      <c r="BZ56" s="5" t="str">
        <f t="array" ref="BZ56">IFERROR(IF('T1'!$J56="",INDEX(LISTA_EX,76),INDEX(LISTA_EX,MATCH('T1'!$J56&amp;"|"&amp;76,LISTA_KLUCZ,0))),"")</f>
        <v>Halfkneeling wood chopper</v>
      </c>
      <c r="CA56" s="5" t="str">
        <f t="array" ref="CA56">IFERROR(IF('T1'!$J56="",INDEX(LISTA_EX,77),INDEX(LISTA_EX,MATCH('T1'!$J56&amp;"|"&amp;77,LISTA_KLUCZ,0))),"")</f>
        <v>Hinged dumbbell row</v>
      </c>
      <c r="CB56" s="5" t="str">
        <f t="array" ref="CB56">IFERROR(IF('T1'!$J56="",INDEX(LISTA_EX,78),INDEX(LISTA_EX,MATCH('T1'!$J56&amp;"|"&amp;78,LISTA_KLUCZ,0))),"")</f>
        <v>Hip aeroplane</v>
      </c>
      <c r="CC56" s="5" t="str">
        <f t="array" ref="CC56">IFERROR(IF('T1'!$J56="",INDEX(LISTA_EX,79),INDEX(LISTA_EX,MATCH('T1'!$J56&amp;"|"&amp;79,LISTA_KLUCZ,0))),"")</f>
        <v>Hip flexors cable</v>
      </c>
      <c r="CD56" s="5" t="str">
        <f t="array" ref="CD56">IFERROR(IF('T1'!$J56="",INDEX(LISTA_EX,80),INDEX(LISTA_EX,MATCH('T1'!$J56&amp;"|"&amp;80,LISTA_KLUCZ,0))),"")</f>
        <v>Hip thrust barbell</v>
      </c>
      <c r="CE56" s="5" t="str">
        <f t="array" ref="CE56">IFERROR(IF('T1'!$J56="",INDEX(LISTA_EX,81),INDEX(LISTA_EX,MATCH('T1'!$J56&amp;"|"&amp;81,LISTA_KLUCZ,0))),"")</f>
        <v>Hollow body + OH</v>
      </c>
      <c r="CF56" s="5" t="str">
        <f t="array" ref="CF56">IFERROR(IF('T1'!$J56="",INDEX(LISTA_EX,82),INDEX(LISTA_EX,MATCH('T1'!$J56&amp;"|"&amp;82,LISTA_KLUCZ,0))),"")</f>
        <v>Horizontal jump</v>
      </c>
      <c r="CG56" s="5" t="str">
        <f t="array" ref="CG56">IFERROR(IF('T1'!$J56="",INDEX(LISTA_EX,83),INDEX(LISTA_EX,MATCH('T1'!$J56&amp;"|"&amp;83,LISTA_KLUCZ,0))),"")</f>
        <v>Incline bench lateral raise s/a</v>
      </c>
      <c r="CH56" s="5" t="str">
        <f t="array" ref="CH56">IFERROR(IF('T1'!$J56="",INDEX(LISTA_EX,84),INDEX(LISTA_EX,MATCH('T1'!$J56&amp;"|"&amp;84,LISTA_KLUCZ,0))),"")</f>
        <v>Incline curl + OHP</v>
      </c>
      <c r="CI56" s="5" t="str">
        <f t="array" ref="CI56">IFERROR(IF('T1'!$J56="",INDEX(LISTA_EX,85),INDEX(LISTA_EX,MATCH('T1'!$J56&amp;"|"&amp;85,LISTA_KLUCZ,0))),"")</f>
        <v>Incline dumbbell curl</v>
      </c>
      <c r="CJ56" s="5" t="str">
        <f t="array" ref="CJ56">IFERROR(IF('T1'!$J56="",INDEX(LISTA_EX,86),INDEX(LISTA_EX,MATCH('T1'!$J56&amp;"|"&amp;86,LISTA_KLUCZ,0))),"")</f>
        <v>Incline dumbbell curl (back)</v>
      </c>
      <c r="CK56" s="5" t="str">
        <f t="array" ref="CK56">IFERROR(IF('T1'!$J56="",INDEX(LISTA_EX,87),INDEX(LISTA_EX,MATCH('T1'!$J56&amp;"|"&amp;87,LISTA_KLUCZ,0))),"")</f>
        <v>Incline dumbbell curl (front)</v>
      </c>
      <c r="CL56" s="5" t="str">
        <f t="array" ref="CL56">IFERROR(IF('T1'!$J56="",INDEX(LISTA_EX,88),INDEX(LISTA_EX,MATCH('T1'!$J56&amp;"|"&amp;88,LISTA_KLUCZ,0))),"")</f>
        <v>Incline dumbbell fly</v>
      </c>
      <c r="CM56" s="5" t="str">
        <f t="array" ref="CM56">IFERROR(IF('T1'!$J56="",INDEX(LISTA_EX,89),INDEX(LISTA_EX,MATCH('T1'!$J56&amp;"|"&amp;89,LISTA_KLUCZ,0))),"")</f>
        <v>Incline dumbbell press</v>
      </c>
      <c r="CN56" s="5" t="str">
        <f t="array" ref="CN56">IFERROR(IF('T1'!$J56="",INDEX(LISTA_EX,90),INDEX(LISTA_EX,MATCH('T1'!$J56&amp;"|"&amp;90,LISTA_KLUCZ,0))),"")</f>
        <v>Incline dumbbell press alternating</v>
      </c>
      <c r="CO56" s="5" t="str">
        <f t="array" ref="CO56">IFERROR(IF('T1'!$J56="",INDEX(LISTA_EX,91),INDEX(LISTA_EX,MATCH('T1'!$J56&amp;"|"&amp;91,LISTA_KLUCZ,0))),"")</f>
        <v>Incline sit-ups</v>
      </c>
      <c r="CP56" s="5" t="str">
        <f t="array" ref="CP56">IFERROR(IF('T1'!$J56="",INDEX(LISTA_EX,92),INDEX(LISTA_EX,MATCH('T1'!$J56&amp;"|"&amp;92,LISTA_KLUCZ,0))),"")</f>
        <v>Jefferson cable</v>
      </c>
      <c r="CQ56" s="5" t="str">
        <f t="array" ref="CQ56">IFERROR(IF('T1'!$J56="",INDEX(LISTA_EX,93),INDEX(LISTA_EX,MATCH('T1'!$J56&amp;"|"&amp;93,LISTA_KLUCZ,0))),"")</f>
        <v>Kettlebell march</v>
      </c>
      <c r="CR56" s="5" t="str">
        <f t="array" ref="CR56">IFERROR(IF('T1'!$J56="",INDEX(LISTA_EX,94),INDEX(LISTA_EX,MATCH('T1'!$J56&amp;"|"&amp;94,LISTA_KLUCZ,0))),"")</f>
        <v>Kickbacks</v>
      </c>
      <c r="CS56" s="5" t="str">
        <f t="array" ref="CS56">IFERROR(IF('T1'!$J56="",INDEX(LISTA_EX,95),INDEX(LISTA_EX,MATCH('T1'!$J56&amp;"|"&amp;95,LISTA_KLUCZ,0))),"")</f>
        <v>Knee extension machine</v>
      </c>
      <c r="CT56" s="5" t="str">
        <f t="array" ref="CT56">IFERROR(IF('T1'!$J56="",INDEX(LISTA_EX,96),INDEX(LISTA_EX,MATCH('T1'!$J56&amp;"|"&amp;96,LISTA_KLUCZ,0))),"")</f>
        <v>Knee flexion machine</v>
      </c>
      <c r="CU56" s="5" t="str">
        <f t="array" ref="CU56">IFERROR(IF('T1'!$J56="",INDEX(LISTA_EX,97),INDEX(LISTA_EX,MATCH('T1'!$J56&amp;"|"&amp;97,LISTA_KLUCZ,0))),"")</f>
        <v>Knee raises</v>
      </c>
      <c r="CV56" s="5" t="str">
        <f t="array" ref="CV56">IFERROR(IF('T1'!$J56="",INDEX(LISTA_EX,98),INDEX(LISTA_EX,MATCH('T1'!$J56&amp;"|"&amp;98,LISTA_KLUCZ,0))),"")</f>
        <v>Landmine core</v>
      </c>
      <c r="CW56" s="5" t="str">
        <f t="array" ref="CW56">IFERROR(IF('T1'!$J56="",INDEX(LISTA_EX,99),INDEX(LISTA_EX,MATCH('T1'!$J56&amp;"|"&amp;99,LISTA_KLUCZ,0))),"")</f>
        <v>Landmine press</v>
      </c>
      <c r="CX56" s="5" t="str">
        <f t="array" ref="CX56">IFERROR(IF('T1'!$J56="",INDEX(LISTA_EX,100),INDEX(LISTA_EX,MATCH('T1'!$J56&amp;"|"&amp;100,LISTA_KLUCZ,0))),"")</f>
        <v>Landmine rotations (powtórzenia x2)</v>
      </c>
      <c r="CY56" s="5" t="str">
        <f t="array" ref="CY56">IFERROR(IF('T1'!$J56="",INDEX(LISTA_EX,101),INDEX(LISTA_EX,MATCH('T1'!$J56&amp;"|"&amp;101,LISTA_KLUCZ,0))),"")</f>
        <v>Landmine SLDL</v>
      </c>
      <c r="CZ56" s="5" t="str">
        <f t="array" ref="CZ56">IFERROR(IF('T1'!$J56="",INDEX(LISTA_EX,102),INDEX(LISTA_EX,MATCH('T1'!$J56&amp;"|"&amp;102,LISTA_KLUCZ,0))),"")</f>
        <v>Lat pulldown</v>
      </c>
      <c r="DA56" s="5" t="str">
        <f t="array" ref="DA56">IFERROR(IF('T1'!$J56="",INDEX(LISTA_EX,103),INDEX(LISTA_EX,MATCH('T1'!$J56&amp;"|"&amp;103,LISTA_KLUCZ,0))),"")</f>
        <v>Lat pulldown behind the head</v>
      </c>
      <c r="DB56" s="5" t="str">
        <f t="array" ref="DB56">IFERROR(IF('T1'!$J56="",INDEX(LISTA_EX,104),INDEX(LISTA_EX,MATCH('T1'!$J56&amp;"|"&amp;104,LISTA_KLUCZ,0))),"")</f>
        <v>Lat pulldown s/a</v>
      </c>
      <c r="DC56" s="5" t="str">
        <f t="array" ref="DC56">IFERROR(IF('T1'!$J56="",INDEX(LISTA_EX,105),INDEX(LISTA_EX,MATCH('T1'!$J56&amp;"|"&amp;105,LISTA_KLUCZ,0))),"")</f>
        <v>Lateral raise s/a</v>
      </c>
      <c r="DD56" s="5" t="str">
        <f t="array" ref="DD56">IFERROR(IF('T1'!$J56="",INDEX(LISTA_EX,106),INDEX(LISTA_EX,MATCH('T1'!$J56&amp;"|"&amp;106,LISTA_KLUCZ,0))),"")</f>
        <v>Lateral raises</v>
      </c>
      <c r="DE56" s="5" t="str">
        <f t="array" ref="DE56">IFERROR(IF('T1'!$J56="",INDEX(LISTA_EX,107),INDEX(LISTA_EX,MATCH('T1'!$J56&amp;"|"&amp;107,LISTA_KLUCZ,0))),"")</f>
        <v>Lateral raises 2</v>
      </c>
      <c r="DF56" s="5" t="str">
        <f t="array" ref="DF56">IFERROR(IF('T1'!$J56="",INDEX(LISTA_EX,108),INDEX(LISTA_EX,MATCH('T1'!$J56&amp;"|"&amp;108,LISTA_KLUCZ,0))),"")</f>
        <v>Lateral raises full ROM</v>
      </c>
      <c r="DG56" s="5" t="str">
        <f t="array" ref="DG56">IFERROR(IF('T1'!$J56="",INDEX(LISTA_EX,109),INDEX(LISTA_EX,MATCH('T1'!$J56&amp;"|"&amp;109,LISTA_KLUCZ,0))),"")</f>
        <v>Lateral raises hinged</v>
      </c>
      <c r="DH56" s="5" t="str">
        <f t="array" ref="DH56">IFERROR(IF('T1'!$J56="",INDEX(LISTA_EX,110),INDEX(LISTA_EX,MATCH('T1'!$J56&amp;"|"&amp;110,LISTA_KLUCZ,0))),"")</f>
        <v>Lateral raises incline s/a</v>
      </c>
      <c r="DI56" s="5" t="str">
        <f t="array" ref="DI56">IFERROR(IF('T1'!$J56="",INDEX(LISTA_EX,111),INDEX(LISTA_EX,MATCH('T1'!$J56&amp;"|"&amp;111,LISTA_KLUCZ,0))),"")</f>
        <v>Leg curl</v>
      </c>
      <c r="DJ56" s="5" t="str">
        <f t="array" ref="DJ56">IFERROR(IF('T1'!$J56="",INDEX(LISTA_EX,112),INDEX(LISTA_EX,MATCH('T1'!$J56&amp;"|"&amp;112,LISTA_KLUCZ,0))),"")</f>
        <v>Machine row</v>
      </c>
      <c r="DK56" s="5" t="str">
        <f t="array" ref="DK56">IFERROR(IF('T1'!$J56="",INDEX(LISTA_EX,113),INDEX(LISTA_EX,MATCH('T1'!$J56&amp;"|"&amp;113,LISTA_KLUCZ,0))),"")</f>
        <v>Machine row s/a</v>
      </c>
      <c r="DL56" s="5" t="str">
        <f t="array" ref="DL56">IFERROR(IF('T1'!$J56="",INDEX(LISTA_EX,114),INDEX(LISTA_EX,MATCH('T1'!$J56&amp;"|"&amp;114,LISTA_KLUCZ,0))),"")</f>
        <v>Meadows row</v>
      </c>
      <c r="DM56" s="5" t="str">
        <f t="array" ref="DM56">IFERROR(IF('T1'!$J56="",INDEX(LISTA_EX,115),INDEX(LISTA_EX,MATCH('T1'!$J56&amp;"|"&amp;115,LISTA_KLUCZ,0))),"")</f>
        <v>Med ball slam</v>
      </c>
      <c r="DN56" s="5" t="str">
        <f t="array" ref="DN56">IFERROR(IF('T1'!$J56="",INDEX(LISTA_EX,116),INDEX(LISTA_EX,MATCH('T1'!$J56&amp;"|"&amp;116,LISTA_KLUCZ,0))),"")</f>
        <v>OH skullcrushers</v>
      </c>
      <c r="DO56" s="5" t="str">
        <f t="array" ref="DO56">IFERROR(IF('T1'!$J56="",INDEX(LISTA_EX,117),INDEX(LISTA_EX,MATCH('T1'!$J56&amp;"|"&amp;117,LISTA_KLUCZ,0))),"")</f>
        <v>OHP barbell squat 15kg</v>
      </c>
      <c r="DP56" s="5" t="str">
        <f t="array" ref="DP56">IFERROR(IF('T1'!$J56="",INDEX(LISTA_EX,118),INDEX(LISTA_EX,MATCH('T1'!$J56&amp;"|"&amp;118,LISTA_KLUCZ,0))),"")</f>
        <v>Pistol squat eccentric</v>
      </c>
      <c r="DQ56" s="5" t="str">
        <f t="array" ref="DQ56">IFERROR(IF('T1'!$J56="",INDEX(LISTA_EX,119),INDEX(LISTA_EX,MATCH('T1'!$J56&amp;"|"&amp;119,LISTA_KLUCZ,0))),"")</f>
        <v>Plank contralateral</v>
      </c>
      <c r="DR56" s="5" t="str">
        <f t="array" ref="DR56">IFERROR(IF('T1'!$J56="",INDEX(LISTA_EX,120),INDEX(LISTA_EX,MATCH('T1'!$J56&amp;"|"&amp;120,LISTA_KLUCZ,0))),"")</f>
        <v>Plank dumbbell rotation</v>
      </c>
      <c r="DS56" s="5" t="str">
        <f t="array" ref="DS56">IFERROR(IF('T1'!$J56="",INDEX(LISTA_EX,121),INDEX(LISTA_EX,MATCH('T1'!$J56&amp;"|"&amp;121,LISTA_KLUCZ,0))),"")</f>
        <v>Plank leg raises</v>
      </c>
      <c r="DT56" s="5" t="str">
        <f t="array" ref="DT56">IFERROR(IF('T1'!$J56="",INDEX(LISTA_EX,122),INDEX(LISTA_EX,MATCH('T1'!$J56&amp;"|"&amp;122,LISTA_KLUCZ,0))),"")</f>
        <v>Poliquin step up</v>
      </c>
      <c r="DU56" s="5" t="str">
        <f t="array" ref="DU56">IFERROR(IF('T1'!$J56="",INDEX(LISTA_EX,123),INDEX(LISTA_EX,MATCH('T1'!$J56&amp;"|"&amp;123,LISTA_KLUCZ,0))),"")</f>
        <v>Poliquin step up paused 3sec</v>
      </c>
      <c r="DV56" s="5" t="str">
        <f t="array" ref="DV56">IFERROR(IF('T1'!$J56="",INDEX(LISTA_EX,124),INDEX(LISTA_EX,MATCH('T1'!$J56&amp;"|"&amp;124,LISTA_KLUCZ,0))),"")</f>
        <v>Pronation/Supination</v>
      </c>
      <c r="DW56" s="5" t="str">
        <f t="array" ref="DW56">IFERROR(IF('T1'!$J56="",INDEX(LISTA_EX,125),INDEX(LISTA_EX,MATCH('T1'!$J56&amp;"|"&amp;125,LISTA_KLUCZ,0))),"")</f>
        <v>Pull up</v>
      </c>
      <c r="DX56" s="5" t="str">
        <f t="array" ref="DX56">IFERROR(IF('T1'!$J56="",INDEX(LISTA_EX,126),INDEX(LISTA_EX,MATCH('T1'!$J56&amp;"|"&amp;126,LISTA_KLUCZ,0))),"")</f>
        <v>Pull up eccentric weighted</v>
      </c>
      <c r="DY56" s="5" t="str">
        <f t="array" ref="DY56">IFERROR(IF('T1'!$J56="",INDEX(LISTA_EX,127),INDEX(LISTA_EX,MATCH('T1'!$J56&amp;"|"&amp;127,LISTA_KLUCZ,0))),"")</f>
        <v>Pull up eccentric weighted (5 sek w dół)</v>
      </c>
      <c r="DZ56" s="5" t="str">
        <f t="array" ref="DZ56">IFERROR(IF('T1'!$J56="",INDEX(LISTA_EX,128),INDEX(LISTA_EX,MATCH('T1'!$J56&amp;"|"&amp;128,LISTA_KLUCZ,0))),"")</f>
        <v>Pull up weighted</v>
      </c>
      <c r="EA56" s="5" t="str">
        <f t="array" ref="EA56">IFERROR(IF('T1'!$J56="",INDEX(LISTA_EX,129),INDEX(LISTA_EX,MATCH('T1'!$J56&amp;"|"&amp;129,LISTA_KLUCZ,0))),"")</f>
        <v>Pull ups (paused)</v>
      </c>
      <c r="EB56" s="5" t="str">
        <f t="array" ref="EB56">IFERROR(IF('T1'!$J56="",INDEX(LISTA_EX,130),INDEX(LISTA_EX,MATCH('T1'!$J56&amp;"|"&amp;130,LISTA_KLUCZ,0))),"")</f>
        <v>Push press barbell</v>
      </c>
      <c r="EC56" s="5" t="str">
        <f t="array" ref="EC56">IFERROR(IF('T1'!$J56="",INDEX(LISTA_EX,131),INDEX(LISTA_EX,MATCH('T1'!$J56&amp;"|"&amp;131,LISTA_KLUCZ,0))),"")</f>
        <v>Push up</v>
      </c>
      <c r="ED56" s="5" t="str">
        <f t="array" ref="ED56">IFERROR(IF('T1'!$J56="",INDEX(LISTA_EX,132),INDEX(LISTA_EX,MATCH('T1'!$J56&amp;"|"&amp;132,LISTA_KLUCZ,0))),"")</f>
        <v>Raised bird dog</v>
      </c>
      <c r="EE56" s="5" t="str">
        <f t="array" ref="EE56">IFERROR(IF('T1'!$J56="",INDEX(LISTA_EX,133),INDEX(LISTA_EX,MATCH('T1'!$J56&amp;"|"&amp;133,LISTA_KLUCZ,0))),"")</f>
        <v>RDL</v>
      </c>
      <c r="EF56" s="5" t="str">
        <f t="array" ref="EF56">IFERROR(IF('T1'!$J56="",INDEX(LISTA_EX,134),INDEX(LISTA_EX,MATCH('T1'!$J56&amp;"|"&amp;134,LISTA_KLUCZ,0))),"")</f>
        <v>Reverse Nordic</v>
      </c>
      <c r="EG56" s="5" t="str">
        <f t="array" ref="EG56">IFERROR(IF('T1'!$J56="",INDEX(LISTA_EX,135),INDEX(LISTA_EX,MATCH('T1'!$J56&amp;"|"&amp;135,LISTA_KLUCZ,0))),"")</f>
        <v>Rope pushdown</v>
      </c>
      <c r="EH56" s="5" t="str">
        <f t="array" ref="EH56">IFERROR(IF('T1'!$J56="",INDEX(LISTA_EX,136),INDEX(LISTA_EX,MATCH('T1'!$J56&amp;"|"&amp;136,LISTA_KLUCZ,0))),"")</f>
        <v>Rope pushdown OH</v>
      </c>
      <c r="EI56" s="5" t="str">
        <f t="array" ref="EI56">IFERROR(IF('T1'!$J56="",INDEX(LISTA_EX,137),INDEX(LISTA_EX,MATCH('T1'!$J56&amp;"|"&amp;137,LISTA_KLUCZ,0))),"")</f>
        <v>S/a cable pulldown incline bench</v>
      </c>
      <c r="EJ56" s="5" t="str">
        <f t="array" ref="EJ56">IFERROR(IF('T1'!$J56="",INDEX(LISTA_EX,138),INDEX(LISTA_EX,MATCH('T1'!$J56&amp;"|"&amp;138,LISTA_KLUCZ,0))),"")</f>
        <v>S/a lat pulldown incline bench</v>
      </c>
      <c r="EK56" s="5" t="str">
        <f t="array" ref="EK56">IFERROR(IF('T1'!$J56="",INDEX(LISTA_EX,139),INDEX(LISTA_EX,MATCH('T1'!$J56&amp;"|"&amp;139,LISTA_KLUCZ,0))),"")</f>
        <v>S/l dragonflag eccentric</v>
      </c>
      <c r="EL56" s="5" t="str">
        <f t="array" ref="EL56">IFERROR(IF('T1'!$J56="",INDEX(LISTA_EX,140),INDEX(LISTA_EX,MATCH('T1'!$J56&amp;"|"&amp;140,LISTA_KLUCZ,0))),"")</f>
        <v>S/l hip thrust</v>
      </c>
      <c r="EM56" s="5" t="str">
        <f t="array" ref="EM56">IFERROR(IF('T1'!$J56="",INDEX(LISTA_EX,141),INDEX(LISTA_EX,MATCH('T1'!$J56&amp;"|"&amp;141,LISTA_KLUCZ,0))),"")</f>
        <v>Seated broad jump</v>
      </c>
      <c r="EN56" s="5" t="str">
        <f t="array" ref="EN56">IFERROR(IF('T1'!$J56="",INDEX(LISTA_EX,142),INDEX(LISTA_EX,MATCH('T1'!$J56&amp;"|"&amp;142,LISTA_KLUCZ,0))),"")</f>
        <v>Seated cable facepull</v>
      </c>
      <c r="EO56" s="5" t="str">
        <f t="array" ref="EO56">IFERROR(IF('T1'!$J56="",INDEX(LISTA_EX,143),INDEX(LISTA_EX,MATCH('T1'!$J56&amp;"|"&amp;143,LISTA_KLUCZ,0))),"")</f>
        <v>Seated seesaw press (nogi proste)</v>
      </c>
      <c r="EP56" s="5" t="str">
        <f t="array" ref="EP56">IFERROR(IF('T1'!$J56="",INDEX(LISTA_EX,144),INDEX(LISTA_EX,MATCH('T1'!$J56&amp;"|"&amp;144,LISTA_KLUCZ,0))),"")</f>
        <v>Seesaw press</v>
      </c>
      <c r="EQ56" s="5" t="str">
        <f t="array" ref="EQ56">IFERROR(IF('T1'!$J56="",INDEX(LISTA_EX,145),INDEX(LISTA_EX,MATCH('T1'!$J56&amp;"|"&amp;145,LISTA_KLUCZ,0))),"")</f>
        <v>Side crunches</v>
      </c>
      <c r="ER56" s="5" t="str">
        <f t="array" ref="ER56">IFERROR(IF('T1'!$J56="",INDEX(LISTA_EX,146),INDEX(LISTA_EX,MATCH('T1'!$J56&amp;"|"&amp;146,LISTA_KLUCZ,0))),"")</f>
        <v>Side plank hip drop</v>
      </c>
      <c r="ES56" s="5" t="str">
        <f t="array" ref="ES56">IFERROR(IF('T1'!$J56="",INDEX(LISTA_EX,147),INDEX(LISTA_EX,MATCH('T1'!$J56&amp;"|"&amp;147,LISTA_KLUCZ,0))),"")</f>
        <v>Side plank rotations</v>
      </c>
      <c r="ET56" s="5" t="str">
        <f t="array" ref="ET56">IFERROR(IF('T1'!$J56="",INDEX(LISTA_EX,148),INDEX(LISTA_EX,MATCH('T1'!$J56&amp;"|"&amp;148,LISTA_KLUCZ,0))),"")</f>
        <v>SLDL balance</v>
      </c>
      <c r="EU56" s="5" t="str">
        <f t="array" ref="EU56">IFERROR(IF('T1'!$J56="",INDEX(LISTA_EX,149),INDEX(LISTA_EX,MATCH('T1'!$J56&amp;"|"&amp;149,LISTA_KLUCZ,0))),"")</f>
        <v>Split squat</v>
      </c>
      <c r="EV56" s="5" t="str">
        <f t="array" ref="EV56">IFERROR(IF('T1'!$J56="",INDEX(LISTA_EX,150),INDEX(LISTA_EX,MATCH('T1'!$J56&amp;"|"&amp;150,LISTA_KLUCZ,0))),"")</f>
        <v>Split stance SLDL</v>
      </c>
      <c r="EW56" s="5" t="str">
        <f t="array" ref="EW56">IFERROR(IF('T1'!$J56="",INDEX(LISTA_EX,151),INDEX(LISTA_EX,MATCH('T1'!$J56&amp;"|"&amp;151,LISTA_KLUCZ,0))),"")</f>
        <v>Squat izo (15 sek)</v>
      </c>
      <c r="EX56" s="5" t="str">
        <f t="array" ref="EX56">IFERROR(IF('T1'!$J56="",INDEX(LISTA_EX,152),INDEX(LISTA_EX,MATCH('T1'!$J56&amp;"|"&amp;152,LISTA_KLUCZ,0))),"")</f>
        <v>Standing landmine press</v>
      </c>
      <c r="EY56" s="5" t="str">
        <f t="array" ref="EY56">IFERROR(IF('T1'!$J56="",INDEX(LISTA_EX,153),INDEX(LISTA_EX,MATCH('T1'!$J56&amp;"|"&amp;153,LISTA_KLUCZ,0))),"")</f>
        <v>Suitcase carry</v>
      </c>
      <c r="EZ56" s="5" t="str">
        <f t="array" ref="EZ56">IFERROR(IF('T1'!$J56="",INDEX(LISTA_EX,154),INDEX(LISTA_EX,MATCH('T1'!$J56&amp;"|"&amp;154,LISTA_KLUCZ,0))),"")</f>
        <v>Supine pigeon abs</v>
      </c>
      <c r="FA56" s="5" t="str">
        <f t="array" ref="FA56">IFERROR(IF('T1'!$J56="",INDEX(LISTA_EX,155),INDEX(LISTA_EX,MATCH('T1'!$J56&amp;"|"&amp;155,LISTA_KLUCZ,0))),"")</f>
        <v>Swiss ball leg curl</v>
      </c>
      <c r="FB56" s="5" t="str">
        <f t="array" ref="FB56">IFERROR(IF('T1'!$J56="",INDEX(LISTA_EX,156),INDEX(LISTA_EX,MATCH('T1'!$J56&amp;"|"&amp;156,LISTA_KLUCZ,0))),"")</f>
        <v>Toes to bar</v>
      </c>
      <c r="FC56" s="5" t="str">
        <f t="array" ref="FC56">IFERROR(IF('T1'!$J56="",INDEX(LISTA_EX,157),INDEX(LISTA_EX,MATCH('T1'!$J56&amp;"|"&amp;157,LISTA_KLUCZ,0))),"")</f>
        <v>Trap bar deadlift</v>
      </c>
      <c r="FD56" s="5" t="str">
        <f t="array" ref="FD56">IFERROR(IF('T1'!$J56="",INDEX(LISTA_EX,158),INDEX(LISTA_EX,MATCH('T1'!$J56&amp;"|"&amp;158,LISTA_KLUCZ,0))),"")</f>
        <v>Tricep cable pushdown</v>
      </c>
      <c r="FE56" s="5" t="str">
        <f t="array" ref="FE56">IFERROR(IF('T1'!$J56="",INDEX(LISTA_EX,159),INDEX(LISTA_EX,MATCH('T1'!$J56&amp;"|"&amp;159,LISTA_KLUCZ,0))),"")</f>
        <v>Tricep JM press</v>
      </c>
      <c r="FF56" s="5" t="str">
        <f t="array" ref="FF56">IFERROR(IF('T1'!$J56="",INDEX(LISTA_EX,160),INDEX(LISTA_EX,MATCH('T1'!$J56&amp;"|"&amp;160,LISTA_KLUCZ,0))),"")</f>
        <v>Tricep OH cable</v>
      </c>
      <c r="FG56" s="5" t="str">
        <f t="array" ref="FG56">IFERROR(IF('T1'!$J56="",INDEX(LISTA_EX,161),INDEX(LISTA_EX,MATCH('T1'!$J56&amp;"|"&amp;161,LISTA_KLUCZ,0))),"")</f>
        <v>Tricep OH ez bar</v>
      </c>
      <c r="FH56" s="5" t="str">
        <f t="array" ref="FH56">IFERROR(IF('T1'!$J56="",INDEX(LISTA_EX,162),INDEX(LISTA_EX,MATCH('T1'!$J56&amp;"|"&amp;162,LISTA_KLUCZ,0))),"")</f>
        <v>Walking lunges</v>
      </c>
      <c r="FI56" s="5" t="str">
        <f t="array" ref="FI56">IFERROR(IF('T1'!$J56="",INDEX(LISTA_EX,163),INDEX(LISTA_EX,MATCH('T1'!$J56&amp;"|"&amp;163,LISTA_KLUCZ,0))),"")</f>
        <v>Wipers kettle</v>
      </c>
      <c r="FJ56" s="5" t="str">
        <f t="array" ref="FJ56">IFERROR(IF('T1'!$J56="",INDEX(LISTA_EX,164),INDEX(LISTA_EX,MATCH('T1'!$J56&amp;"|"&amp;164,LISTA_KLUCZ,0))),"")</f>
        <v>Zercher jumps</v>
      </c>
      <c r="FK56" s="5" t="str">
        <f t="array" ref="FK56">IFERROR(IF('T1'!$J56="",INDEX(LISTA_EX,165),INDEX(LISTA_EX,MATCH('T1'!$J56&amp;"|"&amp;165,LISTA_KLUCZ,0))),"")</f>
        <v/>
      </c>
      <c r="FL56" s="5" t="str">
        <f t="array" ref="FL56">IFERROR(IF('T1'!$J56="",INDEX(LISTA_EX,166),INDEX(LISTA_EX,MATCH('T1'!$J56&amp;"|"&amp;166,LISTA_KLUCZ,0))),"")</f>
        <v/>
      </c>
      <c r="FM56" s="5" t="str">
        <f t="array" ref="FM56">IFERROR(IF('T1'!$J56="",INDEX(LISTA_EX,167),INDEX(LISTA_EX,MATCH('T1'!$J56&amp;"|"&amp;167,LISTA_KLUCZ,0))),"")</f>
        <v/>
      </c>
      <c r="FN56" s="5" t="str">
        <f t="array" ref="FN56">IFERROR(IF('T1'!$J56="",INDEX(LISTA_EX,168),INDEX(LISTA_EX,MATCH('T1'!$J56&amp;"|"&amp;168,LISTA_KLUCZ,0))),"")</f>
        <v/>
      </c>
      <c r="FO56" s="5" t="str">
        <f t="array" ref="FO56">IFERROR(IF('T1'!$J56="",INDEX(LISTA_EX,169),INDEX(LISTA_EX,MATCH('T1'!$J56&amp;"|"&amp;169,LISTA_KLUCZ,0))),"")</f>
        <v/>
      </c>
      <c r="FP56" s="5" t="str">
        <f t="array" ref="FP56">IFERROR(IF('T1'!$J56="",INDEX(LISTA_EX,170),INDEX(LISTA_EX,MATCH('T1'!$J56&amp;"|"&amp;170,LISTA_KLUCZ,0))),"")</f>
        <v/>
      </c>
      <c r="FQ56" s="5" t="str">
        <f t="array" ref="FQ56">IFERROR(IF('T1'!$J56="",INDEX(LISTA_EX,171),INDEX(LISTA_EX,MATCH('T1'!$J56&amp;"|"&amp;171,LISTA_KLUCZ,0))),"")</f>
        <v/>
      </c>
      <c r="FR56" s="5" t="str">
        <f t="array" ref="FR56">IFERROR(IF('T1'!$J56="",INDEX(LISTA_EX,172),INDEX(LISTA_EX,MATCH('T1'!$J56&amp;"|"&amp;172,LISTA_KLUCZ,0))),"")</f>
        <v/>
      </c>
      <c r="FS56" s="5" t="str">
        <f t="array" ref="FS56">IFERROR(IF('T1'!$J56="",INDEX(LISTA_EX,173),INDEX(LISTA_EX,MATCH('T1'!$J56&amp;"|"&amp;173,LISTA_KLUCZ,0))),"")</f>
        <v/>
      </c>
      <c r="FT56" s="5" t="str">
        <f t="array" ref="FT56">IFERROR(IF('T1'!$J56="",INDEX(LISTA_EX,174),INDEX(LISTA_EX,MATCH('T1'!$J56&amp;"|"&amp;174,LISTA_KLUCZ,0))),"")</f>
        <v/>
      </c>
      <c r="FU56" s="5" t="str">
        <f t="array" ref="FU56">IFERROR(IF('T1'!$J56="",INDEX(LISTA_EX,175),INDEX(LISTA_EX,MATCH('T1'!$J56&amp;"|"&amp;175,LISTA_KLUCZ,0))),"")</f>
        <v/>
      </c>
      <c r="FV56" s="5" t="str">
        <f t="array" ref="FV56">IFERROR(IF('T1'!$J56="",INDEX(LISTA_EX,176),INDEX(LISTA_EX,MATCH('T1'!$J56&amp;"|"&amp;176,LISTA_KLUCZ,0))),"")</f>
        <v/>
      </c>
      <c r="FW56" s="5" t="str">
        <f t="array" ref="FW56">IFERROR(IF('T1'!$J56="",INDEX(LISTA_EX,177),INDEX(LISTA_EX,MATCH('T1'!$J56&amp;"|"&amp;177,LISTA_KLUCZ,0))),"")</f>
        <v/>
      </c>
      <c r="FX56" s="5" t="str">
        <f t="array" ref="FX56">IFERROR(IF('T1'!$J56="",INDEX(LISTA_EX,178),INDEX(LISTA_EX,MATCH('T1'!$J56&amp;"|"&amp;178,LISTA_KLUCZ,0))),"")</f>
        <v/>
      </c>
      <c r="FY56" s="5" t="str">
        <f t="array" ref="FY56">IFERROR(IF('T1'!$J56="",INDEX(LISTA_EX,179),INDEX(LISTA_EX,MATCH('T1'!$J56&amp;"|"&amp;179,LISTA_KLUCZ,0))),"")</f>
        <v/>
      </c>
      <c r="FZ56" s="5" t="str">
        <f t="array" ref="FZ56">IFERROR(IF('T1'!$J56="",INDEX(LISTA_EX,180),INDEX(LISTA_EX,MATCH('T1'!$J56&amp;"|"&amp;180,LISTA_KLUCZ,0))),"")</f>
        <v/>
      </c>
      <c r="GA56" s="5" t="str">
        <f t="array" ref="GA56">IFERROR(IF('T1'!$J56="",INDEX(LISTA_EX,181),INDEX(LISTA_EX,MATCH('T1'!$J56&amp;"|"&amp;181,LISTA_KLUCZ,0))),"")</f>
        <v/>
      </c>
      <c r="GB56" s="5" t="str">
        <f t="array" ref="GB56">IFERROR(IF('T1'!$J56="",INDEX(LISTA_EX,182),INDEX(LISTA_EX,MATCH('T1'!$J56&amp;"|"&amp;182,LISTA_KLUCZ,0))),"")</f>
        <v/>
      </c>
      <c r="GC56" s="5" t="str">
        <f t="array" ref="GC56">IFERROR(IF('T1'!$J56="",INDEX(LISTA_EX,183),INDEX(LISTA_EX,MATCH('T1'!$J56&amp;"|"&amp;183,LISTA_KLUCZ,0))),"")</f>
        <v/>
      </c>
      <c r="GD56" s="5" t="str">
        <f t="array" ref="GD56">IFERROR(IF('T1'!$J56="",INDEX(LISTA_EX,184),INDEX(LISTA_EX,MATCH('T1'!$J56&amp;"|"&amp;184,LISTA_KLUCZ,0))),"")</f>
        <v/>
      </c>
      <c r="GE56" s="5" t="str">
        <f t="array" ref="GE56">IFERROR(IF('T1'!$J56="",INDEX(LISTA_EX,185),INDEX(LISTA_EX,MATCH('T1'!$J56&amp;"|"&amp;185,LISTA_KLUCZ,0))),"")</f>
        <v/>
      </c>
      <c r="GF56" s="5" t="str">
        <f t="array" ref="GF56">IFERROR(IF('T1'!$J56="",INDEX(LISTA_EX,186),INDEX(LISTA_EX,MATCH('T1'!$J56&amp;"|"&amp;186,LISTA_KLUCZ,0))),"")</f>
        <v/>
      </c>
      <c r="GG56" s="5" t="str">
        <f t="array" ref="GG56">IFERROR(IF('T1'!$J56="",INDEX(LISTA_EX,187),INDEX(LISTA_EX,MATCH('T1'!$J56&amp;"|"&amp;187,LISTA_KLUCZ,0))),"")</f>
        <v/>
      </c>
      <c r="GH56" s="5" t="str">
        <f t="array" ref="GH56">IFERROR(IF('T1'!$J56="",INDEX(LISTA_EX,188),INDEX(LISTA_EX,MATCH('T1'!$J56&amp;"|"&amp;188,LISTA_KLUCZ,0))),"")</f>
        <v/>
      </c>
      <c r="GI56" s="5" t="str">
        <f t="array" ref="GI56">IFERROR(IF('T1'!$J56="",INDEX(LISTA_EX,189),INDEX(LISTA_EX,MATCH('T1'!$J56&amp;"|"&amp;189,LISTA_KLUCZ,0))),"")</f>
        <v/>
      </c>
      <c r="GJ56" s="5" t="str">
        <f t="array" ref="GJ56">IFERROR(IF('T1'!$J56="",INDEX(LISTA_EX,190),INDEX(LISTA_EX,MATCH('T1'!$J56&amp;"|"&amp;190,LISTA_KLUCZ,0))),"")</f>
        <v/>
      </c>
      <c r="GK56" s="5" t="str">
        <f t="array" ref="GK56">IFERROR(IF('T1'!$J56="",INDEX(LISTA_EX,191),INDEX(LISTA_EX,MATCH('T1'!$J56&amp;"|"&amp;191,LISTA_KLUCZ,0))),"")</f>
        <v/>
      </c>
      <c r="GL56" s="5" t="str">
        <f t="array" ref="GL56">IFERROR(IF('T1'!$J56="",INDEX(LISTA_EX,192),INDEX(LISTA_EX,MATCH('T1'!$J56&amp;"|"&amp;192,LISTA_KLUCZ,0))),"")</f>
        <v/>
      </c>
      <c r="GM56" s="5" t="str">
        <f t="array" ref="GM56">IFERROR(IF('T1'!$J56="",INDEX(LISTA_EX,193),INDEX(LISTA_EX,MATCH('T1'!$J56&amp;"|"&amp;193,LISTA_KLUCZ,0))),"")</f>
        <v/>
      </c>
      <c r="GN56" s="5" t="str">
        <f t="array" ref="GN56">IFERROR(IF('T1'!$J56="",INDEX(LISTA_EX,194),INDEX(LISTA_EX,MATCH('T1'!$J56&amp;"|"&amp;194,LISTA_KLUCZ,0))),"")</f>
        <v/>
      </c>
      <c r="GO56" s="5" t="str">
        <f t="array" ref="GO56">IFERROR(IF('T1'!$J56="",INDEX(LISTA_EX,195),INDEX(LISTA_EX,MATCH('T1'!$J56&amp;"|"&amp;195,LISTA_KLUCZ,0))),"")</f>
        <v/>
      </c>
      <c r="GP56" s="5" t="str">
        <f t="array" ref="GP56">IFERROR(IF('T1'!$J56="",INDEX(LISTA_EX,196),INDEX(LISTA_EX,MATCH('T1'!$J56&amp;"|"&amp;196,LISTA_KLUCZ,0))),"")</f>
        <v/>
      </c>
      <c r="GQ56" s="5" t="str">
        <f t="array" ref="GQ56">IFERROR(IF('T1'!$J56="",INDEX(LISTA_EX,197),INDEX(LISTA_EX,MATCH('T1'!$J56&amp;"|"&amp;197,LISTA_KLUCZ,0))),"")</f>
        <v/>
      </c>
      <c r="GR56" s="5" t="str">
        <f t="array" ref="GR56">IFERROR(IF('T1'!$J56="",INDEX(LISTA_EX,198),INDEX(LISTA_EX,MATCH('T1'!$J56&amp;"|"&amp;198,LISTA_KLUCZ,0))),"")</f>
        <v/>
      </c>
      <c r="GS56" s="5" t="str">
        <f t="array" ref="GS56">IFERROR(IF('T1'!$J56="",INDEX(LISTA_EX,199),INDEX(LISTA_EX,MATCH('T1'!$J56&amp;"|"&amp;199,LISTA_KLUCZ,0))),"")</f>
        <v/>
      </c>
      <c r="GT56" s="5" t="str">
        <f t="array" ref="GT56">IFERROR(IF('T1'!$J56="",INDEX(LISTA_EX,200),INDEX(LISTA_EX,MATCH('T1'!$J56&amp;"|"&amp;200,LISTA_KLUCZ,0))),"")</f>
        <v/>
      </c>
      <c r="GV56" s="5" t="str">
        <f>IF(BAZA!$A56="","",BAZA!$A56)</f>
        <v>Dumbbell lateral raise</v>
      </c>
      <c r="GW56" s="5" t="str">
        <f>IF(BAZA!$B56="","",BAZA!$B56&amp;"|"&amp;COUNTIF(BAZA!$B$3:$B56,BAZA!$B56))</f>
        <v>Upper push vertical|5</v>
      </c>
    </row>
    <row r="57" ht="15.0" customHeight="1">
      <c r="A57" s="5" t="str">
        <f>IF('T1'!$K57="","",'T1'!$K57)</f>
        <v>D4-S03</v>
      </c>
      <c r="B57" s="5" t="str">
        <f>IF('T1'!$J57="","(wszystkie)",'T1'!$J57)</f>
        <v>(wszystkie)</v>
      </c>
      <c r="C57" s="5" t="str">
        <f t="array" ref="C57">IFERROR(IF('T1'!$J57="",INDEX(LISTA_EX,1),INDEX(LISTA_EX,MATCH('T1'!$J57&amp;"|"&amp;1,LISTA_KLUCZ,0))),"")</f>
        <v>Abduction machine</v>
      </c>
      <c r="D57" s="5" t="str">
        <f t="array" ref="D57">IFERROR(IF('T1'!$J57="",INDEX(LISTA_EX,2),INDEX(LISTA_EX,MATCH('T1'!$J57&amp;"|"&amp;2,LISTA_KLUCZ,0))),"")</f>
        <v>Adduction machine</v>
      </c>
      <c r="E57" s="5" t="str">
        <f t="array" ref="E57">IFERROR(IF('T1'!$J57="",INDEX(LISTA_EX,3),INDEX(LISTA_EX,MATCH('T1'!$J57&amp;"|"&amp;3,LISTA_KLUCZ,0))),"")</f>
        <v>Allah</v>
      </c>
      <c r="F57" s="5" t="str">
        <f t="array" ref="F57">IFERROR(IF('T1'!$J57="",INDEX(LISTA_EX,4),INDEX(LISTA_EX,MATCH('T1'!$J57&amp;"|"&amp;4,LISTA_KLUCZ,0))),"")</f>
        <v>Arnold press</v>
      </c>
      <c r="G57" s="5" t="str">
        <f t="array" ref="G57">IFERROR(IF('T1'!$J57="",INDEX(LISTA_EX,5),INDEX(LISTA_EX,MATCH('T1'!$J57&amp;"|"&amp;5,LISTA_KLUCZ,0))),"")</f>
        <v>Arnold press alternating</v>
      </c>
      <c r="H57" s="5" t="str">
        <f t="array" ref="H57">IFERROR(IF('T1'!$J57="",INDEX(LISTA_EX,6),INDEX(LISTA_EX,MATCH('T1'!$J57&amp;"|"&amp;6,LISTA_KLUCZ,0))),"")</f>
        <v>B/l dragonflag eccentric</v>
      </c>
      <c r="I57" s="5" t="str">
        <f t="array" ref="I57">IFERROR(IF('T1'!$J57="",INDEX(LISTA_EX,7),INDEX(LISTA_EX,MATCH('T1'!$J57&amp;"|"&amp;7,LISTA_KLUCZ,0))),"")</f>
        <v>Back extension</v>
      </c>
      <c r="J57" s="5" t="str">
        <f t="array" ref="J57">IFERROR(IF('T1'!$J57="",INDEX(LISTA_EX,8),INDEX(LISTA_EX,MATCH('T1'!$J57&amp;"|"&amp;8,LISTA_KLUCZ,0))),"")</f>
        <v>Banded pistol squat</v>
      </c>
      <c r="K57" s="5" t="str">
        <f t="array" ref="K57">IFERROR(IF('T1'!$J57="",INDEX(LISTA_EX,9),INDEX(LISTA_EX,MATCH('T1'!$J57&amp;"|"&amp;9,LISTA_KLUCZ,0))),"")</f>
        <v>Banded pull ups</v>
      </c>
      <c r="L57" s="5" t="str">
        <f t="array" ref="L57">IFERROR(IF('T1'!$J57="",INDEX(LISTA_EX,10),INDEX(LISTA_EX,MATCH('T1'!$J57&amp;"|"&amp;10,LISTA_KLUCZ,0))),"")</f>
        <v>Barbell back squat</v>
      </c>
      <c r="M57" s="5" t="str">
        <f t="array" ref="M57">IFERROR(IF('T1'!$J57="",INDEX(LISTA_EX,11),INDEX(LISTA_EX,MATCH('T1'!$J57&amp;"|"&amp;11,LISTA_KLUCZ,0))),"")</f>
        <v>Barbell bench press</v>
      </c>
      <c r="N57" s="5" t="str">
        <f t="array" ref="N57">IFERROR(IF('T1'!$J57="",INDEX(LISTA_EX,12),INDEX(LISTA_EX,MATCH('T1'!$J57&amp;"|"&amp;12,LISTA_KLUCZ,0))),"")</f>
        <v>Barbell curl</v>
      </c>
      <c r="O57" s="5" t="str">
        <f t="array" ref="O57">IFERROR(IF('T1'!$J57="",INDEX(LISTA_EX,13),INDEX(LISTA_EX,MATCH('T1'!$J57&amp;"|"&amp;13,LISTA_KLUCZ,0))),"")</f>
        <v>Barbell low bar squat</v>
      </c>
      <c r="P57" s="5" t="str">
        <f t="array" ref="P57">IFERROR(IF('T1'!$J57="",INDEX(LISTA_EX,14),INDEX(LISTA_EX,MATCH('T1'!$J57&amp;"|"&amp;14,LISTA_KLUCZ,0))),"")</f>
        <v>Barbell OHP</v>
      </c>
      <c r="Q57" s="5" t="str">
        <f t="array" ref="Q57">IFERROR(IF('T1'!$J57="",INDEX(LISTA_EX,15),INDEX(LISTA_EX,MATCH('T1'!$J57&amp;"|"&amp;15,LISTA_KLUCZ,0))),"")</f>
        <v>Barbell oscilation</v>
      </c>
      <c r="R57" s="5" t="str">
        <f t="array" ref="R57">IFERROR(IF('T1'!$J57="",INDEX(LISTA_EX,16),INDEX(LISTA_EX,MATCH('T1'!$J57&amp;"|"&amp;16,LISTA_KLUCZ,0))),"")</f>
        <v>Barbell row</v>
      </c>
      <c r="S57" s="5" t="str">
        <f t="array" ref="S57">IFERROR(IF('T1'!$J57="",INDEX(LISTA_EX,17),INDEX(LISTA_EX,MATCH('T1'!$J57&amp;"|"&amp;17,LISTA_KLUCZ,0))),"")</f>
        <v>Barbell row dead stop pins</v>
      </c>
      <c r="T57" s="5" t="str">
        <f t="array" ref="T57">IFERROR(IF('T1'!$J57="",INDEX(LISTA_EX,18),INDEX(LISTA_EX,MATCH('T1'!$J57&amp;"|"&amp;18,LISTA_KLUCZ,0))),"")</f>
        <v>Barbell SLDL</v>
      </c>
      <c r="U57" s="5" t="str">
        <f t="array" ref="U57">IFERROR(IF('T1'!$J57="",INDEX(LISTA_EX,19),INDEX(LISTA_EX,MATCH('T1'!$J57&amp;"|"&amp;19,LISTA_KLUCZ,0))),"")</f>
        <v>Bayesian curl</v>
      </c>
      <c r="V57" s="5" t="str">
        <f t="array" ref="V57">IFERROR(IF('T1'!$J57="",INDEX(LISTA_EX,20),INDEX(LISTA_EX,MATCH('T1'!$J57&amp;"|"&amp;20,LISTA_KLUCZ,0))),"")</f>
        <v>Bear renegade row</v>
      </c>
      <c r="W57" s="5" t="str">
        <f t="array" ref="W57">IFERROR(IF('T1'!$J57="",INDEX(LISTA_EX,21),INDEX(LISTA_EX,MATCH('T1'!$J57&amp;"|"&amp;21,LISTA_KLUCZ,0))),"")</f>
        <v>Bench press paused 3sec</v>
      </c>
      <c r="X57" s="5" t="str">
        <f t="array" ref="X57">IFERROR(IF('T1'!$J57="",INDEX(LISTA_EX,22),INDEX(LISTA_EX,MATCH('T1'!$J57&amp;"|"&amp;22,LISTA_KLUCZ,0))),"")</f>
        <v>Bicep hammer curl</v>
      </c>
      <c r="Y57" s="5" t="str">
        <f t="array" ref="Y57">IFERROR(IF('T1'!$J57="",INDEX(LISTA_EX,23),INDEX(LISTA_EX,MATCH('T1'!$J57&amp;"|"&amp;23,LISTA_KLUCZ,0))),"")</f>
        <v>Bicep squat cable curl</v>
      </c>
      <c r="Z57" s="5" t="str">
        <f t="array" ref="Z57">IFERROR(IF('T1'!$J57="",INDEX(LISTA_EX,24),INDEX(LISTA_EX,MATCH('T1'!$J57&amp;"|"&amp;24,LISTA_KLUCZ,0))),"")</f>
        <v>Bird dog row</v>
      </c>
      <c r="AA57" s="5" t="str">
        <f t="array" ref="AA57">IFERROR(IF('T1'!$J57="",INDEX(LISTA_EX,25),INDEX(LISTA_EX,MATCH('T1'!$J57&amp;"|"&amp;25,LISTA_KLUCZ,0))),"")</f>
        <v>Box jump</v>
      </c>
      <c r="AB57" s="5" t="str">
        <f t="array" ref="AB57">IFERROR(IF('T1'!$J57="",INDEX(LISTA_EX,26),INDEX(LISTA_EX,MATCH('T1'!$J57&amp;"|"&amp;26,LISTA_KLUCZ,0))),"")</f>
        <v>Bulgarian clean plyo</v>
      </c>
      <c r="AC57" s="5" t="str">
        <f t="array" ref="AC57">IFERROR(IF('T1'!$J57="",INDEX(LISTA_EX,27),INDEX(LISTA_EX,MATCH('T1'!$J57&amp;"|"&amp;27,LISTA_KLUCZ,0))),"")</f>
        <v>Bulgarian squat assisted</v>
      </c>
      <c r="AD57" s="5" t="str">
        <f t="array" ref="AD57">IFERROR(IF('T1'!$J57="",INDEX(LISTA_EX,28),INDEX(LISTA_EX,MATCH('T1'!$J57&amp;"|"&amp;28,LISTA_KLUCZ,0))),"")</f>
        <v>Cable biceps curl</v>
      </c>
      <c r="AE57" s="5" t="str">
        <f t="array" ref="AE57">IFERROR(IF('T1'!$J57="",INDEX(LISTA_EX,29),INDEX(LISTA_EX,MATCH('T1'!$J57&amp;"|"&amp;29,LISTA_KLUCZ,0))),"")</f>
        <v>Cable fly</v>
      </c>
      <c r="AF57" s="5" t="str">
        <f t="array" ref="AF57">IFERROR(IF('T1'!$J57="",INDEX(LISTA_EX,30),INDEX(LISTA_EX,MATCH('T1'!$J57&amp;"|"&amp;30,LISTA_KLUCZ,0))),"")</f>
        <v>Cable lateral raise s/a</v>
      </c>
      <c r="AG57" s="5" t="str">
        <f t="array" ref="AG57">IFERROR(IF('T1'!$J57="",INDEX(LISTA_EX,31),INDEX(LISTA_EX,MATCH('T1'!$J57&amp;"|"&amp;31,LISTA_KLUCZ,0))),"")</f>
        <v>Cable row</v>
      </c>
      <c r="AH57" s="5" t="str">
        <f t="array" ref="AH57">IFERROR(IF('T1'!$J57="",INDEX(LISTA_EX,32),INDEX(LISTA_EX,MATCH('T1'!$J57&amp;"|"&amp;32,LISTA_KLUCZ,0))),"")</f>
        <v>Cable row s/a</v>
      </c>
      <c r="AI57" s="5" t="str">
        <f t="array" ref="AI57">IFERROR(IF('T1'!$J57="",INDEX(LISTA_EX,33),INDEX(LISTA_EX,MATCH('T1'!$J57&amp;"|"&amp;33,LISTA_KLUCZ,0))),"")</f>
        <v>Calf raises</v>
      </c>
      <c r="AJ57" s="5" t="str">
        <f t="array" ref="AJ57">IFERROR(IF('T1'!$J57="",INDEX(LISTA_EX,34),INDEX(LISTA_EX,MATCH('T1'!$J57&amp;"|"&amp;34,LISTA_KLUCZ,0))),"")</f>
        <v>Chest fly machine</v>
      </c>
      <c r="AK57" s="5" t="str">
        <f t="array" ref="AK57">IFERROR(IF('T1'!$J57="",INDEX(LISTA_EX,35),INDEX(LISTA_EX,MATCH('T1'!$J57&amp;"|"&amp;35,LISTA_KLUCZ,0))),"")</f>
        <v>Clean</v>
      </c>
      <c r="AL57" s="5" t="str">
        <f t="array" ref="AL57">IFERROR(IF('T1'!$J57="",INDEX(LISTA_EX,36),INDEX(LISTA_EX,MATCH('T1'!$J57&amp;"|"&amp;36,LISTA_KLUCZ,0))),"")</f>
        <v>Clean pins</v>
      </c>
      <c r="AM57" s="5" t="str">
        <f t="array" ref="AM57">IFERROR(IF('T1'!$J57="",INDEX(LISTA_EX,37),INDEX(LISTA_EX,MATCH('T1'!$J57&amp;"|"&amp;37,LISTA_KLUCZ,0))),"")</f>
        <v>Copenhagen plank</v>
      </c>
      <c r="AN57" s="5" t="str">
        <f t="array" ref="AN57">IFERROR(IF('T1'!$J57="",INDEX(LISTA_EX,38),INDEX(LISTA_EX,MATCH('T1'!$J57&amp;"|"&amp;38,LISTA_KLUCZ,0))),"")</f>
        <v>Dead bug izo + OH</v>
      </c>
      <c r="AO57" s="5" t="str">
        <f t="array" ref="AO57">IFERROR(IF('T1'!$J57="",INDEX(LISTA_EX,39),INDEX(LISTA_EX,MATCH('T1'!$J57&amp;"|"&amp;39,LISTA_KLUCZ,0))),"")</f>
        <v>Dead bug straight legs</v>
      </c>
      <c r="AP57" s="5" t="str">
        <f t="array" ref="AP57">IFERROR(IF('T1'!$J57="",INDEX(LISTA_EX,40),INDEX(LISTA_EX,MATCH('T1'!$J57&amp;"|"&amp;40,LISTA_KLUCZ,0))),"")</f>
        <v>Dead stop barbell row</v>
      </c>
      <c r="AQ57" s="5" t="str">
        <f t="array" ref="AQ57">IFERROR(IF('T1'!$J57="",INDEX(LISTA_EX,41),INDEX(LISTA_EX,MATCH('T1'!$J57&amp;"|"&amp;41,LISTA_KLUCZ,0))),"")</f>
        <v>Deadbug OH</v>
      </c>
      <c r="AR57" s="5" t="str">
        <f t="array" ref="AR57">IFERROR(IF('T1'!$J57="",INDEX(LISTA_EX,42),INDEX(LISTA_EX,MATCH('T1'!$J57&amp;"|"&amp;42,LISTA_KLUCZ,0))),"")</f>
        <v>Deadlift</v>
      </c>
      <c r="AS57" s="5" t="str">
        <f t="array" ref="AS57">IFERROR(IF('T1'!$J57="",INDEX(LISTA_EX,43),INDEX(LISTA_EX,MATCH('T1'!$J57&amp;"|"&amp;43,LISTA_KLUCZ,0))),"")</f>
        <v>Deficit push up</v>
      </c>
      <c r="AT57" s="5" t="str">
        <f t="array" ref="AT57">IFERROR(IF('T1'!$J57="",INDEX(LISTA_EX,44),INDEX(LISTA_EX,MATCH('T1'!$J57&amp;"|"&amp;44,LISTA_KLUCZ,0))),"")</f>
        <v>Deficit reverse lunge</v>
      </c>
      <c r="AU57" s="5" t="str">
        <f t="array" ref="AU57">IFERROR(IF('T1'!$J57="",INDEX(LISTA_EX,45),INDEX(LISTA_EX,MATCH('T1'!$J57&amp;"|"&amp;45,LISTA_KLUCZ,0))),"")</f>
        <v>Dips</v>
      </c>
      <c r="AV57" s="5" t="str">
        <f t="array" ref="AV57">IFERROR(IF('T1'!$J57="",INDEX(LISTA_EX,46),INDEX(LISTA_EX,MATCH('T1'!$J57&amp;"|"&amp;46,LISTA_KLUCZ,0))),"")</f>
        <v>Dips weighted</v>
      </c>
      <c r="AW57" s="5" t="str">
        <f t="array" ref="AW57">IFERROR(IF('T1'!$J57="",INDEX(LISTA_EX,47),INDEX(LISTA_EX,MATCH('T1'!$J57&amp;"|"&amp;47,LISTA_KLUCZ,0))),"")</f>
        <v>Dumbbell bench press</v>
      </c>
      <c r="AX57" s="5" t="str">
        <f t="array" ref="AX57">IFERROR(IF('T1'!$J57="",INDEX(LISTA_EX,48),INDEX(LISTA_EX,MATCH('T1'!$J57&amp;"|"&amp;48,LISTA_KLUCZ,0))),"")</f>
        <v>Dumbbell bench press alternating</v>
      </c>
      <c r="AY57" s="5" t="str">
        <f t="array" ref="AY57">IFERROR(IF('T1'!$J57="",INDEX(LISTA_EX,49),INDEX(LISTA_EX,MATCH('T1'!$J57&amp;"|"&amp;49,LISTA_KLUCZ,0))),"")</f>
        <v>Dumbbell curl</v>
      </c>
      <c r="AZ57" s="5" t="str">
        <f t="array" ref="AZ57">IFERROR(IF('T1'!$J57="",INDEX(LISTA_EX,50),INDEX(LISTA_EX,MATCH('T1'!$J57&amp;"|"&amp;50,LISTA_KLUCZ,0))),"")</f>
        <v>Dumbbell external rotation</v>
      </c>
      <c r="BA57" s="5" t="str">
        <f t="array" ref="BA57">IFERROR(IF('T1'!$J57="",INDEX(LISTA_EX,51),INDEX(LISTA_EX,MATCH('T1'!$J57&amp;"|"&amp;51,LISTA_KLUCZ,0))),"")</f>
        <v>Dumbbell face down curl</v>
      </c>
      <c r="BB57" s="5" t="str">
        <f t="array" ref="BB57">IFERROR(IF('T1'!$J57="",INDEX(LISTA_EX,52),INDEX(LISTA_EX,MATCH('T1'!$J57&amp;"|"&amp;52,LISTA_KLUCZ,0))),"")</f>
        <v>Dumbbell fly</v>
      </c>
      <c r="BC57" s="5" t="str">
        <f t="array" ref="BC57">IFERROR(IF('T1'!$J57="",INDEX(LISTA_EX,53),INDEX(LISTA_EX,MATCH('T1'!$J57&amp;"|"&amp;53,LISTA_KLUCZ,0))),"")</f>
        <v>Dumbbell french press</v>
      </c>
      <c r="BD57" s="5" t="str">
        <f t="array" ref="BD57">IFERROR(IF('T1'!$J57="",INDEX(LISTA_EX,54),INDEX(LISTA_EX,MATCH('T1'!$J57&amp;"|"&amp;54,LISTA_KLUCZ,0))),"")</f>
        <v>Dumbbell lateral raise</v>
      </c>
      <c r="BE57" s="5" t="str">
        <f t="array" ref="BE57">IFERROR(IF('T1'!$J57="",INDEX(LISTA_EX,55),INDEX(LISTA_EX,MATCH('T1'!$J57&amp;"|"&amp;55,LISTA_KLUCZ,0))),"")</f>
        <v>Dumbbell lunges</v>
      </c>
      <c r="BF57" s="5" t="str">
        <f t="array" ref="BF57">IFERROR(IF('T1'!$J57="",INDEX(LISTA_EX,56),INDEX(LISTA_EX,MATCH('T1'!$J57&amp;"|"&amp;56,LISTA_KLUCZ,0))),"")</f>
        <v>Dumbbell OH press</v>
      </c>
      <c r="BG57" s="5" t="str">
        <f t="array" ref="BG57">IFERROR(IF('T1'!$J57="",INDEX(LISTA_EX,57),INDEX(LISTA_EX,MATCH('T1'!$J57&amp;"|"&amp;57,LISTA_KLUCZ,0))),"")</f>
        <v>Dumbbell over head press</v>
      </c>
      <c r="BH57" s="5" t="str">
        <f t="array" ref="BH57">IFERROR(IF('T1'!$J57="",INDEX(LISTA_EX,58),INDEX(LISTA_EX,MATCH('T1'!$J57&amp;"|"&amp;58,LISTA_KLUCZ,0))),"")</f>
        <v>Dumbbell over head press alternating</v>
      </c>
      <c r="BI57" s="5" t="str">
        <f t="array" ref="BI57">IFERROR(IF('T1'!$J57="",INDEX(LISTA_EX,59),INDEX(LISTA_EX,MATCH('T1'!$J57&amp;"|"&amp;59,LISTA_KLUCZ,0))),"")</f>
        <v>Dumbbell row</v>
      </c>
      <c r="BJ57" s="5" t="str">
        <f t="array" ref="BJ57">IFERROR(IF('T1'!$J57="",INDEX(LISTA_EX,60),INDEX(LISTA_EX,MATCH('T1'!$J57&amp;"|"&amp;60,LISTA_KLUCZ,0))),"")</f>
        <v>Dumbbell s/a Arnold press</v>
      </c>
      <c r="BK57" s="5" t="str">
        <f t="array" ref="BK57">IFERROR(IF('T1'!$J57="",INDEX(LISTA_EX,61),INDEX(LISTA_EX,MATCH('T1'!$J57&amp;"|"&amp;61,LISTA_KLUCZ,0))),"")</f>
        <v>Dumbbell s/a row</v>
      </c>
      <c r="BL57" s="5" t="str">
        <f t="array" ref="BL57">IFERROR(IF('T1'!$J57="",INDEX(LISTA_EX,62),INDEX(LISTA_EX,MATCH('T1'!$J57&amp;"|"&amp;62,LISTA_KLUCZ,0))),"")</f>
        <v>Dumbbell seal row</v>
      </c>
      <c r="BM57" s="5" t="str">
        <f t="array" ref="BM57">IFERROR(IF('T1'!$J57="",INDEX(LISTA_EX,63),INDEX(LISTA_EX,MATCH('T1'!$J57&amp;"|"&amp;63,LISTA_KLUCZ,0))),"")</f>
        <v>Dumbbells jumps</v>
      </c>
      <c r="BN57" s="5" t="str">
        <f t="array" ref="BN57">IFERROR(IF('T1'!$J57="",INDEX(LISTA_EX,64),INDEX(LISTA_EX,MATCH('T1'!$J57&amp;"|"&amp;64,LISTA_KLUCZ,0))),"")</f>
        <v>Eccentric pull up</v>
      </c>
      <c r="BO57" s="5" t="str">
        <f t="array" ref="BO57">IFERROR(IF('T1'!$J57="",INDEX(LISTA_EX,65),INDEX(LISTA_EX,MATCH('T1'!$J57&amp;"|"&amp;65,LISTA_KLUCZ,0))),"")</f>
        <v>Eccentric push up (5 sek w dół)</v>
      </c>
      <c r="BP57" s="5" t="str">
        <f t="array" ref="BP57">IFERROR(IF('T1'!$J57="",INDEX(LISTA_EX,66),INDEX(LISTA_EX,MATCH('T1'!$J57&amp;"|"&amp;66,LISTA_KLUCZ,0))),"")</f>
        <v>Extensive plyo jumps s/l</v>
      </c>
      <c r="BQ57" s="5" t="str">
        <f t="array" ref="BQ57">IFERROR(IF('T1'!$J57="",INDEX(LISTA_EX,67),INDEX(LISTA_EX,MATCH('T1'!$J57&amp;"|"&amp;67,LISTA_KLUCZ,0))),"")</f>
        <v>Ez bar curl</v>
      </c>
      <c r="BR57" s="5" t="str">
        <f t="array" ref="BR57">IFERROR(IF('T1'!$J57="",INDEX(LISTA_EX,68),INDEX(LISTA_EX,MATCH('T1'!$J57&amp;"|"&amp;68,LISTA_KLUCZ,0))),"")</f>
        <v>Facepull chest supported</v>
      </c>
      <c r="BS57" s="5" t="str">
        <f t="array" ref="BS57">IFERROR(IF('T1'!$J57="",INDEX(LISTA_EX,69),INDEX(LISTA_EX,MATCH('T1'!$J57&amp;"|"&amp;69,LISTA_KLUCZ,0))),"")</f>
        <v>Front foot elevated split squat</v>
      </c>
      <c r="BT57" s="5" t="str">
        <f t="array" ref="BT57">IFERROR(IF('T1'!$J57="",INDEX(LISTA_EX,70),INDEX(LISTA_EX,MATCH('T1'!$J57&amp;"|"&amp;70,LISTA_KLUCZ,0))),"")</f>
        <v>Front squat</v>
      </c>
      <c r="BU57" s="5" t="str">
        <f t="array" ref="BU57">IFERROR(IF('T1'!$J57="",INDEX(LISTA_EX,71),INDEX(LISTA_EX,MATCH('T1'!$J57&amp;"|"&amp;71,LISTA_KLUCZ,0))),"")</f>
        <v>GHD flexion</v>
      </c>
      <c r="BV57" s="5" t="str">
        <f t="array" ref="BV57">IFERROR(IF('T1'!$J57="",INDEX(LISTA_EX,72),INDEX(LISTA_EX,MATCH('T1'!$J57&amp;"|"&amp;72,LISTA_KLUCZ,0))),"")</f>
        <v>Glute bridge hamstrings izo + OH</v>
      </c>
      <c r="BW57" s="5" t="str">
        <f t="array" ref="BW57">IFERROR(IF('T1'!$J57="",INDEX(LISTA_EX,73),INDEX(LISTA_EX,MATCH('T1'!$J57&amp;"|"&amp;73,LISTA_KLUCZ,0))),"")</f>
        <v>Glute crusher</v>
      </c>
      <c r="BX57" s="5" t="str">
        <f t="array" ref="BX57">IFERROR(IF('T1'!$J57="",INDEX(LISTA_EX,74),INDEX(LISTA_EX,MATCH('T1'!$J57&amp;"|"&amp;74,LISTA_KLUCZ,0))),"")</f>
        <v>Gorilla row</v>
      </c>
      <c r="BY57" s="5" t="str">
        <f t="array" ref="BY57">IFERROR(IF('T1'!$J57="",INDEX(LISTA_EX,75),INDEX(LISTA_EX,MATCH('T1'!$J57&amp;"|"&amp;75,LISTA_KLUCZ,0))),"")</f>
        <v>Halfkneeling s/a cable pull</v>
      </c>
      <c r="BZ57" s="5" t="str">
        <f t="array" ref="BZ57">IFERROR(IF('T1'!$J57="",INDEX(LISTA_EX,76),INDEX(LISTA_EX,MATCH('T1'!$J57&amp;"|"&amp;76,LISTA_KLUCZ,0))),"")</f>
        <v>Halfkneeling wood chopper</v>
      </c>
      <c r="CA57" s="5" t="str">
        <f t="array" ref="CA57">IFERROR(IF('T1'!$J57="",INDEX(LISTA_EX,77),INDEX(LISTA_EX,MATCH('T1'!$J57&amp;"|"&amp;77,LISTA_KLUCZ,0))),"")</f>
        <v>Hinged dumbbell row</v>
      </c>
      <c r="CB57" s="5" t="str">
        <f t="array" ref="CB57">IFERROR(IF('T1'!$J57="",INDEX(LISTA_EX,78),INDEX(LISTA_EX,MATCH('T1'!$J57&amp;"|"&amp;78,LISTA_KLUCZ,0))),"")</f>
        <v>Hip aeroplane</v>
      </c>
      <c r="CC57" s="5" t="str">
        <f t="array" ref="CC57">IFERROR(IF('T1'!$J57="",INDEX(LISTA_EX,79),INDEX(LISTA_EX,MATCH('T1'!$J57&amp;"|"&amp;79,LISTA_KLUCZ,0))),"")</f>
        <v>Hip flexors cable</v>
      </c>
      <c r="CD57" s="5" t="str">
        <f t="array" ref="CD57">IFERROR(IF('T1'!$J57="",INDEX(LISTA_EX,80),INDEX(LISTA_EX,MATCH('T1'!$J57&amp;"|"&amp;80,LISTA_KLUCZ,0))),"")</f>
        <v>Hip thrust barbell</v>
      </c>
      <c r="CE57" s="5" t="str">
        <f t="array" ref="CE57">IFERROR(IF('T1'!$J57="",INDEX(LISTA_EX,81),INDEX(LISTA_EX,MATCH('T1'!$J57&amp;"|"&amp;81,LISTA_KLUCZ,0))),"")</f>
        <v>Hollow body + OH</v>
      </c>
      <c r="CF57" s="5" t="str">
        <f t="array" ref="CF57">IFERROR(IF('T1'!$J57="",INDEX(LISTA_EX,82),INDEX(LISTA_EX,MATCH('T1'!$J57&amp;"|"&amp;82,LISTA_KLUCZ,0))),"")</f>
        <v>Horizontal jump</v>
      </c>
      <c r="CG57" s="5" t="str">
        <f t="array" ref="CG57">IFERROR(IF('T1'!$J57="",INDEX(LISTA_EX,83),INDEX(LISTA_EX,MATCH('T1'!$J57&amp;"|"&amp;83,LISTA_KLUCZ,0))),"")</f>
        <v>Incline bench lateral raise s/a</v>
      </c>
      <c r="CH57" s="5" t="str">
        <f t="array" ref="CH57">IFERROR(IF('T1'!$J57="",INDEX(LISTA_EX,84),INDEX(LISTA_EX,MATCH('T1'!$J57&amp;"|"&amp;84,LISTA_KLUCZ,0))),"")</f>
        <v>Incline curl + OHP</v>
      </c>
      <c r="CI57" s="5" t="str">
        <f t="array" ref="CI57">IFERROR(IF('T1'!$J57="",INDEX(LISTA_EX,85),INDEX(LISTA_EX,MATCH('T1'!$J57&amp;"|"&amp;85,LISTA_KLUCZ,0))),"")</f>
        <v>Incline dumbbell curl</v>
      </c>
      <c r="CJ57" s="5" t="str">
        <f t="array" ref="CJ57">IFERROR(IF('T1'!$J57="",INDEX(LISTA_EX,86),INDEX(LISTA_EX,MATCH('T1'!$J57&amp;"|"&amp;86,LISTA_KLUCZ,0))),"")</f>
        <v>Incline dumbbell curl (back)</v>
      </c>
      <c r="CK57" s="5" t="str">
        <f t="array" ref="CK57">IFERROR(IF('T1'!$J57="",INDEX(LISTA_EX,87),INDEX(LISTA_EX,MATCH('T1'!$J57&amp;"|"&amp;87,LISTA_KLUCZ,0))),"")</f>
        <v>Incline dumbbell curl (front)</v>
      </c>
      <c r="CL57" s="5" t="str">
        <f t="array" ref="CL57">IFERROR(IF('T1'!$J57="",INDEX(LISTA_EX,88),INDEX(LISTA_EX,MATCH('T1'!$J57&amp;"|"&amp;88,LISTA_KLUCZ,0))),"")</f>
        <v>Incline dumbbell fly</v>
      </c>
      <c r="CM57" s="5" t="str">
        <f t="array" ref="CM57">IFERROR(IF('T1'!$J57="",INDEX(LISTA_EX,89),INDEX(LISTA_EX,MATCH('T1'!$J57&amp;"|"&amp;89,LISTA_KLUCZ,0))),"")</f>
        <v>Incline dumbbell press</v>
      </c>
      <c r="CN57" s="5" t="str">
        <f t="array" ref="CN57">IFERROR(IF('T1'!$J57="",INDEX(LISTA_EX,90),INDEX(LISTA_EX,MATCH('T1'!$J57&amp;"|"&amp;90,LISTA_KLUCZ,0))),"")</f>
        <v>Incline dumbbell press alternating</v>
      </c>
      <c r="CO57" s="5" t="str">
        <f t="array" ref="CO57">IFERROR(IF('T1'!$J57="",INDEX(LISTA_EX,91),INDEX(LISTA_EX,MATCH('T1'!$J57&amp;"|"&amp;91,LISTA_KLUCZ,0))),"")</f>
        <v>Incline sit-ups</v>
      </c>
      <c r="CP57" s="5" t="str">
        <f t="array" ref="CP57">IFERROR(IF('T1'!$J57="",INDEX(LISTA_EX,92),INDEX(LISTA_EX,MATCH('T1'!$J57&amp;"|"&amp;92,LISTA_KLUCZ,0))),"")</f>
        <v>Jefferson cable</v>
      </c>
      <c r="CQ57" s="5" t="str">
        <f t="array" ref="CQ57">IFERROR(IF('T1'!$J57="",INDEX(LISTA_EX,93),INDEX(LISTA_EX,MATCH('T1'!$J57&amp;"|"&amp;93,LISTA_KLUCZ,0))),"")</f>
        <v>Kettlebell march</v>
      </c>
      <c r="CR57" s="5" t="str">
        <f t="array" ref="CR57">IFERROR(IF('T1'!$J57="",INDEX(LISTA_EX,94),INDEX(LISTA_EX,MATCH('T1'!$J57&amp;"|"&amp;94,LISTA_KLUCZ,0))),"")</f>
        <v>Kickbacks</v>
      </c>
      <c r="CS57" s="5" t="str">
        <f t="array" ref="CS57">IFERROR(IF('T1'!$J57="",INDEX(LISTA_EX,95),INDEX(LISTA_EX,MATCH('T1'!$J57&amp;"|"&amp;95,LISTA_KLUCZ,0))),"")</f>
        <v>Knee extension machine</v>
      </c>
      <c r="CT57" s="5" t="str">
        <f t="array" ref="CT57">IFERROR(IF('T1'!$J57="",INDEX(LISTA_EX,96),INDEX(LISTA_EX,MATCH('T1'!$J57&amp;"|"&amp;96,LISTA_KLUCZ,0))),"")</f>
        <v>Knee flexion machine</v>
      </c>
      <c r="CU57" s="5" t="str">
        <f t="array" ref="CU57">IFERROR(IF('T1'!$J57="",INDEX(LISTA_EX,97),INDEX(LISTA_EX,MATCH('T1'!$J57&amp;"|"&amp;97,LISTA_KLUCZ,0))),"")</f>
        <v>Knee raises</v>
      </c>
      <c r="CV57" s="5" t="str">
        <f t="array" ref="CV57">IFERROR(IF('T1'!$J57="",INDEX(LISTA_EX,98),INDEX(LISTA_EX,MATCH('T1'!$J57&amp;"|"&amp;98,LISTA_KLUCZ,0))),"")</f>
        <v>Landmine core</v>
      </c>
      <c r="CW57" s="5" t="str">
        <f t="array" ref="CW57">IFERROR(IF('T1'!$J57="",INDEX(LISTA_EX,99),INDEX(LISTA_EX,MATCH('T1'!$J57&amp;"|"&amp;99,LISTA_KLUCZ,0))),"")</f>
        <v>Landmine press</v>
      </c>
      <c r="CX57" s="5" t="str">
        <f t="array" ref="CX57">IFERROR(IF('T1'!$J57="",INDEX(LISTA_EX,100),INDEX(LISTA_EX,MATCH('T1'!$J57&amp;"|"&amp;100,LISTA_KLUCZ,0))),"")</f>
        <v>Landmine rotations (powtórzenia x2)</v>
      </c>
      <c r="CY57" s="5" t="str">
        <f t="array" ref="CY57">IFERROR(IF('T1'!$J57="",INDEX(LISTA_EX,101),INDEX(LISTA_EX,MATCH('T1'!$J57&amp;"|"&amp;101,LISTA_KLUCZ,0))),"")</f>
        <v>Landmine SLDL</v>
      </c>
      <c r="CZ57" s="5" t="str">
        <f t="array" ref="CZ57">IFERROR(IF('T1'!$J57="",INDEX(LISTA_EX,102),INDEX(LISTA_EX,MATCH('T1'!$J57&amp;"|"&amp;102,LISTA_KLUCZ,0))),"")</f>
        <v>Lat pulldown</v>
      </c>
      <c r="DA57" s="5" t="str">
        <f t="array" ref="DA57">IFERROR(IF('T1'!$J57="",INDEX(LISTA_EX,103),INDEX(LISTA_EX,MATCH('T1'!$J57&amp;"|"&amp;103,LISTA_KLUCZ,0))),"")</f>
        <v>Lat pulldown behind the head</v>
      </c>
      <c r="DB57" s="5" t="str">
        <f t="array" ref="DB57">IFERROR(IF('T1'!$J57="",INDEX(LISTA_EX,104),INDEX(LISTA_EX,MATCH('T1'!$J57&amp;"|"&amp;104,LISTA_KLUCZ,0))),"")</f>
        <v>Lat pulldown s/a</v>
      </c>
      <c r="DC57" s="5" t="str">
        <f t="array" ref="DC57">IFERROR(IF('T1'!$J57="",INDEX(LISTA_EX,105),INDEX(LISTA_EX,MATCH('T1'!$J57&amp;"|"&amp;105,LISTA_KLUCZ,0))),"")</f>
        <v>Lateral raise s/a</v>
      </c>
      <c r="DD57" s="5" t="str">
        <f t="array" ref="DD57">IFERROR(IF('T1'!$J57="",INDEX(LISTA_EX,106),INDEX(LISTA_EX,MATCH('T1'!$J57&amp;"|"&amp;106,LISTA_KLUCZ,0))),"")</f>
        <v>Lateral raises</v>
      </c>
      <c r="DE57" s="5" t="str">
        <f t="array" ref="DE57">IFERROR(IF('T1'!$J57="",INDEX(LISTA_EX,107),INDEX(LISTA_EX,MATCH('T1'!$J57&amp;"|"&amp;107,LISTA_KLUCZ,0))),"")</f>
        <v>Lateral raises 2</v>
      </c>
      <c r="DF57" s="5" t="str">
        <f t="array" ref="DF57">IFERROR(IF('T1'!$J57="",INDEX(LISTA_EX,108),INDEX(LISTA_EX,MATCH('T1'!$J57&amp;"|"&amp;108,LISTA_KLUCZ,0))),"")</f>
        <v>Lateral raises full ROM</v>
      </c>
      <c r="DG57" s="5" t="str">
        <f t="array" ref="DG57">IFERROR(IF('T1'!$J57="",INDEX(LISTA_EX,109),INDEX(LISTA_EX,MATCH('T1'!$J57&amp;"|"&amp;109,LISTA_KLUCZ,0))),"")</f>
        <v>Lateral raises hinged</v>
      </c>
      <c r="DH57" s="5" t="str">
        <f t="array" ref="DH57">IFERROR(IF('T1'!$J57="",INDEX(LISTA_EX,110),INDEX(LISTA_EX,MATCH('T1'!$J57&amp;"|"&amp;110,LISTA_KLUCZ,0))),"")</f>
        <v>Lateral raises incline s/a</v>
      </c>
      <c r="DI57" s="5" t="str">
        <f t="array" ref="DI57">IFERROR(IF('T1'!$J57="",INDEX(LISTA_EX,111),INDEX(LISTA_EX,MATCH('T1'!$J57&amp;"|"&amp;111,LISTA_KLUCZ,0))),"")</f>
        <v>Leg curl</v>
      </c>
      <c r="DJ57" s="5" t="str">
        <f t="array" ref="DJ57">IFERROR(IF('T1'!$J57="",INDEX(LISTA_EX,112),INDEX(LISTA_EX,MATCH('T1'!$J57&amp;"|"&amp;112,LISTA_KLUCZ,0))),"")</f>
        <v>Machine row</v>
      </c>
      <c r="DK57" s="5" t="str">
        <f t="array" ref="DK57">IFERROR(IF('T1'!$J57="",INDEX(LISTA_EX,113),INDEX(LISTA_EX,MATCH('T1'!$J57&amp;"|"&amp;113,LISTA_KLUCZ,0))),"")</f>
        <v>Machine row s/a</v>
      </c>
      <c r="DL57" s="5" t="str">
        <f t="array" ref="DL57">IFERROR(IF('T1'!$J57="",INDEX(LISTA_EX,114),INDEX(LISTA_EX,MATCH('T1'!$J57&amp;"|"&amp;114,LISTA_KLUCZ,0))),"")</f>
        <v>Meadows row</v>
      </c>
      <c r="DM57" s="5" t="str">
        <f t="array" ref="DM57">IFERROR(IF('T1'!$J57="",INDEX(LISTA_EX,115),INDEX(LISTA_EX,MATCH('T1'!$J57&amp;"|"&amp;115,LISTA_KLUCZ,0))),"")</f>
        <v>Med ball slam</v>
      </c>
      <c r="DN57" s="5" t="str">
        <f t="array" ref="DN57">IFERROR(IF('T1'!$J57="",INDEX(LISTA_EX,116),INDEX(LISTA_EX,MATCH('T1'!$J57&amp;"|"&amp;116,LISTA_KLUCZ,0))),"")</f>
        <v>OH skullcrushers</v>
      </c>
      <c r="DO57" s="5" t="str">
        <f t="array" ref="DO57">IFERROR(IF('T1'!$J57="",INDEX(LISTA_EX,117),INDEX(LISTA_EX,MATCH('T1'!$J57&amp;"|"&amp;117,LISTA_KLUCZ,0))),"")</f>
        <v>OHP barbell squat 15kg</v>
      </c>
      <c r="DP57" s="5" t="str">
        <f t="array" ref="DP57">IFERROR(IF('T1'!$J57="",INDEX(LISTA_EX,118),INDEX(LISTA_EX,MATCH('T1'!$J57&amp;"|"&amp;118,LISTA_KLUCZ,0))),"")</f>
        <v>Pistol squat eccentric</v>
      </c>
      <c r="DQ57" s="5" t="str">
        <f t="array" ref="DQ57">IFERROR(IF('T1'!$J57="",INDEX(LISTA_EX,119),INDEX(LISTA_EX,MATCH('T1'!$J57&amp;"|"&amp;119,LISTA_KLUCZ,0))),"")</f>
        <v>Plank contralateral</v>
      </c>
      <c r="DR57" s="5" t="str">
        <f t="array" ref="DR57">IFERROR(IF('T1'!$J57="",INDEX(LISTA_EX,120),INDEX(LISTA_EX,MATCH('T1'!$J57&amp;"|"&amp;120,LISTA_KLUCZ,0))),"")</f>
        <v>Plank dumbbell rotation</v>
      </c>
      <c r="DS57" s="5" t="str">
        <f t="array" ref="DS57">IFERROR(IF('T1'!$J57="",INDEX(LISTA_EX,121),INDEX(LISTA_EX,MATCH('T1'!$J57&amp;"|"&amp;121,LISTA_KLUCZ,0))),"")</f>
        <v>Plank leg raises</v>
      </c>
      <c r="DT57" s="5" t="str">
        <f t="array" ref="DT57">IFERROR(IF('T1'!$J57="",INDEX(LISTA_EX,122),INDEX(LISTA_EX,MATCH('T1'!$J57&amp;"|"&amp;122,LISTA_KLUCZ,0))),"")</f>
        <v>Poliquin step up</v>
      </c>
      <c r="DU57" s="5" t="str">
        <f t="array" ref="DU57">IFERROR(IF('T1'!$J57="",INDEX(LISTA_EX,123),INDEX(LISTA_EX,MATCH('T1'!$J57&amp;"|"&amp;123,LISTA_KLUCZ,0))),"")</f>
        <v>Poliquin step up paused 3sec</v>
      </c>
      <c r="DV57" s="5" t="str">
        <f t="array" ref="DV57">IFERROR(IF('T1'!$J57="",INDEX(LISTA_EX,124),INDEX(LISTA_EX,MATCH('T1'!$J57&amp;"|"&amp;124,LISTA_KLUCZ,0))),"")</f>
        <v>Pronation/Supination</v>
      </c>
      <c r="DW57" s="5" t="str">
        <f t="array" ref="DW57">IFERROR(IF('T1'!$J57="",INDEX(LISTA_EX,125),INDEX(LISTA_EX,MATCH('T1'!$J57&amp;"|"&amp;125,LISTA_KLUCZ,0))),"")</f>
        <v>Pull up</v>
      </c>
      <c r="DX57" s="5" t="str">
        <f t="array" ref="DX57">IFERROR(IF('T1'!$J57="",INDEX(LISTA_EX,126),INDEX(LISTA_EX,MATCH('T1'!$J57&amp;"|"&amp;126,LISTA_KLUCZ,0))),"")</f>
        <v>Pull up eccentric weighted</v>
      </c>
      <c r="DY57" s="5" t="str">
        <f t="array" ref="DY57">IFERROR(IF('T1'!$J57="",INDEX(LISTA_EX,127),INDEX(LISTA_EX,MATCH('T1'!$J57&amp;"|"&amp;127,LISTA_KLUCZ,0))),"")</f>
        <v>Pull up eccentric weighted (5 sek w dół)</v>
      </c>
      <c r="DZ57" s="5" t="str">
        <f t="array" ref="DZ57">IFERROR(IF('T1'!$J57="",INDEX(LISTA_EX,128),INDEX(LISTA_EX,MATCH('T1'!$J57&amp;"|"&amp;128,LISTA_KLUCZ,0))),"")</f>
        <v>Pull up weighted</v>
      </c>
      <c r="EA57" s="5" t="str">
        <f t="array" ref="EA57">IFERROR(IF('T1'!$J57="",INDEX(LISTA_EX,129),INDEX(LISTA_EX,MATCH('T1'!$J57&amp;"|"&amp;129,LISTA_KLUCZ,0))),"")</f>
        <v>Pull ups (paused)</v>
      </c>
      <c r="EB57" s="5" t="str">
        <f t="array" ref="EB57">IFERROR(IF('T1'!$J57="",INDEX(LISTA_EX,130),INDEX(LISTA_EX,MATCH('T1'!$J57&amp;"|"&amp;130,LISTA_KLUCZ,0))),"")</f>
        <v>Push press barbell</v>
      </c>
      <c r="EC57" s="5" t="str">
        <f t="array" ref="EC57">IFERROR(IF('T1'!$J57="",INDEX(LISTA_EX,131),INDEX(LISTA_EX,MATCH('T1'!$J57&amp;"|"&amp;131,LISTA_KLUCZ,0))),"")</f>
        <v>Push up</v>
      </c>
      <c r="ED57" s="5" t="str">
        <f t="array" ref="ED57">IFERROR(IF('T1'!$J57="",INDEX(LISTA_EX,132),INDEX(LISTA_EX,MATCH('T1'!$J57&amp;"|"&amp;132,LISTA_KLUCZ,0))),"")</f>
        <v>Raised bird dog</v>
      </c>
      <c r="EE57" s="5" t="str">
        <f t="array" ref="EE57">IFERROR(IF('T1'!$J57="",INDEX(LISTA_EX,133),INDEX(LISTA_EX,MATCH('T1'!$J57&amp;"|"&amp;133,LISTA_KLUCZ,0))),"")</f>
        <v>RDL</v>
      </c>
      <c r="EF57" s="5" t="str">
        <f t="array" ref="EF57">IFERROR(IF('T1'!$J57="",INDEX(LISTA_EX,134),INDEX(LISTA_EX,MATCH('T1'!$J57&amp;"|"&amp;134,LISTA_KLUCZ,0))),"")</f>
        <v>Reverse Nordic</v>
      </c>
      <c r="EG57" s="5" t="str">
        <f t="array" ref="EG57">IFERROR(IF('T1'!$J57="",INDEX(LISTA_EX,135),INDEX(LISTA_EX,MATCH('T1'!$J57&amp;"|"&amp;135,LISTA_KLUCZ,0))),"")</f>
        <v>Rope pushdown</v>
      </c>
      <c r="EH57" s="5" t="str">
        <f t="array" ref="EH57">IFERROR(IF('T1'!$J57="",INDEX(LISTA_EX,136),INDEX(LISTA_EX,MATCH('T1'!$J57&amp;"|"&amp;136,LISTA_KLUCZ,0))),"")</f>
        <v>Rope pushdown OH</v>
      </c>
      <c r="EI57" s="5" t="str">
        <f t="array" ref="EI57">IFERROR(IF('T1'!$J57="",INDEX(LISTA_EX,137),INDEX(LISTA_EX,MATCH('T1'!$J57&amp;"|"&amp;137,LISTA_KLUCZ,0))),"")</f>
        <v>S/a cable pulldown incline bench</v>
      </c>
      <c r="EJ57" s="5" t="str">
        <f t="array" ref="EJ57">IFERROR(IF('T1'!$J57="",INDEX(LISTA_EX,138),INDEX(LISTA_EX,MATCH('T1'!$J57&amp;"|"&amp;138,LISTA_KLUCZ,0))),"")</f>
        <v>S/a lat pulldown incline bench</v>
      </c>
      <c r="EK57" s="5" t="str">
        <f t="array" ref="EK57">IFERROR(IF('T1'!$J57="",INDEX(LISTA_EX,139),INDEX(LISTA_EX,MATCH('T1'!$J57&amp;"|"&amp;139,LISTA_KLUCZ,0))),"")</f>
        <v>S/l dragonflag eccentric</v>
      </c>
      <c r="EL57" s="5" t="str">
        <f t="array" ref="EL57">IFERROR(IF('T1'!$J57="",INDEX(LISTA_EX,140),INDEX(LISTA_EX,MATCH('T1'!$J57&amp;"|"&amp;140,LISTA_KLUCZ,0))),"")</f>
        <v>S/l hip thrust</v>
      </c>
      <c r="EM57" s="5" t="str">
        <f t="array" ref="EM57">IFERROR(IF('T1'!$J57="",INDEX(LISTA_EX,141),INDEX(LISTA_EX,MATCH('T1'!$J57&amp;"|"&amp;141,LISTA_KLUCZ,0))),"")</f>
        <v>Seated broad jump</v>
      </c>
      <c r="EN57" s="5" t="str">
        <f t="array" ref="EN57">IFERROR(IF('T1'!$J57="",INDEX(LISTA_EX,142),INDEX(LISTA_EX,MATCH('T1'!$J57&amp;"|"&amp;142,LISTA_KLUCZ,0))),"")</f>
        <v>Seated cable facepull</v>
      </c>
      <c r="EO57" s="5" t="str">
        <f t="array" ref="EO57">IFERROR(IF('T1'!$J57="",INDEX(LISTA_EX,143),INDEX(LISTA_EX,MATCH('T1'!$J57&amp;"|"&amp;143,LISTA_KLUCZ,0))),"")</f>
        <v>Seated seesaw press (nogi proste)</v>
      </c>
      <c r="EP57" s="5" t="str">
        <f t="array" ref="EP57">IFERROR(IF('T1'!$J57="",INDEX(LISTA_EX,144),INDEX(LISTA_EX,MATCH('T1'!$J57&amp;"|"&amp;144,LISTA_KLUCZ,0))),"")</f>
        <v>Seesaw press</v>
      </c>
      <c r="EQ57" s="5" t="str">
        <f t="array" ref="EQ57">IFERROR(IF('T1'!$J57="",INDEX(LISTA_EX,145),INDEX(LISTA_EX,MATCH('T1'!$J57&amp;"|"&amp;145,LISTA_KLUCZ,0))),"")</f>
        <v>Side crunches</v>
      </c>
      <c r="ER57" s="5" t="str">
        <f t="array" ref="ER57">IFERROR(IF('T1'!$J57="",INDEX(LISTA_EX,146),INDEX(LISTA_EX,MATCH('T1'!$J57&amp;"|"&amp;146,LISTA_KLUCZ,0))),"")</f>
        <v>Side plank hip drop</v>
      </c>
      <c r="ES57" s="5" t="str">
        <f t="array" ref="ES57">IFERROR(IF('T1'!$J57="",INDEX(LISTA_EX,147),INDEX(LISTA_EX,MATCH('T1'!$J57&amp;"|"&amp;147,LISTA_KLUCZ,0))),"")</f>
        <v>Side plank rotations</v>
      </c>
      <c r="ET57" s="5" t="str">
        <f t="array" ref="ET57">IFERROR(IF('T1'!$J57="",INDEX(LISTA_EX,148),INDEX(LISTA_EX,MATCH('T1'!$J57&amp;"|"&amp;148,LISTA_KLUCZ,0))),"")</f>
        <v>SLDL balance</v>
      </c>
      <c r="EU57" s="5" t="str">
        <f t="array" ref="EU57">IFERROR(IF('T1'!$J57="",INDEX(LISTA_EX,149),INDEX(LISTA_EX,MATCH('T1'!$J57&amp;"|"&amp;149,LISTA_KLUCZ,0))),"")</f>
        <v>Split squat</v>
      </c>
      <c r="EV57" s="5" t="str">
        <f t="array" ref="EV57">IFERROR(IF('T1'!$J57="",INDEX(LISTA_EX,150),INDEX(LISTA_EX,MATCH('T1'!$J57&amp;"|"&amp;150,LISTA_KLUCZ,0))),"")</f>
        <v>Split stance SLDL</v>
      </c>
      <c r="EW57" s="5" t="str">
        <f t="array" ref="EW57">IFERROR(IF('T1'!$J57="",INDEX(LISTA_EX,151),INDEX(LISTA_EX,MATCH('T1'!$J57&amp;"|"&amp;151,LISTA_KLUCZ,0))),"")</f>
        <v>Squat izo (15 sek)</v>
      </c>
      <c r="EX57" s="5" t="str">
        <f t="array" ref="EX57">IFERROR(IF('T1'!$J57="",INDEX(LISTA_EX,152),INDEX(LISTA_EX,MATCH('T1'!$J57&amp;"|"&amp;152,LISTA_KLUCZ,0))),"")</f>
        <v>Standing landmine press</v>
      </c>
      <c r="EY57" s="5" t="str">
        <f t="array" ref="EY57">IFERROR(IF('T1'!$J57="",INDEX(LISTA_EX,153),INDEX(LISTA_EX,MATCH('T1'!$J57&amp;"|"&amp;153,LISTA_KLUCZ,0))),"")</f>
        <v>Suitcase carry</v>
      </c>
      <c r="EZ57" s="5" t="str">
        <f t="array" ref="EZ57">IFERROR(IF('T1'!$J57="",INDEX(LISTA_EX,154),INDEX(LISTA_EX,MATCH('T1'!$J57&amp;"|"&amp;154,LISTA_KLUCZ,0))),"")</f>
        <v>Supine pigeon abs</v>
      </c>
      <c r="FA57" s="5" t="str">
        <f t="array" ref="FA57">IFERROR(IF('T1'!$J57="",INDEX(LISTA_EX,155),INDEX(LISTA_EX,MATCH('T1'!$J57&amp;"|"&amp;155,LISTA_KLUCZ,0))),"")</f>
        <v>Swiss ball leg curl</v>
      </c>
      <c r="FB57" s="5" t="str">
        <f t="array" ref="FB57">IFERROR(IF('T1'!$J57="",INDEX(LISTA_EX,156),INDEX(LISTA_EX,MATCH('T1'!$J57&amp;"|"&amp;156,LISTA_KLUCZ,0))),"")</f>
        <v>Toes to bar</v>
      </c>
      <c r="FC57" s="5" t="str">
        <f t="array" ref="FC57">IFERROR(IF('T1'!$J57="",INDEX(LISTA_EX,157),INDEX(LISTA_EX,MATCH('T1'!$J57&amp;"|"&amp;157,LISTA_KLUCZ,0))),"")</f>
        <v>Trap bar deadlift</v>
      </c>
      <c r="FD57" s="5" t="str">
        <f t="array" ref="FD57">IFERROR(IF('T1'!$J57="",INDEX(LISTA_EX,158),INDEX(LISTA_EX,MATCH('T1'!$J57&amp;"|"&amp;158,LISTA_KLUCZ,0))),"")</f>
        <v>Tricep cable pushdown</v>
      </c>
      <c r="FE57" s="5" t="str">
        <f t="array" ref="FE57">IFERROR(IF('T1'!$J57="",INDEX(LISTA_EX,159),INDEX(LISTA_EX,MATCH('T1'!$J57&amp;"|"&amp;159,LISTA_KLUCZ,0))),"")</f>
        <v>Tricep JM press</v>
      </c>
      <c r="FF57" s="5" t="str">
        <f t="array" ref="FF57">IFERROR(IF('T1'!$J57="",INDEX(LISTA_EX,160),INDEX(LISTA_EX,MATCH('T1'!$J57&amp;"|"&amp;160,LISTA_KLUCZ,0))),"")</f>
        <v>Tricep OH cable</v>
      </c>
      <c r="FG57" s="5" t="str">
        <f t="array" ref="FG57">IFERROR(IF('T1'!$J57="",INDEX(LISTA_EX,161),INDEX(LISTA_EX,MATCH('T1'!$J57&amp;"|"&amp;161,LISTA_KLUCZ,0))),"")</f>
        <v>Tricep OH ez bar</v>
      </c>
      <c r="FH57" s="5" t="str">
        <f t="array" ref="FH57">IFERROR(IF('T1'!$J57="",INDEX(LISTA_EX,162),INDEX(LISTA_EX,MATCH('T1'!$J57&amp;"|"&amp;162,LISTA_KLUCZ,0))),"")</f>
        <v>Walking lunges</v>
      </c>
      <c r="FI57" s="5" t="str">
        <f t="array" ref="FI57">IFERROR(IF('T1'!$J57="",INDEX(LISTA_EX,163),INDEX(LISTA_EX,MATCH('T1'!$J57&amp;"|"&amp;163,LISTA_KLUCZ,0))),"")</f>
        <v>Wipers kettle</v>
      </c>
      <c r="FJ57" s="5" t="str">
        <f t="array" ref="FJ57">IFERROR(IF('T1'!$J57="",INDEX(LISTA_EX,164),INDEX(LISTA_EX,MATCH('T1'!$J57&amp;"|"&amp;164,LISTA_KLUCZ,0))),"")</f>
        <v>Zercher jumps</v>
      </c>
      <c r="FK57" s="5" t="str">
        <f t="array" ref="FK57">IFERROR(IF('T1'!$J57="",INDEX(LISTA_EX,165),INDEX(LISTA_EX,MATCH('T1'!$J57&amp;"|"&amp;165,LISTA_KLUCZ,0))),"")</f>
        <v/>
      </c>
      <c r="FL57" s="5" t="str">
        <f t="array" ref="FL57">IFERROR(IF('T1'!$J57="",INDEX(LISTA_EX,166),INDEX(LISTA_EX,MATCH('T1'!$J57&amp;"|"&amp;166,LISTA_KLUCZ,0))),"")</f>
        <v/>
      </c>
      <c r="FM57" s="5" t="str">
        <f t="array" ref="FM57">IFERROR(IF('T1'!$J57="",INDEX(LISTA_EX,167),INDEX(LISTA_EX,MATCH('T1'!$J57&amp;"|"&amp;167,LISTA_KLUCZ,0))),"")</f>
        <v/>
      </c>
      <c r="FN57" s="5" t="str">
        <f t="array" ref="FN57">IFERROR(IF('T1'!$J57="",INDEX(LISTA_EX,168),INDEX(LISTA_EX,MATCH('T1'!$J57&amp;"|"&amp;168,LISTA_KLUCZ,0))),"")</f>
        <v/>
      </c>
      <c r="FO57" s="5" t="str">
        <f t="array" ref="FO57">IFERROR(IF('T1'!$J57="",INDEX(LISTA_EX,169),INDEX(LISTA_EX,MATCH('T1'!$J57&amp;"|"&amp;169,LISTA_KLUCZ,0))),"")</f>
        <v/>
      </c>
      <c r="FP57" s="5" t="str">
        <f t="array" ref="FP57">IFERROR(IF('T1'!$J57="",INDEX(LISTA_EX,170),INDEX(LISTA_EX,MATCH('T1'!$J57&amp;"|"&amp;170,LISTA_KLUCZ,0))),"")</f>
        <v/>
      </c>
      <c r="FQ57" s="5" t="str">
        <f t="array" ref="FQ57">IFERROR(IF('T1'!$J57="",INDEX(LISTA_EX,171),INDEX(LISTA_EX,MATCH('T1'!$J57&amp;"|"&amp;171,LISTA_KLUCZ,0))),"")</f>
        <v/>
      </c>
      <c r="FR57" s="5" t="str">
        <f t="array" ref="FR57">IFERROR(IF('T1'!$J57="",INDEX(LISTA_EX,172),INDEX(LISTA_EX,MATCH('T1'!$J57&amp;"|"&amp;172,LISTA_KLUCZ,0))),"")</f>
        <v/>
      </c>
      <c r="FS57" s="5" t="str">
        <f t="array" ref="FS57">IFERROR(IF('T1'!$J57="",INDEX(LISTA_EX,173),INDEX(LISTA_EX,MATCH('T1'!$J57&amp;"|"&amp;173,LISTA_KLUCZ,0))),"")</f>
        <v/>
      </c>
      <c r="FT57" s="5" t="str">
        <f t="array" ref="FT57">IFERROR(IF('T1'!$J57="",INDEX(LISTA_EX,174),INDEX(LISTA_EX,MATCH('T1'!$J57&amp;"|"&amp;174,LISTA_KLUCZ,0))),"")</f>
        <v/>
      </c>
      <c r="FU57" s="5" t="str">
        <f t="array" ref="FU57">IFERROR(IF('T1'!$J57="",INDEX(LISTA_EX,175),INDEX(LISTA_EX,MATCH('T1'!$J57&amp;"|"&amp;175,LISTA_KLUCZ,0))),"")</f>
        <v/>
      </c>
      <c r="FV57" s="5" t="str">
        <f t="array" ref="FV57">IFERROR(IF('T1'!$J57="",INDEX(LISTA_EX,176),INDEX(LISTA_EX,MATCH('T1'!$J57&amp;"|"&amp;176,LISTA_KLUCZ,0))),"")</f>
        <v/>
      </c>
      <c r="FW57" s="5" t="str">
        <f t="array" ref="FW57">IFERROR(IF('T1'!$J57="",INDEX(LISTA_EX,177),INDEX(LISTA_EX,MATCH('T1'!$J57&amp;"|"&amp;177,LISTA_KLUCZ,0))),"")</f>
        <v/>
      </c>
      <c r="FX57" s="5" t="str">
        <f t="array" ref="FX57">IFERROR(IF('T1'!$J57="",INDEX(LISTA_EX,178),INDEX(LISTA_EX,MATCH('T1'!$J57&amp;"|"&amp;178,LISTA_KLUCZ,0))),"")</f>
        <v/>
      </c>
      <c r="FY57" s="5" t="str">
        <f t="array" ref="FY57">IFERROR(IF('T1'!$J57="",INDEX(LISTA_EX,179),INDEX(LISTA_EX,MATCH('T1'!$J57&amp;"|"&amp;179,LISTA_KLUCZ,0))),"")</f>
        <v/>
      </c>
      <c r="FZ57" s="5" t="str">
        <f t="array" ref="FZ57">IFERROR(IF('T1'!$J57="",INDEX(LISTA_EX,180),INDEX(LISTA_EX,MATCH('T1'!$J57&amp;"|"&amp;180,LISTA_KLUCZ,0))),"")</f>
        <v/>
      </c>
      <c r="GA57" s="5" t="str">
        <f t="array" ref="GA57">IFERROR(IF('T1'!$J57="",INDEX(LISTA_EX,181),INDEX(LISTA_EX,MATCH('T1'!$J57&amp;"|"&amp;181,LISTA_KLUCZ,0))),"")</f>
        <v/>
      </c>
      <c r="GB57" s="5" t="str">
        <f t="array" ref="GB57">IFERROR(IF('T1'!$J57="",INDEX(LISTA_EX,182),INDEX(LISTA_EX,MATCH('T1'!$J57&amp;"|"&amp;182,LISTA_KLUCZ,0))),"")</f>
        <v/>
      </c>
      <c r="GC57" s="5" t="str">
        <f t="array" ref="GC57">IFERROR(IF('T1'!$J57="",INDEX(LISTA_EX,183),INDEX(LISTA_EX,MATCH('T1'!$J57&amp;"|"&amp;183,LISTA_KLUCZ,0))),"")</f>
        <v/>
      </c>
      <c r="GD57" s="5" t="str">
        <f t="array" ref="GD57">IFERROR(IF('T1'!$J57="",INDEX(LISTA_EX,184),INDEX(LISTA_EX,MATCH('T1'!$J57&amp;"|"&amp;184,LISTA_KLUCZ,0))),"")</f>
        <v/>
      </c>
      <c r="GE57" s="5" t="str">
        <f t="array" ref="GE57">IFERROR(IF('T1'!$J57="",INDEX(LISTA_EX,185),INDEX(LISTA_EX,MATCH('T1'!$J57&amp;"|"&amp;185,LISTA_KLUCZ,0))),"")</f>
        <v/>
      </c>
      <c r="GF57" s="5" t="str">
        <f t="array" ref="GF57">IFERROR(IF('T1'!$J57="",INDEX(LISTA_EX,186),INDEX(LISTA_EX,MATCH('T1'!$J57&amp;"|"&amp;186,LISTA_KLUCZ,0))),"")</f>
        <v/>
      </c>
      <c r="GG57" s="5" t="str">
        <f t="array" ref="GG57">IFERROR(IF('T1'!$J57="",INDEX(LISTA_EX,187),INDEX(LISTA_EX,MATCH('T1'!$J57&amp;"|"&amp;187,LISTA_KLUCZ,0))),"")</f>
        <v/>
      </c>
      <c r="GH57" s="5" t="str">
        <f t="array" ref="GH57">IFERROR(IF('T1'!$J57="",INDEX(LISTA_EX,188),INDEX(LISTA_EX,MATCH('T1'!$J57&amp;"|"&amp;188,LISTA_KLUCZ,0))),"")</f>
        <v/>
      </c>
      <c r="GI57" s="5" t="str">
        <f t="array" ref="GI57">IFERROR(IF('T1'!$J57="",INDEX(LISTA_EX,189),INDEX(LISTA_EX,MATCH('T1'!$J57&amp;"|"&amp;189,LISTA_KLUCZ,0))),"")</f>
        <v/>
      </c>
      <c r="GJ57" s="5" t="str">
        <f t="array" ref="GJ57">IFERROR(IF('T1'!$J57="",INDEX(LISTA_EX,190),INDEX(LISTA_EX,MATCH('T1'!$J57&amp;"|"&amp;190,LISTA_KLUCZ,0))),"")</f>
        <v/>
      </c>
      <c r="GK57" s="5" t="str">
        <f t="array" ref="GK57">IFERROR(IF('T1'!$J57="",INDEX(LISTA_EX,191),INDEX(LISTA_EX,MATCH('T1'!$J57&amp;"|"&amp;191,LISTA_KLUCZ,0))),"")</f>
        <v/>
      </c>
      <c r="GL57" s="5" t="str">
        <f t="array" ref="GL57">IFERROR(IF('T1'!$J57="",INDEX(LISTA_EX,192),INDEX(LISTA_EX,MATCH('T1'!$J57&amp;"|"&amp;192,LISTA_KLUCZ,0))),"")</f>
        <v/>
      </c>
      <c r="GM57" s="5" t="str">
        <f t="array" ref="GM57">IFERROR(IF('T1'!$J57="",INDEX(LISTA_EX,193),INDEX(LISTA_EX,MATCH('T1'!$J57&amp;"|"&amp;193,LISTA_KLUCZ,0))),"")</f>
        <v/>
      </c>
      <c r="GN57" s="5" t="str">
        <f t="array" ref="GN57">IFERROR(IF('T1'!$J57="",INDEX(LISTA_EX,194),INDEX(LISTA_EX,MATCH('T1'!$J57&amp;"|"&amp;194,LISTA_KLUCZ,0))),"")</f>
        <v/>
      </c>
      <c r="GO57" s="5" t="str">
        <f t="array" ref="GO57">IFERROR(IF('T1'!$J57="",INDEX(LISTA_EX,195),INDEX(LISTA_EX,MATCH('T1'!$J57&amp;"|"&amp;195,LISTA_KLUCZ,0))),"")</f>
        <v/>
      </c>
      <c r="GP57" s="5" t="str">
        <f t="array" ref="GP57">IFERROR(IF('T1'!$J57="",INDEX(LISTA_EX,196),INDEX(LISTA_EX,MATCH('T1'!$J57&amp;"|"&amp;196,LISTA_KLUCZ,0))),"")</f>
        <v/>
      </c>
      <c r="GQ57" s="5" t="str">
        <f t="array" ref="GQ57">IFERROR(IF('T1'!$J57="",INDEX(LISTA_EX,197),INDEX(LISTA_EX,MATCH('T1'!$J57&amp;"|"&amp;197,LISTA_KLUCZ,0))),"")</f>
        <v/>
      </c>
      <c r="GR57" s="5" t="str">
        <f t="array" ref="GR57">IFERROR(IF('T1'!$J57="",INDEX(LISTA_EX,198),INDEX(LISTA_EX,MATCH('T1'!$J57&amp;"|"&amp;198,LISTA_KLUCZ,0))),"")</f>
        <v/>
      </c>
      <c r="GS57" s="5" t="str">
        <f t="array" ref="GS57">IFERROR(IF('T1'!$J57="",INDEX(LISTA_EX,199),INDEX(LISTA_EX,MATCH('T1'!$J57&amp;"|"&amp;199,LISTA_KLUCZ,0))),"")</f>
        <v/>
      </c>
      <c r="GT57" s="5" t="str">
        <f t="array" ref="GT57">IFERROR(IF('T1'!$J57="",INDEX(LISTA_EX,200),INDEX(LISTA_EX,MATCH('T1'!$J57&amp;"|"&amp;200,LISTA_KLUCZ,0))),"")</f>
        <v/>
      </c>
      <c r="GV57" s="5" t="str">
        <f>IF(BAZA!$A57="","",BAZA!$A57)</f>
        <v>Dumbbell lunges</v>
      </c>
      <c r="GW57" s="5" t="str">
        <f>IF(BAZA!$B57="","",BAZA!$B57&amp;"|"&amp;COUNTIF(BAZA!$B$3:$B57,BAZA!$B57))</f>
        <v>Lower push|9</v>
      </c>
    </row>
    <row r="58" ht="15.0" customHeight="1">
      <c r="A58" s="5" t="str">
        <f>IF('T1'!$K58="","",'T1'!$K58)</f>
        <v>D4-S04</v>
      </c>
      <c r="B58" s="5" t="str">
        <f>IF('T1'!$J58="","(wszystkie)",'T1'!$J58)</f>
        <v>(wszystkie)</v>
      </c>
      <c r="C58" s="5" t="str">
        <f t="array" ref="C58">IFERROR(IF('T1'!$J58="",INDEX(LISTA_EX,1),INDEX(LISTA_EX,MATCH('T1'!$J58&amp;"|"&amp;1,LISTA_KLUCZ,0))),"")</f>
        <v>Abduction machine</v>
      </c>
      <c r="D58" s="5" t="str">
        <f t="array" ref="D58">IFERROR(IF('T1'!$J58="",INDEX(LISTA_EX,2),INDEX(LISTA_EX,MATCH('T1'!$J58&amp;"|"&amp;2,LISTA_KLUCZ,0))),"")</f>
        <v>Adduction machine</v>
      </c>
      <c r="E58" s="5" t="str">
        <f t="array" ref="E58">IFERROR(IF('T1'!$J58="",INDEX(LISTA_EX,3),INDEX(LISTA_EX,MATCH('T1'!$J58&amp;"|"&amp;3,LISTA_KLUCZ,0))),"")</f>
        <v>Allah</v>
      </c>
      <c r="F58" s="5" t="str">
        <f t="array" ref="F58">IFERROR(IF('T1'!$J58="",INDEX(LISTA_EX,4),INDEX(LISTA_EX,MATCH('T1'!$J58&amp;"|"&amp;4,LISTA_KLUCZ,0))),"")</f>
        <v>Arnold press</v>
      </c>
      <c r="G58" s="5" t="str">
        <f t="array" ref="G58">IFERROR(IF('T1'!$J58="",INDEX(LISTA_EX,5),INDEX(LISTA_EX,MATCH('T1'!$J58&amp;"|"&amp;5,LISTA_KLUCZ,0))),"")</f>
        <v>Arnold press alternating</v>
      </c>
      <c r="H58" s="5" t="str">
        <f t="array" ref="H58">IFERROR(IF('T1'!$J58="",INDEX(LISTA_EX,6),INDEX(LISTA_EX,MATCH('T1'!$J58&amp;"|"&amp;6,LISTA_KLUCZ,0))),"")</f>
        <v>B/l dragonflag eccentric</v>
      </c>
      <c r="I58" s="5" t="str">
        <f t="array" ref="I58">IFERROR(IF('T1'!$J58="",INDEX(LISTA_EX,7),INDEX(LISTA_EX,MATCH('T1'!$J58&amp;"|"&amp;7,LISTA_KLUCZ,0))),"")</f>
        <v>Back extension</v>
      </c>
      <c r="J58" s="5" t="str">
        <f t="array" ref="J58">IFERROR(IF('T1'!$J58="",INDEX(LISTA_EX,8),INDEX(LISTA_EX,MATCH('T1'!$J58&amp;"|"&amp;8,LISTA_KLUCZ,0))),"")</f>
        <v>Banded pistol squat</v>
      </c>
      <c r="K58" s="5" t="str">
        <f t="array" ref="K58">IFERROR(IF('T1'!$J58="",INDEX(LISTA_EX,9),INDEX(LISTA_EX,MATCH('T1'!$J58&amp;"|"&amp;9,LISTA_KLUCZ,0))),"")</f>
        <v>Banded pull ups</v>
      </c>
      <c r="L58" s="5" t="str">
        <f t="array" ref="L58">IFERROR(IF('T1'!$J58="",INDEX(LISTA_EX,10),INDEX(LISTA_EX,MATCH('T1'!$J58&amp;"|"&amp;10,LISTA_KLUCZ,0))),"")</f>
        <v>Barbell back squat</v>
      </c>
      <c r="M58" s="5" t="str">
        <f t="array" ref="M58">IFERROR(IF('T1'!$J58="",INDEX(LISTA_EX,11),INDEX(LISTA_EX,MATCH('T1'!$J58&amp;"|"&amp;11,LISTA_KLUCZ,0))),"")</f>
        <v>Barbell bench press</v>
      </c>
      <c r="N58" s="5" t="str">
        <f t="array" ref="N58">IFERROR(IF('T1'!$J58="",INDEX(LISTA_EX,12),INDEX(LISTA_EX,MATCH('T1'!$J58&amp;"|"&amp;12,LISTA_KLUCZ,0))),"")</f>
        <v>Barbell curl</v>
      </c>
      <c r="O58" s="5" t="str">
        <f t="array" ref="O58">IFERROR(IF('T1'!$J58="",INDEX(LISTA_EX,13),INDEX(LISTA_EX,MATCH('T1'!$J58&amp;"|"&amp;13,LISTA_KLUCZ,0))),"")</f>
        <v>Barbell low bar squat</v>
      </c>
      <c r="P58" s="5" t="str">
        <f t="array" ref="P58">IFERROR(IF('T1'!$J58="",INDEX(LISTA_EX,14),INDEX(LISTA_EX,MATCH('T1'!$J58&amp;"|"&amp;14,LISTA_KLUCZ,0))),"")</f>
        <v>Barbell OHP</v>
      </c>
      <c r="Q58" s="5" t="str">
        <f t="array" ref="Q58">IFERROR(IF('T1'!$J58="",INDEX(LISTA_EX,15),INDEX(LISTA_EX,MATCH('T1'!$J58&amp;"|"&amp;15,LISTA_KLUCZ,0))),"")</f>
        <v>Barbell oscilation</v>
      </c>
      <c r="R58" s="5" t="str">
        <f t="array" ref="R58">IFERROR(IF('T1'!$J58="",INDEX(LISTA_EX,16),INDEX(LISTA_EX,MATCH('T1'!$J58&amp;"|"&amp;16,LISTA_KLUCZ,0))),"")</f>
        <v>Barbell row</v>
      </c>
      <c r="S58" s="5" t="str">
        <f t="array" ref="S58">IFERROR(IF('T1'!$J58="",INDEX(LISTA_EX,17),INDEX(LISTA_EX,MATCH('T1'!$J58&amp;"|"&amp;17,LISTA_KLUCZ,0))),"")</f>
        <v>Barbell row dead stop pins</v>
      </c>
      <c r="T58" s="5" t="str">
        <f t="array" ref="T58">IFERROR(IF('T1'!$J58="",INDEX(LISTA_EX,18),INDEX(LISTA_EX,MATCH('T1'!$J58&amp;"|"&amp;18,LISTA_KLUCZ,0))),"")</f>
        <v>Barbell SLDL</v>
      </c>
      <c r="U58" s="5" t="str">
        <f t="array" ref="U58">IFERROR(IF('T1'!$J58="",INDEX(LISTA_EX,19),INDEX(LISTA_EX,MATCH('T1'!$J58&amp;"|"&amp;19,LISTA_KLUCZ,0))),"")</f>
        <v>Bayesian curl</v>
      </c>
      <c r="V58" s="5" t="str">
        <f t="array" ref="V58">IFERROR(IF('T1'!$J58="",INDEX(LISTA_EX,20),INDEX(LISTA_EX,MATCH('T1'!$J58&amp;"|"&amp;20,LISTA_KLUCZ,0))),"")</f>
        <v>Bear renegade row</v>
      </c>
      <c r="W58" s="5" t="str">
        <f t="array" ref="W58">IFERROR(IF('T1'!$J58="",INDEX(LISTA_EX,21),INDEX(LISTA_EX,MATCH('T1'!$J58&amp;"|"&amp;21,LISTA_KLUCZ,0))),"")</f>
        <v>Bench press paused 3sec</v>
      </c>
      <c r="X58" s="5" t="str">
        <f t="array" ref="X58">IFERROR(IF('T1'!$J58="",INDEX(LISTA_EX,22),INDEX(LISTA_EX,MATCH('T1'!$J58&amp;"|"&amp;22,LISTA_KLUCZ,0))),"")</f>
        <v>Bicep hammer curl</v>
      </c>
      <c r="Y58" s="5" t="str">
        <f t="array" ref="Y58">IFERROR(IF('T1'!$J58="",INDEX(LISTA_EX,23),INDEX(LISTA_EX,MATCH('T1'!$J58&amp;"|"&amp;23,LISTA_KLUCZ,0))),"")</f>
        <v>Bicep squat cable curl</v>
      </c>
      <c r="Z58" s="5" t="str">
        <f t="array" ref="Z58">IFERROR(IF('T1'!$J58="",INDEX(LISTA_EX,24),INDEX(LISTA_EX,MATCH('T1'!$J58&amp;"|"&amp;24,LISTA_KLUCZ,0))),"")</f>
        <v>Bird dog row</v>
      </c>
      <c r="AA58" s="5" t="str">
        <f t="array" ref="AA58">IFERROR(IF('T1'!$J58="",INDEX(LISTA_EX,25),INDEX(LISTA_EX,MATCH('T1'!$J58&amp;"|"&amp;25,LISTA_KLUCZ,0))),"")</f>
        <v>Box jump</v>
      </c>
      <c r="AB58" s="5" t="str">
        <f t="array" ref="AB58">IFERROR(IF('T1'!$J58="",INDEX(LISTA_EX,26),INDEX(LISTA_EX,MATCH('T1'!$J58&amp;"|"&amp;26,LISTA_KLUCZ,0))),"")</f>
        <v>Bulgarian clean plyo</v>
      </c>
      <c r="AC58" s="5" t="str">
        <f t="array" ref="AC58">IFERROR(IF('T1'!$J58="",INDEX(LISTA_EX,27),INDEX(LISTA_EX,MATCH('T1'!$J58&amp;"|"&amp;27,LISTA_KLUCZ,0))),"")</f>
        <v>Bulgarian squat assisted</v>
      </c>
      <c r="AD58" s="5" t="str">
        <f t="array" ref="AD58">IFERROR(IF('T1'!$J58="",INDEX(LISTA_EX,28),INDEX(LISTA_EX,MATCH('T1'!$J58&amp;"|"&amp;28,LISTA_KLUCZ,0))),"")</f>
        <v>Cable biceps curl</v>
      </c>
      <c r="AE58" s="5" t="str">
        <f t="array" ref="AE58">IFERROR(IF('T1'!$J58="",INDEX(LISTA_EX,29),INDEX(LISTA_EX,MATCH('T1'!$J58&amp;"|"&amp;29,LISTA_KLUCZ,0))),"")</f>
        <v>Cable fly</v>
      </c>
      <c r="AF58" s="5" t="str">
        <f t="array" ref="AF58">IFERROR(IF('T1'!$J58="",INDEX(LISTA_EX,30),INDEX(LISTA_EX,MATCH('T1'!$J58&amp;"|"&amp;30,LISTA_KLUCZ,0))),"")</f>
        <v>Cable lateral raise s/a</v>
      </c>
      <c r="AG58" s="5" t="str">
        <f t="array" ref="AG58">IFERROR(IF('T1'!$J58="",INDEX(LISTA_EX,31),INDEX(LISTA_EX,MATCH('T1'!$J58&amp;"|"&amp;31,LISTA_KLUCZ,0))),"")</f>
        <v>Cable row</v>
      </c>
      <c r="AH58" s="5" t="str">
        <f t="array" ref="AH58">IFERROR(IF('T1'!$J58="",INDEX(LISTA_EX,32),INDEX(LISTA_EX,MATCH('T1'!$J58&amp;"|"&amp;32,LISTA_KLUCZ,0))),"")</f>
        <v>Cable row s/a</v>
      </c>
      <c r="AI58" s="5" t="str">
        <f t="array" ref="AI58">IFERROR(IF('T1'!$J58="",INDEX(LISTA_EX,33),INDEX(LISTA_EX,MATCH('T1'!$J58&amp;"|"&amp;33,LISTA_KLUCZ,0))),"")</f>
        <v>Calf raises</v>
      </c>
      <c r="AJ58" s="5" t="str">
        <f t="array" ref="AJ58">IFERROR(IF('T1'!$J58="",INDEX(LISTA_EX,34),INDEX(LISTA_EX,MATCH('T1'!$J58&amp;"|"&amp;34,LISTA_KLUCZ,0))),"")</f>
        <v>Chest fly machine</v>
      </c>
      <c r="AK58" s="5" t="str">
        <f t="array" ref="AK58">IFERROR(IF('T1'!$J58="",INDEX(LISTA_EX,35),INDEX(LISTA_EX,MATCH('T1'!$J58&amp;"|"&amp;35,LISTA_KLUCZ,0))),"")</f>
        <v>Clean</v>
      </c>
      <c r="AL58" s="5" t="str">
        <f t="array" ref="AL58">IFERROR(IF('T1'!$J58="",INDEX(LISTA_EX,36),INDEX(LISTA_EX,MATCH('T1'!$J58&amp;"|"&amp;36,LISTA_KLUCZ,0))),"")</f>
        <v>Clean pins</v>
      </c>
      <c r="AM58" s="5" t="str">
        <f t="array" ref="AM58">IFERROR(IF('T1'!$J58="",INDEX(LISTA_EX,37),INDEX(LISTA_EX,MATCH('T1'!$J58&amp;"|"&amp;37,LISTA_KLUCZ,0))),"")</f>
        <v>Copenhagen plank</v>
      </c>
      <c r="AN58" s="5" t="str">
        <f t="array" ref="AN58">IFERROR(IF('T1'!$J58="",INDEX(LISTA_EX,38),INDEX(LISTA_EX,MATCH('T1'!$J58&amp;"|"&amp;38,LISTA_KLUCZ,0))),"")</f>
        <v>Dead bug izo + OH</v>
      </c>
      <c r="AO58" s="5" t="str">
        <f t="array" ref="AO58">IFERROR(IF('T1'!$J58="",INDEX(LISTA_EX,39),INDEX(LISTA_EX,MATCH('T1'!$J58&amp;"|"&amp;39,LISTA_KLUCZ,0))),"")</f>
        <v>Dead bug straight legs</v>
      </c>
      <c r="AP58" s="5" t="str">
        <f t="array" ref="AP58">IFERROR(IF('T1'!$J58="",INDEX(LISTA_EX,40),INDEX(LISTA_EX,MATCH('T1'!$J58&amp;"|"&amp;40,LISTA_KLUCZ,0))),"")</f>
        <v>Dead stop barbell row</v>
      </c>
      <c r="AQ58" s="5" t="str">
        <f t="array" ref="AQ58">IFERROR(IF('T1'!$J58="",INDEX(LISTA_EX,41),INDEX(LISTA_EX,MATCH('T1'!$J58&amp;"|"&amp;41,LISTA_KLUCZ,0))),"")</f>
        <v>Deadbug OH</v>
      </c>
      <c r="AR58" s="5" t="str">
        <f t="array" ref="AR58">IFERROR(IF('T1'!$J58="",INDEX(LISTA_EX,42),INDEX(LISTA_EX,MATCH('T1'!$J58&amp;"|"&amp;42,LISTA_KLUCZ,0))),"")</f>
        <v>Deadlift</v>
      </c>
      <c r="AS58" s="5" t="str">
        <f t="array" ref="AS58">IFERROR(IF('T1'!$J58="",INDEX(LISTA_EX,43),INDEX(LISTA_EX,MATCH('T1'!$J58&amp;"|"&amp;43,LISTA_KLUCZ,0))),"")</f>
        <v>Deficit push up</v>
      </c>
      <c r="AT58" s="5" t="str">
        <f t="array" ref="AT58">IFERROR(IF('T1'!$J58="",INDEX(LISTA_EX,44),INDEX(LISTA_EX,MATCH('T1'!$J58&amp;"|"&amp;44,LISTA_KLUCZ,0))),"")</f>
        <v>Deficit reverse lunge</v>
      </c>
      <c r="AU58" s="5" t="str">
        <f t="array" ref="AU58">IFERROR(IF('T1'!$J58="",INDEX(LISTA_EX,45),INDEX(LISTA_EX,MATCH('T1'!$J58&amp;"|"&amp;45,LISTA_KLUCZ,0))),"")</f>
        <v>Dips</v>
      </c>
      <c r="AV58" s="5" t="str">
        <f t="array" ref="AV58">IFERROR(IF('T1'!$J58="",INDEX(LISTA_EX,46),INDEX(LISTA_EX,MATCH('T1'!$J58&amp;"|"&amp;46,LISTA_KLUCZ,0))),"")</f>
        <v>Dips weighted</v>
      </c>
      <c r="AW58" s="5" t="str">
        <f t="array" ref="AW58">IFERROR(IF('T1'!$J58="",INDEX(LISTA_EX,47),INDEX(LISTA_EX,MATCH('T1'!$J58&amp;"|"&amp;47,LISTA_KLUCZ,0))),"")</f>
        <v>Dumbbell bench press</v>
      </c>
      <c r="AX58" s="5" t="str">
        <f t="array" ref="AX58">IFERROR(IF('T1'!$J58="",INDEX(LISTA_EX,48),INDEX(LISTA_EX,MATCH('T1'!$J58&amp;"|"&amp;48,LISTA_KLUCZ,0))),"")</f>
        <v>Dumbbell bench press alternating</v>
      </c>
      <c r="AY58" s="5" t="str">
        <f t="array" ref="AY58">IFERROR(IF('T1'!$J58="",INDEX(LISTA_EX,49),INDEX(LISTA_EX,MATCH('T1'!$J58&amp;"|"&amp;49,LISTA_KLUCZ,0))),"")</f>
        <v>Dumbbell curl</v>
      </c>
      <c r="AZ58" s="5" t="str">
        <f t="array" ref="AZ58">IFERROR(IF('T1'!$J58="",INDEX(LISTA_EX,50),INDEX(LISTA_EX,MATCH('T1'!$J58&amp;"|"&amp;50,LISTA_KLUCZ,0))),"")</f>
        <v>Dumbbell external rotation</v>
      </c>
      <c r="BA58" s="5" t="str">
        <f t="array" ref="BA58">IFERROR(IF('T1'!$J58="",INDEX(LISTA_EX,51),INDEX(LISTA_EX,MATCH('T1'!$J58&amp;"|"&amp;51,LISTA_KLUCZ,0))),"")</f>
        <v>Dumbbell face down curl</v>
      </c>
      <c r="BB58" s="5" t="str">
        <f t="array" ref="BB58">IFERROR(IF('T1'!$J58="",INDEX(LISTA_EX,52),INDEX(LISTA_EX,MATCH('T1'!$J58&amp;"|"&amp;52,LISTA_KLUCZ,0))),"")</f>
        <v>Dumbbell fly</v>
      </c>
      <c r="BC58" s="5" t="str">
        <f t="array" ref="BC58">IFERROR(IF('T1'!$J58="",INDEX(LISTA_EX,53),INDEX(LISTA_EX,MATCH('T1'!$J58&amp;"|"&amp;53,LISTA_KLUCZ,0))),"")</f>
        <v>Dumbbell french press</v>
      </c>
      <c r="BD58" s="5" t="str">
        <f t="array" ref="BD58">IFERROR(IF('T1'!$J58="",INDEX(LISTA_EX,54),INDEX(LISTA_EX,MATCH('T1'!$J58&amp;"|"&amp;54,LISTA_KLUCZ,0))),"")</f>
        <v>Dumbbell lateral raise</v>
      </c>
      <c r="BE58" s="5" t="str">
        <f t="array" ref="BE58">IFERROR(IF('T1'!$J58="",INDEX(LISTA_EX,55),INDEX(LISTA_EX,MATCH('T1'!$J58&amp;"|"&amp;55,LISTA_KLUCZ,0))),"")</f>
        <v>Dumbbell lunges</v>
      </c>
      <c r="BF58" s="5" t="str">
        <f t="array" ref="BF58">IFERROR(IF('T1'!$J58="",INDEX(LISTA_EX,56),INDEX(LISTA_EX,MATCH('T1'!$J58&amp;"|"&amp;56,LISTA_KLUCZ,0))),"")</f>
        <v>Dumbbell OH press</v>
      </c>
      <c r="BG58" s="5" t="str">
        <f t="array" ref="BG58">IFERROR(IF('T1'!$J58="",INDEX(LISTA_EX,57),INDEX(LISTA_EX,MATCH('T1'!$J58&amp;"|"&amp;57,LISTA_KLUCZ,0))),"")</f>
        <v>Dumbbell over head press</v>
      </c>
      <c r="BH58" s="5" t="str">
        <f t="array" ref="BH58">IFERROR(IF('T1'!$J58="",INDEX(LISTA_EX,58),INDEX(LISTA_EX,MATCH('T1'!$J58&amp;"|"&amp;58,LISTA_KLUCZ,0))),"")</f>
        <v>Dumbbell over head press alternating</v>
      </c>
      <c r="BI58" s="5" t="str">
        <f t="array" ref="BI58">IFERROR(IF('T1'!$J58="",INDEX(LISTA_EX,59),INDEX(LISTA_EX,MATCH('T1'!$J58&amp;"|"&amp;59,LISTA_KLUCZ,0))),"")</f>
        <v>Dumbbell row</v>
      </c>
      <c r="BJ58" s="5" t="str">
        <f t="array" ref="BJ58">IFERROR(IF('T1'!$J58="",INDEX(LISTA_EX,60),INDEX(LISTA_EX,MATCH('T1'!$J58&amp;"|"&amp;60,LISTA_KLUCZ,0))),"")</f>
        <v>Dumbbell s/a Arnold press</v>
      </c>
      <c r="BK58" s="5" t="str">
        <f t="array" ref="BK58">IFERROR(IF('T1'!$J58="",INDEX(LISTA_EX,61),INDEX(LISTA_EX,MATCH('T1'!$J58&amp;"|"&amp;61,LISTA_KLUCZ,0))),"")</f>
        <v>Dumbbell s/a row</v>
      </c>
      <c r="BL58" s="5" t="str">
        <f t="array" ref="BL58">IFERROR(IF('T1'!$J58="",INDEX(LISTA_EX,62),INDEX(LISTA_EX,MATCH('T1'!$J58&amp;"|"&amp;62,LISTA_KLUCZ,0))),"")</f>
        <v>Dumbbell seal row</v>
      </c>
      <c r="BM58" s="5" t="str">
        <f t="array" ref="BM58">IFERROR(IF('T1'!$J58="",INDEX(LISTA_EX,63),INDEX(LISTA_EX,MATCH('T1'!$J58&amp;"|"&amp;63,LISTA_KLUCZ,0))),"")</f>
        <v>Dumbbells jumps</v>
      </c>
      <c r="BN58" s="5" t="str">
        <f t="array" ref="BN58">IFERROR(IF('T1'!$J58="",INDEX(LISTA_EX,64),INDEX(LISTA_EX,MATCH('T1'!$J58&amp;"|"&amp;64,LISTA_KLUCZ,0))),"")</f>
        <v>Eccentric pull up</v>
      </c>
      <c r="BO58" s="5" t="str">
        <f t="array" ref="BO58">IFERROR(IF('T1'!$J58="",INDEX(LISTA_EX,65),INDEX(LISTA_EX,MATCH('T1'!$J58&amp;"|"&amp;65,LISTA_KLUCZ,0))),"")</f>
        <v>Eccentric push up (5 sek w dół)</v>
      </c>
      <c r="BP58" s="5" t="str">
        <f t="array" ref="BP58">IFERROR(IF('T1'!$J58="",INDEX(LISTA_EX,66),INDEX(LISTA_EX,MATCH('T1'!$J58&amp;"|"&amp;66,LISTA_KLUCZ,0))),"")</f>
        <v>Extensive plyo jumps s/l</v>
      </c>
      <c r="BQ58" s="5" t="str">
        <f t="array" ref="BQ58">IFERROR(IF('T1'!$J58="",INDEX(LISTA_EX,67),INDEX(LISTA_EX,MATCH('T1'!$J58&amp;"|"&amp;67,LISTA_KLUCZ,0))),"")</f>
        <v>Ez bar curl</v>
      </c>
      <c r="BR58" s="5" t="str">
        <f t="array" ref="BR58">IFERROR(IF('T1'!$J58="",INDEX(LISTA_EX,68),INDEX(LISTA_EX,MATCH('T1'!$J58&amp;"|"&amp;68,LISTA_KLUCZ,0))),"")</f>
        <v>Facepull chest supported</v>
      </c>
      <c r="BS58" s="5" t="str">
        <f t="array" ref="BS58">IFERROR(IF('T1'!$J58="",INDEX(LISTA_EX,69),INDEX(LISTA_EX,MATCH('T1'!$J58&amp;"|"&amp;69,LISTA_KLUCZ,0))),"")</f>
        <v>Front foot elevated split squat</v>
      </c>
      <c r="BT58" s="5" t="str">
        <f t="array" ref="BT58">IFERROR(IF('T1'!$J58="",INDEX(LISTA_EX,70),INDEX(LISTA_EX,MATCH('T1'!$J58&amp;"|"&amp;70,LISTA_KLUCZ,0))),"")</f>
        <v>Front squat</v>
      </c>
      <c r="BU58" s="5" t="str">
        <f t="array" ref="BU58">IFERROR(IF('T1'!$J58="",INDEX(LISTA_EX,71),INDEX(LISTA_EX,MATCH('T1'!$J58&amp;"|"&amp;71,LISTA_KLUCZ,0))),"")</f>
        <v>GHD flexion</v>
      </c>
      <c r="BV58" s="5" t="str">
        <f t="array" ref="BV58">IFERROR(IF('T1'!$J58="",INDEX(LISTA_EX,72),INDEX(LISTA_EX,MATCH('T1'!$J58&amp;"|"&amp;72,LISTA_KLUCZ,0))),"")</f>
        <v>Glute bridge hamstrings izo + OH</v>
      </c>
      <c r="BW58" s="5" t="str">
        <f t="array" ref="BW58">IFERROR(IF('T1'!$J58="",INDEX(LISTA_EX,73),INDEX(LISTA_EX,MATCH('T1'!$J58&amp;"|"&amp;73,LISTA_KLUCZ,0))),"")</f>
        <v>Glute crusher</v>
      </c>
      <c r="BX58" s="5" t="str">
        <f t="array" ref="BX58">IFERROR(IF('T1'!$J58="",INDEX(LISTA_EX,74),INDEX(LISTA_EX,MATCH('T1'!$J58&amp;"|"&amp;74,LISTA_KLUCZ,0))),"")</f>
        <v>Gorilla row</v>
      </c>
      <c r="BY58" s="5" t="str">
        <f t="array" ref="BY58">IFERROR(IF('T1'!$J58="",INDEX(LISTA_EX,75),INDEX(LISTA_EX,MATCH('T1'!$J58&amp;"|"&amp;75,LISTA_KLUCZ,0))),"")</f>
        <v>Halfkneeling s/a cable pull</v>
      </c>
      <c r="BZ58" s="5" t="str">
        <f t="array" ref="BZ58">IFERROR(IF('T1'!$J58="",INDEX(LISTA_EX,76),INDEX(LISTA_EX,MATCH('T1'!$J58&amp;"|"&amp;76,LISTA_KLUCZ,0))),"")</f>
        <v>Halfkneeling wood chopper</v>
      </c>
      <c r="CA58" s="5" t="str">
        <f t="array" ref="CA58">IFERROR(IF('T1'!$J58="",INDEX(LISTA_EX,77),INDEX(LISTA_EX,MATCH('T1'!$J58&amp;"|"&amp;77,LISTA_KLUCZ,0))),"")</f>
        <v>Hinged dumbbell row</v>
      </c>
      <c r="CB58" s="5" t="str">
        <f t="array" ref="CB58">IFERROR(IF('T1'!$J58="",INDEX(LISTA_EX,78),INDEX(LISTA_EX,MATCH('T1'!$J58&amp;"|"&amp;78,LISTA_KLUCZ,0))),"")</f>
        <v>Hip aeroplane</v>
      </c>
      <c r="CC58" s="5" t="str">
        <f t="array" ref="CC58">IFERROR(IF('T1'!$J58="",INDEX(LISTA_EX,79),INDEX(LISTA_EX,MATCH('T1'!$J58&amp;"|"&amp;79,LISTA_KLUCZ,0))),"")</f>
        <v>Hip flexors cable</v>
      </c>
      <c r="CD58" s="5" t="str">
        <f t="array" ref="CD58">IFERROR(IF('T1'!$J58="",INDEX(LISTA_EX,80),INDEX(LISTA_EX,MATCH('T1'!$J58&amp;"|"&amp;80,LISTA_KLUCZ,0))),"")</f>
        <v>Hip thrust barbell</v>
      </c>
      <c r="CE58" s="5" t="str">
        <f t="array" ref="CE58">IFERROR(IF('T1'!$J58="",INDEX(LISTA_EX,81),INDEX(LISTA_EX,MATCH('T1'!$J58&amp;"|"&amp;81,LISTA_KLUCZ,0))),"")</f>
        <v>Hollow body + OH</v>
      </c>
      <c r="CF58" s="5" t="str">
        <f t="array" ref="CF58">IFERROR(IF('T1'!$J58="",INDEX(LISTA_EX,82),INDEX(LISTA_EX,MATCH('T1'!$J58&amp;"|"&amp;82,LISTA_KLUCZ,0))),"")</f>
        <v>Horizontal jump</v>
      </c>
      <c r="CG58" s="5" t="str">
        <f t="array" ref="CG58">IFERROR(IF('T1'!$J58="",INDEX(LISTA_EX,83),INDEX(LISTA_EX,MATCH('T1'!$J58&amp;"|"&amp;83,LISTA_KLUCZ,0))),"")</f>
        <v>Incline bench lateral raise s/a</v>
      </c>
      <c r="CH58" s="5" t="str">
        <f t="array" ref="CH58">IFERROR(IF('T1'!$J58="",INDEX(LISTA_EX,84),INDEX(LISTA_EX,MATCH('T1'!$J58&amp;"|"&amp;84,LISTA_KLUCZ,0))),"")</f>
        <v>Incline curl + OHP</v>
      </c>
      <c r="CI58" s="5" t="str">
        <f t="array" ref="CI58">IFERROR(IF('T1'!$J58="",INDEX(LISTA_EX,85),INDEX(LISTA_EX,MATCH('T1'!$J58&amp;"|"&amp;85,LISTA_KLUCZ,0))),"")</f>
        <v>Incline dumbbell curl</v>
      </c>
      <c r="CJ58" s="5" t="str">
        <f t="array" ref="CJ58">IFERROR(IF('T1'!$J58="",INDEX(LISTA_EX,86),INDEX(LISTA_EX,MATCH('T1'!$J58&amp;"|"&amp;86,LISTA_KLUCZ,0))),"")</f>
        <v>Incline dumbbell curl (back)</v>
      </c>
      <c r="CK58" s="5" t="str">
        <f t="array" ref="CK58">IFERROR(IF('T1'!$J58="",INDEX(LISTA_EX,87),INDEX(LISTA_EX,MATCH('T1'!$J58&amp;"|"&amp;87,LISTA_KLUCZ,0))),"")</f>
        <v>Incline dumbbell curl (front)</v>
      </c>
      <c r="CL58" s="5" t="str">
        <f t="array" ref="CL58">IFERROR(IF('T1'!$J58="",INDEX(LISTA_EX,88),INDEX(LISTA_EX,MATCH('T1'!$J58&amp;"|"&amp;88,LISTA_KLUCZ,0))),"")</f>
        <v>Incline dumbbell fly</v>
      </c>
      <c r="CM58" s="5" t="str">
        <f t="array" ref="CM58">IFERROR(IF('T1'!$J58="",INDEX(LISTA_EX,89),INDEX(LISTA_EX,MATCH('T1'!$J58&amp;"|"&amp;89,LISTA_KLUCZ,0))),"")</f>
        <v>Incline dumbbell press</v>
      </c>
      <c r="CN58" s="5" t="str">
        <f t="array" ref="CN58">IFERROR(IF('T1'!$J58="",INDEX(LISTA_EX,90),INDEX(LISTA_EX,MATCH('T1'!$J58&amp;"|"&amp;90,LISTA_KLUCZ,0))),"")</f>
        <v>Incline dumbbell press alternating</v>
      </c>
      <c r="CO58" s="5" t="str">
        <f t="array" ref="CO58">IFERROR(IF('T1'!$J58="",INDEX(LISTA_EX,91),INDEX(LISTA_EX,MATCH('T1'!$J58&amp;"|"&amp;91,LISTA_KLUCZ,0))),"")</f>
        <v>Incline sit-ups</v>
      </c>
      <c r="CP58" s="5" t="str">
        <f t="array" ref="CP58">IFERROR(IF('T1'!$J58="",INDEX(LISTA_EX,92),INDEX(LISTA_EX,MATCH('T1'!$J58&amp;"|"&amp;92,LISTA_KLUCZ,0))),"")</f>
        <v>Jefferson cable</v>
      </c>
      <c r="CQ58" s="5" t="str">
        <f t="array" ref="CQ58">IFERROR(IF('T1'!$J58="",INDEX(LISTA_EX,93),INDEX(LISTA_EX,MATCH('T1'!$J58&amp;"|"&amp;93,LISTA_KLUCZ,0))),"")</f>
        <v>Kettlebell march</v>
      </c>
      <c r="CR58" s="5" t="str">
        <f t="array" ref="CR58">IFERROR(IF('T1'!$J58="",INDEX(LISTA_EX,94),INDEX(LISTA_EX,MATCH('T1'!$J58&amp;"|"&amp;94,LISTA_KLUCZ,0))),"")</f>
        <v>Kickbacks</v>
      </c>
      <c r="CS58" s="5" t="str">
        <f t="array" ref="CS58">IFERROR(IF('T1'!$J58="",INDEX(LISTA_EX,95),INDEX(LISTA_EX,MATCH('T1'!$J58&amp;"|"&amp;95,LISTA_KLUCZ,0))),"")</f>
        <v>Knee extension machine</v>
      </c>
      <c r="CT58" s="5" t="str">
        <f t="array" ref="CT58">IFERROR(IF('T1'!$J58="",INDEX(LISTA_EX,96),INDEX(LISTA_EX,MATCH('T1'!$J58&amp;"|"&amp;96,LISTA_KLUCZ,0))),"")</f>
        <v>Knee flexion machine</v>
      </c>
      <c r="CU58" s="5" t="str">
        <f t="array" ref="CU58">IFERROR(IF('T1'!$J58="",INDEX(LISTA_EX,97),INDEX(LISTA_EX,MATCH('T1'!$J58&amp;"|"&amp;97,LISTA_KLUCZ,0))),"")</f>
        <v>Knee raises</v>
      </c>
      <c r="CV58" s="5" t="str">
        <f t="array" ref="CV58">IFERROR(IF('T1'!$J58="",INDEX(LISTA_EX,98),INDEX(LISTA_EX,MATCH('T1'!$J58&amp;"|"&amp;98,LISTA_KLUCZ,0))),"")</f>
        <v>Landmine core</v>
      </c>
      <c r="CW58" s="5" t="str">
        <f t="array" ref="CW58">IFERROR(IF('T1'!$J58="",INDEX(LISTA_EX,99),INDEX(LISTA_EX,MATCH('T1'!$J58&amp;"|"&amp;99,LISTA_KLUCZ,0))),"")</f>
        <v>Landmine press</v>
      </c>
      <c r="CX58" s="5" t="str">
        <f t="array" ref="CX58">IFERROR(IF('T1'!$J58="",INDEX(LISTA_EX,100),INDEX(LISTA_EX,MATCH('T1'!$J58&amp;"|"&amp;100,LISTA_KLUCZ,0))),"")</f>
        <v>Landmine rotations (powtórzenia x2)</v>
      </c>
      <c r="CY58" s="5" t="str">
        <f t="array" ref="CY58">IFERROR(IF('T1'!$J58="",INDEX(LISTA_EX,101),INDEX(LISTA_EX,MATCH('T1'!$J58&amp;"|"&amp;101,LISTA_KLUCZ,0))),"")</f>
        <v>Landmine SLDL</v>
      </c>
      <c r="CZ58" s="5" t="str">
        <f t="array" ref="CZ58">IFERROR(IF('T1'!$J58="",INDEX(LISTA_EX,102),INDEX(LISTA_EX,MATCH('T1'!$J58&amp;"|"&amp;102,LISTA_KLUCZ,0))),"")</f>
        <v>Lat pulldown</v>
      </c>
      <c r="DA58" s="5" t="str">
        <f t="array" ref="DA58">IFERROR(IF('T1'!$J58="",INDEX(LISTA_EX,103),INDEX(LISTA_EX,MATCH('T1'!$J58&amp;"|"&amp;103,LISTA_KLUCZ,0))),"")</f>
        <v>Lat pulldown behind the head</v>
      </c>
      <c r="DB58" s="5" t="str">
        <f t="array" ref="DB58">IFERROR(IF('T1'!$J58="",INDEX(LISTA_EX,104),INDEX(LISTA_EX,MATCH('T1'!$J58&amp;"|"&amp;104,LISTA_KLUCZ,0))),"")</f>
        <v>Lat pulldown s/a</v>
      </c>
      <c r="DC58" s="5" t="str">
        <f t="array" ref="DC58">IFERROR(IF('T1'!$J58="",INDEX(LISTA_EX,105),INDEX(LISTA_EX,MATCH('T1'!$J58&amp;"|"&amp;105,LISTA_KLUCZ,0))),"")</f>
        <v>Lateral raise s/a</v>
      </c>
      <c r="DD58" s="5" t="str">
        <f t="array" ref="DD58">IFERROR(IF('T1'!$J58="",INDEX(LISTA_EX,106),INDEX(LISTA_EX,MATCH('T1'!$J58&amp;"|"&amp;106,LISTA_KLUCZ,0))),"")</f>
        <v>Lateral raises</v>
      </c>
      <c r="DE58" s="5" t="str">
        <f t="array" ref="DE58">IFERROR(IF('T1'!$J58="",INDEX(LISTA_EX,107),INDEX(LISTA_EX,MATCH('T1'!$J58&amp;"|"&amp;107,LISTA_KLUCZ,0))),"")</f>
        <v>Lateral raises 2</v>
      </c>
      <c r="DF58" s="5" t="str">
        <f t="array" ref="DF58">IFERROR(IF('T1'!$J58="",INDEX(LISTA_EX,108),INDEX(LISTA_EX,MATCH('T1'!$J58&amp;"|"&amp;108,LISTA_KLUCZ,0))),"")</f>
        <v>Lateral raises full ROM</v>
      </c>
      <c r="DG58" s="5" t="str">
        <f t="array" ref="DG58">IFERROR(IF('T1'!$J58="",INDEX(LISTA_EX,109),INDEX(LISTA_EX,MATCH('T1'!$J58&amp;"|"&amp;109,LISTA_KLUCZ,0))),"")</f>
        <v>Lateral raises hinged</v>
      </c>
      <c r="DH58" s="5" t="str">
        <f t="array" ref="DH58">IFERROR(IF('T1'!$J58="",INDEX(LISTA_EX,110),INDEX(LISTA_EX,MATCH('T1'!$J58&amp;"|"&amp;110,LISTA_KLUCZ,0))),"")</f>
        <v>Lateral raises incline s/a</v>
      </c>
      <c r="DI58" s="5" t="str">
        <f t="array" ref="DI58">IFERROR(IF('T1'!$J58="",INDEX(LISTA_EX,111),INDEX(LISTA_EX,MATCH('T1'!$J58&amp;"|"&amp;111,LISTA_KLUCZ,0))),"")</f>
        <v>Leg curl</v>
      </c>
      <c r="DJ58" s="5" t="str">
        <f t="array" ref="DJ58">IFERROR(IF('T1'!$J58="",INDEX(LISTA_EX,112),INDEX(LISTA_EX,MATCH('T1'!$J58&amp;"|"&amp;112,LISTA_KLUCZ,0))),"")</f>
        <v>Machine row</v>
      </c>
      <c r="DK58" s="5" t="str">
        <f t="array" ref="DK58">IFERROR(IF('T1'!$J58="",INDEX(LISTA_EX,113),INDEX(LISTA_EX,MATCH('T1'!$J58&amp;"|"&amp;113,LISTA_KLUCZ,0))),"")</f>
        <v>Machine row s/a</v>
      </c>
      <c r="DL58" s="5" t="str">
        <f t="array" ref="DL58">IFERROR(IF('T1'!$J58="",INDEX(LISTA_EX,114),INDEX(LISTA_EX,MATCH('T1'!$J58&amp;"|"&amp;114,LISTA_KLUCZ,0))),"")</f>
        <v>Meadows row</v>
      </c>
      <c r="DM58" s="5" t="str">
        <f t="array" ref="DM58">IFERROR(IF('T1'!$J58="",INDEX(LISTA_EX,115),INDEX(LISTA_EX,MATCH('T1'!$J58&amp;"|"&amp;115,LISTA_KLUCZ,0))),"")</f>
        <v>Med ball slam</v>
      </c>
      <c r="DN58" s="5" t="str">
        <f t="array" ref="DN58">IFERROR(IF('T1'!$J58="",INDEX(LISTA_EX,116),INDEX(LISTA_EX,MATCH('T1'!$J58&amp;"|"&amp;116,LISTA_KLUCZ,0))),"")</f>
        <v>OH skullcrushers</v>
      </c>
      <c r="DO58" s="5" t="str">
        <f t="array" ref="DO58">IFERROR(IF('T1'!$J58="",INDEX(LISTA_EX,117),INDEX(LISTA_EX,MATCH('T1'!$J58&amp;"|"&amp;117,LISTA_KLUCZ,0))),"")</f>
        <v>OHP barbell squat 15kg</v>
      </c>
      <c r="DP58" s="5" t="str">
        <f t="array" ref="DP58">IFERROR(IF('T1'!$J58="",INDEX(LISTA_EX,118),INDEX(LISTA_EX,MATCH('T1'!$J58&amp;"|"&amp;118,LISTA_KLUCZ,0))),"")</f>
        <v>Pistol squat eccentric</v>
      </c>
      <c r="DQ58" s="5" t="str">
        <f t="array" ref="DQ58">IFERROR(IF('T1'!$J58="",INDEX(LISTA_EX,119),INDEX(LISTA_EX,MATCH('T1'!$J58&amp;"|"&amp;119,LISTA_KLUCZ,0))),"")</f>
        <v>Plank contralateral</v>
      </c>
      <c r="DR58" s="5" t="str">
        <f t="array" ref="DR58">IFERROR(IF('T1'!$J58="",INDEX(LISTA_EX,120),INDEX(LISTA_EX,MATCH('T1'!$J58&amp;"|"&amp;120,LISTA_KLUCZ,0))),"")</f>
        <v>Plank dumbbell rotation</v>
      </c>
      <c r="DS58" s="5" t="str">
        <f t="array" ref="DS58">IFERROR(IF('T1'!$J58="",INDEX(LISTA_EX,121),INDEX(LISTA_EX,MATCH('T1'!$J58&amp;"|"&amp;121,LISTA_KLUCZ,0))),"")</f>
        <v>Plank leg raises</v>
      </c>
      <c r="DT58" s="5" t="str">
        <f t="array" ref="DT58">IFERROR(IF('T1'!$J58="",INDEX(LISTA_EX,122),INDEX(LISTA_EX,MATCH('T1'!$J58&amp;"|"&amp;122,LISTA_KLUCZ,0))),"")</f>
        <v>Poliquin step up</v>
      </c>
      <c r="DU58" s="5" t="str">
        <f t="array" ref="DU58">IFERROR(IF('T1'!$J58="",INDEX(LISTA_EX,123),INDEX(LISTA_EX,MATCH('T1'!$J58&amp;"|"&amp;123,LISTA_KLUCZ,0))),"")</f>
        <v>Poliquin step up paused 3sec</v>
      </c>
      <c r="DV58" s="5" t="str">
        <f t="array" ref="DV58">IFERROR(IF('T1'!$J58="",INDEX(LISTA_EX,124),INDEX(LISTA_EX,MATCH('T1'!$J58&amp;"|"&amp;124,LISTA_KLUCZ,0))),"")</f>
        <v>Pronation/Supination</v>
      </c>
      <c r="DW58" s="5" t="str">
        <f t="array" ref="DW58">IFERROR(IF('T1'!$J58="",INDEX(LISTA_EX,125),INDEX(LISTA_EX,MATCH('T1'!$J58&amp;"|"&amp;125,LISTA_KLUCZ,0))),"")</f>
        <v>Pull up</v>
      </c>
      <c r="DX58" s="5" t="str">
        <f t="array" ref="DX58">IFERROR(IF('T1'!$J58="",INDEX(LISTA_EX,126),INDEX(LISTA_EX,MATCH('T1'!$J58&amp;"|"&amp;126,LISTA_KLUCZ,0))),"")</f>
        <v>Pull up eccentric weighted</v>
      </c>
      <c r="DY58" s="5" t="str">
        <f t="array" ref="DY58">IFERROR(IF('T1'!$J58="",INDEX(LISTA_EX,127),INDEX(LISTA_EX,MATCH('T1'!$J58&amp;"|"&amp;127,LISTA_KLUCZ,0))),"")</f>
        <v>Pull up eccentric weighted (5 sek w dół)</v>
      </c>
      <c r="DZ58" s="5" t="str">
        <f t="array" ref="DZ58">IFERROR(IF('T1'!$J58="",INDEX(LISTA_EX,128),INDEX(LISTA_EX,MATCH('T1'!$J58&amp;"|"&amp;128,LISTA_KLUCZ,0))),"")</f>
        <v>Pull up weighted</v>
      </c>
      <c r="EA58" s="5" t="str">
        <f t="array" ref="EA58">IFERROR(IF('T1'!$J58="",INDEX(LISTA_EX,129),INDEX(LISTA_EX,MATCH('T1'!$J58&amp;"|"&amp;129,LISTA_KLUCZ,0))),"")</f>
        <v>Pull ups (paused)</v>
      </c>
      <c r="EB58" s="5" t="str">
        <f t="array" ref="EB58">IFERROR(IF('T1'!$J58="",INDEX(LISTA_EX,130),INDEX(LISTA_EX,MATCH('T1'!$J58&amp;"|"&amp;130,LISTA_KLUCZ,0))),"")</f>
        <v>Push press barbell</v>
      </c>
      <c r="EC58" s="5" t="str">
        <f t="array" ref="EC58">IFERROR(IF('T1'!$J58="",INDEX(LISTA_EX,131),INDEX(LISTA_EX,MATCH('T1'!$J58&amp;"|"&amp;131,LISTA_KLUCZ,0))),"")</f>
        <v>Push up</v>
      </c>
      <c r="ED58" s="5" t="str">
        <f t="array" ref="ED58">IFERROR(IF('T1'!$J58="",INDEX(LISTA_EX,132),INDEX(LISTA_EX,MATCH('T1'!$J58&amp;"|"&amp;132,LISTA_KLUCZ,0))),"")</f>
        <v>Raised bird dog</v>
      </c>
      <c r="EE58" s="5" t="str">
        <f t="array" ref="EE58">IFERROR(IF('T1'!$J58="",INDEX(LISTA_EX,133),INDEX(LISTA_EX,MATCH('T1'!$J58&amp;"|"&amp;133,LISTA_KLUCZ,0))),"")</f>
        <v>RDL</v>
      </c>
      <c r="EF58" s="5" t="str">
        <f t="array" ref="EF58">IFERROR(IF('T1'!$J58="",INDEX(LISTA_EX,134),INDEX(LISTA_EX,MATCH('T1'!$J58&amp;"|"&amp;134,LISTA_KLUCZ,0))),"")</f>
        <v>Reverse Nordic</v>
      </c>
      <c r="EG58" s="5" t="str">
        <f t="array" ref="EG58">IFERROR(IF('T1'!$J58="",INDEX(LISTA_EX,135),INDEX(LISTA_EX,MATCH('T1'!$J58&amp;"|"&amp;135,LISTA_KLUCZ,0))),"")</f>
        <v>Rope pushdown</v>
      </c>
      <c r="EH58" s="5" t="str">
        <f t="array" ref="EH58">IFERROR(IF('T1'!$J58="",INDEX(LISTA_EX,136),INDEX(LISTA_EX,MATCH('T1'!$J58&amp;"|"&amp;136,LISTA_KLUCZ,0))),"")</f>
        <v>Rope pushdown OH</v>
      </c>
      <c r="EI58" s="5" t="str">
        <f t="array" ref="EI58">IFERROR(IF('T1'!$J58="",INDEX(LISTA_EX,137),INDEX(LISTA_EX,MATCH('T1'!$J58&amp;"|"&amp;137,LISTA_KLUCZ,0))),"")</f>
        <v>S/a cable pulldown incline bench</v>
      </c>
      <c r="EJ58" s="5" t="str">
        <f t="array" ref="EJ58">IFERROR(IF('T1'!$J58="",INDEX(LISTA_EX,138),INDEX(LISTA_EX,MATCH('T1'!$J58&amp;"|"&amp;138,LISTA_KLUCZ,0))),"")</f>
        <v>S/a lat pulldown incline bench</v>
      </c>
      <c r="EK58" s="5" t="str">
        <f t="array" ref="EK58">IFERROR(IF('T1'!$J58="",INDEX(LISTA_EX,139),INDEX(LISTA_EX,MATCH('T1'!$J58&amp;"|"&amp;139,LISTA_KLUCZ,0))),"")</f>
        <v>S/l dragonflag eccentric</v>
      </c>
      <c r="EL58" s="5" t="str">
        <f t="array" ref="EL58">IFERROR(IF('T1'!$J58="",INDEX(LISTA_EX,140),INDEX(LISTA_EX,MATCH('T1'!$J58&amp;"|"&amp;140,LISTA_KLUCZ,0))),"")</f>
        <v>S/l hip thrust</v>
      </c>
      <c r="EM58" s="5" t="str">
        <f t="array" ref="EM58">IFERROR(IF('T1'!$J58="",INDEX(LISTA_EX,141),INDEX(LISTA_EX,MATCH('T1'!$J58&amp;"|"&amp;141,LISTA_KLUCZ,0))),"")</f>
        <v>Seated broad jump</v>
      </c>
      <c r="EN58" s="5" t="str">
        <f t="array" ref="EN58">IFERROR(IF('T1'!$J58="",INDEX(LISTA_EX,142),INDEX(LISTA_EX,MATCH('T1'!$J58&amp;"|"&amp;142,LISTA_KLUCZ,0))),"")</f>
        <v>Seated cable facepull</v>
      </c>
      <c r="EO58" s="5" t="str">
        <f t="array" ref="EO58">IFERROR(IF('T1'!$J58="",INDEX(LISTA_EX,143),INDEX(LISTA_EX,MATCH('T1'!$J58&amp;"|"&amp;143,LISTA_KLUCZ,0))),"")</f>
        <v>Seated seesaw press (nogi proste)</v>
      </c>
      <c r="EP58" s="5" t="str">
        <f t="array" ref="EP58">IFERROR(IF('T1'!$J58="",INDEX(LISTA_EX,144),INDEX(LISTA_EX,MATCH('T1'!$J58&amp;"|"&amp;144,LISTA_KLUCZ,0))),"")</f>
        <v>Seesaw press</v>
      </c>
      <c r="EQ58" s="5" t="str">
        <f t="array" ref="EQ58">IFERROR(IF('T1'!$J58="",INDEX(LISTA_EX,145),INDEX(LISTA_EX,MATCH('T1'!$J58&amp;"|"&amp;145,LISTA_KLUCZ,0))),"")</f>
        <v>Side crunches</v>
      </c>
      <c r="ER58" s="5" t="str">
        <f t="array" ref="ER58">IFERROR(IF('T1'!$J58="",INDEX(LISTA_EX,146),INDEX(LISTA_EX,MATCH('T1'!$J58&amp;"|"&amp;146,LISTA_KLUCZ,0))),"")</f>
        <v>Side plank hip drop</v>
      </c>
      <c r="ES58" s="5" t="str">
        <f t="array" ref="ES58">IFERROR(IF('T1'!$J58="",INDEX(LISTA_EX,147),INDEX(LISTA_EX,MATCH('T1'!$J58&amp;"|"&amp;147,LISTA_KLUCZ,0))),"")</f>
        <v>Side plank rotations</v>
      </c>
      <c r="ET58" s="5" t="str">
        <f t="array" ref="ET58">IFERROR(IF('T1'!$J58="",INDEX(LISTA_EX,148),INDEX(LISTA_EX,MATCH('T1'!$J58&amp;"|"&amp;148,LISTA_KLUCZ,0))),"")</f>
        <v>SLDL balance</v>
      </c>
      <c r="EU58" s="5" t="str">
        <f t="array" ref="EU58">IFERROR(IF('T1'!$J58="",INDEX(LISTA_EX,149),INDEX(LISTA_EX,MATCH('T1'!$J58&amp;"|"&amp;149,LISTA_KLUCZ,0))),"")</f>
        <v>Split squat</v>
      </c>
      <c r="EV58" s="5" t="str">
        <f t="array" ref="EV58">IFERROR(IF('T1'!$J58="",INDEX(LISTA_EX,150),INDEX(LISTA_EX,MATCH('T1'!$J58&amp;"|"&amp;150,LISTA_KLUCZ,0))),"")</f>
        <v>Split stance SLDL</v>
      </c>
      <c r="EW58" s="5" t="str">
        <f t="array" ref="EW58">IFERROR(IF('T1'!$J58="",INDEX(LISTA_EX,151),INDEX(LISTA_EX,MATCH('T1'!$J58&amp;"|"&amp;151,LISTA_KLUCZ,0))),"")</f>
        <v>Squat izo (15 sek)</v>
      </c>
      <c r="EX58" s="5" t="str">
        <f t="array" ref="EX58">IFERROR(IF('T1'!$J58="",INDEX(LISTA_EX,152),INDEX(LISTA_EX,MATCH('T1'!$J58&amp;"|"&amp;152,LISTA_KLUCZ,0))),"")</f>
        <v>Standing landmine press</v>
      </c>
      <c r="EY58" s="5" t="str">
        <f t="array" ref="EY58">IFERROR(IF('T1'!$J58="",INDEX(LISTA_EX,153),INDEX(LISTA_EX,MATCH('T1'!$J58&amp;"|"&amp;153,LISTA_KLUCZ,0))),"")</f>
        <v>Suitcase carry</v>
      </c>
      <c r="EZ58" s="5" t="str">
        <f t="array" ref="EZ58">IFERROR(IF('T1'!$J58="",INDEX(LISTA_EX,154),INDEX(LISTA_EX,MATCH('T1'!$J58&amp;"|"&amp;154,LISTA_KLUCZ,0))),"")</f>
        <v>Supine pigeon abs</v>
      </c>
      <c r="FA58" s="5" t="str">
        <f t="array" ref="FA58">IFERROR(IF('T1'!$J58="",INDEX(LISTA_EX,155),INDEX(LISTA_EX,MATCH('T1'!$J58&amp;"|"&amp;155,LISTA_KLUCZ,0))),"")</f>
        <v>Swiss ball leg curl</v>
      </c>
      <c r="FB58" s="5" t="str">
        <f t="array" ref="FB58">IFERROR(IF('T1'!$J58="",INDEX(LISTA_EX,156),INDEX(LISTA_EX,MATCH('T1'!$J58&amp;"|"&amp;156,LISTA_KLUCZ,0))),"")</f>
        <v>Toes to bar</v>
      </c>
      <c r="FC58" s="5" t="str">
        <f t="array" ref="FC58">IFERROR(IF('T1'!$J58="",INDEX(LISTA_EX,157),INDEX(LISTA_EX,MATCH('T1'!$J58&amp;"|"&amp;157,LISTA_KLUCZ,0))),"")</f>
        <v>Trap bar deadlift</v>
      </c>
      <c r="FD58" s="5" t="str">
        <f t="array" ref="FD58">IFERROR(IF('T1'!$J58="",INDEX(LISTA_EX,158),INDEX(LISTA_EX,MATCH('T1'!$J58&amp;"|"&amp;158,LISTA_KLUCZ,0))),"")</f>
        <v>Tricep cable pushdown</v>
      </c>
      <c r="FE58" s="5" t="str">
        <f t="array" ref="FE58">IFERROR(IF('T1'!$J58="",INDEX(LISTA_EX,159),INDEX(LISTA_EX,MATCH('T1'!$J58&amp;"|"&amp;159,LISTA_KLUCZ,0))),"")</f>
        <v>Tricep JM press</v>
      </c>
      <c r="FF58" s="5" t="str">
        <f t="array" ref="FF58">IFERROR(IF('T1'!$J58="",INDEX(LISTA_EX,160),INDEX(LISTA_EX,MATCH('T1'!$J58&amp;"|"&amp;160,LISTA_KLUCZ,0))),"")</f>
        <v>Tricep OH cable</v>
      </c>
      <c r="FG58" s="5" t="str">
        <f t="array" ref="FG58">IFERROR(IF('T1'!$J58="",INDEX(LISTA_EX,161),INDEX(LISTA_EX,MATCH('T1'!$J58&amp;"|"&amp;161,LISTA_KLUCZ,0))),"")</f>
        <v>Tricep OH ez bar</v>
      </c>
      <c r="FH58" s="5" t="str">
        <f t="array" ref="FH58">IFERROR(IF('T1'!$J58="",INDEX(LISTA_EX,162),INDEX(LISTA_EX,MATCH('T1'!$J58&amp;"|"&amp;162,LISTA_KLUCZ,0))),"")</f>
        <v>Walking lunges</v>
      </c>
      <c r="FI58" s="5" t="str">
        <f t="array" ref="FI58">IFERROR(IF('T1'!$J58="",INDEX(LISTA_EX,163),INDEX(LISTA_EX,MATCH('T1'!$J58&amp;"|"&amp;163,LISTA_KLUCZ,0))),"")</f>
        <v>Wipers kettle</v>
      </c>
      <c r="FJ58" s="5" t="str">
        <f t="array" ref="FJ58">IFERROR(IF('T1'!$J58="",INDEX(LISTA_EX,164),INDEX(LISTA_EX,MATCH('T1'!$J58&amp;"|"&amp;164,LISTA_KLUCZ,0))),"")</f>
        <v>Zercher jumps</v>
      </c>
      <c r="FK58" s="5" t="str">
        <f t="array" ref="FK58">IFERROR(IF('T1'!$J58="",INDEX(LISTA_EX,165),INDEX(LISTA_EX,MATCH('T1'!$J58&amp;"|"&amp;165,LISTA_KLUCZ,0))),"")</f>
        <v/>
      </c>
      <c r="FL58" s="5" t="str">
        <f t="array" ref="FL58">IFERROR(IF('T1'!$J58="",INDEX(LISTA_EX,166),INDEX(LISTA_EX,MATCH('T1'!$J58&amp;"|"&amp;166,LISTA_KLUCZ,0))),"")</f>
        <v/>
      </c>
      <c r="FM58" s="5" t="str">
        <f t="array" ref="FM58">IFERROR(IF('T1'!$J58="",INDEX(LISTA_EX,167),INDEX(LISTA_EX,MATCH('T1'!$J58&amp;"|"&amp;167,LISTA_KLUCZ,0))),"")</f>
        <v/>
      </c>
      <c r="FN58" s="5" t="str">
        <f t="array" ref="FN58">IFERROR(IF('T1'!$J58="",INDEX(LISTA_EX,168),INDEX(LISTA_EX,MATCH('T1'!$J58&amp;"|"&amp;168,LISTA_KLUCZ,0))),"")</f>
        <v/>
      </c>
      <c r="FO58" s="5" t="str">
        <f t="array" ref="FO58">IFERROR(IF('T1'!$J58="",INDEX(LISTA_EX,169),INDEX(LISTA_EX,MATCH('T1'!$J58&amp;"|"&amp;169,LISTA_KLUCZ,0))),"")</f>
        <v/>
      </c>
      <c r="FP58" s="5" t="str">
        <f t="array" ref="FP58">IFERROR(IF('T1'!$J58="",INDEX(LISTA_EX,170),INDEX(LISTA_EX,MATCH('T1'!$J58&amp;"|"&amp;170,LISTA_KLUCZ,0))),"")</f>
        <v/>
      </c>
      <c r="FQ58" s="5" t="str">
        <f t="array" ref="FQ58">IFERROR(IF('T1'!$J58="",INDEX(LISTA_EX,171),INDEX(LISTA_EX,MATCH('T1'!$J58&amp;"|"&amp;171,LISTA_KLUCZ,0))),"")</f>
        <v/>
      </c>
      <c r="FR58" s="5" t="str">
        <f t="array" ref="FR58">IFERROR(IF('T1'!$J58="",INDEX(LISTA_EX,172),INDEX(LISTA_EX,MATCH('T1'!$J58&amp;"|"&amp;172,LISTA_KLUCZ,0))),"")</f>
        <v/>
      </c>
      <c r="FS58" s="5" t="str">
        <f t="array" ref="FS58">IFERROR(IF('T1'!$J58="",INDEX(LISTA_EX,173),INDEX(LISTA_EX,MATCH('T1'!$J58&amp;"|"&amp;173,LISTA_KLUCZ,0))),"")</f>
        <v/>
      </c>
      <c r="FT58" s="5" t="str">
        <f t="array" ref="FT58">IFERROR(IF('T1'!$J58="",INDEX(LISTA_EX,174),INDEX(LISTA_EX,MATCH('T1'!$J58&amp;"|"&amp;174,LISTA_KLUCZ,0))),"")</f>
        <v/>
      </c>
      <c r="FU58" s="5" t="str">
        <f t="array" ref="FU58">IFERROR(IF('T1'!$J58="",INDEX(LISTA_EX,175),INDEX(LISTA_EX,MATCH('T1'!$J58&amp;"|"&amp;175,LISTA_KLUCZ,0))),"")</f>
        <v/>
      </c>
      <c r="FV58" s="5" t="str">
        <f t="array" ref="FV58">IFERROR(IF('T1'!$J58="",INDEX(LISTA_EX,176),INDEX(LISTA_EX,MATCH('T1'!$J58&amp;"|"&amp;176,LISTA_KLUCZ,0))),"")</f>
        <v/>
      </c>
      <c r="FW58" s="5" t="str">
        <f t="array" ref="FW58">IFERROR(IF('T1'!$J58="",INDEX(LISTA_EX,177),INDEX(LISTA_EX,MATCH('T1'!$J58&amp;"|"&amp;177,LISTA_KLUCZ,0))),"")</f>
        <v/>
      </c>
      <c r="FX58" s="5" t="str">
        <f t="array" ref="FX58">IFERROR(IF('T1'!$J58="",INDEX(LISTA_EX,178),INDEX(LISTA_EX,MATCH('T1'!$J58&amp;"|"&amp;178,LISTA_KLUCZ,0))),"")</f>
        <v/>
      </c>
      <c r="FY58" s="5" t="str">
        <f t="array" ref="FY58">IFERROR(IF('T1'!$J58="",INDEX(LISTA_EX,179),INDEX(LISTA_EX,MATCH('T1'!$J58&amp;"|"&amp;179,LISTA_KLUCZ,0))),"")</f>
        <v/>
      </c>
      <c r="FZ58" s="5" t="str">
        <f t="array" ref="FZ58">IFERROR(IF('T1'!$J58="",INDEX(LISTA_EX,180),INDEX(LISTA_EX,MATCH('T1'!$J58&amp;"|"&amp;180,LISTA_KLUCZ,0))),"")</f>
        <v/>
      </c>
      <c r="GA58" s="5" t="str">
        <f t="array" ref="GA58">IFERROR(IF('T1'!$J58="",INDEX(LISTA_EX,181),INDEX(LISTA_EX,MATCH('T1'!$J58&amp;"|"&amp;181,LISTA_KLUCZ,0))),"")</f>
        <v/>
      </c>
      <c r="GB58" s="5" t="str">
        <f t="array" ref="GB58">IFERROR(IF('T1'!$J58="",INDEX(LISTA_EX,182),INDEX(LISTA_EX,MATCH('T1'!$J58&amp;"|"&amp;182,LISTA_KLUCZ,0))),"")</f>
        <v/>
      </c>
      <c r="GC58" s="5" t="str">
        <f t="array" ref="GC58">IFERROR(IF('T1'!$J58="",INDEX(LISTA_EX,183),INDEX(LISTA_EX,MATCH('T1'!$J58&amp;"|"&amp;183,LISTA_KLUCZ,0))),"")</f>
        <v/>
      </c>
      <c r="GD58" s="5" t="str">
        <f t="array" ref="GD58">IFERROR(IF('T1'!$J58="",INDEX(LISTA_EX,184),INDEX(LISTA_EX,MATCH('T1'!$J58&amp;"|"&amp;184,LISTA_KLUCZ,0))),"")</f>
        <v/>
      </c>
      <c r="GE58" s="5" t="str">
        <f t="array" ref="GE58">IFERROR(IF('T1'!$J58="",INDEX(LISTA_EX,185),INDEX(LISTA_EX,MATCH('T1'!$J58&amp;"|"&amp;185,LISTA_KLUCZ,0))),"")</f>
        <v/>
      </c>
      <c r="GF58" s="5" t="str">
        <f t="array" ref="GF58">IFERROR(IF('T1'!$J58="",INDEX(LISTA_EX,186),INDEX(LISTA_EX,MATCH('T1'!$J58&amp;"|"&amp;186,LISTA_KLUCZ,0))),"")</f>
        <v/>
      </c>
      <c r="GG58" s="5" t="str">
        <f t="array" ref="GG58">IFERROR(IF('T1'!$J58="",INDEX(LISTA_EX,187),INDEX(LISTA_EX,MATCH('T1'!$J58&amp;"|"&amp;187,LISTA_KLUCZ,0))),"")</f>
        <v/>
      </c>
      <c r="GH58" s="5" t="str">
        <f t="array" ref="GH58">IFERROR(IF('T1'!$J58="",INDEX(LISTA_EX,188),INDEX(LISTA_EX,MATCH('T1'!$J58&amp;"|"&amp;188,LISTA_KLUCZ,0))),"")</f>
        <v/>
      </c>
      <c r="GI58" s="5" t="str">
        <f t="array" ref="GI58">IFERROR(IF('T1'!$J58="",INDEX(LISTA_EX,189),INDEX(LISTA_EX,MATCH('T1'!$J58&amp;"|"&amp;189,LISTA_KLUCZ,0))),"")</f>
        <v/>
      </c>
      <c r="GJ58" s="5" t="str">
        <f t="array" ref="GJ58">IFERROR(IF('T1'!$J58="",INDEX(LISTA_EX,190),INDEX(LISTA_EX,MATCH('T1'!$J58&amp;"|"&amp;190,LISTA_KLUCZ,0))),"")</f>
        <v/>
      </c>
      <c r="GK58" s="5" t="str">
        <f t="array" ref="GK58">IFERROR(IF('T1'!$J58="",INDEX(LISTA_EX,191),INDEX(LISTA_EX,MATCH('T1'!$J58&amp;"|"&amp;191,LISTA_KLUCZ,0))),"")</f>
        <v/>
      </c>
      <c r="GL58" s="5" t="str">
        <f t="array" ref="GL58">IFERROR(IF('T1'!$J58="",INDEX(LISTA_EX,192),INDEX(LISTA_EX,MATCH('T1'!$J58&amp;"|"&amp;192,LISTA_KLUCZ,0))),"")</f>
        <v/>
      </c>
      <c r="GM58" s="5" t="str">
        <f t="array" ref="GM58">IFERROR(IF('T1'!$J58="",INDEX(LISTA_EX,193),INDEX(LISTA_EX,MATCH('T1'!$J58&amp;"|"&amp;193,LISTA_KLUCZ,0))),"")</f>
        <v/>
      </c>
      <c r="GN58" s="5" t="str">
        <f t="array" ref="GN58">IFERROR(IF('T1'!$J58="",INDEX(LISTA_EX,194),INDEX(LISTA_EX,MATCH('T1'!$J58&amp;"|"&amp;194,LISTA_KLUCZ,0))),"")</f>
        <v/>
      </c>
      <c r="GO58" s="5" t="str">
        <f t="array" ref="GO58">IFERROR(IF('T1'!$J58="",INDEX(LISTA_EX,195),INDEX(LISTA_EX,MATCH('T1'!$J58&amp;"|"&amp;195,LISTA_KLUCZ,0))),"")</f>
        <v/>
      </c>
      <c r="GP58" s="5" t="str">
        <f t="array" ref="GP58">IFERROR(IF('T1'!$J58="",INDEX(LISTA_EX,196),INDEX(LISTA_EX,MATCH('T1'!$J58&amp;"|"&amp;196,LISTA_KLUCZ,0))),"")</f>
        <v/>
      </c>
      <c r="GQ58" s="5" t="str">
        <f t="array" ref="GQ58">IFERROR(IF('T1'!$J58="",INDEX(LISTA_EX,197),INDEX(LISTA_EX,MATCH('T1'!$J58&amp;"|"&amp;197,LISTA_KLUCZ,0))),"")</f>
        <v/>
      </c>
      <c r="GR58" s="5" t="str">
        <f t="array" ref="GR58">IFERROR(IF('T1'!$J58="",INDEX(LISTA_EX,198),INDEX(LISTA_EX,MATCH('T1'!$J58&amp;"|"&amp;198,LISTA_KLUCZ,0))),"")</f>
        <v/>
      </c>
      <c r="GS58" s="5" t="str">
        <f t="array" ref="GS58">IFERROR(IF('T1'!$J58="",INDEX(LISTA_EX,199),INDEX(LISTA_EX,MATCH('T1'!$J58&amp;"|"&amp;199,LISTA_KLUCZ,0))),"")</f>
        <v/>
      </c>
      <c r="GT58" s="5" t="str">
        <f t="array" ref="GT58">IFERROR(IF('T1'!$J58="",INDEX(LISTA_EX,200),INDEX(LISTA_EX,MATCH('T1'!$J58&amp;"|"&amp;200,LISTA_KLUCZ,0))),"")</f>
        <v/>
      </c>
      <c r="GV58" s="5" t="str">
        <f>IF(BAZA!$A58="","",BAZA!$A58)</f>
        <v>Dumbbell OH press</v>
      </c>
      <c r="GW58" s="5" t="str">
        <f>IF(BAZA!$B58="","",BAZA!$B58&amp;"|"&amp;COUNTIF(BAZA!$B$3:$B58,BAZA!$B58))</f>
        <v>Tricep|2</v>
      </c>
    </row>
    <row r="59" ht="15.0" customHeight="1">
      <c r="A59" s="5" t="str">
        <f>IF('T1'!$K59="","",'T1'!$K59)</f>
        <v>D4-S05</v>
      </c>
      <c r="B59" s="5" t="str">
        <f>IF('T1'!$J59="","(wszystkie)",'T1'!$J59)</f>
        <v>(wszystkie)</v>
      </c>
      <c r="C59" s="5" t="str">
        <f t="array" ref="C59">IFERROR(IF('T1'!$J59="",INDEX(LISTA_EX,1),INDEX(LISTA_EX,MATCH('T1'!$J59&amp;"|"&amp;1,LISTA_KLUCZ,0))),"")</f>
        <v>Abduction machine</v>
      </c>
      <c r="D59" s="5" t="str">
        <f t="array" ref="D59">IFERROR(IF('T1'!$J59="",INDEX(LISTA_EX,2),INDEX(LISTA_EX,MATCH('T1'!$J59&amp;"|"&amp;2,LISTA_KLUCZ,0))),"")</f>
        <v>Adduction machine</v>
      </c>
      <c r="E59" s="5" t="str">
        <f t="array" ref="E59">IFERROR(IF('T1'!$J59="",INDEX(LISTA_EX,3),INDEX(LISTA_EX,MATCH('T1'!$J59&amp;"|"&amp;3,LISTA_KLUCZ,0))),"")</f>
        <v>Allah</v>
      </c>
      <c r="F59" s="5" t="str">
        <f t="array" ref="F59">IFERROR(IF('T1'!$J59="",INDEX(LISTA_EX,4),INDEX(LISTA_EX,MATCH('T1'!$J59&amp;"|"&amp;4,LISTA_KLUCZ,0))),"")</f>
        <v>Arnold press</v>
      </c>
      <c r="G59" s="5" t="str">
        <f t="array" ref="G59">IFERROR(IF('T1'!$J59="",INDEX(LISTA_EX,5),INDEX(LISTA_EX,MATCH('T1'!$J59&amp;"|"&amp;5,LISTA_KLUCZ,0))),"")</f>
        <v>Arnold press alternating</v>
      </c>
      <c r="H59" s="5" t="str">
        <f t="array" ref="H59">IFERROR(IF('T1'!$J59="",INDEX(LISTA_EX,6),INDEX(LISTA_EX,MATCH('T1'!$J59&amp;"|"&amp;6,LISTA_KLUCZ,0))),"")</f>
        <v>B/l dragonflag eccentric</v>
      </c>
      <c r="I59" s="5" t="str">
        <f t="array" ref="I59">IFERROR(IF('T1'!$J59="",INDEX(LISTA_EX,7),INDEX(LISTA_EX,MATCH('T1'!$J59&amp;"|"&amp;7,LISTA_KLUCZ,0))),"")</f>
        <v>Back extension</v>
      </c>
      <c r="J59" s="5" t="str">
        <f t="array" ref="J59">IFERROR(IF('T1'!$J59="",INDEX(LISTA_EX,8),INDEX(LISTA_EX,MATCH('T1'!$J59&amp;"|"&amp;8,LISTA_KLUCZ,0))),"")</f>
        <v>Banded pistol squat</v>
      </c>
      <c r="K59" s="5" t="str">
        <f t="array" ref="K59">IFERROR(IF('T1'!$J59="",INDEX(LISTA_EX,9),INDEX(LISTA_EX,MATCH('T1'!$J59&amp;"|"&amp;9,LISTA_KLUCZ,0))),"")</f>
        <v>Banded pull ups</v>
      </c>
      <c r="L59" s="5" t="str">
        <f t="array" ref="L59">IFERROR(IF('T1'!$J59="",INDEX(LISTA_EX,10),INDEX(LISTA_EX,MATCH('T1'!$J59&amp;"|"&amp;10,LISTA_KLUCZ,0))),"")</f>
        <v>Barbell back squat</v>
      </c>
      <c r="M59" s="5" t="str">
        <f t="array" ref="M59">IFERROR(IF('T1'!$J59="",INDEX(LISTA_EX,11),INDEX(LISTA_EX,MATCH('T1'!$J59&amp;"|"&amp;11,LISTA_KLUCZ,0))),"")</f>
        <v>Barbell bench press</v>
      </c>
      <c r="N59" s="5" t="str">
        <f t="array" ref="N59">IFERROR(IF('T1'!$J59="",INDEX(LISTA_EX,12),INDEX(LISTA_EX,MATCH('T1'!$J59&amp;"|"&amp;12,LISTA_KLUCZ,0))),"")</f>
        <v>Barbell curl</v>
      </c>
      <c r="O59" s="5" t="str">
        <f t="array" ref="O59">IFERROR(IF('T1'!$J59="",INDEX(LISTA_EX,13),INDEX(LISTA_EX,MATCH('T1'!$J59&amp;"|"&amp;13,LISTA_KLUCZ,0))),"")</f>
        <v>Barbell low bar squat</v>
      </c>
      <c r="P59" s="5" t="str">
        <f t="array" ref="P59">IFERROR(IF('T1'!$J59="",INDEX(LISTA_EX,14),INDEX(LISTA_EX,MATCH('T1'!$J59&amp;"|"&amp;14,LISTA_KLUCZ,0))),"")</f>
        <v>Barbell OHP</v>
      </c>
      <c r="Q59" s="5" t="str">
        <f t="array" ref="Q59">IFERROR(IF('T1'!$J59="",INDEX(LISTA_EX,15),INDEX(LISTA_EX,MATCH('T1'!$J59&amp;"|"&amp;15,LISTA_KLUCZ,0))),"")</f>
        <v>Barbell oscilation</v>
      </c>
      <c r="R59" s="5" t="str">
        <f t="array" ref="R59">IFERROR(IF('T1'!$J59="",INDEX(LISTA_EX,16),INDEX(LISTA_EX,MATCH('T1'!$J59&amp;"|"&amp;16,LISTA_KLUCZ,0))),"")</f>
        <v>Barbell row</v>
      </c>
      <c r="S59" s="5" t="str">
        <f t="array" ref="S59">IFERROR(IF('T1'!$J59="",INDEX(LISTA_EX,17),INDEX(LISTA_EX,MATCH('T1'!$J59&amp;"|"&amp;17,LISTA_KLUCZ,0))),"")</f>
        <v>Barbell row dead stop pins</v>
      </c>
      <c r="T59" s="5" t="str">
        <f t="array" ref="T59">IFERROR(IF('T1'!$J59="",INDEX(LISTA_EX,18),INDEX(LISTA_EX,MATCH('T1'!$J59&amp;"|"&amp;18,LISTA_KLUCZ,0))),"")</f>
        <v>Barbell SLDL</v>
      </c>
      <c r="U59" s="5" t="str">
        <f t="array" ref="U59">IFERROR(IF('T1'!$J59="",INDEX(LISTA_EX,19),INDEX(LISTA_EX,MATCH('T1'!$J59&amp;"|"&amp;19,LISTA_KLUCZ,0))),"")</f>
        <v>Bayesian curl</v>
      </c>
      <c r="V59" s="5" t="str">
        <f t="array" ref="V59">IFERROR(IF('T1'!$J59="",INDEX(LISTA_EX,20),INDEX(LISTA_EX,MATCH('T1'!$J59&amp;"|"&amp;20,LISTA_KLUCZ,0))),"")</f>
        <v>Bear renegade row</v>
      </c>
      <c r="W59" s="5" t="str">
        <f t="array" ref="W59">IFERROR(IF('T1'!$J59="",INDEX(LISTA_EX,21),INDEX(LISTA_EX,MATCH('T1'!$J59&amp;"|"&amp;21,LISTA_KLUCZ,0))),"")</f>
        <v>Bench press paused 3sec</v>
      </c>
      <c r="X59" s="5" t="str">
        <f t="array" ref="X59">IFERROR(IF('T1'!$J59="",INDEX(LISTA_EX,22),INDEX(LISTA_EX,MATCH('T1'!$J59&amp;"|"&amp;22,LISTA_KLUCZ,0))),"")</f>
        <v>Bicep hammer curl</v>
      </c>
      <c r="Y59" s="5" t="str">
        <f t="array" ref="Y59">IFERROR(IF('T1'!$J59="",INDEX(LISTA_EX,23),INDEX(LISTA_EX,MATCH('T1'!$J59&amp;"|"&amp;23,LISTA_KLUCZ,0))),"")</f>
        <v>Bicep squat cable curl</v>
      </c>
      <c r="Z59" s="5" t="str">
        <f t="array" ref="Z59">IFERROR(IF('T1'!$J59="",INDEX(LISTA_EX,24),INDEX(LISTA_EX,MATCH('T1'!$J59&amp;"|"&amp;24,LISTA_KLUCZ,0))),"")</f>
        <v>Bird dog row</v>
      </c>
      <c r="AA59" s="5" t="str">
        <f t="array" ref="AA59">IFERROR(IF('T1'!$J59="",INDEX(LISTA_EX,25),INDEX(LISTA_EX,MATCH('T1'!$J59&amp;"|"&amp;25,LISTA_KLUCZ,0))),"")</f>
        <v>Box jump</v>
      </c>
      <c r="AB59" s="5" t="str">
        <f t="array" ref="AB59">IFERROR(IF('T1'!$J59="",INDEX(LISTA_EX,26),INDEX(LISTA_EX,MATCH('T1'!$J59&amp;"|"&amp;26,LISTA_KLUCZ,0))),"")</f>
        <v>Bulgarian clean plyo</v>
      </c>
      <c r="AC59" s="5" t="str">
        <f t="array" ref="AC59">IFERROR(IF('T1'!$J59="",INDEX(LISTA_EX,27),INDEX(LISTA_EX,MATCH('T1'!$J59&amp;"|"&amp;27,LISTA_KLUCZ,0))),"")</f>
        <v>Bulgarian squat assisted</v>
      </c>
      <c r="AD59" s="5" t="str">
        <f t="array" ref="AD59">IFERROR(IF('T1'!$J59="",INDEX(LISTA_EX,28),INDEX(LISTA_EX,MATCH('T1'!$J59&amp;"|"&amp;28,LISTA_KLUCZ,0))),"")</f>
        <v>Cable biceps curl</v>
      </c>
      <c r="AE59" s="5" t="str">
        <f t="array" ref="AE59">IFERROR(IF('T1'!$J59="",INDEX(LISTA_EX,29),INDEX(LISTA_EX,MATCH('T1'!$J59&amp;"|"&amp;29,LISTA_KLUCZ,0))),"")</f>
        <v>Cable fly</v>
      </c>
      <c r="AF59" s="5" t="str">
        <f t="array" ref="AF59">IFERROR(IF('T1'!$J59="",INDEX(LISTA_EX,30),INDEX(LISTA_EX,MATCH('T1'!$J59&amp;"|"&amp;30,LISTA_KLUCZ,0))),"")</f>
        <v>Cable lateral raise s/a</v>
      </c>
      <c r="AG59" s="5" t="str">
        <f t="array" ref="AG59">IFERROR(IF('T1'!$J59="",INDEX(LISTA_EX,31),INDEX(LISTA_EX,MATCH('T1'!$J59&amp;"|"&amp;31,LISTA_KLUCZ,0))),"")</f>
        <v>Cable row</v>
      </c>
      <c r="AH59" s="5" t="str">
        <f t="array" ref="AH59">IFERROR(IF('T1'!$J59="",INDEX(LISTA_EX,32),INDEX(LISTA_EX,MATCH('T1'!$J59&amp;"|"&amp;32,LISTA_KLUCZ,0))),"")</f>
        <v>Cable row s/a</v>
      </c>
      <c r="AI59" s="5" t="str">
        <f t="array" ref="AI59">IFERROR(IF('T1'!$J59="",INDEX(LISTA_EX,33),INDEX(LISTA_EX,MATCH('T1'!$J59&amp;"|"&amp;33,LISTA_KLUCZ,0))),"")</f>
        <v>Calf raises</v>
      </c>
      <c r="AJ59" s="5" t="str">
        <f t="array" ref="AJ59">IFERROR(IF('T1'!$J59="",INDEX(LISTA_EX,34),INDEX(LISTA_EX,MATCH('T1'!$J59&amp;"|"&amp;34,LISTA_KLUCZ,0))),"")</f>
        <v>Chest fly machine</v>
      </c>
      <c r="AK59" s="5" t="str">
        <f t="array" ref="AK59">IFERROR(IF('T1'!$J59="",INDEX(LISTA_EX,35),INDEX(LISTA_EX,MATCH('T1'!$J59&amp;"|"&amp;35,LISTA_KLUCZ,0))),"")</f>
        <v>Clean</v>
      </c>
      <c r="AL59" s="5" t="str">
        <f t="array" ref="AL59">IFERROR(IF('T1'!$J59="",INDEX(LISTA_EX,36),INDEX(LISTA_EX,MATCH('T1'!$J59&amp;"|"&amp;36,LISTA_KLUCZ,0))),"")</f>
        <v>Clean pins</v>
      </c>
      <c r="AM59" s="5" t="str">
        <f t="array" ref="AM59">IFERROR(IF('T1'!$J59="",INDEX(LISTA_EX,37),INDEX(LISTA_EX,MATCH('T1'!$J59&amp;"|"&amp;37,LISTA_KLUCZ,0))),"")</f>
        <v>Copenhagen plank</v>
      </c>
      <c r="AN59" s="5" t="str">
        <f t="array" ref="AN59">IFERROR(IF('T1'!$J59="",INDEX(LISTA_EX,38),INDEX(LISTA_EX,MATCH('T1'!$J59&amp;"|"&amp;38,LISTA_KLUCZ,0))),"")</f>
        <v>Dead bug izo + OH</v>
      </c>
      <c r="AO59" s="5" t="str">
        <f t="array" ref="AO59">IFERROR(IF('T1'!$J59="",INDEX(LISTA_EX,39),INDEX(LISTA_EX,MATCH('T1'!$J59&amp;"|"&amp;39,LISTA_KLUCZ,0))),"")</f>
        <v>Dead bug straight legs</v>
      </c>
      <c r="AP59" s="5" t="str">
        <f t="array" ref="AP59">IFERROR(IF('T1'!$J59="",INDEX(LISTA_EX,40),INDEX(LISTA_EX,MATCH('T1'!$J59&amp;"|"&amp;40,LISTA_KLUCZ,0))),"")</f>
        <v>Dead stop barbell row</v>
      </c>
      <c r="AQ59" s="5" t="str">
        <f t="array" ref="AQ59">IFERROR(IF('T1'!$J59="",INDEX(LISTA_EX,41),INDEX(LISTA_EX,MATCH('T1'!$J59&amp;"|"&amp;41,LISTA_KLUCZ,0))),"")</f>
        <v>Deadbug OH</v>
      </c>
      <c r="AR59" s="5" t="str">
        <f t="array" ref="AR59">IFERROR(IF('T1'!$J59="",INDEX(LISTA_EX,42),INDEX(LISTA_EX,MATCH('T1'!$J59&amp;"|"&amp;42,LISTA_KLUCZ,0))),"")</f>
        <v>Deadlift</v>
      </c>
      <c r="AS59" s="5" t="str">
        <f t="array" ref="AS59">IFERROR(IF('T1'!$J59="",INDEX(LISTA_EX,43),INDEX(LISTA_EX,MATCH('T1'!$J59&amp;"|"&amp;43,LISTA_KLUCZ,0))),"")</f>
        <v>Deficit push up</v>
      </c>
      <c r="AT59" s="5" t="str">
        <f t="array" ref="AT59">IFERROR(IF('T1'!$J59="",INDEX(LISTA_EX,44),INDEX(LISTA_EX,MATCH('T1'!$J59&amp;"|"&amp;44,LISTA_KLUCZ,0))),"")</f>
        <v>Deficit reverse lunge</v>
      </c>
      <c r="AU59" s="5" t="str">
        <f t="array" ref="AU59">IFERROR(IF('T1'!$J59="",INDEX(LISTA_EX,45),INDEX(LISTA_EX,MATCH('T1'!$J59&amp;"|"&amp;45,LISTA_KLUCZ,0))),"")</f>
        <v>Dips</v>
      </c>
      <c r="AV59" s="5" t="str">
        <f t="array" ref="AV59">IFERROR(IF('T1'!$J59="",INDEX(LISTA_EX,46),INDEX(LISTA_EX,MATCH('T1'!$J59&amp;"|"&amp;46,LISTA_KLUCZ,0))),"")</f>
        <v>Dips weighted</v>
      </c>
      <c r="AW59" s="5" t="str">
        <f t="array" ref="AW59">IFERROR(IF('T1'!$J59="",INDEX(LISTA_EX,47),INDEX(LISTA_EX,MATCH('T1'!$J59&amp;"|"&amp;47,LISTA_KLUCZ,0))),"")</f>
        <v>Dumbbell bench press</v>
      </c>
      <c r="AX59" s="5" t="str">
        <f t="array" ref="AX59">IFERROR(IF('T1'!$J59="",INDEX(LISTA_EX,48),INDEX(LISTA_EX,MATCH('T1'!$J59&amp;"|"&amp;48,LISTA_KLUCZ,0))),"")</f>
        <v>Dumbbell bench press alternating</v>
      </c>
      <c r="AY59" s="5" t="str">
        <f t="array" ref="AY59">IFERROR(IF('T1'!$J59="",INDEX(LISTA_EX,49),INDEX(LISTA_EX,MATCH('T1'!$J59&amp;"|"&amp;49,LISTA_KLUCZ,0))),"")</f>
        <v>Dumbbell curl</v>
      </c>
      <c r="AZ59" s="5" t="str">
        <f t="array" ref="AZ59">IFERROR(IF('T1'!$J59="",INDEX(LISTA_EX,50),INDEX(LISTA_EX,MATCH('T1'!$J59&amp;"|"&amp;50,LISTA_KLUCZ,0))),"")</f>
        <v>Dumbbell external rotation</v>
      </c>
      <c r="BA59" s="5" t="str">
        <f t="array" ref="BA59">IFERROR(IF('T1'!$J59="",INDEX(LISTA_EX,51),INDEX(LISTA_EX,MATCH('T1'!$J59&amp;"|"&amp;51,LISTA_KLUCZ,0))),"")</f>
        <v>Dumbbell face down curl</v>
      </c>
      <c r="BB59" s="5" t="str">
        <f t="array" ref="BB59">IFERROR(IF('T1'!$J59="",INDEX(LISTA_EX,52),INDEX(LISTA_EX,MATCH('T1'!$J59&amp;"|"&amp;52,LISTA_KLUCZ,0))),"")</f>
        <v>Dumbbell fly</v>
      </c>
      <c r="BC59" s="5" t="str">
        <f t="array" ref="BC59">IFERROR(IF('T1'!$J59="",INDEX(LISTA_EX,53),INDEX(LISTA_EX,MATCH('T1'!$J59&amp;"|"&amp;53,LISTA_KLUCZ,0))),"")</f>
        <v>Dumbbell french press</v>
      </c>
      <c r="BD59" s="5" t="str">
        <f t="array" ref="BD59">IFERROR(IF('T1'!$J59="",INDEX(LISTA_EX,54),INDEX(LISTA_EX,MATCH('T1'!$J59&amp;"|"&amp;54,LISTA_KLUCZ,0))),"")</f>
        <v>Dumbbell lateral raise</v>
      </c>
      <c r="BE59" s="5" t="str">
        <f t="array" ref="BE59">IFERROR(IF('T1'!$J59="",INDEX(LISTA_EX,55),INDEX(LISTA_EX,MATCH('T1'!$J59&amp;"|"&amp;55,LISTA_KLUCZ,0))),"")</f>
        <v>Dumbbell lunges</v>
      </c>
      <c r="BF59" s="5" t="str">
        <f t="array" ref="BF59">IFERROR(IF('T1'!$J59="",INDEX(LISTA_EX,56),INDEX(LISTA_EX,MATCH('T1'!$J59&amp;"|"&amp;56,LISTA_KLUCZ,0))),"")</f>
        <v>Dumbbell OH press</v>
      </c>
      <c r="BG59" s="5" t="str">
        <f t="array" ref="BG59">IFERROR(IF('T1'!$J59="",INDEX(LISTA_EX,57),INDEX(LISTA_EX,MATCH('T1'!$J59&amp;"|"&amp;57,LISTA_KLUCZ,0))),"")</f>
        <v>Dumbbell over head press</v>
      </c>
      <c r="BH59" s="5" t="str">
        <f t="array" ref="BH59">IFERROR(IF('T1'!$J59="",INDEX(LISTA_EX,58),INDEX(LISTA_EX,MATCH('T1'!$J59&amp;"|"&amp;58,LISTA_KLUCZ,0))),"")</f>
        <v>Dumbbell over head press alternating</v>
      </c>
      <c r="BI59" s="5" t="str">
        <f t="array" ref="BI59">IFERROR(IF('T1'!$J59="",INDEX(LISTA_EX,59),INDEX(LISTA_EX,MATCH('T1'!$J59&amp;"|"&amp;59,LISTA_KLUCZ,0))),"")</f>
        <v>Dumbbell row</v>
      </c>
      <c r="BJ59" s="5" t="str">
        <f t="array" ref="BJ59">IFERROR(IF('T1'!$J59="",INDEX(LISTA_EX,60),INDEX(LISTA_EX,MATCH('T1'!$J59&amp;"|"&amp;60,LISTA_KLUCZ,0))),"")</f>
        <v>Dumbbell s/a Arnold press</v>
      </c>
      <c r="BK59" s="5" t="str">
        <f t="array" ref="BK59">IFERROR(IF('T1'!$J59="",INDEX(LISTA_EX,61),INDEX(LISTA_EX,MATCH('T1'!$J59&amp;"|"&amp;61,LISTA_KLUCZ,0))),"")</f>
        <v>Dumbbell s/a row</v>
      </c>
      <c r="BL59" s="5" t="str">
        <f t="array" ref="BL59">IFERROR(IF('T1'!$J59="",INDEX(LISTA_EX,62),INDEX(LISTA_EX,MATCH('T1'!$J59&amp;"|"&amp;62,LISTA_KLUCZ,0))),"")</f>
        <v>Dumbbell seal row</v>
      </c>
      <c r="BM59" s="5" t="str">
        <f t="array" ref="BM59">IFERROR(IF('T1'!$J59="",INDEX(LISTA_EX,63),INDEX(LISTA_EX,MATCH('T1'!$J59&amp;"|"&amp;63,LISTA_KLUCZ,0))),"")</f>
        <v>Dumbbells jumps</v>
      </c>
      <c r="BN59" s="5" t="str">
        <f t="array" ref="BN59">IFERROR(IF('T1'!$J59="",INDEX(LISTA_EX,64),INDEX(LISTA_EX,MATCH('T1'!$J59&amp;"|"&amp;64,LISTA_KLUCZ,0))),"")</f>
        <v>Eccentric pull up</v>
      </c>
      <c r="BO59" s="5" t="str">
        <f t="array" ref="BO59">IFERROR(IF('T1'!$J59="",INDEX(LISTA_EX,65),INDEX(LISTA_EX,MATCH('T1'!$J59&amp;"|"&amp;65,LISTA_KLUCZ,0))),"")</f>
        <v>Eccentric push up (5 sek w dół)</v>
      </c>
      <c r="BP59" s="5" t="str">
        <f t="array" ref="BP59">IFERROR(IF('T1'!$J59="",INDEX(LISTA_EX,66),INDEX(LISTA_EX,MATCH('T1'!$J59&amp;"|"&amp;66,LISTA_KLUCZ,0))),"")</f>
        <v>Extensive plyo jumps s/l</v>
      </c>
      <c r="BQ59" s="5" t="str">
        <f t="array" ref="BQ59">IFERROR(IF('T1'!$J59="",INDEX(LISTA_EX,67),INDEX(LISTA_EX,MATCH('T1'!$J59&amp;"|"&amp;67,LISTA_KLUCZ,0))),"")</f>
        <v>Ez bar curl</v>
      </c>
      <c r="BR59" s="5" t="str">
        <f t="array" ref="BR59">IFERROR(IF('T1'!$J59="",INDEX(LISTA_EX,68),INDEX(LISTA_EX,MATCH('T1'!$J59&amp;"|"&amp;68,LISTA_KLUCZ,0))),"")</f>
        <v>Facepull chest supported</v>
      </c>
      <c r="BS59" s="5" t="str">
        <f t="array" ref="BS59">IFERROR(IF('T1'!$J59="",INDEX(LISTA_EX,69),INDEX(LISTA_EX,MATCH('T1'!$J59&amp;"|"&amp;69,LISTA_KLUCZ,0))),"")</f>
        <v>Front foot elevated split squat</v>
      </c>
      <c r="BT59" s="5" t="str">
        <f t="array" ref="BT59">IFERROR(IF('T1'!$J59="",INDEX(LISTA_EX,70),INDEX(LISTA_EX,MATCH('T1'!$J59&amp;"|"&amp;70,LISTA_KLUCZ,0))),"")</f>
        <v>Front squat</v>
      </c>
      <c r="BU59" s="5" t="str">
        <f t="array" ref="BU59">IFERROR(IF('T1'!$J59="",INDEX(LISTA_EX,71),INDEX(LISTA_EX,MATCH('T1'!$J59&amp;"|"&amp;71,LISTA_KLUCZ,0))),"")</f>
        <v>GHD flexion</v>
      </c>
      <c r="BV59" s="5" t="str">
        <f t="array" ref="BV59">IFERROR(IF('T1'!$J59="",INDEX(LISTA_EX,72),INDEX(LISTA_EX,MATCH('T1'!$J59&amp;"|"&amp;72,LISTA_KLUCZ,0))),"")</f>
        <v>Glute bridge hamstrings izo + OH</v>
      </c>
      <c r="BW59" s="5" t="str">
        <f t="array" ref="BW59">IFERROR(IF('T1'!$J59="",INDEX(LISTA_EX,73),INDEX(LISTA_EX,MATCH('T1'!$J59&amp;"|"&amp;73,LISTA_KLUCZ,0))),"")</f>
        <v>Glute crusher</v>
      </c>
      <c r="BX59" s="5" t="str">
        <f t="array" ref="BX59">IFERROR(IF('T1'!$J59="",INDEX(LISTA_EX,74),INDEX(LISTA_EX,MATCH('T1'!$J59&amp;"|"&amp;74,LISTA_KLUCZ,0))),"")</f>
        <v>Gorilla row</v>
      </c>
      <c r="BY59" s="5" t="str">
        <f t="array" ref="BY59">IFERROR(IF('T1'!$J59="",INDEX(LISTA_EX,75),INDEX(LISTA_EX,MATCH('T1'!$J59&amp;"|"&amp;75,LISTA_KLUCZ,0))),"")</f>
        <v>Halfkneeling s/a cable pull</v>
      </c>
      <c r="BZ59" s="5" t="str">
        <f t="array" ref="BZ59">IFERROR(IF('T1'!$J59="",INDEX(LISTA_EX,76),INDEX(LISTA_EX,MATCH('T1'!$J59&amp;"|"&amp;76,LISTA_KLUCZ,0))),"")</f>
        <v>Halfkneeling wood chopper</v>
      </c>
      <c r="CA59" s="5" t="str">
        <f t="array" ref="CA59">IFERROR(IF('T1'!$J59="",INDEX(LISTA_EX,77),INDEX(LISTA_EX,MATCH('T1'!$J59&amp;"|"&amp;77,LISTA_KLUCZ,0))),"")</f>
        <v>Hinged dumbbell row</v>
      </c>
      <c r="CB59" s="5" t="str">
        <f t="array" ref="CB59">IFERROR(IF('T1'!$J59="",INDEX(LISTA_EX,78),INDEX(LISTA_EX,MATCH('T1'!$J59&amp;"|"&amp;78,LISTA_KLUCZ,0))),"")</f>
        <v>Hip aeroplane</v>
      </c>
      <c r="CC59" s="5" t="str">
        <f t="array" ref="CC59">IFERROR(IF('T1'!$J59="",INDEX(LISTA_EX,79),INDEX(LISTA_EX,MATCH('T1'!$J59&amp;"|"&amp;79,LISTA_KLUCZ,0))),"")</f>
        <v>Hip flexors cable</v>
      </c>
      <c r="CD59" s="5" t="str">
        <f t="array" ref="CD59">IFERROR(IF('T1'!$J59="",INDEX(LISTA_EX,80),INDEX(LISTA_EX,MATCH('T1'!$J59&amp;"|"&amp;80,LISTA_KLUCZ,0))),"")</f>
        <v>Hip thrust barbell</v>
      </c>
      <c r="CE59" s="5" t="str">
        <f t="array" ref="CE59">IFERROR(IF('T1'!$J59="",INDEX(LISTA_EX,81),INDEX(LISTA_EX,MATCH('T1'!$J59&amp;"|"&amp;81,LISTA_KLUCZ,0))),"")</f>
        <v>Hollow body + OH</v>
      </c>
      <c r="CF59" s="5" t="str">
        <f t="array" ref="CF59">IFERROR(IF('T1'!$J59="",INDEX(LISTA_EX,82),INDEX(LISTA_EX,MATCH('T1'!$J59&amp;"|"&amp;82,LISTA_KLUCZ,0))),"")</f>
        <v>Horizontal jump</v>
      </c>
      <c r="CG59" s="5" t="str">
        <f t="array" ref="CG59">IFERROR(IF('T1'!$J59="",INDEX(LISTA_EX,83),INDEX(LISTA_EX,MATCH('T1'!$J59&amp;"|"&amp;83,LISTA_KLUCZ,0))),"")</f>
        <v>Incline bench lateral raise s/a</v>
      </c>
      <c r="CH59" s="5" t="str">
        <f t="array" ref="CH59">IFERROR(IF('T1'!$J59="",INDEX(LISTA_EX,84),INDEX(LISTA_EX,MATCH('T1'!$J59&amp;"|"&amp;84,LISTA_KLUCZ,0))),"")</f>
        <v>Incline curl + OHP</v>
      </c>
      <c r="CI59" s="5" t="str">
        <f t="array" ref="CI59">IFERROR(IF('T1'!$J59="",INDEX(LISTA_EX,85),INDEX(LISTA_EX,MATCH('T1'!$J59&amp;"|"&amp;85,LISTA_KLUCZ,0))),"")</f>
        <v>Incline dumbbell curl</v>
      </c>
      <c r="CJ59" s="5" t="str">
        <f t="array" ref="CJ59">IFERROR(IF('T1'!$J59="",INDEX(LISTA_EX,86),INDEX(LISTA_EX,MATCH('T1'!$J59&amp;"|"&amp;86,LISTA_KLUCZ,0))),"")</f>
        <v>Incline dumbbell curl (back)</v>
      </c>
      <c r="CK59" s="5" t="str">
        <f t="array" ref="CK59">IFERROR(IF('T1'!$J59="",INDEX(LISTA_EX,87),INDEX(LISTA_EX,MATCH('T1'!$J59&amp;"|"&amp;87,LISTA_KLUCZ,0))),"")</f>
        <v>Incline dumbbell curl (front)</v>
      </c>
      <c r="CL59" s="5" t="str">
        <f t="array" ref="CL59">IFERROR(IF('T1'!$J59="",INDEX(LISTA_EX,88),INDEX(LISTA_EX,MATCH('T1'!$J59&amp;"|"&amp;88,LISTA_KLUCZ,0))),"")</f>
        <v>Incline dumbbell fly</v>
      </c>
      <c r="CM59" s="5" t="str">
        <f t="array" ref="CM59">IFERROR(IF('T1'!$J59="",INDEX(LISTA_EX,89),INDEX(LISTA_EX,MATCH('T1'!$J59&amp;"|"&amp;89,LISTA_KLUCZ,0))),"")</f>
        <v>Incline dumbbell press</v>
      </c>
      <c r="CN59" s="5" t="str">
        <f t="array" ref="CN59">IFERROR(IF('T1'!$J59="",INDEX(LISTA_EX,90),INDEX(LISTA_EX,MATCH('T1'!$J59&amp;"|"&amp;90,LISTA_KLUCZ,0))),"")</f>
        <v>Incline dumbbell press alternating</v>
      </c>
      <c r="CO59" s="5" t="str">
        <f t="array" ref="CO59">IFERROR(IF('T1'!$J59="",INDEX(LISTA_EX,91),INDEX(LISTA_EX,MATCH('T1'!$J59&amp;"|"&amp;91,LISTA_KLUCZ,0))),"")</f>
        <v>Incline sit-ups</v>
      </c>
      <c r="CP59" s="5" t="str">
        <f t="array" ref="CP59">IFERROR(IF('T1'!$J59="",INDEX(LISTA_EX,92),INDEX(LISTA_EX,MATCH('T1'!$J59&amp;"|"&amp;92,LISTA_KLUCZ,0))),"")</f>
        <v>Jefferson cable</v>
      </c>
      <c r="CQ59" s="5" t="str">
        <f t="array" ref="CQ59">IFERROR(IF('T1'!$J59="",INDEX(LISTA_EX,93),INDEX(LISTA_EX,MATCH('T1'!$J59&amp;"|"&amp;93,LISTA_KLUCZ,0))),"")</f>
        <v>Kettlebell march</v>
      </c>
      <c r="CR59" s="5" t="str">
        <f t="array" ref="CR59">IFERROR(IF('T1'!$J59="",INDEX(LISTA_EX,94),INDEX(LISTA_EX,MATCH('T1'!$J59&amp;"|"&amp;94,LISTA_KLUCZ,0))),"")</f>
        <v>Kickbacks</v>
      </c>
      <c r="CS59" s="5" t="str">
        <f t="array" ref="CS59">IFERROR(IF('T1'!$J59="",INDEX(LISTA_EX,95),INDEX(LISTA_EX,MATCH('T1'!$J59&amp;"|"&amp;95,LISTA_KLUCZ,0))),"")</f>
        <v>Knee extension machine</v>
      </c>
      <c r="CT59" s="5" t="str">
        <f t="array" ref="CT59">IFERROR(IF('T1'!$J59="",INDEX(LISTA_EX,96),INDEX(LISTA_EX,MATCH('T1'!$J59&amp;"|"&amp;96,LISTA_KLUCZ,0))),"")</f>
        <v>Knee flexion machine</v>
      </c>
      <c r="CU59" s="5" t="str">
        <f t="array" ref="CU59">IFERROR(IF('T1'!$J59="",INDEX(LISTA_EX,97),INDEX(LISTA_EX,MATCH('T1'!$J59&amp;"|"&amp;97,LISTA_KLUCZ,0))),"")</f>
        <v>Knee raises</v>
      </c>
      <c r="CV59" s="5" t="str">
        <f t="array" ref="CV59">IFERROR(IF('T1'!$J59="",INDEX(LISTA_EX,98),INDEX(LISTA_EX,MATCH('T1'!$J59&amp;"|"&amp;98,LISTA_KLUCZ,0))),"")</f>
        <v>Landmine core</v>
      </c>
      <c r="CW59" s="5" t="str">
        <f t="array" ref="CW59">IFERROR(IF('T1'!$J59="",INDEX(LISTA_EX,99),INDEX(LISTA_EX,MATCH('T1'!$J59&amp;"|"&amp;99,LISTA_KLUCZ,0))),"")</f>
        <v>Landmine press</v>
      </c>
      <c r="CX59" s="5" t="str">
        <f t="array" ref="CX59">IFERROR(IF('T1'!$J59="",INDEX(LISTA_EX,100),INDEX(LISTA_EX,MATCH('T1'!$J59&amp;"|"&amp;100,LISTA_KLUCZ,0))),"")</f>
        <v>Landmine rotations (powtórzenia x2)</v>
      </c>
      <c r="CY59" s="5" t="str">
        <f t="array" ref="CY59">IFERROR(IF('T1'!$J59="",INDEX(LISTA_EX,101),INDEX(LISTA_EX,MATCH('T1'!$J59&amp;"|"&amp;101,LISTA_KLUCZ,0))),"")</f>
        <v>Landmine SLDL</v>
      </c>
      <c r="CZ59" s="5" t="str">
        <f t="array" ref="CZ59">IFERROR(IF('T1'!$J59="",INDEX(LISTA_EX,102),INDEX(LISTA_EX,MATCH('T1'!$J59&amp;"|"&amp;102,LISTA_KLUCZ,0))),"")</f>
        <v>Lat pulldown</v>
      </c>
      <c r="DA59" s="5" t="str">
        <f t="array" ref="DA59">IFERROR(IF('T1'!$J59="",INDEX(LISTA_EX,103),INDEX(LISTA_EX,MATCH('T1'!$J59&amp;"|"&amp;103,LISTA_KLUCZ,0))),"")</f>
        <v>Lat pulldown behind the head</v>
      </c>
      <c r="DB59" s="5" t="str">
        <f t="array" ref="DB59">IFERROR(IF('T1'!$J59="",INDEX(LISTA_EX,104),INDEX(LISTA_EX,MATCH('T1'!$J59&amp;"|"&amp;104,LISTA_KLUCZ,0))),"")</f>
        <v>Lat pulldown s/a</v>
      </c>
      <c r="DC59" s="5" t="str">
        <f t="array" ref="DC59">IFERROR(IF('T1'!$J59="",INDEX(LISTA_EX,105),INDEX(LISTA_EX,MATCH('T1'!$J59&amp;"|"&amp;105,LISTA_KLUCZ,0))),"")</f>
        <v>Lateral raise s/a</v>
      </c>
      <c r="DD59" s="5" t="str">
        <f t="array" ref="DD59">IFERROR(IF('T1'!$J59="",INDEX(LISTA_EX,106),INDEX(LISTA_EX,MATCH('T1'!$J59&amp;"|"&amp;106,LISTA_KLUCZ,0))),"")</f>
        <v>Lateral raises</v>
      </c>
      <c r="DE59" s="5" t="str">
        <f t="array" ref="DE59">IFERROR(IF('T1'!$J59="",INDEX(LISTA_EX,107),INDEX(LISTA_EX,MATCH('T1'!$J59&amp;"|"&amp;107,LISTA_KLUCZ,0))),"")</f>
        <v>Lateral raises 2</v>
      </c>
      <c r="DF59" s="5" t="str">
        <f t="array" ref="DF59">IFERROR(IF('T1'!$J59="",INDEX(LISTA_EX,108),INDEX(LISTA_EX,MATCH('T1'!$J59&amp;"|"&amp;108,LISTA_KLUCZ,0))),"")</f>
        <v>Lateral raises full ROM</v>
      </c>
      <c r="DG59" s="5" t="str">
        <f t="array" ref="DG59">IFERROR(IF('T1'!$J59="",INDEX(LISTA_EX,109),INDEX(LISTA_EX,MATCH('T1'!$J59&amp;"|"&amp;109,LISTA_KLUCZ,0))),"")</f>
        <v>Lateral raises hinged</v>
      </c>
      <c r="DH59" s="5" t="str">
        <f t="array" ref="DH59">IFERROR(IF('T1'!$J59="",INDEX(LISTA_EX,110),INDEX(LISTA_EX,MATCH('T1'!$J59&amp;"|"&amp;110,LISTA_KLUCZ,0))),"")</f>
        <v>Lateral raises incline s/a</v>
      </c>
      <c r="DI59" s="5" t="str">
        <f t="array" ref="DI59">IFERROR(IF('T1'!$J59="",INDEX(LISTA_EX,111),INDEX(LISTA_EX,MATCH('T1'!$J59&amp;"|"&amp;111,LISTA_KLUCZ,0))),"")</f>
        <v>Leg curl</v>
      </c>
      <c r="DJ59" s="5" t="str">
        <f t="array" ref="DJ59">IFERROR(IF('T1'!$J59="",INDEX(LISTA_EX,112),INDEX(LISTA_EX,MATCH('T1'!$J59&amp;"|"&amp;112,LISTA_KLUCZ,0))),"")</f>
        <v>Machine row</v>
      </c>
      <c r="DK59" s="5" t="str">
        <f t="array" ref="DK59">IFERROR(IF('T1'!$J59="",INDEX(LISTA_EX,113),INDEX(LISTA_EX,MATCH('T1'!$J59&amp;"|"&amp;113,LISTA_KLUCZ,0))),"")</f>
        <v>Machine row s/a</v>
      </c>
      <c r="DL59" s="5" t="str">
        <f t="array" ref="DL59">IFERROR(IF('T1'!$J59="",INDEX(LISTA_EX,114),INDEX(LISTA_EX,MATCH('T1'!$J59&amp;"|"&amp;114,LISTA_KLUCZ,0))),"")</f>
        <v>Meadows row</v>
      </c>
      <c r="DM59" s="5" t="str">
        <f t="array" ref="DM59">IFERROR(IF('T1'!$J59="",INDEX(LISTA_EX,115),INDEX(LISTA_EX,MATCH('T1'!$J59&amp;"|"&amp;115,LISTA_KLUCZ,0))),"")</f>
        <v>Med ball slam</v>
      </c>
      <c r="DN59" s="5" t="str">
        <f t="array" ref="DN59">IFERROR(IF('T1'!$J59="",INDEX(LISTA_EX,116),INDEX(LISTA_EX,MATCH('T1'!$J59&amp;"|"&amp;116,LISTA_KLUCZ,0))),"")</f>
        <v>OH skullcrushers</v>
      </c>
      <c r="DO59" s="5" t="str">
        <f t="array" ref="DO59">IFERROR(IF('T1'!$J59="",INDEX(LISTA_EX,117),INDEX(LISTA_EX,MATCH('T1'!$J59&amp;"|"&amp;117,LISTA_KLUCZ,0))),"")</f>
        <v>OHP barbell squat 15kg</v>
      </c>
      <c r="DP59" s="5" t="str">
        <f t="array" ref="DP59">IFERROR(IF('T1'!$J59="",INDEX(LISTA_EX,118),INDEX(LISTA_EX,MATCH('T1'!$J59&amp;"|"&amp;118,LISTA_KLUCZ,0))),"")</f>
        <v>Pistol squat eccentric</v>
      </c>
      <c r="DQ59" s="5" t="str">
        <f t="array" ref="DQ59">IFERROR(IF('T1'!$J59="",INDEX(LISTA_EX,119),INDEX(LISTA_EX,MATCH('T1'!$J59&amp;"|"&amp;119,LISTA_KLUCZ,0))),"")</f>
        <v>Plank contralateral</v>
      </c>
      <c r="DR59" s="5" t="str">
        <f t="array" ref="DR59">IFERROR(IF('T1'!$J59="",INDEX(LISTA_EX,120),INDEX(LISTA_EX,MATCH('T1'!$J59&amp;"|"&amp;120,LISTA_KLUCZ,0))),"")</f>
        <v>Plank dumbbell rotation</v>
      </c>
      <c r="DS59" s="5" t="str">
        <f t="array" ref="DS59">IFERROR(IF('T1'!$J59="",INDEX(LISTA_EX,121),INDEX(LISTA_EX,MATCH('T1'!$J59&amp;"|"&amp;121,LISTA_KLUCZ,0))),"")</f>
        <v>Plank leg raises</v>
      </c>
      <c r="DT59" s="5" t="str">
        <f t="array" ref="DT59">IFERROR(IF('T1'!$J59="",INDEX(LISTA_EX,122),INDEX(LISTA_EX,MATCH('T1'!$J59&amp;"|"&amp;122,LISTA_KLUCZ,0))),"")</f>
        <v>Poliquin step up</v>
      </c>
      <c r="DU59" s="5" t="str">
        <f t="array" ref="DU59">IFERROR(IF('T1'!$J59="",INDEX(LISTA_EX,123),INDEX(LISTA_EX,MATCH('T1'!$J59&amp;"|"&amp;123,LISTA_KLUCZ,0))),"")</f>
        <v>Poliquin step up paused 3sec</v>
      </c>
      <c r="DV59" s="5" t="str">
        <f t="array" ref="DV59">IFERROR(IF('T1'!$J59="",INDEX(LISTA_EX,124),INDEX(LISTA_EX,MATCH('T1'!$J59&amp;"|"&amp;124,LISTA_KLUCZ,0))),"")</f>
        <v>Pronation/Supination</v>
      </c>
      <c r="DW59" s="5" t="str">
        <f t="array" ref="DW59">IFERROR(IF('T1'!$J59="",INDEX(LISTA_EX,125),INDEX(LISTA_EX,MATCH('T1'!$J59&amp;"|"&amp;125,LISTA_KLUCZ,0))),"")</f>
        <v>Pull up</v>
      </c>
      <c r="DX59" s="5" t="str">
        <f t="array" ref="DX59">IFERROR(IF('T1'!$J59="",INDEX(LISTA_EX,126),INDEX(LISTA_EX,MATCH('T1'!$J59&amp;"|"&amp;126,LISTA_KLUCZ,0))),"")</f>
        <v>Pull up eccentric weighted</v>
      </c>
      <c r="DY59" s="5" t="str">
        <f t="array" ref="DY59">IFERROR(IF('T1'!$J59="",INDEX(LISTA_EX,127),INDEX(LISTA_EX,MATCH('T1'!$J59&amp;"|"&amp;127,LISTA_KLUCZ,0))),"")</f>
        <v>Pull up eccentric weighted (5 sek w dół)</v>
      </c>
      <c r="DZ59" s="5" t="str">
        <f t="array" ref="DZ59">IFERROR(IF('T1'!$J59="",INDEX(LISTA_EX,128),INDEX(LISTA_EX,MATCH('T1'!$J59&amp;"|"&amp;128,LISTA_KLUCZ,0))),"")</f>
        <v>Pull up weighted</v>
      </c>
      <c r="EA59" s="5" t="str">
        <f t="array" ref="EA59">IFERROR(IF('T1'!$J59="",INDEX(LISTA_EX,129),INDEX(LISTA_EX,MATCH('T1'!$J59&amp;"|"&amp;129,LISTA_KLUCZ,0))),"")</f>
        <v>Pull ups (paused)</v>
      </c>
      <c r="EB59" s="5" t="str">
        <f t="array" ref="EB59">IFERROR(IF('T1'!$J59="",INDEX(LISTA_EX,130),INDEX(LISTA_EX,MATCH('T1'!$J59&amp;"|"&amp;130,LISTA_KLUCZ,0))),"")</f>
        <v>Push press barbell</v>
      </c>
      <c r="EC59" s="5" t="str">
        <f t="array" ref="EC59">IFERROR(IF('T1'!$J59="",INDEX(LISTA_EX,131),INDEX(LISTA_EX,MATCH('T1'!$J59&amp;"|"&amp;131,LISTA_KLUCZ,0))),"")</f>
        <v>Push up</v>
      </c>
      <c r="ED59" s="5" t="str">
        <f t="array" ref="ED59">IFERROR(IF('T1'!$J59="",INDEX(LISTA_EX,132),INDEX(LISTA_EX,MATCH('T1'!$J59&amp;"|"&amp;132,LISTA_KLUCZ,0))),"")</f>
        <v>Raised bird dog</v>
      </c>
      <c r="EE59" s="5" t="str">
        <f t="array" ref="EE59">IFERROR(IF('T1'!$J59="",INDEX(LISTA_EX,133),INDEX(LISTA_EX,MATCH('T1'!$J59&amp;"|"&amp;133,LISTA_KLUCZ,0))),"")</f>
        <v>RDL</v>
      </c>
      <c r="EF59" s="5" t="str">
        <f t="array" ref="EF59">IFERROR(IF('T1'!$J59="",INDEX(LISTA_EX,134),INDEX(LISTA_EX,MATCH('T1'!$J59&amp;"|"&amp;134,LISTA_KLUCZ,0))),"")</f>
        <v>Reverse Nordic</v>
      </c>
      <c r="EG59" s="5" t="str">
        <f t="array" ref="EG59">IFERROR(IF('T1'!$J59="",INDEX(LISTA_EX,135),INDEX(LISTA_EX,MATCH('T1'!$J59&amp;"|"&amp;135,LISTA_KLUCZ,0))),"")</f>
        <v>Rope pushdown</v>
      </c>
      <c r="EH59" s="5" t="str">
        <f t="array" ref="EH59">IFERROR(IF('T1'!$J59="",INDEX(LISTA_EX,136),INDEX(LISTA_EX,MATCH('T1'!$J59&amp;"|"&amp;136,LISTA_KLUCZ,0))),"")</f>
        <v>Rope pushdown OH</v>
      </c>
      <c r="EI59" s="5" t="str">
        <f t="array" ref="EI59">IFERROR(IF('T1'!$J59="",INDEX(LISTA_EX,137),INDEX(LISTA_EX,MATCH('T1'!$J59&amp;"|"&amp;137,LISTA_KLUCZ,0))),"")</f>
        <v>S/a cable pulldown incline bench</v>
      </c>
      <c r="EJ59" s="5" t="str">
        <f t="array" ref="EJ59">IFERROR(IF('T1'!$J59="",INDEX(LISTA_EX,138),INDEX(LISTA_EX,MATCH('T1'!$J59&amp;"|"&amp;138,LISTA_KLUCZ,0))),"")</f>
        <v>S/a lat pulldown incline bench</v>
      </c>
      <c r="EK59" s="5" t="str">
        <f t="array" ref="EK59">IFERROR(IF('T1'!$J59="",INDEX(LISTA_EX,139),INDEX(LISTA_EX,MATCH('T1'!$J59&amp;"|"&amp;139,LISTA_KLUCZ,0))),"")</f>
        <v>S/l dragonflag eccentric</v>
      </c>
      <c r="EL59" s="5" t="str">
        <f t="array" ref="EL59">IFERROR(IF('T1'!$J59="",INDEX(LISTA_EX,140),INDEX(LISTA_EX,MATCH('T1'!$J59&amp;"|"&amp;140,LISTA_KLUCZ,0))),"")</f>
        <v>S/l hip thrust</v>
      </c>
      <c r="EM59" s="5" t="str">
        <f t="array" ref="EM59">IFERROR(IF('T1'!$J59="",INDEX(LISTA_EX,141),INDEX(LISTA_EX,MATCH('T1'!$J59&amp;"|"&amp;141,LISTA_KLUCZ,0))),"")</f>
        <v>Seated broad jump</v>
      </c>
      <c r="EN59" s="5" t="str">
        <f t="array" ref="EN59">IFERROR(IF('T1'!$J59="",INDEX(LISTA_EX,142),INDEX(LISTA_EX,MATCH('T1'!$J59&amp;"|"&amp;142,LISTA_KLUCZ,0))),"")</f>
        <v>Seated cable facepull</v>
      </c>
      <c r="EO59" s="5" t="str">
        <f t="array" ref="EO59">IFERROR(IF('T1'!$J59="",INDEX(LISTA_EX,143),INDEX(LISTA_EX,MATCH('T1'!$J59&amp;"|"&amp;143,LISTA_KLUCZ,0))),"")</f>
        <v>Seated seesaw press (nogi proste)</v>
      </c>
      <c r="EP59" s="5" t="str">
        <f t="array" ref="EP59">IFERROR(IF('T1'!$J59="",INDEX(LISTA_EX,144),INDEX(LISTA_EX,MATCH('T1'!$J59&amp;"|"&amp;144,LISTA_KLUCZ,0))),"")</f>
        <v>Seesaw press</v>
      </c>
      <c r="EQ59" s="5" t="str">
        <f t="array" ref="EQ59">IFERROR(IF('T1'!$J59="",INDEX(LISTA_EX,145),INDEX(LISTA_EX,MATCH('T1'!$J59&amp;"|"&amp;145,LISTA_KLUCZ,0))),"")</f>
        <v>Side crunches</v>
      </c>
      <c r="ER59" s="5" t="str">
        <f t="array" ref="ER59">IFERROR(IF('T1'!$J59="",INDEX(LISTA_EX,146),INDEX(LISTA_EX,MATCH('T1'!$J59&amp;"|"&amp;146,LISTA_KLUCZ,0))),"")</f>
        <v>Side plank hip drop</v>
      </c>
      <c r="ES59" s="5" t="str">
        <f t="array" ref="ES59">IFERROR(IF('T1'!$J59="",INDEX(LISTA_EX,147),INDEX(LISTA_EX,MATCH('T1'!$J59&amp;"|"&amp;147,LISTA_KLUCZ,0))),"")</f>
        <v>Side plank rotations</v>
      </c>
      <c r="ET59" s="5" t="str">
        <f t="array" ref="ET59">IFERROR(IF('T1'!$J59="",INDEX(LISTA_EX,148),INDEX(LISTA_EX,MATCH('T1'!$J59&amp;"|"&amp;148,LISTA_KLUCZ,0))),"")</f>
        <v>SLDL balance</v>
      </c>
      <c r="EU59" s="5" t="str">
        <f t="array" ref="EU59">IFERROR(IF('T1'!$J59="",INDEX(LISTA_EX,149),INDEX(LISTA_EX,MATCH('T1'!$J59&amp;"|"&amp;149,LISTA_KLUCZ,0))),"")</f>
        <v>Split squat</v>
      </c>
      <c r="EV59" s="5" t="str">
        <f t="array" ref="EV59">IFERROR(IF('T1'!$J59="",INDEX(LISTA_EX,150),INDEX(LISTA_EX,MATCH('T1'!$J59&amp;"|"&amp;150,LISTA_KLUCZ,0))),"")</f>
        <v>Split stance SLDL</v>
      </c>
      <c r="EW59" s="5" t="str">
        <f t="array" ref="EW59">IFERROR(IF('T1'!$J59="",INDEX(LISTA_EX,151),INDEX(LISTA_EX,MATCH('T1'!$J59&amp;"|"&amp;151,LISTA_KLUCZ,0))),"")</f>
        <v>Squat izo (15 sek)</v>
      </c>
      <c r="EX59" s="5" t="str">
        <f t="array" ref="EX59">IFERROR(IF('T1'!$J59="",INDEX(LISTA_EX,152),INDEX(LISTA_EX,MATCH('T1'!$J59&amp;"|"&amp;152,LISTA_KLUCZ,0))),"")</f>
        <v>Standing landmine press</v>
      </c>
      <c r="EY59" s="5" t="str">
        <f t="array" ref="EY59">IFERROR(IF('T1'!$J59="",INDEX(LISTA_EX,153),INDEX(LISTA_EX,MATCH('T1'!$J59&amp;"|"&amp;153,LISTA_KLUCZ,0))),"")</f>
        <v>Suitcase carry</v>
      </c>
      <c r="EZ59" s="5" t="str">
        <f t="array" ref="EZ59">IFERROR(IF('T1'!$J59="",INDEX(LISTA_EX,154),INDEX(LISTA_EX,MATCH('T1'!$J59&amp;"|"&amp;154,LISTA_KLUCZ,0))),"")</f>
        <v>Supine pigeon abs</v>
      </c>
      <c r="FA59" s="5" t="str">
        <f t="array" ref="FA59">IFERROR(IF('T1'!$J59="",INDEX(LISTA_EX,155),INDEX(LISTA_EX,MATCH('T1'!$J59&amp;"|"&amp;155,LISTA_KLUCZ,0))),"")</f>
        <v>Swiss ball leg curl</v>
      </c>
      <c r="FB59" s="5" t="str">
        <f t="array" ref="FB59">IFERROR(IF('T1'!$J59="",INDEX(LISTA_EX,156),INDEX(LISTA_EX,MATCH('T1'!$J59&amp;"|"&amp;156,LISTA_KLUCZ,0))),"")</f>
        <v>Toes to bar</v>
      </c>
      <c r="FC59" s="5" t="str">
        <f t="array" ref="FC59">IFERROR(IF('T1'!$J59="",INDEX(LISTA_EX,157),INDEX(LISTA_EX,MATCH('T1'!$J59&amp;"|"&amp;157,LISTA_KLUCZ,0))),"")</f>
        <v>Trap bar deadlift</v>
      </c>
      <c r="FD59" s="5" t="str">
        <f t="array" ref="FD59">IFERROR(IF('T1'!$J59="",INDEX(LISTA_EX,158),INDEX(LISTA_EX,MATCH('T1'!$J59&amp;"|"&amp;158,LISTA_KLUCZ,0))),"")</f>
        <v>Tricep cable pushdown</v>
      </c>
      <c r="FE59" s="5" t="str">
        <f t="array" ref="FE59">IFERROR(IF('T1'!$J59="",INDEX(LISTA_EX,159),INDEX(LISTA_EX,MATCH('T1'!$J59&amp;"|"&amp;159,LISTA_KLUCZ,0))),"")</f>
        <v>Tricep JM press</v>
      </c>
      <c r="FF59" s="5" t="str">
        <f t="array" ref="FF59">IFERROR(IF('T1'!$J59="",INDEX(LISTA_EX,160),INDEX(LISTA_EX,MATCH('T1'!$J59&amp;"|"&amp;160,LISTA_KLUCZ,0))),"")</f>
        <v>Tricep OH cable</v>
      </c>
      <c r="FG59" s="5" t="str">
        <f t="array" ref="FG59">IFERROR(IF('T1'!$J59="",INDEX(LISTA_EX,161),INDEX(LISTA_EX,MATCH('T1'!$J59&amp;"|"&amp;161,LISTA_KLUCZ,0))),"")</f>
        <v>Tricep OH ez bar</v>
      </c>
      <c r="FH59" s="5" t="str">
        <f t="array" ref="FH59">IFERROR(IF('T1'!$J59="",INDEX(LISTA_EX,162),INDEX(LISTA_EX,MATCH('T1'!$J59&amp;"|"&amp;162,LISTA_KLUCZ,0))),"")</f>
        <v>Walking lunges</v>
      </c>
      <c r="FI59" s="5" t="str">
        <f t="array" ref="FI59">IFERROR(IF('T1'!$J59="",INDEX(LISTA_EX,163),INDEX(LISTA_EX,MATCH('T1'!$J59&amp;"|"&amp;163,LISTA_KLUCZ,0))),"")</f>
        <v>Wipers kettle</v>
      </c>
      <c r="FJ59" s="5" t="str">
        <f t="array" ref="FJ59">IFERROR(IF('T1'!$J59="",INDEX(LISTA_EX,164),INDEX(LISTA_EX,MATCH('T1'!$J59&amp;"|"&amp;164,LISTA_KLUCZ,0))),"")</f>
        <v>Zercher jumps</v>
      </c>
      <c r="FK59" s="5" t="str">
        <f t="array" ref="FK59">IFERROR(IF('T1'!$J59="",INDEX(LISTA_EX,165),INDEX(LISTA_EX,MATCH('T1'!$J59&amp;"|"&amp;165,LISTA_KLUCZ,0))),"")</f>
        <v/>
      </c>
      <c r="FL59" s="5" t="str">
        <f t="array" ref="FL59">IFERROR(IF('T1'!$J59="",INDEX(LISTA_EX,166),INDEX(LISTA_EX,MATCH('T1'!$J59&amp;"|"&amp;166,LISTA_KLUCZ,0))),"")</f>
        <v/>
      </c>
      <c r="FM59" s="5" t="str">
        <f t="array" ref="FM59">IFERROR(IF('T1'!$J59="",INDEX(LISTA_EX,167),INDEX(LISTA_EX,MATCH('T1'!$J59&amp;"|"&amp;167,LISTA_KLUCZ,0))),"")</f>
        <v/>
      </c>
      <c r="FN59" s="5" t="str">
        <f t="array" ref="FN59">IFERROR(IF('T1'!$J59="",INDEX(LISTA_EX,168),INDEX(LISTA_EX,MATCH('T1'!$J59&amp;"|"&amp;168,LISTA_KLUCZ,0))),"")</f>
        <v/>
      </c>
      <c r="FO59" s="5" t="str">
        <f t="array" ref="FO59">IFERROR(IF('T1'!$J59="",INDEX(LISTA_EX,169),INDEX(LISTA_EX,MATCH('T1'!$J59&amp;"|"&amp;169,LISTA_KLUCZ,0))),"")</f>
        <v/>
      </c>
      <c r="FP59" s="5" t="str">
        <f t="array" ref="FP59">IFERROR(IF('T1'!$J59="",INDEX(LISTA_EX,170),INDEX(LISTA_EX,MATCH('T1'!$J59&amp;"|"&amp;170,LISTA_KLUCZ,0))),"")</f>
        <v/>
      </c>
      <c r="FQ59" s="5" t="str">
        <f t="array" ref="FQ59">IFERROR(IF('T1'!$J59="",INDEX(LISTA_EX,171),INDEX(LISTA_EX,MATCH('T1'!$J59&amp;"|"&amp;171,LISTA_KLUCZ,0))),"")</f>
        <v/>
      </c>
      <c r="FR59" s="5" t="str">
        <f t="array" ref="FR59">IFERROR(IF('T1'!$J59="",INDEX(LISTA_EX,172),INDEX(LISTA_EX,MATCH('T1'!$J59&amp;"|"&amp;172,LISTA_KLUCZ,0))),"")</f>
        <v/>
      </c>
      <c r="FS59" s="5" t="str">
        <f t="array" ref="FS59">IFERROR(IF('T1'!$J59="",INDEX(LISTA_EX,173),INDEX(LISTA_EX,MATCH('T1'!$J59&amp;"|"&amp;173,LISTA_KLUCZ,0))),"")</f>
        <v/>
      </c>
      <c r="FT59" s="5" t="str">
        <f t="array" ref="FT59">IFERROR(IF('T1'!$J59="",INDEX(LISTA_EX,174),INDEX(LISTA_EX,MATCH('T1'!$J59&amp;"|"&amp;174,LISTA_KLUCZ,0))),"")</f>
        <v/>
      </c>
      <c r="FU59" s="5" t="str">
        <f t="array" ref="FU59">IFERROR(IF('T1'!$J59="",INDEX(LISTA_EX,175),INDEX(LISTA_EX,MATCH('T1'!$J59&amp;"|"&amp;175,LISTA_KLUCZ,0))),"")</f>
        <v/>
      </c>
      <c r="FV59" s="5" t="str">
        <f t="array" ref="FV59">IFERROR(IF('T1'!$J59="",INDEX(LISTA_EX,176),INDEX(LISTA_EX,MATCH('T1'!$J59&amp;"|"&amp;176,LISTA_KLUCZ,0))),"")</f>
        <v/>
      </c>
      <c r="FW59" s="5" t="str">
        <f t="array" ref="FW59">IFERROR(IF('T1'!$J59="",INDEX(LISTA_EX,177),INDEX(LISTA_EX,MATCH('T1'!$J59&amp;"|"&amp;177,LISTA_KLUCZ,0))),"")</f>
        <v/>
      </c>
      <c r="FX59" s="5" t="str">
        <f t="array" ref="FX59">IFERROR(IF('T1'!$J59="",INDEX(LISTA_EX,178),INDEX(LISTA_EX,MATCH('T1'!$J59&amp;"|"&amp;178,LISTA_KLUCZ,0))),"")</f>
        <v/>
      </c>
      <c r="FY59" s="5" t="str">
        <f t="array" ref="FY59">IFERROR(IF('T1'!$J59="",INDEX(LISTA_EX,179),INDEX(LISTA_EX,MATCH('T1'!$J59&amp;"|"&amp;179,LISTA_KLUCZ,0))),"")</f>
        <v/>
      </c>
      <c r="FZ59" s="5" t="str">
        <f t="array" ref="FZ59">IFERROR(IF('T1'!$J59="",INDEX(LISTA_EX,180),INDEX(LISTA_EX,MATCH('T1'!$J59&amp;"|"&amp;180,LISTA_KLUCZ,0))),"")</f>
        <v/>
      </c>
      <c r="GA59" s="5" t="str">
        <f t="array" ref="GA59">IFERROR(IF('T1'!$J59="",INDEX(LISTA_EX,181),INDEX(LISTA_EX,MATCH('T1'!$J59&amp;"|"&amp;181,LISTA_KLUCZ,0))),"")</f>
        <v/>
      </c>
      <c r="GB59" s="5" t="str">
        <f t="array" ref="GB59">IFERROR(IF('T1'!$J59="",INDEX(LISTA_EX,182),INDEX(LISTA_EX,MATCH('T1'!$J59&amp;"|"&amp;182,LISTA_KLUCZ,0))),"")</f>
        <v/>
      </c>
      <c r="GC59" s="5" t="str">
        <f t="array" ref="GC59">IFERROR(IF('T1'!$J59="",INDEX(LISTA_EX,183),INDEX(LISTA_EX,MATCH('T1'!$J59&amp;"|"&amp;183,LISTA_KLUCZ,0))),"")</f>
        <v/>
      </c>
      <c r="GD59" s="5" t="str">
        <f t="array" ref="GD59">IFERROR(IF('T1'!$J59="",INDEX(LISTA_EX,184),INDEX(LISTA_EX,MATCH('T1'!$J59&amp;"|"&amp;184,LISTA_KLUCZ,0))),"")</f>
        <v/>
      </c>
      <c r="GE59" s="5" t="str">
        <f t="array" ref="GE59">IFERROR(IF('T1'!$J59="",INDEX(LISTA_EX,185),INDEX(LISTA_EX,MATCH('T1'!$J59&amp;"|"&amp;185,LISTA_KLUCZ,0))),"")</f>
        <v/>
      </c>
      <c r="GF59" s="5" t="str">
        <f t="array" ref="GF59">IFERROR(IF('T1'!$J59="",INDEX(LISTA_EX,186),INDEX(LISTA_EX,MATCH('T1'!$J59&amp;"|"&amp;186,LISTA_KLUCZ,0))),"")</f>
        <v/>
      </c>
      <c r="GG59" s="5" t="str">
        <f t="array" ref="GG59">IFERROR(IF('T1'!$J59="",INDEX(LISTA_EX,187),INDEX(LISTA_EX,MATCH('T1'!$J59&amp;"|"&amp;187,LISTA_KLUCZ,0))),"")</f>
        <v/>
      </c>
      <c r="GH59" s="5" t="str">
        <f t="array" ref="GH59">IFERROR(IF('T1'!$J59="",INDEX(LISTA_EX,188),INDEX(LISTA_EX,MATCH('T1'!$J59&amp;"|"&amp;188,LISTA_KLUCZ,0))),"")</f>
        <v/>
      </c>
      <c r="GI59" s="5" t="str">
        <f t="array" ref="GI59">IFERROR(IF('T1'!$J59="",INDEX(LISTA_EX,189),INDEX(LISTA_EX,MATCH('T1'!$J59&amp;"|"&amp;189,LISTA_KLUCZ,0))),"")</f>
        <v/>
      </c>
      <c r="GJ59" s="5" t="str">
        <f t="array" ref="GJ59">IFERROR(IF('T1'!$J59="",INDEX(LISTA_EX,190),INDEX(LISTA_EX,MATCH('T1'!$J59&amp;"|"&amp;190,LISTA_KLUCZ,0))),"")</f>
        <v/>
      </c>
      <c r="GK59" s="5" t="str">
        <f t="array" ref="GK59">IFERROR(IF('T1'!$J59="",INDEX(LISTA_EX,191),INDEX(LISTA_EX,MATCH('T1'!$J59&amp;"|"&amp;191,LISTA_KLUCZ,0))),"")</f>
        <v/>
      </c>
      <c r="GL59" s="5" t="str">
        <f t="array" ref="GL59">IFERROR(IF('T1'!$J59="",INDEX(LISTA_EX,192),INDEX(LISTA_EX,MATCH('T1'!$J59&amp;"|"&amp;192,LISTA_KLUCZ,0))),"")</f>
        <v/>
      </c>
      <c r="GM59" s="5" t="str">
        <f t="array" ref="GM59">IFERROR(IF('T1'!$J59="",INDEX(LISTA_EX,193),INDEX(LISTA_EX,MATCH('T1'!$J59&amp;"|"&amp;193,LISTA_KLUCZ,0))),"")</f>
        <v/>
      </c>
      <c r="GN59" s="5" t="str">
        <f t="array" ref="GN59">IFERROR(IF('T1'!$J59="",INDEX(LISTA_EX,194),INDEX(LISTA_EX,MATCH('T1'!$J59&amp;"|"&amp;194,LISTA_KLUCZ,0))),"")</f>
        <v/>
      </c>
      <c r="GO59" s="5" t="str">
        <f t="array" ref="GO59">IFERROR(IF('T1'!$J59="",INDEX(LISTA_EX,195),INDEX(LISTA_EX,MATCH('T1'!$J59&amp;"|"&amp;195,LISTA_KLUCZ,0))),"")</f>
        <v/>
      </c>
      <c r="GP59" s="5" t="str">
        <f t="array" ref="GP59">IFERROR(IF('T1'!$J59="",INDEX(LISTA_EX,196),INDEX(LISTA_EX,MATCH('T1'!$J59&amp;"|"&amp;196,LISTA_KLUCZ,0))),"")</f>
        <v/>
      </c>
      <c r="GQ59" s="5" t="str">
        <f t="array" ref="GQ59">IFERROR(IF('T1'!$J59="",INDEX(LISTA_EX,197),INDEX(LISTA_EX,MATCH('T1'!$J59&amp;"|"&amp;197,LISTA_KLUCZ,0))),"")</f>
        <v/>
      </c>
      <c r="GR59" s="5" t="str">
        <f t="array" ref="GR59">IFERROR(IF('T1'!$J59="",INDEX(LISTA_EX,198),INDEX(LISTA_EX,MATCH('T1'!$J59&amp;"|"&amp;198,LISTA_KLUCZ,0))),"")</f>
        <v/>
      </c>
      <c r="GS59" s="5" t="str">
        <f t="array" ref="GS59">IFERROR(IF('T1'!$J59="",INDEX(LISTA_EX,199),INDEX(LISTA_EX,MATCH('T1'!$J59&amp;"|"&amp;199,LISTA_KLUCZ,0))),"")</f>
        <v/>
      </c>
      <c r="GT59" s="5" t="str">
        <f t="array" ref="GT59">IFERROR(IF('T1'!$J59="",INDEX(LISTA_EX,200),INDEX(LISTA_EX,MATCH('T1'!$J59&amp;"|"&amp;200,LISTA_KLUCZ,0))),"")</f>
        <v/>
      </c>
      <c r="GV59" s="5" t="str">
        <f>IF(BAZA!$A59="","",BAZA!$A59)</f>
        <v>Dumbbell over head press</v>
      </c>
      <c r="GW59" s="5" t="str">
        <f>IF(BAZA!$B59="","",BAZA!$B59&amp;"|"&amp;COUNTIF(BAZA!$B$3:$B59,BAZA!$B59))</f>
        <v>Upper push vertical|6</v>
      </c>
    </row>
    <row r="60" ht="15.0" customHeight="1">
      <c r="A60" s="5" t="str">
        <f>IF('T1'!$K60="","",'T1'!$K60)</f>
        <v>D4-S06</v>
      </c>
      <c r="B60" s="5" t="str">
        <f>IF('T1'!$J60="","(wszystkie)",'T1'!$J60)</f>
        <v>(wszystkie)</v>
      </c>
      <c r="C60" s="5" t="str">
        <f t="array" ref="C60">IFERROR(IF('T1'!$J60="",INDEX(LISTA_EX,1),INDEX(LISTA_EX,MATCH('T1'!$J60&amp;"|"&amp;1,LISTA_KLUCZ,0))),"")</f>
        <v>Abduction machine</v>
      </c>
      <c r="D60" s="5" t="str">
        <f t="array" ref="D60">IFERROR(IF('T1'!$J60="",INDEX(LISTA_EX,2),INDEX(LISTA_EX,MATCH('T1'!$J60&amp;"|"&amp;2,LISTA_KLUCZ,0))),"")</f>
        <v>Adduction machine</v>
      </c>
      <c r="E60" s="5" t="str">
        <f t="array" ref="E60">IFERROR(IF('T1'!$J60="",INDEX(LISTA_EX,3),INDEX(LISTA_EX,MATCH('T1'!$J60&amp;"|"&amp;3,LISTA_KLUCZ,0))),"")</f>
        <v>Allah</v>
      </c>
      <c r="F60" s="5" t="str">
        <f t="array" ref="F60">IFERROR(IF('T1'!$J60="",INDEX(LISTA_EX,4),INDEX(LISTA_EX,MATCH('T1'!$J60&amp;"|"&amp;4,LISTA_KLUCZ,0))),"")</f>
        <v>Arnold press</v>
      </c>
      <c r="G60" s="5" t="str">
        <f t="array" ref="G60">IFERROR(IF('T1'!$J60="",INDEX(LISTA_EX,5),INDEX(LISTA_EX,MATCH('T1'!$J60&amp;"|"&amp;5,LISTA_KLUCZ,0))),"")</f>
        <v>Arnold press alternating</v>
      </c>
      <c r="H60" s="5" t="str">
        <f t="array" ref="H60">IFERROR(IF('T1'!$J60="",INDEX(LISTA_EX,6),INDEX(LISTA_EX,MATCH('T1'!$J60&amp;"|"&amp;6,LISTA_KLUCZ,0))),"")</f>
        <v>B/l dragonflag eccentric</v>
      </c>
      <c r="I60" s="5" t="str">
        <f t="array" ref="I60">IFERROR(IF('T1'!$J60="",INDEX(LISTA_EX,7),INDEX(LISTA_EX,MATCH('T1'!$J60&amp;"|"&amp;7,LISTA_KLUCZ,0))),"")</f>
        <v>Back extension</v>
      </c>
      <c r="J60" s="5" t="str">
        <f t="array" ref="J60">IFERROR(IF('T1'!$J60="",INDEX(LISTA_EX,8),INDEX(LISTA_EX,MATCH('T1'!$J60&amp;"|"&amp;8,LISTA_KLUCZ,0))),"")</f>
        <v>Banded pistol squat</v>
      </c>
      <c r="K60" s="5" t="str">
        <f t="array" ref="K60">IFERROR(IF('T1'!$J60="",INDEX(LISTA_EX,9),INDEX(LISTA_EX,MATCH('T1'!$J60&amp;"|"&amp;9,LISTA_KLUCZ,0))),"")</f>
        <v>Banded pull ups</v>
      </c>
      <c r="L60" s="5" t="str">
        <f t="array" ref="L60">IFERROR(IF('T1'!$J60="",INDEX(LISTA_EX,10),INDEX(LISTA_EX,MATCH('T1'!$J60&amp;"|"&amp;10,LISTA_KLUCZ,0))),"")</f>
        <v>Barbell back squat</v>
      </c>
      <c r="M60" s="5" t="str">
        <f t="array" ref="M60">IFERROR(IF('T1'!$J60="",INDEX(LISTA_EX,11),INDEX(LISTA_EX,MATCH('T1'!$J60&amp;"|"&amp;11,LISTA_KLUCZ,0))),"")</f>
        <v>Barbell bench press</v>
      </c>
      <c r="N60" s="5" t="str">
        <f t="array" ref="N60">IFERROR(IF('T1'!$J60="",INDEX(LISTA_EX,12),INDEX(LISTA_EX,MATCH('T1'!$J60&amp;"|"&amp;12,LISTA_KLUCZ,0))),"")</f>
        <v>Barbell curl</v>
      </c>
      <c r="O60" s="5" t="str">
        <f t="array" ref="O60">IFERROR(IF('T1'!$J60="",INDEX(LISTA_EX,13),INDEX(LISTA_EX,MATCH('T1'!$J60&amp;"|"&amp;13,LISTA_KLUCZ,0))),"")</f>
        <v>Barbell low bar squat</v>
      </c>
      <c r="P60" s="5" t="str">
        <f t="array" ref="P60">IFERROR(IF('T1'!$J60="",INDEX(LISTA_EX,14),INDEX(LISTA_EX,MATCH('T1'!$J60&amp;"|"&amp;14,LISTA_KLUCZ,0))),"")</f>
        <v>Barbell OHP</v>
      </c>
      <c r="Q60" s="5" t="str">
        <f t="array" ref="Q60">IFERROR(IF('T1'!$J60="",INDEX(LISTA_EX,15),INDEX(LISTA_EX,MATCH('T1'!$J60&amp;"|"&amp;15,LISTA_KLUCZ,0))),"")</f>
        <v>Barbell oscilation</v>
      </c>
      <c r="R60" s="5" t="str">
        <f t="array" ref="R60">IFERROR(IF('T1'!$J60="",INDEX(LISTA_EX,16),INDEX(LISTA_EX,MATCH('T1'!$J60&amp;"|"&amp;16,LISTA_KLUCZ,0))),"")</f>
        <v>Barbell row</v>
      </c>
      <c r="S60" s="5" t="str">
        <f t="array" ref="S60">IFERROR(IF('T1'!$J60="",INDEX(LISTA_EX,17),INDEX(LISTA_EX,MATCH('T1'!$J60&amp;"|"&amp;17,LISTA_KLUCZ,0))),"")</f>
        <v>Barbell row dead stop pins</v>
      </c>
      <c r="T60" s="5" t="str">
        <f t="array" ref="T60">IFERROR(IF('T1'!$J60="",INDEX(LISTA_EX,18),INDEX(LISTA_EX,MATCH('T1'!$J60&amp;"|"&amp;18,LISTA_KLUCZ,0))),"")</f>
        <v>Barbell SLDL</v>
      </c>
      <c r="U60" s="5" t="str">
        <f t="array" ref="U60">IFERROR(IF('T1'!$J60="",INDEX(LISTA_EX,19),INDEX(LISTA_EX,MATCH('T1'!$J60&amp;"|"&amp;19,LISTA_KLUCZ,0))),"")</f>
        <v>Bayesian curl</v>
      </c>
      <c r="V60" s="5" t="str">
        <f t="array" ref="V60">IFERROR(IF('T1'!$J60="",INDEX(LISTA_EX,20),INDEX(LISTA_EX,MATCH('T1'!$J60&amp;"|"&amp;20,LISTA_KLUCZ,0))),"")</f>
        <v>Bear renegade row</v>
      </c>
      <c r="W60" s="5" t="str">
        <f t="array" ref="W60">IFERROR(IF('T1'!$J60="",INDEX(LISTA_EX,21),INDEX(LISTA_EX,MATCH('T1'!$J60&amp;"|"&amp;21,LISTA_KLUCZ,0))),"")</f>
        <v>Bench press paused 3sec</v>
      </c>
      <c r="X60" s="5" t="str">
        <f t="array" ref="X60">IFERROR(IF('T1'!$J60="",INDEX(LISTA_EX,22),INDEX(LISTA_EX,MATCH('T1'!$J60&amp;"|"&amp;22,LISTA_KLUCZ,0))),"")</f>
        <v>Bicep hammer curl</v>
      </c>
      <c r="Y60" s="5" t="str">
        <f t="array" ref="Y60">IFERROR(IF('T1'!$J60="",INDEX(LISTA_EX,23),INDEX(LISTA_EX,MATCH('T1'!$J60&amp;"|"&amp;23,LISTA_KLUCZ,0))),"")</f>
        <v>Bicep squat cable curl</v>
      </c>
      <c r="Z60" s="5" t="str">
        <f t="array" ref="Z60">IFERROR(IF('T1'!$J60="",INDEX(LISTA_EX,24),INDEX(LISTA_EX,MATCH('T1'!$J60&amp;"|"&amp;24,LISTA_KLUCZ,0))),"")</f>
        <v>Bird dog row</v>
      </c>
      <c r="AA60" s="5" t="str">
        <f t="array" ref="AA60">IFERROR(IF('T1'!$J60="",INDEX(LISTA_EX,25),INDEX(LISTA_EX,MATCH('T1'!$J60&amp;"|"&amp;25,LISTA_KLUCZ,0))),"")</f>
        <v>Box jump</v>
      </c>
      <c r="AB60" s="5" t="str">
        <f t="array" ref="AB60">IFERROR(IF('T1'!$J60="",INDEX(LISTA_EX,26),INDEX(LISTA_EX,MATCH('T1'!$J60&amp;"|"&amp;26,LISTA_KLUCZ,0))),"")</f>
        <v>Bulgarian clean plyo</v>
      </c>
      <c r="AC60" s="5" t="str">
        <f t="array" ref="AC60">IFERROR(IF('T1'!$J60="",INDEX(LISTA_EX,27),INDEX(LISTA_EX,MATCH('T1'!$J60&amp;"|"&amp;27,LISTA_KLUCZ,0))),"")</f>
        <v>Bulgarian squat assisted</v>
      </c>
      <c r="AD60" s="5" t="str">
        <f t="array" ref="AD60">IFERROR(IF('T1'!$J60="",INDEX(LISTA_EX,28),INDEX(LISTA_EX,MATCH('T1'!$J60&amp;"|"&amp;28,LISTA_KLUCZ,0))),"")</f>
        <v>Cable biceps curl</v>
      </c>
      <c r="AE60" s="5" t="str">
        <f t="array" ref="AE60">IFERROR(IF('T1'!$J60="",INDEX(LISTA_EX,29),INDEX(LISTA_EX,MATCH('T1'!$J60&amp;"|"&amp;29,LISTA_KLUCZ,0))),"")</f>
        <v>Cable fly</v>
      </c>
      <c r="AF60" s="5" t="str">
        <f t="array" ref="AF60">IFERROR(IF('T1'!$J60="",INDEX(LISTA_EX,30),INDEX(LISTA_EX,MATCH('T1'!$J60&amp;"|"&amp;30,LISTA_KLUCZ,0))),"")</f>
        <v>Cable lateral raise s/a</v>
      </c>
      <c r="AG60" s="5" t="str">
        <f t="array" ref="AG60">IFERROR(IF('T1'!$J60="",INDEX(LISTA_EX,31),INDEX(LISTA_EX,MATCH('T1'!$J60&amp;"|"&amp;31,LISTA_KLUCZ,0))),"")</f>
        <v>Cable row</v>
      </c>
      <c r="AH60" s="5" t="str">
        <f t="array" ref="AH60">IFERROR(IF('T1'!$J60="",INDEX(LISTA_EX,32),INDEX(LISTA_EX,MATCH('T1'!$J60&amp;"|"&amp;32,LISTA_KLUCZ,0))),"")</f>
        <v>Cable row s/a</v>
      </c>
      <c r="AI60" s="5" t="str">
        <f t="array" ref="AI60">IFERROR(IF('T1'!$J60="",INDEX(LISTA_EX,33),INDEX(LISTA_EX,MATCH('T1'!$J60&amp;"|"&amp;33,LISTA_KLUCZ,0))),"")</f>
        <v>Calf raises</v>
      </c>
      <c r="AJ60" s="5" t="str">
        <f t="array" ref="AJ60">IFERROR(IF('T1'!$J60="",INDEX(LISTA_EX,34),INDEX(LISTA_EX,MATCH('T1'!$J60&amp;"|"&amp;34,LISTA_KLUCZ,0))),"")</f>
        <v>Chest fly machine</v>
      </c>
      <c r="AK60" s="5" t="str">
        <f t="array" ref="AK60">IFERROR(IF('T1'!$J60="",INDEX(LISTA_EX,35),INDEX(LISTA_EX,MATCH('T1'!$J60&amp;"|"&amp;35,LISTA_KLUCZ,0))),"")</f>
        <v>Clean</v>
      </c>
      <c r="AL60" s="5" t="str">
        <f t="array" ref="AL60">IFERROR(IF('T1'!$J60="",INDEX(LISTA_EX,36),INDEX(LISTA_EX,MATCH('T1'!$J60&amp;"|"&amp;36,LISTA_KLUCZ,0))),"")</f>
        <v>Clean pins</v>
      </c>
      <c r="AM60" s="5" t="str">
        <f t="array" ref="AM60">IFERROR(IF('T1'!$J60="",INDEX(LISTA_EX,37),INDEX(LISTA_EX,MATCH('T1'!$J60&amp;"|"&amp;37,LISTA_KLUCZ,0))),"")</f>
        <v>Copenhagen plank</v>
      </c>
      <c r="AN60" s="5" t="str">
        <f t="array" ref="AN60">IFERROR(IF('T1'!$J60="",INDEX(LISTA_EX,38),INDEX(LISTA_EX,MATCH('T1'!$J60&amp;"|"&amp;38,LISTA_KLUCZ,0))),"")</f>
        <v>Dead bug izo + OH</v>
      </c>
      <c r="AO60" s="5" t="str">
        <f t="array" ref="AO60">IFERROR(IF('T1'!$J60="",INDEX(LISTA_EX,39),INDEX(LISTA_EX,MATCH('T1'!$J60&amp;"|"&amp;39,LISTA_KLUCZ,0))),"")</f>
        <v>Dead bug straight legs</v>
      </c>
      <c r="AP60" s="5" t="str">
        <f t="array" ref="AP60">IFERROR(IF('T1'!$J60="",INDEX(LISTA_EX,40),INDEX(LISTA_EX,MATCH('T1'!$J60&amp;"|"&amp;40,LISTA_KLUCZ,0))),"")</f>
        <v>Dead stop barbell row</v>
      </c>
      <c r="AQ60" s="5" t="str">
        <f t="array" ref="AQ60">IFERROR(IF('T1'!$J60="",INDEX(LISTA_EX,41),INDEX(LISTA_EX,MATCH('T1'!$J60&amp;"|"&amp;41,LISTA_KLUCZ,0))),"")</f>
        <v>Deadbug OH</v>
      </c>
      <c r="AR60" s="5" t="str">
        <f t="array" ref="AR60">IFERROR(IF('T1'!$J60="",INDEX(LISTA_EX,42),INDEX(LISTA_EX,MATCH('T1'!$J60&amp;"|"&amp;42,LISTA_KLUCZ,0))),"")</f>
        <v>Deadlift</v>
      </c>
      <c r="AS60" s="5" t="str">
        <f t="array" ref="AS60">IFERROR(IF('T1'!$J60="",INDEX(LISTA_EX,43),INDEX(LISTA_EX,MATCH('T1'!$J60&amp;"|"&amp;43,LISTA_KLUCZ,0))),"")</f>
        <v>Deficit push up</v>
      </c>
      <c r="AT60" s="5" t="str">
        <f t="array" ref="AT60">IFERROR(IF('T1'!$J60="",INDEX(LISTA_EX,44),INDEX(LISTA_EX,MATCH('T1'!$J60&amp;"|"&amp;44,LISTA_KLUCZ,0))),"")</f>
        <v>Deficit reverse lunge</v>
      </c>
      <c r="AU60" s="5" t="str">
        <f t="array" ref="AU60">IFERROR(IF('T1'!$J60="",INDEX(LISTA_EX,45),INDEX(LISTA_EX,MATCH('T1'!$J60&amp;"|"&amp;45,LISTA_KLUCZ,0))),"")</f>
        <v>Dips</v>
      </c>
      <c r="AV60" s="5" t="str">
        <f t="array" ref="AV60">IFERROR(IF('T1'!$J60="",INDEX(LISTA_EX,46),INDEX(LISTA_EX,MATCH('T1'!$J60&amp;"|"&amp;46,LISTA_KLUCZ,0))),"")</f>
        <v>Dips weighted</v>
      </c>
      <c r="AW60" s="5" t="str">
        <f t="array" ref="AW60">IFERROR(IF('T1'!$J60="",INDEX(LISTA_EX,47),INDEX(LISTA_EX,MATCH('T1'!$J60&amp;"|"&amp;47,LISTA_KLUCZ,0))),"")</f>
        <v>Dumbbell bench press</v>
      </c>
      <c r="AX60" s="5" t="str">
        <f t="array" ref="AX60">IFERROR(IF('T1'!$J60="",INDEX(LISTA_EX,48),INDEX(LISTA_EX,MATCH('T1'!$J60&amp;"|"&amp;48,LISTA_KLUCZ,0))),"")</f>
        <v>Dumbbell bench press alternating</v>
      </c>
      <c r="AY60" s="5" t="str">
        <f t="array" ref="AY60">IFERROR(IF('T1'!$J60="",INDEX(LISTA_EX,49),INDEX(LISTA_EX,MATCH('T1'!$J60&amp;"|"&amp;49,LISTA_KLUCZ,0))),"")</f>
        <v>Dumbbell curl</v>
      </c>
      <c r="AZ60" s="5" t="str">
        <f t="array" ref="AZ60">IFERROR(IF('T1'!$J60="",INDEX(LISTA_EX,50),INDEX(LISTA_EX,MATCH('T1'!$J60&amp;"|"&amp;50,LISTA_KLUCZ,0))),"")</f>
        <v>Dumbbell external rotation</v>
      </c>
      <c r="BA60" s="5" t="str">
        <f t="array" ref="BA60">IFERROR(IF('T1'!$J60="",INDEX(LISTA_EX,51),INDEX(LISTA_EX,MATCH('T1'!$J60&amp;"|"&amp;51,LISTA_KLUCZ,0))),"")</f>
        <v>Dumbbell face down curl</v>
      </c>
      <c r="BB60" s="5" t="str">
        <f t="array" ref="BB60">IFERROR(IF('T1'!$J60="",INDEX(LISTA_EX,52),INDEX(LISTA_EX,MATCH('T1'!$J60&amp;"|"&amp;52,LISTA_KLUCZ,0))),"")</f>
        <v>Dumbbell fly</v>
      </c>
      <c r="BC60" s="5" t="str">
        <f t="array" ref="BC60">IFERROR(IF('T1'!$J60="",INDEX(LISTA_EX,53),INDEX(LISTA_EX,MATCH('T1'!$J60&amp;"|"&amp;53,LISTA_KLUCZ,0))),"")</f>
        <v>Dumbbell french press</v>
      </c>
      <c r="BD60" s="5" t="str">
        <f t="array" ref="BD60">IFERROR(IF('T1'!$J60="",INDEX(LISTA_EX,54),INDEX(LISTA_EX,MATCH('T1'!$J60&amp;"|"&amp;54,LISTA_KLUCZ,0))),"")</f>
        <v>Dumbbell lateral raise</v>
      </c>
      <c r="BE60" s="5" t="str">
        <f t="array" ref="BE60">IFERROR(IF('T1'!$J60="",INDEX(LISTA_EX,55),INDEX(LISTA_EX,MATCH('T1'!$J60&amp;"|"&amp;55,LISTA_KLUCZ,0))),"")</f>
        <v>Dumbbell lunges</v>
      </c>
      <c r="BF60" s="5" t="str">
        <f t="array" ref="BF60">IFERROR(IF('T1'!$J60="",INDEX(LISTA_EX,56),INDEX(LISTA_EX,MATCH('T1'!$J60&amp;"|"&amp;56,LISTA_KLUCZ,0))),"")</f>
        <v>Dumbbell OH press</v>
      </c>
      <c r="BG60" s="5" t="str">
        <f t="array" ref="BG60">IFERROR(IF('T1'!$J60="",INDEX(LISTA_EX,57),INDEX(LISTA_EX,MATCH('T1'!$J60&amp;"|"&amp;57,LISTA_KLUCZ,0))),"")</f>
        <v>Dumbbell over head press</v>
      </c>
      <c r="BH60" s="5" t="str">
        <f t="array" ref="BH60">IFERROR(IF('T1'!$J60="",INDEX(LISTA_EX,58),INDEX(LISTA_EX,MATCH('T1'!$J60&amp;"|"&amp;58,LISTA_KLUCZ,0))),"")</f>
        <v>Dumbbell over head press alternating</v>
      </c>
      <c r="BI60" s="5" t="str">
        <f t="array" ref="BI60">IFERROR(IF('T1'!$J60="",INDEX(LISTA_EX,59),INDEX(LISTA_EX,MATCH('T1'!$J60&amp;"|"&amp;59,LISTA_KLUCZ,0))),"")</f>
        <v>Dumbbell row</v>
      </c>
      <c r="BJ60" s="5" t="str">
        <f t="array" ref="BJ60">IFERROR(IF('T1'!$J60="",INDEX(LISTA_EX,60),INDEX(LISTA_EX,MATCH('T1'!$J60&amp;"|"&amp;60,LISTA_KLUCZ,0))),"")</f>
        <v>Dumbbell s/a Arnold press</v>
      </c>
      <c r="BK60" s="5" t="str">
        <f t="array" ref="BK60">IFERROR(IF('T1'!$J60="",INDEX(LISTA_EX,61),INDEX(LISTA_EX,MATCH('T1'!$J60&amp;"|"&amp;61,LISTA_KLUCZ,0))),"")</f>
        <v>Dumbbell s/a row</v>
      </c>
      <c r="BL60" s="5" t="str">
        <f t="array" ref="BL60">IFERROR(IF('T1'!$J60="",INDEX(LISTA_EX,62),INDEX(LISTA_EX,MATCH('T1'!$J60&amp;"|"&amp;62,LISTA_KLUCZ,0))),"")</f>
        <v>Dumbbell seal row</v>
      </c>
      <c r="BM60" s="5" t="str">
        <f t="array" ref="BM60">IFERROR(IF('T1'!$J60="",INDEX(LISTA_EX,63),INDEX(LISTA_EX,MATCH('T1'!$J60&amp;"|"&amp;63,LISTA_KLUCZ,0))),"")</f>
        <v>Dumbbells jumps</v>
      </c>
      <c r="BN60" s="5" t="str">
        <f t="array" ref="BN60">IFERROR(IF('T1'!$J60="",INDEX(LISTA_EX,64),INDEX(LISTA_EX,MATCH('T1'!$J60&amp;"|"&amp;64,LISTA_KLUCZ,0))),"")</f>
        <v>Eccentric pull up</v>
      </c>
      <c r="BO60" s="5" t="str">
        <f t="array" ref="BO60">IFERROR(IF('T1'!$J60="",INDEX(LISTA_EX,65),INDEX(LISTA_EX,MATCH('T1'!$J60&amp;"|"&amp;65,LISTA_KLUCZ,0))),"")</f>
        <v>Eccentric push up (5 sek w dół)</v>
      </c>
      <c r="BP60" s="5" t="str">
        <f t="array" ref="BP60">IFERROR(IF('T1'!$J60="",INDEX(LISTA_EX,66),INDEX(LISTA_EX,MATCH('T1'!$J60&amp;"|"&amp;66,LISTA_KLUCZ,0))),"")</f>
        <v>Extensive plyo jumps s/l</v>
      </c>
      <c r="BQ60" s="5" t="str">
        <f t="array" ref="BQ60">IFERROR(IF('T1'!$J60="",INDEX(LISTA_EX,67),INDEX(LISTA_EX,MATCH('T1'!$J60&amp;"|"&amp;67,LISTA_KLUCZ,0))),"")</f>
        <v>Ez bar curl</v>
      </c>
      <c r="BR60" s="5" t="str">
        <f t="array" ref="BR60">IFERROR(IF('T1'!$J60="",INDEX(LISTA_EX,68),INDEX(LISTA_EX,MATCH('T1'!$J60&amp;"|"&amp;68,LISTA_KLUCZ,0))),"")</f>
        <v>Facepull chest supported</v>
      </c>
      <c r="BS60" s="5" t="str">
        <f t="array" ref="BS60">IFERROR(IF('T1'!$J60="",INDEX(LISTA_EX,69),INDEX(LISTA_EX,MATCH('T1'!$J60&amp;"|"&amp;69,LISTA_KLUCZ,0))),"")</f>
        <v>Front foot elevated split squat</v>
      </c>
      <c r="BT60" s="5" t="str">
        <f t="array" ref="BT60">IFERROR(IF('T1'!$J60="",INDEX(LISTA_EX,70),INDEX(LISTA_EX,MATCH('T1'!$J60&amp;"|"&amp;70,LISTA_KLUCZ,0))),"")</f>
        <v>Front squat</v>
      </c>
      <c r="BU60" s="5" t="str">
        <f t="array" ref="BU60">IFERROR(IF('T1'!$J60="",INDEX(LISTA_EX,71),INDEX(LISTA_EX,MATCH('T1'!$J60&amp;"|"&amp;71,LISTA_KLUCZ,0))),"")</f>
        <v>GHD flexion</v>
      </c>
      <c r="BV60" s="5" t="str">
        <f t="array" ref="BV60">IFERROR(IF('T1'!$J60="",INDEX(LISTA_EX,72),INDEX(LISTA_EX,MATCH('T1'!$J60&amp;"|"&amp;72,LISTA_KLUCZ,0))),"")</f>
        <v>Glute bridge hamstrings izo + OH</v>
      </c>
      <c r="BW60" s="5" t="str">
        <f t="array" ref="BW60">IFERROR(IF('T1'!$J60="",INDEX(LISTA_EX,73),INDEX(LISTA_EX,MATCH('T1'!$J60&amp;"|"&amp;73,LISTA_KLUCZ,0))),"")</f>
        <v>Glute crusher</v>
      </c>
      <c r="BX60" s="5" t="str">
        <f t="array" ref="BX60">IFERROR(IF('T1'!$J60="",INDEX(LISTA_EX,74),INDEX(LISTA_EX,MATCH('T1'!$J60&amp;"|"&amp;74,LISTA_KLUCZ,0))),"")</f>
        <v>Gorilla row</v>
      </c>
      <c r="BY60" s="5" t="str">
        <f t="array" ref="BY60">IFERROR(IF('T1'!$J60="",INDEX(LISTA_EX,75),INDEX(LISTA_EX,MATCH('T1'!$J60&amp;"|"&amp;75,LISTA_KLUCZ,0))),"")</f>
        <v>Halfkneeling s/a cable pull</v>
      </c>
      <c r="BZ60" s="5" t="str">
        <f t="array" ref="BZ60">IFERROR(IF('T1'!$J60="",INDEX(LISTA_EX,76),INDEX(LISTA_EX,MATCH('T1'!$J60&amp;"|"&amp;76,LISTA_KLUCZ,0))),"")</f>
        <v>Halfkneeling wood chopper</v>
      </c>
      <c r="CA60" s="5" t="str">
        <f t="array" ref="CA60">IFERROR(IF('T1'!$J60="",INDEX(LISTA_EX,77),INDEX(LISTA_EX,MATCH('T1'!$J60&amp;"|"&amp;77,LISTA_KLUCZ,0))),"")</f>
        <v>Hinged dumbbell row</v>
      </c>
      <c r="CB60" s="5" t="str">
        <f t="array" ref="CB60">IFERROR(IF('T1'!$J60="",INDEX(LISTA_EX,78),INDEX(LISTA_EX,MATCH('T1'!$J60&amp;"|"&amp;78,LISTA_KLUCZ,0))),"")</f>
        <v>Hip aeroplane</v>
      </c>
      <c r="CC60" s="5" t="str">
        <f t="array" ref="CC60">IFERROR(IF('T1'!$J60="",INDEX(LISTA_EX,79),INDEX(LISTA_EX,MATCH('T1'!$J60&amp;"|"&amp;79,LISTA_KLUCZ,0))),"")</f>
        <v>Hip flexors cable</v>
      </c>
      <c r="CD60" s="5" t="str">
        <f t="array" ref="CD60">IFERROR(IF('T1'!$J60="",INDEX(LISTA_EX,80),INDEX(LISTA_EX,MATCH('T1'!$J60&amp;"|"&amp;80,LISTA_KLUCZ,0))),"")</f>
        <v>Hip thrust barbell</v>
      </c>
      <c r="CE60" s="5" t="str">
        <f t="array" ref="CE60">IFERROR(IF('T1'!$J60="",INDEX(LISTA_EX,81),INDEX(LISTA_EX,MATCH('T1'!$J60&amp;"|"&amp;81,LISTA_KLUCZ,0))),"")</f>
        <v>Hollow body + OH</v>
      </c>
      <c r="CF60" s="5" t="str">
        <f t="array" ref="CF60">IFERROR(IF('T1'!$J60="",INDEX(LISTA_EX,82),INDEX(LISTA_EX,MATCH('T1'!$J60&amp;"|"&amp;82,LISTA_KLUCZ,0))),"")</f>
        <v>Horizontal jump</v>
      </c>
      <c r="CG60" s="5" t="str">
        <f t="array" ref="CG60">IFERROR(IF('T1'!$J60="",INDEX(LISTA_EX,83),INDEX(LISTA_EX,MATCH('T1'!$J60&amp;"|"&amp;83,LISTA_KLUCZ,0))),"")</f>
        <v>Incline bench lateral raise s/a</v>
      </c>
      <c r="CH60" s="5" t="str">
        <f t="array" ref="CH60">IFERROR(IF('T1'!$J60="",INDEX(LISTA_EX,84),INDEX(LISTA_EX,MATCH('T1'!$J60&amp;"|"&amp;84,LISTA_KLUCZ,0))),"")</f>
        <v>Incline curl + OHP</v>
      </c>
      <c r="CI60" s="5" t="str">
        <f t="array" ref="CI60">IFERROR(IF('T1'!$J60="",INDEX(LISTA_EX,85),INDEX(LISTA_EX,MATCH('T1'!$J60&amp;"|"&amp;85,LISTA_KLUCZ,0))),"")</f>
        <v>Incline dumbbell curl</v>
      </c>
      <c r="CJ60" s="5" t="str">
        <f t="array" ref="CJ60">IFERROR(IF('T1'!$J60="",INDEX(LISTA_EX,86),INDEX(LISTA_EX,MATCH('T1'!$J60&amp;"|"&amp;86,LISTA_KLUCZ,0))),"")</f>
        <v>Incline dumbbell curl (back)</v>
      </c>
      <c r="CK60" s="5" t="str">
        <f t="array" ref="CK60">IFERROR(IF('T1'!$J60="",INDEX(LISTA_EX,87),INDEX(LISTA_EX,MATCH('T1'!$J60&amp;"|"&amp;87,LISTA_KLUCZ,0))),"")</f>
        <v>Incline dumbbell curl (front)</v>
      </c>
      <c r="CL60" s="5" t="str">
        <f t="array" ref="CL60">IFERROR(IF('T1'!$J60="",INDEX(LISTA_EX,88),INDEX(LISTA_EX,MATCH('T1'!$J60&amp;"|"&amp;88,LISTA_KLUCZ,0))),"")</f>
        <v>Incline dumbbell fly</v>
      </c>
      <c r="CM60" s="5" t="str">
        <f t="array" ref="CM60">IFERROR(IF('T1'!$J60="",INDEX(LISTA_EX,89),INDEX(LISTA_EX,MATCH('T1'!$J60&amp;"|"&amp;89,LISTA_KLUCZ,0))),"")</f>
        <v>Incline dumbbell press</v>
      </c>
      <c r="CN60" s="5" t="str">
        <f t="array" ref="CN60">IFERROR(IF('T1'!$J60="",INDEX(LISTA_EX,90),INDEX(LISTA_EX,MATCH('T1'!$J60&amp;"|"&amp;90,LISTA_KLUCZ,0))),"")</f>
        <v>Incline dumbbell press alternating</v>
      </c>
      <c r="CO60" s="5" t="str">
        <f t="array" ref="CO60">IFERROR(IF('T1'!$J60="",INDEX(LISTA_EX,91),INDEX(LISTA_EX,MATCH('T1'!$J60&amp;"|"&amp;91,LISTA_KLUCZ,0))),"")</f>
        <v>Incline sit-ups</v>
      </c>
      <c r="CP60" s="5" t="str">
        <f t="array" ref="CP60">IFERROR(IF('T1'!$J60="",INDEX(LISTA_EX,92),INDEX(LISTA_EX,MATCH('T1'!$J60&amp;"|"&amp;92,LISTA_KLUCZ,0))),"")</f>
        <v>Jefferson cable</v>
      </c>
      <c r="CQ60" s="5" t="str">
        <f t="array" ref="CQ60">IFERROR(IF('T1'!$J60="",INDEX(LISTA_EX,93),INDEX(LISTA_EX,MATCH('T1'!$J60&amp;"|"&amp;93,LISTA_KLUCZ,0))),"")</f>
        <v>Kettlebell march</v>
      </c>
      <c r="CR60" s="5" t="str">
        <f t="array" ref="CR60">IFERROR(IF('T1'!$J60="",INDEX(LISTA_EX,94),INDEX(LISTA_EX,MATCH('T1'!$J60&amp;"|"&amp;94,LISTA_KLUCZ,0))),"")</f>
        <v>Kickbacks</v>
      </c>
      <c r="CS60" s="5" t="str">
        <f t="array" ref="CS60">IFERROR(IF('T1'!$J60="",INDEX(LISTA_EX,95),INDEX(LISTA_EX,MATCH('T1'!$J60&amp;"|"&amp;95,LISTA_KLUCZ,0))),"")</f>
        <v>Knee extension machine</v>
      </c>
      <c r="CT60" s="5" t="str">
        <f t="array" ref="CT60">IFERROR(IF('T1'!$J60="",INDEX(LISTA_EX,96),INDEX(LISTA_EX,MATCH('T1'!$J60&amp;"|"&amp;96,LISTA_KLUCZ,0))),"")</f>
        <v>Knee flexion machine</v>
      </c>
      <c r="CU60" s="5" t="str">
        <f t="array" ref="CU60">IFERROR(IF('T1'!$J60="",INDEX(LISTA_EX,97),INDEX(LISTA_EX,MATCH('T1'!$J60&amp;"|"&amp;97,LISTA_KLUCZ,0))),"")</f>
        <v>Knee raises</v>
      </c>
      <c r="CV60" s="5" t="str">
        <f t="array" ref="CV60">IFERROR(IF('T1'!$J60="",INDEX(LISTA_EX,98),INDEX(LISTA_EX,MATCH('T1'!$J60&amp;"|"&amp;98,LISTA_KLUCZ,0))),"")</f>
        <v>Landmine core</v>
      </c>
      <c r="CW60" s="5" t="str">
        <f t="array" ref="CW60">IFERROR(IF('T1'!$J60="",INDEX(LISTA_EX,99),INDEX(LISTA_EX,MATCH('T1'!$J60&amp;"|"&amp;99,LISTA_KLUCZ,0))),"")</f>
        <v>Landmine press</v>
      </c>
      <c r="CX60" s="5" t="str">
        <f t="array" ref="CX60">IFERROR(IF('T1'!$J60="",INDEX(LISTA_EX,100),INDEX(LISTA_EX,MATCH('T1'!$J60&amp;"|"&amp;100,LISTA_KLUCZ,0))),"")</f>
        <v>Landmine rotations (powtórzenia x2)</v>
      </c>
      <c r="CY60" s="5" t="str">
        <f t="array" ref="CY60">IFERROR(IF('T1'!$J60="",INDEX(LISTA_EX,101),INDEX(LISTA_EX,MATCH('T1'!$J60&amp;"|"&amp;101,LISTA_KLUCZ,0))),"")</f>
        <v>Landmine SLDL</v>
      </c>
      <c r="CZ60" s="5" t="str">
        <f t="array" ref="CZ60">IFERROR(IF('T1'!$J60="",INDEX(LISTA_EX,102),INDEX(LISTA_EX,MATCH('T1'!$J60&amp;"|"&amp;102,LISTA_KLUCZ,0))),"")</f>
        <v>Lat pulldown</v>
      </c>
      <c r="DA60" s="5" t="str">
        <f t="array" ref="DA60">IFERROR(IF('T1'!$J60="",INDEX(LISTA_EX,103),INDEX(LISTA_EX,MATCH('T1'!$J60&amp;"|"&amp;103,LISTA_KLUCZ,0))),"")</f>
        <v>Lat pulldown behind the head</v>
      </c>
      <c r="DB60" s="5" t="str">
        <f t="array" ref="DB60">IFERROR(IF('T1'!$J60="",INDEX(LISTA_EX,104),INDEX(LISTA_EX,MATCH('T1'!$J60&amp;"|"&amp;104,LISTA_KLUCZ,0))),"")</f>
        <v>Lat pulldown s/a</v>
      </c>
      <c r="DC60" s="5" t="str">
        <f t="array" ref="DC60">IFERROR(IF('T1'!$J60="",INDEX(LISTA_EX,105),INDEX(LISTA_EX,MATCH('T1'!$J60&amp;"|"&amp;105,LISTA_KLUCZ,0))),"")</f>
        <v>Lateral raise s/a</v>
      </c>
      <c r="DD60" s="5" t="str">
        <f t="array" ref="DD60">IFERROR(IF('T1'!$J60="",INDEX(LISTA_EX,106),INDEX(LISTA_EX,MATCH('T1'!$J60&amp;"|"&amp;106,LISTA_KLUCZ,0))),"")</f>
        <v>Lateral raises</v>
      </c>
      <c r="DE60" s="5" t="str">
        <f t="array" ref="DE60">IFERROR(IF('T1'!$J60="",INDEX(LISTA_EX,107),INDEX(LISTA_EX,MATCH('T1'!$J60&amp;"|"&amp;107,LISTA_KLUCZ,0))),"")</f>
        <v>Lateral raises 2</v>
      </c>
      <c r="DF60" s="5" t="str">
        <f t="array" ref="DF60">IFERROR(IF('T1'!$J60="",INDEX(LISTA_EX,108),INDEX(LISTA_EX,MATCH('T1'!$J60&amp;"|"&amp;108,LISTA_KLUCZ,0))),"")</f>
        <v>Lateral raises full ROM</v>
      </c>
      <c r="DG60" s="5" t="str">
        <f t="array" ref="DG60">IFERROR(IF('T1'!$J60="",INDEX(LISTA_EX,109),INDEX(LISTA_EX,MATCH('T1'!$J60&amp;"|"&amp;109,LISTA_KLUCZ,0))),"")</f>
        <v>Lateral raises hinged</v>
      </c>
      <c r="DH60" s="5" t="str">
        <f t="array" ref="DH60">IFERROR(IF('T1'!$J60="",INDEX(LISTA_EX,110),INDEX(LISTA_EX,MATCH('T1'!$J60&amp;"|"&amp;110,LISTA_KLUCZ,0))),"")</f>
        <v>Lateral raises incline s/a</v>
      </c>
      <c r="DI60" s="5" t="str">
        <f t="array" ref="DI60">IFERROR(IF('T1'!$J60="",INDEX(LISTA_EX,111),INDEX(LISTA_EX,MATCH('T1'!$J60&amp;"|"&amp;111,LISTA_KLUCZ,0))),"")</f>
        <v>Leg curl</v>
      </c>
      <c r="DJ60" s="5" t="str">
        <f t="array" ref="DJ60">IFERROR(IF('T1'!$J60="",INDEX(LISTA_EX,112),INDEX(LISTA_EX,MATCH('T1'!$J60&amp;"|"&amp;112,LISTA_KLUCZ,0))),"")</f>
        <v>Machine row</v>
      </c>
      <c r="DK60" s="5" t="str">
        <f t="array" ref="DK60">IFERROR(IF('T1'!$J60="",INDEX(LISTA_EX,113),INDEX(LISTA_EX,MATCH('T1'!$J60&amp;"|"&amp;113,LISTA_KLUCZ,0))),"")</f>
        <v>Machine row s/a</v>
      </c>
      <c r="DL60" s="5" t="str">
        <f t="array" ref="DL60">IFERROR(IF('T1'!$J60="",INDEX(LISTA_EX,114),INDEX(LISTA_EX,MATCH('T1'!$J60&amp;"|"&amp;114,LISTA_KLUCZ,0))),"")</f>
        <v>Meadows row</v>
      </c>
      <c r="DM60" s="5" t="str">
        <f t="array" ref="DM60">IFERROR(IF('T1'!$J60="",INDEX(LISTA_EX,115),INDEX(LISTA_EX,MATCH('T1'!$J60&amp;"|"&amp;115,LISTA_KLUCZ,0))),"")</f>
        <v>Med ball slam</v>
      </c>
      <c r="DN60" s="5" t="str">
        <f t="array" ref="DN60">IFERROR(IF('T1'!$J60="",INDEX(LISTA_EX,116),INDEX(LISTA_EX,MATCH('T1'!$J60&amp;"|"&amp;116,LISTA_KLUCZ,0))),"")</f>
        <v>OH skullcrushers</v>
      </c>
      <c r="DO60" s="5" t="str">
        <f t="array" ref="DO60">IFERROR(IF('T1'!$J60="",INDEX(LISTA_EX,117),INDEX(LISTA_EX,MATCH('T1'!$J60&amp;"|"&amp;117,LISTA_KLUCZ,0))),"")</f>
        <v>OHP barbell squat 15kg</v>
      </c>
      <c r="DP60" s="5" t="str">
        <f t="array" ref="DP60">IFERROR(IF('T1'!$J60="",INDEX(LISTA_EX,118),INDEX(LISTA_EX,MATCH('T1'!$J60&amp;"|"&amp;118,LISTA_KLUCZ,0))),"")</f>
        <v>Pistol squat eccentric</v>
      </c>
      <c r="DQ60" s="5" t="str">
        <f t="array" ref="DQ60">IFERROR(IF('T1'!$J60="",INDEX(LISTA_EX,119),INDEX(LISTA_EX,MATCH('T1'!$J60&amp;"|"&amp;119,LISTA_KLUCZ,0))),"")</f>
        <v>Plank contralateral</v>
      </c>
      <c r="DR60" s="5" t="str">
        <f t="array" ref="DR60">IFERROR(IF('T1'!$J60="",INDEX(LISTA_EX,120),INDEX(LISTA_EX,MATCH('T1'!$J60&amp;"|"&amp;120,LISTA_KLUCZ,0))),"")</f>
        <v>Plank dumbbell rotation</v>
      </c>
      <c r="DS60" s="5" t="str">
        <f t="array" ref="DS60">IFERROR(IF('T1'!$J60="",INDEX(LISTA_EX,121),INDEX(LISTA_EX,MATCH('T1'!$J60&amp;"|"&amp;121,LISTA_KLUCZ,0))),"")</f>
        <v>Plank leg raises</v>
      </c>
      <c r="DT60" s="5" t="str">
        <f t="array" ref="DT60">IFERROR(IF('T1'!$J60="",INDEX(LISTA_EX,122),INDEX(LISTA_EX,MATCH('T1'!$J60&amp;"|"&amp;122,LISTA_KLUCZ,0))),"")</f>
        <v>Poliquin step up</v>
      </c>
      <c r="DU60" s="5" t="str">
        <f t="array" ref="DU60">IFERROR(IF('T1'!$J60="",INDEX(LISTA_EX,123),INDEX(LISTA_EX,MATCH('T1'!$J60&amp;"|"&amp;123,LISTA_KLUCZ,0))),"")</f>
        <v>Poliquin step up paused 3sec</v>
      </c>
      <c r="DV60" s="5" t="str">
        <f t="array" ref="DV60">IFERROR(IF('T1'!$J60="",INDEX(LISTA_EX,124),INDEX(LISTA_EX,MATCH('T1'!$J60&amp;"|"&amp;124,LISTA_KLUCZ,0))),"")</f>
        <v>Pronation/Supination</v>
      </c>
      <c r="DW60" s="5" t="str">
        <f t="array" ref="DW60">IFERROR(IF('T1'!$J60="",INDEX(LISTA_EX,125),INDEX(LISTA_EX,MATCH('T1'!$J60&amp;"|"&amp;125,LISTA_KLUCZ,0))),"")</f>
        <v>Pull up</v>
      </c>
      <c r="DX60" s="5" t="str">
        <f t="array" ref="DX60">IFERROR(IF('T1'!$J60="",INDEX(LISTA_EX,126),INDEX(LISTA_EX,MATCH('T1'!$J60&amp;"|"&amp;126,LISTA_KLUCZ,0))),"")</f>
        <v>Pull up eccentric weighted</v>
      </c>
      <c r="DY60" s="5" t="str">
        <f t="array" ref="DY60">IFERROR(IF('T1'!$J60="",INDEX(LISTA_EX,127),INDEX(LISTA_EX,MATCH('T1'!$J60&amp;"|"&amp;127,LISTA_KLUCZ,0))),"")</f>
        <v>Pull up eccentric weighted (5 sek w dół)</v>
      </c>
      <c r="DZ60" s="5" t="str">
        <f t="array" ref="DZ60">IFERROR(IF('T1'!$J60="",INDEX(LISTA_EX,128),INDEX(LISTA_EX,MATCH('T1'!$J60&amp;"|"&amp;128,LISTA_KLUCZ,0))),"")</f>
        <v>Pull up weighted</v>
      </c>
      <c r="EA60" s="5" t="str">
        <f t="array" ref="EA60">IFERROR(IF('T1'!$J60="",INDEX(LISTA_EX,129),INDEX(LISTA_EX,MATCH('T1'!$J60&amp;"|"&amp;129,LISTA_KLUCZ,0))),"")</f>
        <v>Pull ups (paused)</v>
      </c>
      <c r="EB60" s="5" t="str">
        <f t="array" ref="EB60">IFERROR(IF('T1'!$J60="",INDEX(LISTA_EX,130),INDEX(LISTA_EX,MATCH('T1'!$J60&amp;"|"&amp;130,LISTA_KLUCZ,0))),"")</f>
        <v>Push press barbell</v>
      </c>
      <c r="EC60" s="5" t="str">
        <f t="array" ref="EC60">IFERROR(IF('T1'!$J60="",INDEX(LISTA_EX,131),INDEX(LISTA_EX,MATCH('T1'!$J60&amp;"|"&amp;131,LISTA_KLUCZ,0))),"")</f>
        <v>Push up</v>
      </c>
      <c r="ED60" s="5" t="str">
        <f t="array" ref="ED60">IFERROR(IF('T1'!$J60="",INDEX(LISTA_EX,132),INDEX(LISTA_EX,MATCH('T1'!$J60&amp;"|"&amp;132,LISTA_KLUCZ,0))),"")</f>
        <v>Raised bird dog</v>
      </c>
      <c r="EE60" s="5" t="str">
        <f t="array" ref="EE60">IFERROR(IF('T1'!$J60="",INDEX(LISTA_EX,133),INDEX(LISTA_EX,MATCH('T1'!$J60&amp;"|"&amp;133,LISTA_KLUCZ,0))),"")</f>
        <v>RDL</v>
      </c>
      <c r="EF60" s="5" t="str">
        <f t="array" ref="EF60">IFERROR(IF('T1'!$J60="",INDEX(LISTA_EX,134),INDEX(LISTA_EX,MATCH('T1'!$J60&amp;"|"&amp;134,LISTA_KLUCZ,0))),"")</f>
        <v>Reverse Nordic</v>
      </c>
      <c r="EG60" s="5" t="str">
        <f t="array" ref="EG60">IFERROR(IF('T1'!$J60="",INDEX(LISTA_EX,135),INDEX(LISTA_EX,MATCH('T1'!$J60&amp;"|"&amp;135,LISTA_KLUCZ,0))),"")</f>
        <v>Rope pushdown</v>
      </c>
      <c r="EH60" s="5" t="str">
        <f t="array" ref="EH60">IFERROR(IF('T1'!$J60="",INDEX(LISTA_EX,136),INDEX(LISTA_EX,MATCH('T1'!$J60&amp;"|"&amp;136,LISTA_KLUCZ,0))),"")</f>
        <v>Rope pushdown OH</v>
      </c>
      <c r="EI60" s="5" t="str">
        <f t="array" ref="EI60">IFERROR(IF('T1'!$J60="",INDEX(LISTA_EX,137),INDEX(LISTA_EX,MATCH('T1'!$J60&amp;"|"&amp;137,LISTA_KLUCZ,0))),"")</f>
        <v>S/a cable pulldown incline bench</v>
      </c>
      <c r="EJ60" s="5" t="str">
        <f t="array" ref="EJ60">IFERROR(IF('T1'!$J60="",INDEX(LISTA_EX,138),INDEX(LISTA_EX,MATCH('T1'!$J60&amp;"|"&amp;138,LISTA_KLUCZ,0))),"")</f>
        <v>S/a lat pulldown incline bench</v>
      </c>
      <c r="EK60" s="5" t="str">
        <f t="array" ref="EK60">IFERROR(IF('T1'!$J60="",INDEX(LISTA_EX,139),INDEX(LISTA_EX,MATCH('T1'!$J60&amp;"|"&amp;139,LISTA_KLUCZ,0))),"")</f>
        <v>S/l dragonflag eccentric</v>
      </c>
      <c r="EL60" s="5" t="str">
        <f t="array" ref="EL60">IFERROR(IF('T1'!$J60="",INDEX(LISTA_EX,140),INDEX(LISTA_EX,MATCH('T1'!$J60&amp;"|"&amp;140,LISTA_KLUCZ,0))),"")</f>
        <v>S/l hip thrust</v>
      </c>
      <c r="EM60" s="5" t="str">
        <f t="array" ref="EM60">IFERROR(IF('T1'!$J60="",INDEX(LISTA_EX,141),INDEX(LISTA_EX,MATCH('T1'!$J60&amp;"|"&amp;141,LISTA_KLUCZ,0))),"")</f>
        <v>Seated broad jump</v>
      </c>
      <c r="EN60" s="5" t="str">
        <f t="array" ref="EN60">IFERROR(IF('T1'!$J60="",INDEX(LISTA_EX,142),INDEX(LISTA_EX,MATCH('T1'!$J60&amp;"|"&amp;142,LISTA_KLUCZ,0))),"")</f>
        <v>Seated cable facepull</v>
      </c>
      <c r="EO60" s="5" t="str">
        <f t="array" ref="EO60">IFERROR(IF('T1'!$J60="",INDEX(LISTA_EX,143),INDEX(LISTA_EX,MATCH('T1'!$J60&amp;"|"&amp;143,LISTA_KLUCZ,0))),"")</f>
        <v>Seated seesaw press (nogi proste)</v>
      </c>
      <c r="EP60" s="5" t="str">
        <f t="array" ref="EP60">IFERROR(IF('T1'!$J60="",INDEX(LISTA_EX,144),INDEX(LISTA_EX,MATCH('T1'!$J60&amp;"|"&amp;144,LISTA_KLUCZ,0))),"")</f>
        <v>Seesaw press</v>
      </c>
      <c r="EQ60" s="5" t="str">
        <f t="array" ref="EQ60">IFERROR(IF('T1'!$J60="",INDEX(LISTA_EX,145),INDEX(LISTA_EX,MATCH('T1'!$J60&amp;"|"&amp;145,LISTA_KLUCZ,0))),"")</f>
        <v>Side crunches</v>
      </c>
      <c r="ER60" s="5" t="str">
        <f t="array" ref="ER60">IFERROR(IF('T1'!$J60="",INDEX(LISTA_EX,146),INDEX(LISTA_EX,MATCH('T1'!$J60&amp;"|"&amp;146,LISTA_KLUCZ,0))),"")</f>
        <v>Side plank hip drop</v>
      </c>
      <c r="ES60" s="5" t="str">
        <f t="array" ref="ES60">IFERROR(IF('T1'!$J60="",INDEX(LISTA_EX,147),INDEX(LISTA_EX,MATCH('T1'!$J60&amp;"|"&amp;147,LISTA_KLUCZ,0))),"")</f>
        <v>Side plank rotations</v>
      </c>
      <c r="ET60" s="5" t="str">
        <f t="array" ref="ET60">IFERROR(IF('T1'!$J60="",INDEX(LISTA_EX,148),INDEX(LISTA_EX,MATCH('T1'!$J60&amp;"|"&amp;148,LISTA_KLUCZ,0))),"")</f>
        <v>SLDL balance</v>
      </c>
      <c r="EU60" s="5" t="str">
        <f t="array" ref="EU60">IFERROR(IF('T1'!$J60="",INDEX(LISTA_EX,149),INDEX(LISTA_EX,MATCH('T1'!$J60&amp;"|"&amp;149,LISTA_KLUCZ,0))),"")</f>
        <v>Split squat</v>
      </c>
      <c r="EV60" s="5" t="str">
        <f t="array" ref="EV60">IFERROR(IF('T1'!$J60="",INDEX(LISTA_EX,150),INDEX(LISTA_EX,MATCH('T1'!$J60&amp;"|"&amp;150,LISTA_KLUCZ,0))),"")</f>
        <v>Split stance SLDL</v>
      </c>
      <c r="EW60" s="5" t="str">
        <f t="array" ref="EW60">IFERROR(IF('T1'!$J60="",INDEX(LISTA_EX,151),INDEX(LISTA_EX,MATCH('T1'!$J60&amp;"|"&amp;151,LISTA_KLUCZ,0))),"")</f>
        <v>Squat izo (15 sek)</v>
      </c>
      <c r="EX60" s="5" t="str">
        <f t="array" ref="EX60">IFERROR(IF('T1'!$J60="",INDEX(LISTA_EX,152),INDEX(LISTA_EX,MATCH('T1'!$J60&amp;"|"&amp;152,LISTA_KLUCZ,0))),"")</f>
        <v>Standing landmine press</v>
      </c>
      <c r="EY60" s="5" t="str">
        <f t="array" ref="EY60">IFERROR(IF('T1'!$J60="",INDEX(LISTA_EX,153),INDEX(LISTA_EX,MATCH('T1'!$J60&amp;"|"&amp;153,LISTA_KLUCZ,0))),"")</f>
        <v>Suitcase carry</v>
      </c>
      <c r="EZ60" s="5" t="str">
        <f t="array" ref="EZ60">IFERROR(IF('T1'!$J60="",INDEX(LISTA_EX,154),INDEX(LISTA_EX,MATCH('T1'!$J60&amp;"|"&amp;154,LISTA_KLUCZ,0))),"")</f>
        <v>Supine pigeon abs</v>
      </c>
      <c r="FA60" s="5" t="str">
        <f t="array" ref="FA60">IFERROR(IF('T1'!$J60="",INDEX(LISTA_EX,155),INDEX(LISTA_EX,MATCH('T1'!$J60&amp;"|"&amp;155,LISTA_KLUCZ,0))),"")</f>
        <v>Swiss ball leg curl</v>
      </c>
      <c r="FB60" s="5" t="str">
        <f t="array" ref="FB60">IFERROR(IF('T1'!$J60="",INDEX(LISTA_EX,156),INDEX(LISTA_EX,MATCH('T1'!$J60&amp;"|"&amp;156,LISTA_KLUCZ,0))),"")</f>
        <v>Toes to bar</v>
      </c>
      <c r="FC60" s="5" t="str">
        <f t="array" ref="FC60">IFERROR(IF('T1'!$J60="",INDEX(LISTA_EX,157),INDEX(LISTA_EX,MATCH('T1'!$J60&amp;"|"&amp;157,LISTA_KLUCZ,0))),"")</f>
        <v>Trap bar deadlift</v>
      </c>
      <c r="FD60" s="5" t="str">
        <f t="array" ref="FD60">IFERROR(IF('T1'!$J60="",INDEX(LISTA_EX,158),INDEX(LISTA_EX,MATCH('T1'!$J60&amp;"|"&amp;158,LISTA_KLUCZ,0))),"")</f>
        <v>Tricep cable pushdown</v>
      </c>
      <c r="FE60" s="5" t="str">
        <f t="array" ref="FE60">IFERROR(IF('T1'!$J60="",INDEX(LISTA_EX,159),INDEX(LISTA_EX,MATCH('T1'!$J60&amp;"|"&amp;159,LISTA_KLUCZ,0))),"")</f>
        <v>Tricep JM press</v>
      </c>
      <c r="FF60" s="5" t="str">
        <f t="array" ref="FF60">IFERROR(IF('T1'!$J60="",INDEX(LISTA_EX,160),INDEX(LISTA_EX,MATCH('T1'!$J60&amp;"|"&amp;160,LISTA_KLUCZ,0))),"")</f>
        <v>Tricep OH cable</v>
      </c>
      <c r="FG60" s="5" t="str">
        <f t="array" ref="FG60">IFERROR(IF('T1'!$J60="",INDEX(LISTA_EX,161),INDEX(LISTA_EX,MATCH('T1'!$J60&amp;"|"&amp;161,LISTA_KLUCZ,0))),"")</f>
        <v>Tricep OH ez bar</v>
      </c>
      <c r="FH60" s="5" t="str">
        <f t="array" ref="FH60">IFERROR(IF('T1'!$J60="",INDEX(LISTA_EX,162),INDEX(LISTA_EX,MATCH('T1'!$J60&amp;"|"&amp;162,LISTA_KLUCZ,0))),"")</f>
        <v>Walking lunges</v>
      </c>
      <c r="FI60" s="5" t="str">
        <f t="array" ref="FI60">IFERROR(IF('T1'!$J60="",INDEX(LISTA_EX,163),INDEX(LISTA_EX,MATCH('T1'!$J60&amp;"|"&amp;163,LISTA_KLUCZ,0))),"")</f>
        <v>Wipers kettle</v>
      </c>
      <c r="FJ60" s="5" t="str">
        <f t="array" ref="FJ60">IFERROR(IF('T1'!$J60="",INDEX(LISTA_EX,164),INDEX(LISTA_EX,MATCH('T1'!$J60&amp;"|"&amp;164,LISTA_KLUCZ,0))),"")</f>
        <v>Zercher jumps</v>
      </c>
      <c r="FK60" s="5" t="str">
        <f t="array" ref="FK60">IFERROR(IF('T1'!$J60="",INDEX(LISTA_EX,165),INDEX(LISTA_EX,MATCH('T1'!$J60&amp;"|"&amp;165,LISTA_KLUCZ,0))),"")</f>
        <v/>
      </c>
      <c r="FL60" s="5" t="str">
        <f t="array" ref="FL60">IFERROR(IF('T1'!$J60="",INDEX(LISTA_EX,166),INDEX(LISTA_EX,MATCH('T1'!$J60&amp;"|"&amp;166,LISTA_KLUCZ,0))),"")</f>
        <v/>
      </c>
      <c r="FM60" s="5" t="str">
        <f t="array" ref="FM60">IFERROR(IF('T1'!$J60="",INDEX(LISTA_EX,167),INDEX(LISTA_EX,MATCH('T1'!$J60&amp;"|"&amp;167,LISTA_KLUCZ,0))),"")</f>
        <v/>
      </c>
      <c r="FN60" s="5" t="str">
        <f t="array" ref="FN60">IFERROR(IF('T1'!$J60="",INDEX(LISTA_EX,168),INDEX(LISTA_EX,MATCH('T1'!$J60&amp;"|"&amp;168,LISTA_KLUCZ,0))),"")</f>
        <v/>
      </c>
      <c r="FO60" s="5" t="str">
        <f t="array" ref="FO60">IFERROR(IF('T1'!$J60="",INDEX(LISTA_EX,169),INDEX(LISTA_EX,MATCH('T1'!$J60&amp;"|"&amp;169,LISTA_KLUCZ,0))),"")</f>
        <v/>
      </c>
      <c r="FP60" s="5" t="str">
        <f t="array" ref="FP60">IFERROR(IF('T1'!$J60="",INDEX(LISTA_EX,170),INDEX(LISTA_EX,MATCH('T1'!$J60&amp;"|"&amp;170,LISTA_KLUCZ,0))),"")</f>
        <v/>
      </c>
      <c r="FQ60" s="5" t="str">
        <f t="array" ref="FQ60">IFERROR(IF('T1'!$J60="",INDEX(LISTA_EX,171),INDEX(LISTA_EX,MATCH('T1'!$J60&amp;"|"&amp;171,LISTA_KLUCZ,0))),"")</f>
        <v/>
      </c>
      <c r="FR60" s="5" t="str">
        <f t="array" ref="FR60">IFERROR(IF('T1'!$J60="",INDEX(LISTA_EX,172),INDEX(LISTA_EX,MATCH('T1'!$J60&amp;"|"&amp;172,LISTA_KLUCZ,0))),"")</f>
        <v/>
      </c>
      <c r="FS60" s="5" t="str">
        <f t="array" ref="FS60">IFERROR(IF('T1'!$J60="",INDEX(LISTA_EX,173),INDEX(LISTA_EX,MATCH('T1'!$J60&amp;"|"&amp;173,LISTA_KLUCZ,0))),"")</f>
        <v/>
      </c>
      <c r="FT60" s="5" t="str">
        <f t="array" ref="FT60">IFERROR(IF('T1'!$J60="",INDEX(LISTA_EX,174),INDEX(LISTA_EX,MATCH('T1'!$J60&amp;"|"&amp;174,LISTA_KLUCZ,0))),"")</f>
        <v/>
      </c>
      <c r="FU60" s="5" t="str">
        <f t="array" ref="FU60">IFERROR(IF('T1'!$J60="",INDEX(LISTA_EX,175),INDEX(LISTA_EX,MATCH('T1'!$J60&amp;"|"&amp;175,LISTA_KLUCZ,0))),"")</f>
        <v/>
      </c>
      <c r="FV60" s="5" t="str">
        <f t="array" ref="FV60">IFERROR(IF('T1'!$J60="",INDEX(LISTA_EX,176),INDEX(LISTA_EX,MATCH('T1'!$J60&amp;"|"&amp;176,LISTA_KLUCZ,0))),"")</f>
        <v/>
      </c>
      <c r="FW60" s="5" t="str">
        <f t="array" ref="FW60">IFERROR(IF('T1'!$J60="",INDEX(LISTA_EX,177),INDEX(LISTA_EX,MATCH('T1'!$J60&amp;"|"&amp;177,LISTA_KLUCZ,0))),"")</f>
        <v/>
      </c>
      <c r="FX60" s="5" t="str">
        <f t="array" ref="FX60">IFERROR(IF('T1'!$J60="",INDEX(LISTA_EX,178),INDEX(LISTA_EX,MATCH('T1'!$J60&amp;"|"&amp;178,LISTA_KLUCZ,0))),"")</f>
        <v/>
      </c>
      <c r="FY60" s="5" t="str">
        <f t="array" ref="FY60">IFERROR(IF('T1'!$J60="",INDEX(LISTA_EX,179),INDEX(LISTA_EX,MATCH('T1'!$J60&amp;"|"&amp;179,LISTA_KLUCZ,0))),"")</f>
        <v/>
      </c>
      <c r="FZ60" s="5" t="str">
        <f t="array" ref="FZ60">IFERROR(IF('T1'!$J60="",INDEX(LISTA_EX,180),INDEX(LISTA_EX,MATCH('T1'!$J60&amp;"|"&amp;180,LISTA_KLUCZ,0))),"")</f>
        <v/>
      </c>
      <c r="GA60" s="5" t="str">
        <f t="array" ref="GA60">IFERROR(IF('T1'!$J60="",INDEX(LISTA_EX,181),INDEX(LISTA_EX,MATCH('T1'!$J60&amp;"|"&amp;181,LISTA_KLUCZ,0))),"")</f>
        <v/>
      </c>
      <c r="GB60" s="5" t="str">
        <f t="array" ref="GB60">IFERROR(IF('T1'!$J60="",INDEX(LISTA_EX,182),INDEX(LISTA_EX,MATCH('T1'!$J60&amp;"|"&amp;182,LISTA_KLUCZ,0))),"")</f>
        <v/>
      </c>
      <c r="GC60" s="5" t="str">
        <f t="array" ref="GC60">IFERROR(IF('T1'!$J60="",INDEX(LISTA_EX,183),INDEX(LISTA_EX,MATCH('T1'!$J60&amp;"|"&amp;183,LISTA_KLUCZ,0))),"")</f>
        <v/>
      </c>
      <c r="GD60" s="5" t="str">
        <f t="array" ref="GD60">IFERROR(IF('T1'!$J60="",INDEX(LISTA_EX,184),INDEX(LISTA_EX,MATCH('T1'!$J60&amp;"|"&amp;184,LISTA_KLUCZ,0))),"")</f>
        <v/>
      </c>
      <c r="GE60" s="5" t="str">
        <f t="array" ref="GE60">IFERROR(IF('T1'!$J60="",INDEX(LISTA_EX,185),INDEX(LISTA_EX,MATCH('T1'!$J60&amp;"|"&amp;185,LISTA_KLUCZ,0))),"")</f>
        <v/>
      </c>
      <c r="GF60" s="5" t="str">
        <f t="array" ref="GF60">IFERROR(IF('T1'!$J60="",INDEX(LISTA_EX,186),INDEX(LISTA_EX,MATCH('T1'!$J60&amp;"|"&amp;186,LISTA_KLUCZ,0))),"")</f>
        <v/>
      </c>
      <c r="GG60" s="5" t="str">
        <f t="array" ref="GG60">IFERROR(IF('T1'!$J60="",INDEX(LISTA_EX,187),INDEX(LISTA_EX,MATCH('T1'!$J60&amp;"|"&amp;187,LISTA_KLUCZ,0))),"")</f>
        <v/>
      </c>
      <c r="GH60" s="5" t="str">
        <f t="array" ref="GH60">IFERROR(IF('T1'!$J60="",INDEX(LISTA_EX,188),INDEX(LISTA_EX,MATCH('T1'!$J60&amp;"|"&amp;188,LISTA_KLUCZ,0))),"")</f>
        <v/>
      </c>
      <c r="GI60" s="5" t="str">
        <f t="array" ref="GI60">IFERROR(IF('T1'!$J60="",INDEX(LISTA_EX,189),INDEX(LISTA_EX,MATCH('T1'!$J60&amp;"|"&amp;189,LISTA_KLUCZ,0))),"")</f>
        <v/>
      </c>
      <c r="GJ60" s="5" t="str">
        <f t="array" ref="GJ60">IFERROR(IF('T1'!$J60="",INDEX(LISTA_EX,190),INDEX(LISTA_EX,MATCH('T1'!$J60&amp;"|"&amp;190,LISTA_KLUCZ,0))),"")</f>
        <v/>
      </c>
      <c r="GK60" s="5" t="str">
        <f t="array" ref="GK60">IFERROR(IF('T1'!$J60="",INDEX(LISTA_EX,191),INDEX(LISTA_EX,MATCH('T1'!$J60&amp;"|"&amp;191,LISTA_KLUCZ,0))),"")</f>
        <v/>
      </c>
      <c r="GL60" s="5" t="str">
        <f t="array" ref="GL60">IFERROR(IF('T1'!$J60="",INDEX(LISTA_EX,192),INDEX(LISTA_EX,MATCH('T1'!$J60&amp;"|"&amp;192,LISTA_KLUCZ,0))),"")</f>
        <v/>
      </c>
      <c r="GM60" s="5" t="str">
        <f t="array" ref="GM60">IFERROR(IF('T1'!$J60="",INDEX(LISTA_EX,193),INDEX(LISTA_EX,MATCH('T1'!$J60&amp;"|"&amp;193,LISTA_KLUCZ,0))),"")</f>
        <v/>
      </c>
      <c r="GN60" s="5" t="str">
        <f t="array" ref="GN60">IFERROR(IF('T1'!$J60="",INDEX(LISTA_EX,194),INDEX(LISTA_EX,MATCH('T1'!$J60&amp;"|"&amp;194,LISTA_KLUCZ,0))),"")</f>
        <v/>
      </c>
      <c r="GO60" s="5" t="str">
        <f t="array" ref="GO60">IFERROR(IF('T1'!$J60="",INDEX(LISTA_EX,195),INDEX(LISTA_EX,MATCH('T1'!$J60&amp;"|"&amp;195,LISTA_KLUCZ,0))),"")</f>
        <v/>
      </c>
      <c r="GP60" s="5" t="str">
        <f t="array" ref="GP60">IFERROR(IF('T1'!$J60="",INDEX(LISTA_EX,196),INDEX(LISTA_EX,MATCH('T1'!$J60&amp;"|"&amp;196,LISTA_KLUCZ,0))),"")</f>
        <v/>
      </c>
      <c r="GQ60" s="5" t="str">
        <f t="array" ref="GQ60">IFERROR(IF('T1'!$J60="",INDEX(LISTA_EX,197),INDEX(LISTA_EX,MATCH('T1'!$J60&amp;"|"&amp;197,LISTA_KLUCZ,0))),"")</f>
        <v/>
      </c>
      <c r="GR60" s="5" t="str">
        <f t="array" ref="GR60">IFERROR(IF('T1'!$J60="",INDEX(LISTA_EX,198),INDEX(LISTA_EX,MATCH('T1'!$J60&amp;"|"&amp;198,LISTA_KLUCZ,0))),"")</f>
        <v/>
      </c>
      <c r="GS60" s="5" t="str">
        <f t="array" ref="GS60">IFERROR(IF('T1'!$J60="",INDEX(LISTA_EX,199),INDEX(LISTA_EX,MATCH('T1'!$J60&amp;"|"&amp;199,LISTA_KLUCZ,0))),"")</f>
        <v/>
      </c>
      <c r="GT60" s="5" t="str">
        <f t="array" ref="GT60">IFERROR(IF('T1'!$J60="",INDEX(LISTA_EX,200),INDEX(LISTA_EX,MATCH('T1'!$J60&amp;"|"&amp;200,LISTA_KLUCZ,0))),"")</f>
        <v/>
      </c>
      <c r="GV60" s="5" t="str">
        <f>IF(BAZA!$A60="","",BAZA!$A60)</f>
        <v>Dumbbell over head press alternating</v>
      </c>
      <c r="GW60" s="5" t="str">
        <f>IF(BAZA!$B60="","",BAZA!$B60&amp;"|"&amp;COUNTIF(BAZA!$B$3:$B60,BAZA!$B60))</f>
        <v>Upper push vertical|7</v>
      </c>
    </row>
    <row r="61" ht="15.0" customHeight="1">
      <c r="A61" s="5" t="str">
        <f>IF('T1'!$K61="","",'T1'!$K61)</f>
        <v>D4-S07</v>
      </c>
      <c r="B61" s="5" t="str">
        <f>IF('T1'!$J61="","(wszystkie)",'T1'!$J61)</f>
        <v>(wszystkie)</v>
      </c>
      <c r="C61" s="5" t="str">
        <f t="array" ref="C61">IFERROR(IF('T1'!$J61="",INDEX(LISTA_EX,1),INDEX(LISTA_EX,MATCH('T1'!$J61&amp;"|"&amp;1,LISTA_KLUCZ,0))),"")</f>
        <v>Abduction machine</v>
      </c>
      <c r="D61" s="5" t="str">
        <f t="array" ref="D61">IFERROR(IF('T1'!$J61="",INDEX(LISTA_EX,2),INDEX(LISTA_EX,MATCH('T1'!$J61&amp;"|"&amp;2,LISTA_KLUCZ,0))),"")</f>
        <v>Adduction machine</v>
      </c>
      <c r="E61" s="5" t="str">
        <f t="array" ref="E61">IFERROR(IF('T1'!$J61="",INDEX(LISTA_EX,3),INDEX(LISTA_EX,MATCH('T1'!$J61&amp;"|"&amp;3,LISTA_KLUCZ,0))),"")</f>
        <v>Allah</v>
      </c>
      <c r="F61" s="5" t="str">
        <f t="array" ref="F61">IFERROR(IF('T1'!$J61="",INDEX(LISTA_EX,4),INDEX(LISTA_EX,MATCH('T1'!$J61&amp;"|"&amp;4,LISTA_KLUCZ,0))),"")</f>
        <v>Arnold press</v>
      </c>
      <c r="G61" s="5" t="str">
        <f t="array" ref="G61">IFERROR(IF('T1'!$J61="",INDEX(LISTA_EX,5),INDEX(LISTA_EX,MATCH('T1'!$J61&amp;"|"&amp;5,LISTA_KLUCZ,0))),"")</f>
        <v>Arnold press alternating</v>
      </c>
      <c r="H61" s="5" t="str">
        <f t="array" ref="H61">IFERROR(IF('T1'!$J61="",INDEX(LISTA_EX,6),INDEX(LISTA_EX,MATCH('T1'!$J61&amp;"|"&amp;6,LISTA_KLUCZ,0))),"")</f>
        <v>B/l dragonflag eccentric</v>
      </c>
      <c r="I61" s="5" t="str">
        <f t="array" ref="I61">IFERROR(IF('T1'!$J61="",INDEX(LISTA_EX,7),INDEX(LISTA_EX,MATCH('T1'!$J61&amp;"|"&amp;7,LISTA_KLUCZ,0))),"")</f>
        <v>Back extension</v>
      </c>
      <c r="J61" s="5" t="str">
        <f t="array" ref="J61">IFERROR(IF('T1'!$J61="",INDEX(LISTA_EX,8),INDEX(LISTA_EX,MATCH('T1'!$J61&amp;"|"&amp;8,LISTA_KLUCZ,0))),"")</f>
        <v>Banded pistol squat</v>
      </c>
      <c r="K61" s="5" t="str">
        <f t="array" ref="K61">IFERROR(IF('T1'!$J61="",INDEX(LISTA_EX,9),INDEX(LISTA_EX,MATCH('T1'!$J61&amp;"|"&amp;9,LISTA_KLUCZ,0))),"")</f>
        <v>Banded pull ups</v>
      </c>
      <c r="L61" s="5" t="str">
        <f t="array" ref="L61">IFERROR(IF('T1'!$J61="",INDEX(LISTA_EX,10),INDEX(LISTA_EX,MATCH('T1'!$J61&amp;"|"&amp;10,LISTA_KLUCZ,0))),"")</f>
        <v>Barbell back squat</v>
      </c>
      <c r="M61" s="5" t="str">
        <f t="array" ref="M61">IFERROR(IF('T1'!$J61="",INDEX(LISTA_EX,11),INDEX(LISTA_EX,MATCH('T1'!$J61&amp;"|"&amp;11,LISTA_KLUCZ,0))),"")</f>
        <v>Barbell bench press</v>
      </c>
      <c r="N61" s="5" t="str">
        <f t="array" ref="N61">IFERROR(IF('T1'!$J61="",INDEX(LISTA_EX,12),INDEX(LISTA_EX,MATCH('T1'!$J61&amp;"|"&amp;12,LISTA_KLUCZ,0))),"")</f>
        <v>Barbell curl</v>
      </c>
      <c r="O61" s="5" t="str">
        <f t="array" ref="O61">IFERROR(IF('T1'!$J61="",INDEX(LISTA_EX,13),INDEX(LISTA_EX,MATCH('T1'!$J61&amp;"|"&amp;13,LISTA_KLUCZ,0))),"")</f>
        <v>Barbell low bar squat</v>
      </c>
      <c r="P61" s="5" t="str">
        <f t="array" ref="P61">IFERROR(IF('T1'!$J61="",INDEX(LISTA_EX,14),INDEX(LISTA_EX,MATCH('T1'!$J61&amp;"|"&amp;14,LISTA_KLUCZ,0))),"")</f>
        <v>Barbell OHP</v>
      </c>
      <c r="Q61" s="5" t="str">
        <f t="array" ref="Q61">IFERROR(IF('T1'!$J61="",INDEX(LISTA_EX,15),INDEX(LISTA_EX,MATCH('T1'!$J61&amp;"|"&amp;15,LISTA_KLUCZ,0))),"")</f>
        <v>Barbell oscilation</v>
      </c>
      <c r="R61" s="5" t="str">
        <f t="array" ref="R61">IFERROR(IF('T1'!$J61="",INDEX(LISTA_EX,16),INDEX(LISTA_EX,MATCH('T1'!$J61&amp;"|"&amp;16,LISTA_KLUCZ,0))),"")</f>
        <v>Barbell row</v>
      </c>
      <c r="S61" s="5" t="str">
        <f t="array" ref="S61">IFERROR(IF('T1'!$J61="",INDEX(LISTA_EX,17),INDEX(LISTA_EX,MATCH('T1'!$J61&amp;"|"&amp;17,LISTA_KLUCZ,0))),"")</f>
        <v>Barbell row dead stop pins</v>
      </c>
      <c r="T61" s="5" t="str">
        <f t="array" ref="T61">IFERROR(IF('T1'!$J61="",INDEX(LISTA_EX,18),INDEX(LISTA_EX,MATCH('T1'!$J61&amp;"|"&amp;18,LISTA_KLUCZ,0))),"")</f>
        <v>Barbell SLDL</v>
      </c>
      <c r="U61" s="5" t="str">
        <f t="array" ref="U61">IFERROR(IF('T1'!$J61="",INDEX(LISTA_EX,19),INDEX(LISTA_EX,MATCH('T1'!$J61&amp;"|"&amp;19,LISTA_KLUCZ,0))),"")</f>
        <v>Bayesian curl</v>
      </c>
      <c r="V61" s="5" t="str">
        <f t="array" ref="V61">IFERROR(IF('T1'!$J61="",INDEX(LISTA_EX,20),INDEX(LISTA_EX,MATCH('T1'!$J61&amp;"|"&amp;20,LISTA_KLUCZ,0))),"")</f>
        <v>Bear renegade row</v>
      </c>
      <c r="W61" s="5" t="str">
        <f t="array" ref="W61">IFERROR(IF('T1'!$J61="",INDEX(LISTA_EX,21),INDEX(LISTA_EX,MATCH('T1'!$J61&amp;"|"&amp;21,LISTA_KLUCZ,0))),"")</f>
        <v>Bench press paused 3sec</v>
      </c>
      <c r="X61" s="5" t="str">
        <f t="array" ref="X61">IFERROR(IF('T1'!$J61="",INDEX(LISTA_EX,22),INDEX(LISTA_EX,MATCH('T1'!$J61&amp;"|"&amp;22,LISTA_KLUCZ,0))),"")</f>
        <v>Bicep hammer curl</v>
      </c>
      <c r="Y61" s="5" t="str">
        <f t="array" ref="Y61">IFERROR(IF('T1'!$J61="",INDEX(LISTA_EX,23),INDEX(LISTA_EX,MATCH('T1'!$J61&amp;"|"&amp;23,LISTA_KLUCZ,0))),"")</f>
        <v>Bicep squat cable curl</v>
      </c>
      <c r="Z61" s="5" t="str">
        <f t="array" ref="Z61">IFERROR(IF('T1'!$J61="",INDEX(LISTA_EX,24),INDEX(LISTA_EX,MATCH('T1'!$J61&amp;"|"&amp;24,LISTA_KLUCZ,0))),"")</f>
        <v>Bird dog row</v>
      </c>
      <c r="AA61" s="5" t="str">
        <f t="array" ref="AA61">IFERROR(IF('T1'!$J61="",INDEX(LISTA_EX,25),INDEX(LISTA_EX,MATCH('T1'!$J61&amp;"|"&amp;25,LISTA_KLUCZ,0))),"")</f>
        <v>Box jump</v>
      </c>
      <c r="AB61" s="5" t="str">
        <f t="array" ref="AB61">IFERROR(IF('T1'!$J61="",INDEX(LISTA_EX,26),INDEX(LISTA_EX,MATCH('T1'!$J61&amp;"|"&amp;26,LISTA_KLUCZ,0))),"")</f>
        <v>Bulgarian clean plyo</v>
      </c>
      <c r="AC61" s="5" t="str">
        <f t="array" ref="AC61">IFERROR(IF('T1'!$J61="",INDEX(LISTA_EX,27),INDEX(LISTA_EX,MATCH('T1'!$J61&amp;"|"&amp;27,LISTA_KLUCZ,0))),"")</f>
        <v>Bulgarian squat assisted</v>
      </c>
      <c r="AD61" s="5" t="str">
        <f t="array" ref="AD61">IFERROR(IF('T1'!$J61="",INDEX(LISTA_EX,28),INDEX(LISTA_EX,MATCH('T1'!$J61&amp;"|"&amp;28,LISTA_KLUCZ,0))),"")</f>
        <v>Cable biceps curl</v>
      </c>
      <c r="AE61" s="5" t="str">
        <f t="array" ref="AE61">IFERROR(IF('T1'!$J61="",INDEX(LISTA_EX,29),INDEX(LISTA_EX,MATCH('T1'!$J61&amp;"|"&amp;29,LISTA_KLUCZ,0))),"")</f>
        <v>Cable fly</v>
      </c>
      <c r="AF61" s="5" t="str">
        <f t="array" ref="AF61">IFERROR(IF('T1'!$J61="",INDEX(LISTA_EX,30),INDEX(LISTA_EX,MATCH('T1'!$J61&amp;"|"&amp;30,LISTA_KLUCZ,0))),"")</f>
        <v>Cable lateral raise s/a</v>
      </c>
      <c r="AG61" s="5" t="str">
        <f t="array" ref="AG61">IFERROR(IF('T1'!$J61="",INDEX(LISTA_EX,31),INDEX(LISTA_EX,MATCH('T1'!$J61&amp;"|"&amp;31,LISTA_KLUCZ,0))),"")</f>
        <v>Cable row</v>
      </c>
      <c r="AH61" s="5" t="str">
        <f t="array" ref="AH61">IFERROR(IF('T1'!$J61="",INDEX(LISTA_EX,32),INDEX(LISTA_EX,MATCH('T1'!$J61&amp;"|"&amp;32,LISTA_KLUCZ,0))),"")</f>
        <v>Cable row s/a</v>
      </c>
      <c r="AI61" s="5" t="str">
        <f t="array" ref="AI61">IFERROR(IF('T1'!$J61="",INDEX(LISTA_EX,33),INDEX(LISTA_EX,MATCH('T1'!$J61&amp;"|"&amp;33,LISTA_KLUCZ,0))),"")</f>
        <v>Calf raises</v>
      </c>
      <c r="AJ61" s="5" t="str">
        <f t="array" ref="AJ61">IFERROR(IF('T1'!$J61="",INDEX(LISTA_EX,34),INDEX(LISTA_EX,MATCH('T1'!$J61&amp;"|"&amp;34,LISTA_KLUCZ,0))),"")</f>
        <v>Chest fly machine</v>
      </c>
      <c r="AK61" s="5" t="str">
        <f t="array" ref="AK61">IFERROR(IF('T1'!$J61="",INDEX(LISTA_EX,35),INDEX(LISTA_EX,MATCH('T1'!$J61&amp;"|"&amp;35,LISTA_KLUCZ,0))),"")</f>
        <v>Clean</v>
      </c>
      <c r="AL61" s="5" t="str">
        <f t="array" ref="AL61">IFERROR(IF('T1'!$J61="",INDEX(LISTA_EX,36),INDEX(LISTA_EX,MATCH('T1'!$J61&amp;"|"&amp;36,LISTA_KLUCZ,0))),"")</f>
        <v>Clean pins</v>
      </c>
      <c r="AM61" s="5" t="str">
        <f t="array" ref="AM61">IFERROR(IF('T1'!$J61="",INDEX(LISTA_EX,37),INDEX(LISTA_EX,MATCH('T1'!$J61&amp;"|"&amp;37,LISTA_KLUCZ,0))),"")</f>
        <v>Copenhagen plank</v>
      </c>
      <c r="AN61" s="5" t="str">
        <f t="array" ref="AN61">IFERROR(IF('T1'!$J61="",INDEX(LISTA_EX,38),INDEX(LISTA_EX,MATCH('T1'!$J61&amp;"|"&amp;38,LISTA_KLUCZ,0))),"")</f>
        <v>Dead bug izo + OH</v>
      </c>
      <c r="AO61" s="5" t="str">
        <f t="array" ref="AO61">IFERROR(IF('T1'!$J61="",INDEX(LISTA_EX,39),INDEX(LISTA_EX,MATCH('T1'!$J61&amp;"|"&amp;39,LISTA_KLUCZ,0))),"")</f>
        <v>Dead bug straight legs</v>
      </c>
      <c r="AP61" s="5" t="str">
        <f t="array" ref="AP61">IFERROR(IF('T1'!$J61="",INDEX(LISTA_EX,40),INDEX(LISTA_EX,MATCH('T1'!$J61&amp;"|"&amp;40,LISTA_KLUCZ,0))),"")</f>
        <v>Dead stop barbell row</v>
      </c>
      <c r="AQ61" s="5" t="str">
        <f t="array" ref="AQ61">IFERROR(IF('T1'!$J61="",INDEX(LISTA_EX,41),INDEX(LISTA_EX,MATCH('T1'!$J61&amp;"|"&amp;41,LISTA_KLUCZ,0))),"")</f>
        <v>Deadbug OH</v>
      </c>
      <c r="AR61" s="5" t="str">
        <f t="array" ref="AR61">IFERROR(IF('T1'!$J61="",INDEX(LISTA_EX,42),INDEX(LISTA_EX,MATCH('T1'!$J61&amp;"|"&amp;42,LISTA_KLUCZ,0))),"")</f>
        <v>Deadlift</v>
      </c>
      <c r="AS61" s="5" t="str">
        <f t="array" ref="AS61">IFERROR(IF('T1'!$J61="",INDEX(LISTA_EX,43),INDEX(LISTA_EX,MATCH('T1'!$J61&amp;"|"&amp;43,LISTA_KLUCZ,0))),"")</f>
        <v>Deficit push up</v>
      </c>
      <c r="AT61" s="5" t="str">
        <f t="array" ref="AT61">IFERROR(IF('T1'!$J61="",INDEX(LISTA_EX,44),INDEX(LISTA_EX,MATCH('T1'!$J61&amp;"|"&amp;44,LISTA_KLUCZ,0))),"")</f>
        <v>Deficit reverse lunge</v>
      </c>
      <c r="AU61" s="5" t="str">
        <f t="array" ref="AU61">IFERROR(IF('T1'!$J61="",INDEX(LISTA_EX,45),INDEX(LISTA_EX,MATCH('T1'!$J61&amp;"|"&amp;45,LISTA_KLUCZ,0))),"")</f>
        <v>Dips</v>
      </c>
      <c r="AV61" s="5" t="str">
        <f t="array" ref="AV61">IFERROR(IF('T1'!$J61="",INDEX(LISTA_EX,46),INDEX(LISTA_EX,MATCH('T1'!$J61&amp;"|"&amp;46,LISTA_KLUCZ,0))),"")</f>
        <v>Dips weighted</v>
      </c>
      <c r="AW61" s="5" t="str">
        <f t="array" ref="AW61">IFERROR(IF('T1'!$J61="",INDEX(LISTA_EX,47),INDEX(LISTA_EX,MATCH('T1'!$J61&amp;"|"&amp;47,LISTA_KLUCZ,0))),"")</f>
        <v>Dumbbell bench press</v>
      </c>
      <c r="AX61" s="5" t="str">
        <f t="array" ref="AX61">IFERROR(IF('T1'!$J61="",INDEX(LISTA_EX,48),INDEX(LISTA_EX,MATCH('T1'!$J61&amp;"|"&amp;48,LISTA_KLUCZ,0))),"")</f>
        <v>Dumbbell bench press alternating</v>
      </c>
      <c r="AY61" s="5" t="str">
        <f t="array" ref="AY61">IFERROR(IF('T1'!$J61="",INDEX(LISTA_EX,49),INDEX(LISTA_EX,MATCH('T1'!$J61&amp;"|"&amp;49,LISTA_KLUCZ,0))),"")</f>
        <v>Dumbbell curl</v>
      </c>
      <c r="AZ61" s="5" t="str">
        <f t="array" ref="AZ61">IFERROR(IF('T1'!$J61="",INDEX(LISTA_EX,50),INDEX(LISTA_EX,MATCH('T1'!$J61&amp;"|"&amp;50,LISTA_KLUCZ,0))),"")</f>
        <v>Dumbbell external rotation</v>
      </c>
      <c r="BA61" s="5" t="str">
        <f t="array" ref="BA61">IFERROR(IF('T1'!$J61="",INDEX(LISTA_EX,51),INDEX(LISTA_EX,MATCH('T1'!$J61&amp;"|"&amp;51,LISTA_KLUCZ,0))),"")</f>
        <v>Dumbbell face down curl</v>
      </c>
      <c r="BB61" s="5" t="str">
        <f t="array" ref="BB61">IFERROR(IF('T1'!$J61="",INDEX(LISTA_EX,52),INDEX(LISTA_EX,MATCH('T1'!$J61&amp;"|"&amp;52,LISTA_KLUCZ,0))),"")</f>
        <v>Dumbbell fly</v>
      </c>
      <c r="BC61" s="5" t="str">
        <f t="array" ref="BC61">IFERROR(IF('T1'!$J61="",INDEX(LISTA_EX,53),INDEX(LISTA_EX,MATCH('T1'!$J61&amp;"|"&amp;53,LISTA_KLUCZ,0))),"")</f>
        <v>Dumbbell french press</v>
      </c>
      <c r="BD61" s="5" t="str">
        <f t="array" ref="BD61">IFERROR(IF('T1'!$J61="",INDEX(LISTA_EX,54),INDEX(LISTA_EX,MATCH('T1'!$J61&amp;"|"&amp;54,LISTA_KLUCZ,0))),"")</f>
        <v>Dumbbell lateral raise</v>
      </c>
      <c r="BE61" s="5" t="str">
        <f t="array" ref="BE61">IFERROR(IF('T1'!$J61="",INDEX(LISTA_EX,55),INDEX(LISTA_EX,MATCH('T1'!$J61&amp;"|"&amp;55,LISTA_KLUCZ,0))),"")</f>
        <v>Dumbbell lunges</v>
      </c>
      <c r="BF61" s="5" t="str">
        <f t="array" ref="BF61">IFERROR(IF('T1'!$J61="",INDEX(LISTA_EX,56),INDEX(LISTA_EX,MATCH('T1'!$J61&amp;"|"&amp;56,LISTA_KLUCZ,0))),"")</f>
        <v>Dumbbell OH press</v>
      </c>
      <c r="BG61" s="5" t="str">
        <f t="array" ref="BG61">IFERROR(IF('T1'!$J61="",INDEX(LISTA_EX,57),INDEX(LISTA_EX,MATCH('T1'!$J61&amp;"|"&amp;57,LISTA_KLUCZ,0))),"")</f>
        <v>Dumbbell over head press</v>
      </c>
      <c r="BH61" s="5" t="str">
        <f t="array" ref="BH61">IFERROR(IF('T1'!$J61="",INDEX(LISTA_EX,58),INDEX(LISTA_EX,MATCH('T1'!$J61&amp;"|"&amp;58,LISTA_KLUCZ,0))),"")</f>
        <v>Dumbbell over head press alternating</v>
      </c>
      <c r="BI61" s="5" t="str">
        <f t="array" ref="BI61">IFERROR(IF('T1'!$J61="",INDEX(LISTA_EX,59),INDEX(LISTA_EX,MATCH('T1'!$J61&amp;"|"&amp;59,LISTA_KLUCZ,0))),"")</f>
        <v>Dumbbell row</v>
      </c>
      <c r="BJ61" s="5" t="str">
        <f t="array" ref="BJ61">IFERROR(IF('T1'!$J61="",INDEX(LISTA_EX,60),INDEX(LISTA_EX,MATCH('T1'!$J61&amp;"|"&amp;60,LISTA_KLUCZ,0))),"")</f>
        <v>Dumbbell s/a Arnold press</v>
      </c>
      <c r="BK61" s="5" t="str">
        <f t="array" ref="BK61">IFERROR(IF('T1'!$J61="",INDEX(LISTA_EX,61),INDEX(LISTA_EX,MATCH('T1'!$J61&amp;"|"&amp;61,LISTA_KLUCZ,0))),"")</f>
        <v>Dumbbell s/a row</v>
      </c>
      <c r="BL61" s="5" t="str">
        <f t="array" ref="BL61">IFERROR(IF('T1'!$J61="",INDEX(LISTA_EX,62),INDEX(LISTA_EX,MATCH('T1'!$J61&amp;"|"&amp;62,LISTA_KLUCZ,0))),"")</f>
        <v>Dumbbell seal row</v>
      </c>
      <c r="BM61" s="5" t="str">
        <f t="array" ref="BM61">IFERROR(IF('T1'!$J61="",INDEX(LISTA_EX,63),INDEX(LISTA_EX,MATCH('T1'!$J61&amp;"|"&amp;63,LISTA_KLUCZ,0))),"")</f>
        <v>Dumbbells jumps</v>
      </c>
      <c r="BN61" s="5" t="str">
        <f t="array" ref="BN61">IFERROR(IF('T1'!$J61="",INDEX(LISTA_EX,64),INDEX(LISTA_EX,MATCH('T1'!$J61&amp;"|"&amp;64,LISTA_KLUCZ,0))),"")</f>
        <v>Eccentric pull up</v>
      </c>
      <c r="BO61" s="5" t="str">
        <f t="array" ref="BO61">IFERROR(IF('T1'!$J61="",INDEX(LISTA_EX,65),INDEX(LISTA_EX,MATCH('T1'!$J61&amp;"|"&amp;65,LISTA_KLUCZ,0))),"")</f>
        <v>Eccentric push up (5 sek w dół)</v>
      </c>
      <c r="BP61" s="5" t="str">
        <f t="array" ref="BP61">IFERROR(IF('T1'!$J61="",INDEX(LISTA_EX,66),INDEX(LISTA_EX,MATCH('T1'!$J61&amp;"|"&amp;66,LISTA_KLUCZ,0))),"")</f>
        <v>Extensive plyo jumps s/l</v>
      </c>
      <c r="BQ61" s="5" t="str">
        <f t="array" ref="BQ61">IFERROR(IF('T1'!$J61="",INDEX(LISTA_EX,67),INDEX(LISTA_EX,MATCH('T1'!$J61&amp;"|"&amp;67,LISTA_KLUCZ,0))),"")</f>
        <v>Ez bar curl</v>
      </c>
      <c r="BR61" s="5" t="str">
        <f t="array" ref="BR61">IFERROR(IF('T1'!$J61="",INDEX(LISTA_EX,68),INDEX(LISTA_EX,MATCH('T1'!$J61&amp;"|"&amp;68,LISTA_KLUCZ,0))),"")</f>
        <v>Facepull chest supported</v>
      </c>
      <c r="BS61" s="5" t="str">
        <f t="array" ref="BS61">IFERROR(IF('T1'!$J61="",INDEX(LISTA_EX,69),INDEX(LISTA_EX,MATCH('T1'!$J61&amp;"|"&amp;69,LISTA_KLUCZ,0))),"")</f>
        <v>Front foot elevated split squat</v>
      </c>
      <c r="BT61" s="5" t="str">
        <f t="array" ref="BT61">IFERROR(IF('T1'!$J61="",INDEX(LISTA_EX,70),INDEX(LISTA_EX,MATCH('T1'!$J61&amp;"|"&amp;70,LISTA_KLUCZ,0))),"")</f>
        <v>Front squat</v>
      </c>
      <c r="BU61" s="5" t="str">
        <f t="array" ref="BU61">IFERROR(IF('T1'!$J61="",INDEX(LISTA_EX,71),INDEX(LISTA_EX,MATCH('T1'!$J61&amp;"|"&amp;71,LISTA_KLUCZ,0))),"")</f>
        <v>GHD flexion</v>
      </c>
      <c r="BV61" s="5" t="str">
        <f t="array" ref="BV61">IFERROR(IF('T1'!$J61="",INDEX(LISTA_EX,72),INDEX(LISTA_EX,MATCH('T1'!$J61&amp;"|"&amp;72,LISTA_KLUCZ,0))),"")</f>
        <v>Glute bridge hamstrings izo + OH</v>
      </c>
      <c r="BW61" s="5" t="str">
        <f t="array" ref="BW61">IFERROR(IF('T1'!$J61="",INDEX(LISTA_EX,73),INDEX(LISTA_EX,MATCH('T1'!$J61&amp;"|"&amp;73,LISTA_KLUCZ,0))),"")</f>
        <v>Glute crusher</v>
      </c>
      <c r="BX61" s="5" t="str">
        <f t="array" ref="BX61">IFERROR(IF('T1'!$J61="",INDEX(LISTA_EX,74),INDEX(LISTA_EX,MATCH('T1'!$J61&amp;"|"&amp;74,LISTA_KLUCZ,0))),"")</f>
        <v>Gorilla row</v>
      </c>
      <c r="BY61" s="5" t="str">
        <f t="array" ref="BY61">IFERROR(IF('T1'!$J61="",INDEX(LISTA_EX,75),INDEX(LISTA_EX,MATCH('T1'!$J61&amp;"|"&amp;75,LISTA_KLUCZ,0))),"")</f>
        <v>Halfkneeling s/a cable pull</v>
      </c>
      <c r="BZ61" s="5" t="str">
        <f t="array" ref="BZ61">IFERROR(IF('T1'!$J61="",INDEX(LISTA_EX,76),INDEX(LISTA_EX,MATCH('T1'!$J61&amp;"|"&amp;76,LISTA_KLUCZ,0))),"")</f>
        <v>Halfkneeling wood chopper</v>
      </c>
      <c r="CA61" s="5" t="str">
        <f t="array" ref="CA61">IFERROR(IF('T1'!$J61="",INDEX(LISTA_EX,77),INDEX(LISTA_EX,MATCH('T1'!$J61&amp;"|"&amp;77,LISTA_KLUCZ,0))),"")</f>
        <v>Hinged dumbbell row</v>
      </c>
      <c r="CB61" s="5" t="str">
        <f t="array" ref="CB61">IFERROR(IF('T1'!$J61="",INDEX(LISTA_EX,78),INDEX(LISTA_EX,MATCH('T1'!$J61&amp;"|"&amp;78,LISTA_KLUCZ,0))),"")</f>
        <v>Hip aeroplane</v>
      </c>
      <c r="CC61" s="5" t="str">
        <f t="array" ref="CC61">IFERROR(IF('T1'!$J61="",INDEX(LISTA_EX,79),INDEX(LISTA_EX,MATCH('T1'!$J61&amp;"|"&amp;79,LISTA_KLUCZ,0))),"")</f>
        <v>Hip flexors cable</v>
      </c>
      <c r="CD61" s="5" t="str">
        <f t="array" ref="CD61">IFERROR(IF('T1'!$J61="",INDEX(LISTA_EX,80),INDEX(LISTA_EX,MATCH('T1'!$J61&amp;"|"&amp;80,LISTA_KLUCZ,0))),"")</f>
        <v>Hip thrust barbell</v>
      </c>
      <c r="CE61" s="5" t="str">
        <f t="array" ref="CE61">IFERROR(IF('T1'!$J61="",INDEX(LISTA_EX,81),INDEX(LISTA_EX,MATCH('T1'!$J61&amp;"|"&amp;81,LISTA_KLUCZ,0))),"")</f>
        <v>Hollow body + OH</v>
      </c>
      <c r="CF61" s="5" t="str">
        <f t="array" ref="CF61">IFERROR(IF('T1'!$J61="",INDEX(LISTA_EX,82),INDEX(LISTA_EX,MATCH('T1'!$J61&amp;"|"&amp;82,LISTA_KLUCZ,0))),"")</f>
        <v>Horizontal jump</v>
      </c>
      <c r="CG61" s="5" t="str">
        <f t="array" ref="CG61">IFERROR(IF('T1'!$J61="",INDEX(LISTA_EX,83),INDEX(LISTA_EX,MATCH('T1'!$J61&amp;"|"&amp;83,LISTA_KLUCZ,0))),"")</f>
        <v>Incline bench lateral raise s/a</v>
      </c>
      <c r="CH61" s="5" t="str">
        <f t="array" ref="CH61">IFERROR(IF('T1'!$J61="",INDEX(LISTA_EX,84),INDEX(LISTA_EX,MATCH('T1'!$J61&amp;"|"&amp;84,LISTA_KLUCZ,0))),"")</f>
        <v>Incline curl + OHP</v>
      </c>
      <c r="CI61" s="5" t="str">
        <f t="array" ref="CI61">IFERROR(IF('T1'!$J61="",INDEX(LISTA_EX,85),INDEX(LISTA_EX,MATCH('T1'!$J61&amp;"|"&amp;85,LISTA_KLUCZ,0))),"")</f>
        <v>Incline dumbbell curl</v>
      </c>
      <c r="CJ61" s="5" t="str">
        <f t="array" ref="CJ61">IFERROR(IF('T1'!$J61="",INDEX(LISTA_EX,86),INDEX(LISTA_EX,MATCH('T1'!$J61&amp;"|"&amp;86,LISTA_KLUCZ,0))),"")</f>
        <v>Incline dumbbell curl (back)</v>
      </c>
      <c r="CK61" s="5" t="str">
        <f t="array" ref="CK61">IFERROR(IF('T1'!$J61="",INDEX(LISTA_EX,87),INDEX(LISTA_EX,MATCH('T1'!$J61&amp;"|"&amp;87,LISTA_KLUCZ,0))),"")</f>
        <v>Incline dumbbell curl (front)</v>
      </c>
      <c r="CL61" s="5" t="str">
        <f t="array" ref="CL61">IFERROR(IF('T1'!$J61="",INDEX(LISTA_EX,88),INDEX(LISTA_EX,MATCH('T1'!$J61&amp;"|"&amp;88,LISTA_KLUCZ,0))),"")</f>
        <v>Incline dumbbell fly</v>
      </c>
      <c r="CM61" s="5" t="str">
        <f t="array" ref="CM61">IFERROR(IF('T1'!$J61="",INDEX(LISTA_EX,89),INDEX(LISTA_EX,MATCH('T1'!$J61&amp;"|"&amp;89,LISTA_KLUCZ,0))),"")</f>
        <v>Incline dumbbell press</v>
      </c>
      <c r="CN61" s="5" t="str">
        <f t="array" ref="CN61">IFERROR(IF('T1'!$J61="",INDEX(LISTA_EX,90),INDEX(LISTA_EX,MATCH('T1'!$J61&amp;"|"&amp;90,LISTA_KLUCZ,0))),"")</f>
        <v>Incline dumbbell press alternating</v>
      </c>
      <c r="CO61" s="5" t="str">
        <f t="array" ref="CO61">IFERROR(IF('T1'!$J61="",INDEX(LISTA_EX,91),INDEX(LISTA_EX,MATCH('T1'!$J61&amp;"|"&amp;91,LISTA_KLUCZ,0))),"")</f>
        <v>Incline sit-ups</v>
      </c>
      <c r="CP61" s="5" t="str">
        <f t="array" ref="CP61">IFERROR(IF('T1'!$J61="",INDEX(LISTA_EX,92),INDEX(LISTA_EX,MATCH('T1'!$J61&amp;"|"&amp;92,LISTA_KLUCZ,0))),"")</f>
        <v>Jefferson cable</v>
      </c>
      <c r="CQ61" s="5" t="str">
        <f t="array" ref="CQ61">IFERROR(IF('T1'!$J61="",INDEX(LISTA_EX,93),INDEX(LISTA_EX,MATCH('T1'!$J61&amp;"|"&amp;93,LISTA_KLUCZ,0))),"")</f>
        <v>Kettlebell march</v>
      </c>
      <c r="CR61" s="5" t="str">
        <f t="array" ref="CR61">IFERROR(IF('T1'!$J61="",INDEX(LISTA_EX,94),INDEX(LISTA_EX,MATCH('T1'!$J61&amp;"|"&amp;94,LISTA_KLUCZ,0))),"")</f>
        <v>Kickbacks</v>
      </c>
      <c r="CS61" s="5" t="str">
        <f t="array" ref="CS61">IFERROR(IF('T1'!$J61="",INDEX(LISTA_EX,95),INDEX(LISTA_EX,MATCH('T1'!$J61&amp;"|"&amp;95,LISTA_KLUCZ,0))),"")</f>
        <v>Knee extension machine</v>
      </c>
      <c r="CT61" s="5" t="str">
        <f t="array" ref="CT61">IFERROR(IF('T1'!$J61="",INDEX(LISTA_EX,96),INDEX(LISTA_EX,MATCH('T1'!$J61&amp;"|"&amp;96,LISTA_KLUCZ,0))),"")</f>
        <v>Knee flexion machine</v>
      </c>
      <c r="CU61" s="5" t="str">
        <f t="array" ref="CU61">IFERROR(IF('T1'!$J61="",INDEX(LISTA_EX,97),INDEX(LISTA_EX,MATCH('T1'!$J61&amp;"|"&amp;97,LISTA_KLUCZ,0))),"")</f>
        <v>Knee raises</v>
      </c>
      <c r="CV61" s="5" t="str">
        <f t="array" ref="CV61">IFERROR(IF('T1'!$J61="",INDEX(LISTA_EX,98),INDEX(LISTA_EX,MATCH('T1'!$J61&amp;"|"&amp;98,LISTA_KLUCZ,0))),"")</f>
        <v>Landmine core</v>
      </c>
      <c r="CW61" s="5" t="str">
        <f t="array" ref="CW61">IFERROR(IF('T1'!$J61="",INDEX(LISTA_EX,99),INDEX(LISTA_EX,MATCH('T1'!$J61&amp;"|"&amp;99,LISTA_KLUCZ,0))),"")</f>
        <v>Landmine press</v>
      </c>
      <c r="CX61" s="5" t="str">
        <f t="array" ref="CX61">IFERROR(IF('T1'!$J61="",INDEX(LISTA_EX,100),INDEX(LISTA_EX,MATCH('T1'!$J61&amp;"|"&amp;100,LISTA_KLUCZ,0))),"")</f>
        <v>Landmine rotations (powtórzenia x2)</v>
      </c>
      <c r="CY61" s="5" t="str">
        <f t="array" ref="CY61">IFERROR(IF('T1'!$J61="",INDEX(LISTA_EX,101),INDEX(LISTA_EX,MATCH('T1'!$J61&amp;"|"&amp;101,LISTA_KLUCZ,0))),"")</f>
        <v>Landmine SLDL</v>
      </c>
      <c r="CZ61" s="5" t="str">
        <f t="array" ref="CZ61">IFERROR(IF('T1'!$J61="",INDEX(LISTA_EX,102),INDEX(LISTA_EX,MATCH('T1'!$J61&amp;"|"&amp;102,LISTA_KLUCZ,0))),"")</f>
        <v>Lat pulldown</v>
      </c>
      <c r="DA61" s="5" t="str">
        <f t="array" ref="DA61">IFERROR(IF('T1'!$J61="",INDEX(LISTA_EX,103),INDEX(LISTA_EX,MATCH('T1'!$J61&amp;"|"&amp;103,LISTA_KLUCZ,0))),"")</f>
        <v>Lat pulldown behind the head</v>
      </c>
      <c r="DB61" s="5" t="str">
        <f t="array" ref="DB61">IFERROR(IF('T1'!$J61="",INDEX(LISTA_EX,104),INDEX(LISTA_EX,MATCH('T1'!$J61&amp;"|"&amp;104,LISTA_KLUCZ,0))),"")</f>
        <v>Lat pulldown s/a</v>
      </c>
      <c r="DC61" s="5" t="str">
        <f t="array" ref="DC61">IFERROR(IF('T1'!$J61="",INDEX(LISTA_EX,105),INDEX(LISTA_EX,MATCH('T1'!$J61&amp;"|"&amp;105,LISTA_KLUCZ,0))),"")</f>
        <v>Lateral raise s/a</v>
      </c>
      <c r="DD61" s="5" t="str">
        <f t="array" ref="DD61">IFERROR(IF('T1'!$J61="",INDEX(LISTA_EX,106),INDEX(LISTA_EX,MATCH('T1'!$J61&amp;"|"&amp;106,LISTA_KLUCZ,0))),"")</f>
        <v>Lateral raises</v>
      </c>
      <c r="DE61" s="5" t="str">
        <f t="array" ref="DE61">IFERROR(IF('T1'!$J61="",INDEX(LISTA_EX,107),INDEX(LISTA_EX,MATCH('T1'!$J61&amp;"|"&amp;107,LISTA_KLUCZ,0))),"")</f>
        <v>Lateral raises 2</v>
      </c>
      <c r="DF61" s="5" t="str">
        <f t="array" ref="DF61">IFERROR(IF('T1'!$J61="",INDEX(LISTA_EX,108),INDEX(LISTA_EX,MATCH('T1'!$J61&amp;"|"&amp;108,LISTA_KLUCZ,0))),"")</f>
        <v>Lateral raises full ROM</v>
      </c>
      <c r="DG61" s="5" t="str">
        <f t="array" ref="DG61">IFERROR(IF('T1'!$J61="",INDEX(LISTA_EX,109),INDEX(LISTA_EX,MATCH('T1'!$J61&amp;"|"&amp;109,LISTA_KLUCZ,0))),"")</f>
        <v>Lateral raises hinged</v>
      </c>
      <c r="DH61" s="5" t="str">
        <f t="array" ref="DH61">IFERROR(IF('T1'!$J61="",INDEX(LISTA_EX,110),INDEX(LISTA_EX,MATCH('T1'!$J61&amp;"|"&amp;110,LISTA_KLUCZ,0))),"")</f>
        <v>Lateral raises incline s/a</v>
      </c>
      <c r="DI61" s="5" t="str">
        <f t="array" ref="DI61">IFERROR(IF('T1'!$J61="",INDEX(LISTA_EX,111),INDEX(LISTA_EX,MATCH('T1'!$J61&amp;"|"&amp;111,LISTA_KLUCZ,0))),"")</f>
        <v>Leg curl</v>
      </c>
      <c r="DJ61" s="5" t="str">
        <f t="array" ref="DJ61">IFERROR(IF('T1'!$J61="",INDEX(LISTA_EX,112),INDEX(LISTA_EX,MATCH('T1'!$J61&amp;"|"&amp;112,LISTA_KLUCZ,0))),"")</f>
        <v>Machine row</v>
      </c>
      <c r="DK61" s="5" t="str">
        <f t="array" ref="DK61">IFERROR(IF('T1'!$J61="",INDEX(LISTA_EX,113),INDEX(LISTA_EX,MATCH('T1'!$J61&amp;"|"&amp;113,LISTA_KLUCZ,0))),"")</f>
        <v>Machine row s/a</v>
      </c>
      <c r="DL61" s="5" t="str">
        <f t="array" ref="DL61">IFERROR(IF('T1'!$J61="",INDEX(LISTA_EX,114),INDEX(LISTA_EX,MATCH('T1'!$J61&amp;"|"&amp;114,LISTA_KLUCZ,0))),"")</f>
        <v>Meadows row</v>
      </c>
      <c r="DM61" s="5" t="str">
        <f t="array" ref="DM61">IFERROR(IF('T1'!$J61="",INDEX(LISTA_EX,115),INDEX(LISTA_EX,MATCH('T1'!$J61&amp;"|"&amp;115,LISTA_KLUCZ,0))),"")</f>
        <v>Med ball slam</v>
      </c>
      <c r="DN61" s="5" t="str">
        <f t="array" ref="DN61">IFERROR(IF('T1'!$J61="",INDEX(LISTA_EX,116),INDEX(LISTA_EX,MATCH('T1'!$J61&amp;"|"&amp;116,LISTA_KLUCZ,0))),"")</f>
        <v>OH skullcrushers</v>
      </c>
      <c r="DO61" s="5" t="str">
        <f t="array" ref="DO61">IFERROR(IF('T1'!$J61="",INDEX(LISTA_EX,117),INDEX(LISTA_EX,MATCH('T1'!$J61&amp;"|"&amp;117,LISTA_KLUCZ,0))),"")</f>
        <v>OHP barbell squat 15kg</v>
      </c>
      <c r="DP61" s="5" t="str">
        <f t="array" ref="DP61">IFERROR(IF('T1'!$J61="",INDEX(LISTA_EX,118),INDEX(LISTA_EX,MATCH('T1'!$J61&amp;"|"&amp;118,LISTA_KLUCZ,0))),"")</f>
        <v>Pistol squat eccentric</v>
      </c>
      <c r="DQ61" s="5" t="str">
        <f t="array" ref="DQ61">IFERROR(IF('T1'!$J61="",INDEX(LISTA_EX,119),INDEX(LISTA_EX,MATCH('T1'!$J61&amp;"|"&amp;119,LISTA_KLUCZ,0))),"")</f>
        <v>Plank contralateral</v>
      </c>
      <c r="DR61" s="5" t="str">
        <f t="array" ref="DR61">IFERROR(IF('T1'!$J61="",INDEX(LISTA_EX,120),INDEX(LISTA_EX,MATCH('T1'!$J61&amp;"|"&amp;120,LISTA_KLUCZ,0))),"")</f>
        <v>Plank dumbbell rotation</v>
      </c>
      <c r="DS61" s="5" t="str">
        <f t="array" ref="DS61">IFERROR(IF('T1'!$J61="",INDEX(LISTA_EX,121),INDEX(LISTA_EX,MATCH('T1'!$J61&amp;"|"&amp;121,LISTA_KLUCZ,0))),"")</f>
        <v>Plank leg raises</v>
      </c>
      <c r="DT61" s="5" t="str">
        <f t="array" ref="DT61">IFERROR(IF('T1'!$J61="",INDEX(LISTA_EX,122),INDEX(LISTA_EX,MATCH('T1'!$J61&amp;"|"&amp;122,LISTA_KLUCZ,0))),"")</f>
        <v>Poliquin step up</v>
      </c>
      <c r="DU61" s="5" t="str">
        <f t="array" ref="DU61">IFERROR(IF('T1'!$J61="",INDEX(LISTA_EX,123),INDEX(LISTA_EX,MATCH('T1'!$J61&amp;"|"&amp;123,LISTA_KLUCZ,0))),"")</f>
        <v>Poliquin step up paused 3sec</v>
      </c>
      <c r="DV61" s="5" t="str">
        <f t="array" ref="DV61">IFERROR(IF('T1'!$J61="",INDEX(LISTA_EX,124),INDEX(LISTA_EX,MATCH('T1'!$J61&amp;"|"&amp;124,LISTA_KLUCZ,0))),"")</f>
        <v>Pronation/Supination</v>
      </c>
      <c r="DW61" s="5" t="str">
        <f t="array" ref="DW61">IFERROR(IF('T1'!$J61="",INDEX(LISTA_EX,125),INDEX(LISTA_EX,MATCH('T1'!$J61&amp;"|"&amp;125,LISTA_KLUCZ,0))),"")</f>
        <v>Pull up</v>
      </c>
      <c r="DX61" s="5" t="str">
        <f t="array" ref="DX61">IFERROR(IF('T1'!$J61="",INDEX(LISTA_EX,126),INDEX(LISTA_EX,MATCH('T1'!$J61&amp;"|"&amp;126,LISTA_KLUCZ,0))),"")</f>
        <v>Pull up eccentric weighted</v>
      </c>
      <c r="DY61" s="5" t="str">
        <f t="array" ref="DY61">IFERROR(IF('T1'!$J61="",INDEX(LISTA_EX,127),INDEX(LISTA_EX,MATCH('T1'!$J61&amp;"|"&amp;127,LISTA_KLUCZ,0))),"")</f>
        <v>Pull up eccentric weighted (5 sek w dół)</v>
      </c>
      <c r="DZ61" s="5" t="str">
        <f t="array" ref="DZ61">IFERROR(IF('T1'!$J61="",INDEX(LISTA_EX,128),INDEX(LISTA_EX,MATCH('T1'!$J61&amp;"|"&amp;128,LISTA_KLUCZ,0))),"")</f>
        <v>Pull up weighted</v>
      </c>
      <c r="EA61" s="5" t="str">
        <f t="array" ref="EA61">IFERROR(IF('T1'!$J61="",INDEX(LISTA_EX,129),INDEX(LISTA_EX,MATCH('T1'!$J61&amp;"|"&amp;129,LISTA_KLUCZ,0))),"")</f>
        <v>Pull ups (paused)</v>
      </c>
      <c r="EB61" s="5" t="str">
        <f t="array" ref="EB61">IFERROR(IF('T1'!$J61="",INDEX(LISTA_EX,130),INDEX(LISTA_EX,MATCH('T1'!$J61&amp;"|"&amp;130,LISTA_KLUCZ,0))),"")</f>
        <v>Push press barbell</v>
      </c>
      <c r="EC61" s="5" t="str">
        <f t="array" ref="EC61">IFERROR(IF('T1'!$J61="",INDEX(LISTA_EX,131),INDEX(LISTA_EX,MATCH('T1'!$J61&amp;"|"&amp;131,LISTA_KLUCZ,0))),"")</f>
        <v>Push up</v>
      </c>
      <c r="ED61" s="5" t="str">
        <f t="array" ref="ED61">IFERROR(IF('T1'!$J61="",INDEX(LISTA_EX,132),INDEX(LISTA_EX,MATCH('T1'!$J61&amp;"|"&amp;132,LISTA_KLUCZ,0))),"")</f>
        <v>Raised bird dog</v>
      </c>
      <c r="EE61" s="5" t="str">
        <f t="array" ref="EE61">IFERROR(IF('T1'!$J61="",INDEX(LISTA_EX,133),INDEX(LISTA_EX,MATCH('T1'!$J61&amp;"|"&amp;133,LISTA_KLUCZ,0))),"")</f>
        <v>RDL</v>
      </c>
      <c r="EF61" s="5" t="str">
        <f t="array" ref="EF61">IFERROR(IF('T1'!$J61="",INDEX(LISTA_EX,134),INDEX(LISTA_EX,MATCH('T1'!$J61&amp;"|"&amp;134,LISTA_KLUCZ,0))),"")</f>
        <v>Reverse Nordic</v>
      </c>
      <c r="EG61" s="5" t="str">
        <f t="array" ref="EG61">IFERROR(IF('T1'!$J61="",INDEX(LISTA_EX,135),INDEX(LISTA_EX,MATCH('T1'!$J61&amp;"|"&amp;135,LISTA_KLUCZ,0))),"")</f>
        <v>Rope pushdown</v>
      </c>
      <c r="EH61" s="5" t="str">
        <f t="array" ref="EH61">IFERROR(IF('T1'!$J61="",INDEX(LISTA_EX,136),INDEX(LISTA_EX,MATCH('T1'!$J61&amp;"|"&amp;136,LISTA_KLUCZ,0))),"")</f>
        <v>Rope pushdown OH</v>
      </c>
      <c r="EI61" s="5" t="str">
        <f t="array" ref="EI61">IFERROR(IF('T1'!$J61="",INDEX(LISTA_EX,137),INDEX(LISTA_EX,MATCH('T1'!$J61&amp;"|"&amp;137,LISTA_KLUCZ,0))),"")</f>
        <v>S/a cable pulldown incline bench</v>
      </c>
      <c r="EJ61" s="5" t="str">
        <f t="array" ref="EJ61">IFERROR(IF('T1'!$J61="",INDEX(LISTA_EX,138),INDEX(LISTA_EX,MATCH('T1'!$J61&amp;"|"&amp;138,LISTA_KLUCZ,0))),"")</f>
        <v>S/a lat pulldown incline bench</v>
      </c>
      <c r="EK61" s="5" t="str">
        <f t="array" ref="EK61">IFERROR(IF('T1'!$J61="",INDEX(LISTA_EX,139),INDEX(LISTA_EX,MATCH('T1'!$J61&amp;"|"&amp;139,LISTA_KLUCZ,0))),"")</f>
        <v>S/l dragonflag eccentric</v>
      </c>
      <c r="EL61" s="5" t="str">
        <f t="array" ref="EL61">IFERROR(IF('T1'!$J61="",INDEX(LISTA_EX,140),INDEX(LISTA_EX,MATCH('T1'!$J61&amp;"|"&amp;140,LISTA_KLUCZ,0))),"")</f>
        <v>S/l hip thrust</v>
      </c>
      <c r="EM61" s="5" t="str">
        <f t="array" ref="EM61">IFERROR(IF('T1'!$J61="",INDEX(LISTA_EX,141),INDEX(LISTA_EX,MATCH('T1'!$J61&amp;"|"&amp;141,LISTA_KLUCZ,0))),"")</f>
        <v>Seated broad jump</v>
      </c>
      <c r="EN61" s="5" t="str">
        <f t="array" ref="EN61">IFERROR(IF('T1'!$J61="",INDEX(LISTA_EX,142),INDEX(LISTA_EX,MATCH('T1'!$J61&amp;"|"&amp;142,LISTA_KLUCZ,0))),"")</f>
        <v>Seated cable facepull</v>
      </c>
      <c r="EO61" s="5" t="str">
        <f t="array" ref="EO61">IFERROR(IF('T1'!$J61="",INDEX(LISTA_EX,143),INDEX(LISTA_EX,MATCH('T1'!$J61&amp;"|"&amp;143,LISTA_KLUCZ,0))),"")</f>
        <v>Seated seesaw press (nogi proste)</v>
      </c>
      <c r="EP61" s="5" t="str">
        <f t="array" ref="EP61">IFERROR(IF('T1'!$J61="",INDEX(LISTA_EX,144),INDEX(LISTA_EX,MATCH('T1'!$J61&amp;"|"&amp;144,LISTA_KLUCZ,0))),"")</f>
        <v>Seesaw press</v>
      </c>
      <c r="EQ61" s="5" t="str">
        <f t="array" ref="EQ61">IFERROR(IF('T1'!$J61="",INDEX(LISTA_EX,145),INDEX(LISTA_EX,MATCH('T1'!$J61&amp;"|"&amp;145,LISTA_KLUCZ,0))),"")</f>
        <v>Side crunches</v>
      </c>
      <c r="ER61" s="5" t="str">
        <f t="array" ref="ER61">IFERROR(IF('T1'!$J61="",INDEX(LISTA_EX,146),INDEX(LISTA_EX,MATCH('T1'!$J61&amp;"|"&amp;146,LISTA_KLUCZ,0))),"")</f>
        <v>Side plank hip drop</v>
      </c>
      <c r="ES61" s="5" t="str">
        <f t="array" ref="ES61">IFERROR(IF('T1'!$J61="",INDEX(LISTA_EX,147),INDEX(LISTA_EX,MATCH('T1'!$J61&amp;"|"&amp;147,LISTA_KLUCZ,0))),"")</f>
        <v>Side plank rotations</v>
      </c>
      <c r="ET61" s="5" t="str">
        <f t="array" ref="ET61">IFERROR(IF('T1'!$J61="",INDEX(LISTA_EX,148),INDEX(LISTA_EX,MATCH('T1'!$J61&amp;"|"&amp;148,LISTA_KLUCZ,0))),"")</f>
        <v>SLDL balance</v>
      </c>
      <c r="EU61" s="5" t="str">
        <f t="array" ref="EU61">IFERROR(IF('T1'!$J61="",INDEX(LISTA_EX,149),INDEX(LISTA_EX,MATCH('T1'!$J61&amp;"|"&amp;149,LISTA_KLUCZ,0))),"")</f>
        <v>Split squat</v>
      </c>
      <c r="EV61" s="5" t="str">
        <f t="array" ref="EV61">IFERROR(IF('T1'!$J61="",INDEX(LISTA_EX,150),INDEX(LISTA_EX,MATCH('T1'!$J61&amp;"|"&amp;150,LISTA_KLUCZ,0))),"")</f>
        <v>Split stance SLDL</v>
      </c>
      <c r="EW61" s="5" t="str">
        <f t="array" ref="EW61">IFERROR(IF('T1'!$J61="",INDEX(LISTA_EX,151),INDEX(LISTA_EX,MATCH('T1'!$J61&amp;"|"&amp;151,LISTA_KLUCZ,0))),"")</f>
        <v>Squat izo (15 sek)</v>
      </c>
      <c r="EX61" s="5" t="str">
        <f t="array" ref="EX61">IFERROR(IF('T1'!$J61="",INDEX(LISTA_EX,152),INDEX(LISTA_EX,MATCH('T1'!$J61&amp;"|"&amp;152,LISTA_KLUCZ,0))),"")</f>
        <v>Standing landmine press</v>
      </c>
      <c r="EY61" s="5" t="str">
        <f t="array" ref="EY61">IFERROR(IF('T1'!$J61="",INDEX(LISTA_EX,153),INDEX(LISTA_EX,MATCH('T1'!$J61&amp;"|"&amp;153,LISTA_KLUCZ,0))),"")</f>
        <v>Suitcase carry</v>
      </c>
      <c r="EZ61" s="5" t="str">
        <f t="array" ref="EZ61">IFERROR(IF('T1'!$J61="",INDEX(LISTA_EX,154),INDEX(LISTA_EX,MATCH('T1'!$J61&amp;"|"&amp;154,LISTA_KLUCZ,0))),"")</f>
        <v>Supine pigeon abs</v>
      </c>
      <c r="FA61" s="5" t="str">
        <f t="array" ref="FA61">IFERROR(IF('T1'!$J61="",INDEX(LISTA_EX,155),INDEX(LISTA_EX,MATCH('T1'!$J61&amp;"|"&amp;155,LISTA_KLUCZ,0))),"")</f>
        <v>Swiss ball leg curl</v>
      </c>
      <c r="FB61" s="5" t="str">
        <f t="array" ref="FB61">IFERROR(IF('T1'!$J61="",INDEX(LISTA_EX,156),INDEX(LISTA_EX,MATCH('T1'!$J61&amp;"|"&amp;156,LISTA_KLUCZ,0))),"")</f>
        <v>Toes to bar</v>
      </c>
      <c r="FC61" s="5" t="str">
        <f t="array" ref="FC61">IFERROR(IF('T1'!$J61="",INDEX(LISTA_EX,157),INDEX(LISTA_EX,MATCH('T1'!$J61&amp;"|"&amp;157,LISTA_KLUCZ,0))),"")</f>
        <v>Trap bar deadlift</v>
      </c>
      <c r="FD61" s="5" t="str">
        <f t="array" ref="FD61">IFERROR(IF('T1'!$J61="",INDEX(LISTA_EX,158),INDEX(LISTA_EX,MATCH('T1'!$J61&amp;"|"&amp;158,LISTA_KLUCZ,0))),"")</f>
        <v>Tricep cable pushdown</v>
      </c>
      <c r="FE61" s="5" t="str">
        <f t="array" ref="FE61">IFERROR(IF('T1'!$J61="",INDEX(LISTA_EX,159),INDEX(LISTA_EX,MATCH('T1'!$J61&amp;"|"&amp;159,LISTA_KLUCZ,0))),"")</f>
        <v>Tricep JM press</v>
      </c>
      <c r="FF61" s="5" t="str">
        <f t="array" ref="FF61">IFERROR(IF('T1'!$J61="",INDEX(LISTA_EX,160),INDEX(LISTA_EX,MATCH('T1'!$J61&amp;"|"&amp;160,LISTA_KLUCZ,0))),"")</f>
        <v>Tricep OH cable</v>
      </c>
      <c r="FG61" s="5" t="str">
        <f t="array" ref="FG61">IFERROR(IF('T1'!$J61="",INDEX(LISTA_EX,161),INDEX(LISTA_EX,MATCH('T1'!$J61&amp;"|"&amp;161,LISTA_KLUCZ,0))),"")</f>
        <v>Tricep OH ez bar</v>
      </c>
      <c r="FH61" s="5" t="str">
        <f t="array" ref="FH61">IFERROR(IF('T1'!$J61="",INDEX(LISTA_EX,162),INDEX(LISTA_EX,MATCH('T1'!$J61&amp;"|"&amp;162,LISTA_KLUCZ,0))),"")</f>
        <v>Walking lunges</v>
      </c>
      <c r="FI61" s="5" t="str">
        <f t="array" ref="FI61">IFERROR(IF('T1'!$J61="",INDEX(LISTA_EX,163),INDEX(LISTA_EX,MATCH('T1'!$J61&amp;"|"&amp;163,LISTA_KLUCZ,0))),"")</f>
        <v>Wipers kettle</v>
      </c>
      <c r="FJ61" s="5" t="str">
        <f t="array" ref="FJ61">IFERROR(IF('T1'!$J61="",INDEX(LISTA_EX,164),INDEX(LISTA_EX,MATCH('T1'!$J61&amp;"|"&amp;164,LISTA_KLUCZ,0))),"")</f>
        <v>Zercher jumps</v>
      </c>
      <c r="FK61" s="5" t="str">
        <f t="array" ref="FK61">IFERROR(IF('T1'!$J61="",INDEX(LISTA_EX,165),INDEX(LISTA_EX,MATCH('T1'!$J61&amp;"|"&amp;165,LISTA_KLUCZ,0))),"")</f>
        <v/>
      </c>
      <c r="FL61" s="5" t="str">
        <f t="array" ref="FL61">IFERROR(IF('T1'!$J61="",INDEX(LISTA_EX,166),INDEX(LISTA_EX,MATCH('T1'!$J61&amp;"|"&amp;166,LISTA_KLUCZ,0))),"")</f>
        <v/>
      </c>
      <c r="FM61" s="5" t="str">
        <f t="array" ref="FM61">IFERROR(IF('T1'!$J61="",INDEX(LISTA_EX,167),INDEX(LISTA_EX,MATCH('T1'!$J61&amp;"|"&amp;167,LISTA_KLUCZ,0))),"")</f>
        <v/>
      </c>
      <c r="FN61" s="5" t="str">
        <f t="array" ref="FN61">IFERROR(IF('T1'!$J61="",INDEX(LISTA_EX,168),INDEX(LISTA_EX,MATCH('T1'!$J61&amp;"|"&amp;168,LISTA_KLUCZ,0))),"")</f>
        <v/>
      </c>
      <c r="FO61" s="5" t="str">
        <f t="array" ref="FO61">IFERROR(IF('T1'!$J61="",INDEX(LISTA_EX,169),INDEX(LISTA_EX,MATCH('T1'!$J61&amp;"|"&amp;169,LISTA_KLUCZ,0))),"")</f>
        <v/>
      </c>
      <c r="FP61" s="5" t="str">
        <f t="array" ref="FP61">IFERROR(IF('T1'!$J61="",INDEX(LISTA_EX,170),INDEX(LISTA_EX,MATCH('T1'!$J61&amp;"|"&amp;170,LISTA_KLUCZ,0))),"")</f>
        <v/>
      </c>
      <c r="FQ61" s="5" t="str">
        <f t="array" ref="FQ61">IFERROR(IF('T1'!$J61="",INDEX(LISTA_EX,171),INDEX(LISTA_EX,MATCH('T1'!$J61&amp;"|"&amp;171,LISTA_KLUCZ,0))),"")</f>
        <v/>
      </c>
      <c r="FR61" s="5" t="str">
        <f t="array" ref="FR61">IFERROR(IF('T1'!$J61="",INDEX(LISTA_EX,172),INDEX(LISTA_EX,MATCH('T1'!$J61&amp;"|"&amp;172,LISTA_KLUCZ,0))),"")</f>
        <v/>
      </c>
      <c r="FS61" s="5" t="str">
        <f t="array" ref="FS61">IFERROR(IF('T1'!$J61="",INDEX(LISTA_EX,173),INDEX(LISTA_EX,MATCH('T1'!$J61&amp;"|"&amp;173,LISTA_KLUCZ,0))),"")</f>
        <v/>
      </c>
      <c r="FT61" s="5" t="str">
        <f t="array" ref="FT61">IFERROR(IF('T1'!$J61="",INDEX(LISTA_EX,174),INDEX(LISTA_EX,MATCH('T1'!$J61&amp;"|"&amp;174,LISTA_KLUCZ,0))),"")</f>
        <v/>
      </c>
      <c r="FU61" s="5" t="str">
        <f t="array" ref="FU61">IFERROR(IF('T1'!$J61="",INDEX(LISTA_EX,175),INDEX(LISTA_EX,MATCH('T1'!$J61&amp;"|"&amp;175,LISTA_KLUCZ,0))),"")</f>
        <v/>
      </c>
      <c r="FV61" s="5" t="str">
        <f t="array" ref="FV61">IFERROR(IF('T1'!$J61="",INDEX(LISTA_EX,176),INDEX(LISTA_EX,MATCH('T1'!$J61&amp;"|"&amp;176,LISTA_KLUCZ,0))),"")</f>
        <v/>
      </c>
      <c r="FW61" s="5" t="str">
        <f t="array" ref="FW61">IFERROR(IF('T1'!$J61="",INDEX(LISTA_EX,177),INDEX(LISTA_EX,MATCH('T1'!$J61&amp;"|"&amp;177,LISTA_KLUCZ,0))),"")</f>
        <v/>
      </c>
      <c r="FX61" s="5" t="str">
        <f t="array" ref="FX61">IFERROR(IF('T1'!$J61="",INDEX(LISTA_EX,178),INDEX(LISTA_EX,MATCH('T1'!$J61&amp;"|"&amp;178,LISTA_KLUCZ,0))),"")</f>
        <v/>
      </c>
      <c r="FY61" s="5" t="str">
        <f t="array" ref="FY61">IFERROR(IF('T1'!$J61="",INDEX(LISTA_EX,179),INDEX(LISTA_EX,MATCH('T1'!$J61&amp;"|"&amp;179,LISTA_KLUCZ,0))),"")</f>
        <v/>
      </c>
      <c r="FZ61" s="5" t="str">
        <f t="array" ref="FZ61">IFERROR(IF('T1'!$J61="",INDEX(LISTA_EX,180),INDEX(LISTA_EX,MATCH('T1'!$J61&amp;"|"&amp;180,LISTA_KLUCZ,0))),"")</f>
        <v/>
      </c>
      <c r="GA61" s="5" t="str">
        <f t="array" ref="GA61">IFERROR(IF('T1'!$J61="",INDEX(LISTA_EX,181),INDEX(LISTA_EX,MATCH('T1'!$J61&amp;"|"&amp;181,LISTA_KLUCZ,0))),"")</f>
        <v/>
      </c>
      <c r="GB61" s="5" t="str">
        <f t="array" ref="GB61">IFERROR(IF('T1'!$J61="",INDEX(LISTA_EX,182),INDEX(LISTA_EX,MATCH('T1'!$J61&amp;"|"&amp;182,LISTA_KLUCZ,0))),"")</f>
        <v/>
      </c>
      <c r="GC61" s="5" t="str">
        <f t="array" ref="GC61">IFERROR(IF('T1'!$J61="",INDEX(LISTA_EX,183),INDEX(LISTA_EX,MATCH('T1'!$J61&amp;"|"&amp;183,LISTA_KLUCZ,0))),"")</f>
        <v/>
      </c>
      <c r="GD61" s="5" t="str">
        <f t="array" ref="GD61">IFERROR(IF('T1'!$J61="",INDEX(LISTA_EX,184),INDEX(LISTA_EX,MATCH('T1'!$J61&amp;"|"&amp;184,LISTA_KLUCZ,0))),"")</f>
        <v/>
      </c>
      <c r="GE61" s="5" t="str">
        <f t="array" ref="GE61">IFERROR(IF('T1'!$J61="",INDEX(LISTA_EX,185),INDEX(LISTA_EX,MATCH('T1'!$J61&amp;"|"&amp;185,LISTA_KLUCZ,0))),"")</f>
        <v/>
      </c>
      <c r="GF61" s="5" t="str">
        <f t="array" ref="GF61">IFERROR(IF('T1'!$J61="",INDEX(LISTA_EX,186),INDEX(LISTA_EX,MATCH('T1'!$J61&amp;"|"&amp;186,LISTA_KLUCZ,0))),"")</f>
        <v/>
      </c>
      <c r="GG61" s="5" t="str">
        <f t="array" ref="GG61">IFERROR(IF('T1'!$J61="",INDEX(LISTA_EX,187),INDEX(LISTA_EX,MATCH('T1'!$J61&amp;"|"&amp;187,LISTA_KLUCZ,0))),"")</f>
        <v/>
      </c>
      <c r="GH61" s="5" t="str">
        <f t="array" ref="GH61">IFERROR(IF('T1'!$J61="",INDEX(LISTA_EX,188),INDEX(LISTA_EX,MATCH('T1'!$J61&amp;"|"&amp;188,LISTA_KLUCZ,0))),"")</f>
        <v/>
      </c>
      <c r="GI61" s="5" t="str">
        <f t="array" ref="GI61">IFERROR(IF('T1'!$J61="",INDEX(LISTA_EX,189),INDEX(LISTA_EX,MATCH('T1'!$J61&amp;"|"&amp;189,LISTA_KLUCZ,0))),"")</f>
        <v/>
      </c>
      <c r="GJ61" s="5" t="str">
        <f t="array" ref="GJ61">IFERROR(IF('T1'!$J61="",INDEX(LISTA_EX,190),INDEX(LISTA_EX,MATCH('T1'!$J61&amp;"|"&amp;190,LISTA_KLUCZ,0))),"")</f>
        <v/>
      </c>
      <c r="GK61" s="5" t="str">
        <f t="array" ref="GK61">IFERROR(IF('T1'!$J61="",INDEX(LISTA_EX,191),INDEX(LISTA_EX,MATCH('T1'!$J61&amp;"|"&amp;191,LISTA_KLUCZ,0))),"")</f>
        <v/>
      </c>
      <c r="GL61" s="5" t="str">
        <f t="array" ref="GL61">IFERROR(IF('T1'!$J61="",INDEX(LISTA_EX,192),INDEX(LISTA_EX,MATCH('T1'!$J61&amp;"|"&amp;192,LISTA_KLUCZ,0))),"")</f>
        <v/>
      </c>
      <c r="GM61" s="5" t="str">
        <f t="array" ref="GM61">IFERROR(IF('T1'!$J61="",INDEX(LISTA_EX,193),INDEX(LISTA_EX,MATCH('T1'!$J61&amp;"|"&amp;193,LISTA_KLUCZ,0))),"")</f>
        <v/>
      </c>
      <c r="GN61" s="5" t="str">
        <f t="array" ref="GN61">IFERROR(IF('T1'!$J61="",INDEX(LISTA_EX,194),INDEX(LISTA_EX,MATCH('T1'!$J61&amp;"|"&amp;194,LISTA_KLUCZ,0))),"")</f>
        <v/>
      </c>
      <c r="GO61" s="5" t="str">
        <f t="array" ref="GO61">IFERROR(IF('T1'!$J61="",INDEX(LISTA_EX,195),INDEX(LISTA_EX,MATCH('T1'!$J61&amp;"|"&amp;195,LISTA_KLUCZ,0))),"")</f>
        <v/>
      </c>
      <c r="GP61" s="5" t="str">
        <f t="array" ref="GP61">IFERROR(IF('T1'!$J61="",INDEX(LISTA_EX,196),INDEX(LISTA_EX,MATCH('T1'!$J61&amp;"|"&amp;196,LISTA_KLUCZ,0))),"")</f>
        <v/>
      </c>
      <c r="GQ61" s="5" t="str">
        <f t="array" ref="GQ61">IFERROR(IF('T1'!$J61="",INDEX(LISTA_EX,197),INDEX(LISTA_EX,MATCH('T1'!$J61&amp;"|"&amp;197,LISTA_KLUCZ,0))),"")</f>
        <v/>
      </c>
      <c r="GR61" s="5" t="str">
        <f t="array" ref="GR61">IFERROR(IF('T1'!$J61="",INDEX(LISTA_EX,198),INDEX(LISTA_EX,MATCH('T1'!$J61&amp;"|"&amp;198,LISTA_KLUCZ,0))),"")</f>
        <v/>
      </c>
      <c r="GS61" s="5" t="str">
        <f t="array" ref="GS61">IFERROR(IF('T1'!$J61="",INDEX(LISTA_EX,199),INDEX(LISTA_EX,MATCH('T1'!$J61&amp;"|"&amp;199,LISTA_KLUCZ,0))),"")</f>
        <v/>
      </c>
      <c r="GT61" s="5" t="str">
        <f t="array" ref="GT61">IFERROR(IF('T1'!$J61="",INDEX(LISTA_EX,200),INDEX(LISTA_EX,MATCH('T1'!$J61&amp;"|"&amp;200,LISTA_KLUCZ,0))),"")</f>
        <v/>
      </c>
      <c r="GV61" s="5" t="str">
        <f>IF(BAZA!$A61="","",BAZA!$A61)</f>
        <v>Dumbbell row</v>
      </c>
      <c r="GW61" s="5" t="str">
        <f>IF(BAZA!$B61="","",BAZA!$B61&amp;"|"&amp;COUNTIF(BAZA!$B$3:$B61,BAZA!$B61))</f>
        <v>Upper pull horizontal|8</v>
      </c>
    </row>
    <row r="62" ht="15.0" customHeight="1">
      <c r="A62" s="5" t="str">
        <f>IF('T1'!$K62="","",'T1'!$K62)</f>
        <v>D4-S08</v>
      </c>
      <c r="B62" s="5" t="str">
        <f>IF('T1'!$J62="","(wszystkie)",'T1'!$J62)</f>
        <v>(wszystkie)</v>
      </c>
      <c r="C62" s="5" t="str">
        <f t="array" ref="C62">IFERROR(IF('T1'!$J62="",INDEX(LISTA_EX,1),INDEX(LISTA_EX,MATCH('T1'!$J62&amp;"|"&amp;1,LISTA_KLUCZ,0))),"")</f>
        <v>Abduction machine</v>
      </c>
      <c r="D62" s="5" t="str">
        <f t="array" ref="D62">IFERROR(IF('T1'!$J62="",INDEX(LISTA_EX,2),INDEX(LISTA_EX,MATCH('T1'!$J62&amp;"|"&amp;2,LISTA_KLUCZ,0))),"")</f>
        <v>Adduction machine</v>
      </c>
      <c r="E62" s="5" t="str">
        <f t="array" ref="E62">IFERROR(IF('T1'!$J62="",INDEX(LISTA_EX,3),INDEX(LISTA_EX,MATCH('T1'!$J62&amp;"|"&amp;3,LISTA_KLUCZ,0))),"")</f>
        <v>Allah</v>
      </c>
      <c r="F62" s="5" t="str">
        <f t="array" ref="F62">IFERROR(IF('T1'!$J62="",INDEX(LISTA_EX,4),INDEX(LISTA_EX,MATCH('T1'!$J62&amp;"|"&amp;4,LISTA_KLUCZ,0))),"")</f>
        <v>Arnold press</v>
      </c>
      <c r="G62" s="5" t="str">
        <f t="array" ref="G62">IFERROR(IF('T1'!$J62="",INDEX(LISTA_EX,5),INDEX(LISTA_EX,MATCH('T1'!$J62&amp;"|"&amp;5,LISTA_KLUCZ,0))),"")</f>
        <v>Arnold press alternating</v>
      </c>
      <c r="H62" s="5" t="str">
        <f t="array" ref="H62">IFERROR(IF('T1'!$J62="",INDEX(LISTA_EX,6),INDEX(LISTA_EX,MATCH('T1'!$J62&amp;"|"&amp;6,LISTA_KLUCZ,0))),"")</f>
        <v>B/l dragonflag eccentric</v>
      </c>
      <c r="I62" s="5" t="str">
        <f t="array" ref="I62">IFERROR(IF('T1'!$J62="",INDEX(LISTA_EX,7),INDEX(LISTA_EX,MATCH('T1'!$J62&amp;"|"&amp;7,LISTA_KLUCZ,0))),"")</f>
        <v>Back extension</v>
      </c>
      <c r="J62" s="5" t="str">
        <f t="array" ref="J62">IFERROR(IF('T1'!$J62="",INDEX(LISTA_EX,8),INDEX(LISTA_EX,MATCH('T1'!$J62&amp;"|"&amp;8,LISTA_KLUCZ,0))),"")</f>
        <v>Banded pistol squat</v>
      </c>
      <c r="K62" s="5" t="str">
        <f t="array" ref="K62">IFERROR(IF('T1'!$J62="",INDEX(LISTA_EX,9),INDEX(LISTA_EX,MATCH('T1'!$J62&amp;"|"&amp;9,LISTA_KLUCZ,0))),"")</f>
        <v>Banded pull ups</v>
      </c>
      <c r="L62" s="5" t="str">
        <f t="array" ref="L62">IFERROR(IF('T1'!$J62="",INDEX(LISTA_EX,10),INDEX(LISTA_EX,MATCH('T1'!$J62&amp;"|"&amp;10,LISTA_KLUCZ,0))),"")</f>
        <v>Barbell back squat</v>
      </c>
      <c r="M62" s="5" t="str">
        <f t="array" ref="M62">IFERROR(IF('T1'!$J62="",INDEX(LISTA_EX,11),INDEX(LISTA_EX,MATCH('T1'!$J62&amp;"|"&amp;11,LISTA_KLUCZ,0))),"")</f>
        <v>Barbell bench press</v>
      </c>
      <c r="N62" s="5" t="str">
        <f t="array" ref="N62">IFERROR(IF('T1'!$J62="",INDEX(LISTA_EX,12),INDEX(LISTA_EX,MATCH('T1'!$J62&amp;"|"&amp;12,LISTA_KLUCZ,0))),"")</f>
        <v>Barbell curl</v>
      </c>
      <c r="O62" s="5" t="str">
        <f t="array" ref="O62">IFERROR(IF('T1'!$J62="",INDEX(LISTA_EX,13),INDEX(LISTA_EX,MATCH('T1'!$J62&amp;"|"&amp;13,LISTA_KLUCZ,0))),"")</f>
        <v>Barbell low bar squat</v>
      </c>
      <c r="P62" s="5" t="str">
        <f t="array" ref="P62">IFERROR(IF('T1'!$J62="",INDEX(LISTA_EX,14),INDEX(LISTA_EX,MATCH('T1'!$J62&amp;"|"&amp;14,LISTA_KLUCZ,0))),"")</f>
        <v>Barbell OHP</v>
      </c>
      <c r="Q62" s="5" t="str">
        <f t="array" ref="Q62">IFERROR(IF('T1'!$J62="",INDEX(LISTA_EX,15),INDEX(LISTA_EX,MATCH('T1'!$J62&amp;"|"&amp;15,LISTA_KLUCZ,0))),"")</f>
        <v>Barbell oscilation</v>
      </c>
      <c r="R62" s="5" t="str">
        <f t="array" ref="R62">IFERROR(IF('T1'!$J62="",INDEX(LISTA_EX,16),INDEX(LISTA_EX,MATCH('T1'!$J62&amp;"|"&amp;16,LISTA_KLUCZ,0))),"")</f>
        <v>Barbell row</v>
      </c>
      <c r="S62" s="5" t="str">
        <f t="array" ref="S62">IFERROR(IF('T1'!$J62="",INDEX(LISTA_EX,17),INDEX(LISTA_EX,MATCH('T1'!$J62&amp;"|"&amp;17,LISTA_KLUCZ,0))),"")</f>
        <v>Barbell row dead stop pins</v>
      </c>
      <c r="T62" s="5" t="str">
        <f t="array" ref="T62">IFERROR(IF('T1'!$J62="",INDEX(LISTA_EX,18),INDEX(LISTA_EX,MATCH('T1'!$J62&amp;"|"&amp;18,LISTA_KLUCZ,0))),"")</f>
        <v>Barbell SLDL</v>
      </c>
      <c r="U62" s="5" t="str">
        <f t="array" ref="U62">IFERROR(IF('T1'!$J62="",INDEX(LISTA_EX,19),INDEX(LISTA_EX,MATCH('T1'!$J62&amp;"|"&amp;19,LISTA_KLUCZ,0))),"")</f>
        <v>Bayesian curl</v>
      </c>
      <c r="V62" s="5" t="str">
        <f t="array" ref="V62">IFERROR(IF('T1'!$J62="",INDEX(LISTA_EX,20),INDEX(LISTA_EX,MATCH('T1'!$J62&amp;"|"&amp;20,LISTA_KLUCZ,0))),"")</f>
        <v>Bear renegade row</v>
      </c>
      <c r="W62" s="5" t="str">
        <f t="array" ref="W62">IFERROR(IF('T1'!$J62="",INDEX(LISTA_EX,21),INDEX(LISTA_EX,MATCH('T1'!$J62&amp;"|"&amp;21,LISTA_KLUCZ,0))),"")</f>
        <v>Bench press paused 3sec</v>
      </c>
      <c r="X62" s="5" t="str">
        <f t="array" ref="X62">IFERROR(IF('T1'!$J62="",INDEX(LISTA_EX,22),INDEX(LISTA_EX,MATCH('T1'!$J62&amp;"|"&amp;22,LISTA_KLUCZ,0))),"")</f>
        <v>Bicep hammer curl</v>
      </c>
      <c r="Y62" s="5" t="str">
        <f t="array" ref="Y62">IFERROR(IF('T1'!$J62="",INDEX(LISTA_EX,23),INDEX(LISTA_EX,MATCH('T1'!$J62&amp;"|"&amp;23,LISTA_KLUCZ,0))),"")</f>
        <v>Bicep squat cable curl</v>
      </c>
      <c r="Z62" s="5" t="str">
        <f t="array" ref="Z62">IFERROR(IF('T1'!$J62="",INDEX(LISTA_EX,24),INDEX(LISTA_EX,MATCH('T1'!$J62&amp;"|"&amp;24,LISTA_KLUCZ,0))),"")</f>
        <v>Bird dog row</v>
      </c>
      <c r="AA62" s="5" t="str">
        <f t="array" ref="AA62">IFERROR(IF('T1'!$J62="",INDEX(LISTA_EX,25),INDEX(LISTA_EX,MATCH('T1'!$J62&amp;"|"&amp;25,LISTA_KLUCZ,0))),"")</f>
        <v>Box jump</v>
      </c>
      <c r="AB62" s="5" t="str">
        <f t="array" ref="AB62">IFERROR(IF('T1'!$J62="",INDEX(LISTA_EX,26),INDEX(LISTA_EX,MATCH('T1'!$J62&amp;"|"&amp;26,LISTA_KLUCZ,0))),"")</f>
        <v>Bulgarian clean plyo</v>
      </c>
      <c r="AC62" s="5" t="str">
        <f t="array" ref="AC62">IFERROR(IF('T1'!$J62="",INDEX(LISTA_EX,27),INDEX(LISTA_EX,MATCH('T1'!$J62&amp;"|"&amp;27,LISTA_KLUCZ,0))),"")</f>
        <v>Bulgarian squat assisted</v>
      </c>
      <c r="AD62" s="5" t="str">
        <f t="array" ref="AD62">IFERROR(IF('T1'!$J62="",INDEX(LISTA_EX,28),INDEX(LISTA_EX,MATCH('T1'!$J62&amp;"|"&amp;28,LISTA_KLUCZ,0))),"")</f>
        <v>Cable biceps curl</v>
      </c>
      <c r="AE62" s="5" t="str">
        <f t="array" ref="AE62">IFERROR(IF('T1'!$J62="",INDEX(LISTA_EX,29),INDEX(LISTA_EX,MATCH('T1'!$J62&amp;"|"&amp;29,LISTA_KLUCZ,0))),"")</f>
        <v>Cable fly</v>
      </c>
      <c r="AF62" s="5" t="str">
        <f t="array" ref="AF62">IFERROR(IF('T1'!$J62="",INDEX(LISTA_EX,30),INDEX(LISTA_EX,MATCH('T1'!$J62&amp;"|"&amp;30,LISTA_KLUCZ,0))),"")</f>
        <v>Cable lateral raise s/a</v>
      </c>
      <c r="AG62" s="5" t="str">
        <f t="array" ref="AG62">IFERROR(IF('T1'!$J62="",INDEX(LISTA_EX,31),INDEX(LISTA_EX,MATCH('T1'!$J62&amp;"|"&amp;31,LISTA_KLUCZ,0))),"")</f>
        <v>Cable row</v>
      </c>
      <c r="AH62" s="5" t="str">
        <f t="array" ref="AH62">IFERROR(IF('T1'!$J62="",INDEX(LISTA_EX,32),INDEX(LISTA_EX,MATCH('T1'!$J62&amp;"|"&amp;32,LISTA_KLUCZ,0))),"")</f>
        <v>Cable row s/a</v>
      </c>
      <c r="AI62" s="5" t="str">
        <f t="array" ref="AI62">IFERROR(IF('T1'!$J62="",INDEX(LISTA_EX,33),INDEX(LISTA_EX,MATCH('T1'!$J62&amp;"|"&amp;33,LISTA_KLUCZ,0))),"")</f>
        <v>Calf raises</v>
      </c>
      <c r="AJ62" s="5" t="str">
        <f t="array" ref="AJ62">IFERROR(IF('T1'!$J62="",INDEX(LISTA_EX,34),INDEX(LISTA_EX,MATCH('T1'!$J62&amp;"|"&amp;34,LISTA_KLUCZ,0))),"")</f>
        <v>Chest fly machine</v>
      </c>
      <c r="AK62" s="5" t="str">
        <f t="array" ref="AK62">IFERROR(IF('T1'!$J62="",INDEX(LISTA_EX,35),INDEX(LISTA_EX,MATCH('T1'!$J62&amp;"|"&amp;35,LISTA_KLUCZ,0))),"")</f>
        <v>Clean</v>
      </c>
      <c r="AL62" s="5" t="str">
        <f t="array" ref="AL62">IFERROR(IF('T1'!$J62="",INDEX(LISTA_EX,36),INDEX(LISTA_EX,MATCH('T1'!$J62&amp;"|"&amp;36,LISTA_KLUCZ,0))),"")</f>
        <v>Clean pins</v>
      </c>
      <c r="AM62" s="5" t="str">
        <f t="array" ref="AM62">IFERROR(IF('T1'!$J62="",INDEX(LISTA_EX,37),INDEX(LISTA_EX,MATCH('T1'!$J62&amp;"|"&amp;37,LISTA_KLUCZ,0))),"")</f>
        <v>Copenhagen plank</v>
      </c>
      <c r="AN62" s="5" t="str">
        <f t="array" ref="AN62">IFERROR(IF('T1'!$J62="",INDEX(LISTA_EX,38),INDEX(LISTA_EX,MATCH('T1'!$J62&amp;"|"&amp;38,LISTA_KLUCZ,0))),"")</f>
        <v>Dead bug izo + OH</v>
      </c>
      <c r="AO62" s="5" t="str">
        <f t="array" ref="AO62">IFERROR(IF('T1'!$J62="",INDEX(LISTA_EX,39),INDEX(LISTA_EX,MATCH('T1'!$J62&amp;"|"&amp;39,LISTA_KLUCZ,0))),"")</f>
        <v>Dead bug straight legs</v>
      </c>
      <c r="AP62" s="5" t="str">
        <f t="array" ref="AP62">IFERROR(IF('T1'!$J62="",INDEX(LISTA_EX,40),INDEX(LISTA_EX,MATCH('T1'!$J62&amp;"|"&amp;40,LISTA_KLUCZ,0))),"")</f>
        <v>Dead stop barbell row</v>
      </c>
      <c r="AQ62" s="5" t="str">
        <f t="array" ref="AQ62">IFERROR(IF('T1'!$J62="",INDEX(LISTA_EX,41),INDEX(LISTA_EX,MATCH('T1'!$J62&amp;"|"&amp;41,LISTA_KLUCZ,0))),"")</f>
        <v>Deadbug OH</v>
      </c>
      <c r="AR62" s="5" t="str">
        <f t="array" ref="AR62">IFERROR(IF('T1'!$J62="",INDEX(LISTA_EX,42),INDEX(LISTA_EX,MATCH('T1'!$J62&amp;"|"&amp;42,LISTA_KLUCZ,0))),"")</f>
        <v>Deadlift</v>
      </c>
      <c r="AS62" s="5" t="str">
        <f t="array" ref="AS62">IFERROR(IF('T1'!$J62="",INDEX(LISTA_EX,43),INDEX(LISTA_EX,MATCH('T1'!$J62&amp;"|"&amp;43,LISTA_KLUCZ,0))),"")</f>
        <v>Deficit push up</v>
      </c>
      <c r="AT62" s="5" t="str">
        <f t="array" ref="AT62">IFERROR(IF('T1'!$J62="",INDEX(LISTA_EX,44),INDEX(LISTA_EX,MATCH('T1'!$J62&amp;"|"&amp;44,LISTA_KLUCZ,0))),"")</f>
        <v>Deficit reverse lunge</v>
      </c>
      <c r="AU62" s="5" t="str">
        <f t="array" ref="AU62">IFERROR(IF('T1'!$J62="",INDEX(LISTA_EX,45),INDEX(LISTA_EX,MATCH('T1'!$J62&amp;"|"&amp;45,LISTA_KLUCZ,0))),"")</f>
        <v>Dips</v>
      </c>
      <c r="AV62" s="5" t="str">
        <f t="array" ref="AV62">IFERROR(IF('T1'!$J62="",INDEX(LISTA_EX,46),INDEX(LISTA_EX,MATCH('T1'!$J62&amp;"|"&amp;46,LISTA_KLUCZ,0))),"")</f>
        <v>Dips weighted</v>
      </c>
      <c r="AW62" s="5" t="str">
        <f t="array" ref="AW62">IFERROR(IF('T1'!$J62="",INDEX(LISTA_EX,47),INDEX(LISTA_EX,MATCH('T1'!$J62&amp;"|"&amp;47,LISTA_KLUCZ,0))),"")</f>
        <v>Dumbbell bench press</v>
      </c>
      <c r="AX62" s="5" t="str">
        <f t="array" ref="AX62">IFERROR(IF('T1'!$J62="",INDEX(LISTA_EX,48),INDEX(LISTA_EX,MATCH('T1'!$J62&amp;"|"&amp;48,LISTA_KLUCZ,0))),"")</f>
        <v>Dumbbell bench press alternating</v>
      </c>
      <c r="AY62" s="5" t="str">
        <f t="array" ref="AY62">IFERROR(IF('T1'!$J62="",INDEX(LISTA_EX,49),INDEX(LISTA_EX,MATCH('T1'!$J62&amp;"|"&amp;49,LISTA_KLUCZ,0))),"")</f>
        <v>Dumbbell curl</v>
      </c>
      <c r="AZ62" s="5" t="str">
        <f t="array" ref="AZ62">IFERROR(IF('T1'!$J62="",INDEX(LISTA_EX,50),INDEX(LISTA_EX,MATCH('T1'!$J62&amp;"|"&amp;50,LISTA_KLUCZ,0))),"")</f>
        <v>Dumbbell external rotation</v>
      </c>
      <c r="BA62" s="5" t="str">
        <f t="array" ref="BA62">IFERROR(IF('T1'!$J62="",INDEX(LISTA_EX,51),INDEX(LISTA_EX,MATCH('T1'!$J62&amp;"|"&amp;51,LISTA_KLUCZ,0))),"")</f>
        <v>Dumbbell face down curl</v>
      </c>
      <c r="BB62" s="5" t="str">
        <f t="array" ref="BB62">IFERROR(IF('T1'!$J62="",INDEX(LISTA_EX,52),INDEX(LISTA_EX,MATCH('T1'!$J62&amp;"|"&amp;52,LISTA_KLUCZ,0))),"")</f>
        <v>Dumbbell fly</v>
      </c>
      <c r="BC62" s="5" t="str">
        <f t="array" ref="BC62">IFERROR(IF('T1'!$J62="",INDEX(LISTA_EX,53),INDEX(LISTA_EX,MATCH('T1'!$J62&amp;"|"&amp;53,LISTA_KLUCZ,0))),"")</f>
        <v>Dumbbell french press</v>
      </c>
      <c r="BD62" s="5" t="str">
        <f t="array" ref="BD62">IFERROR(IF('T1'!$J62="",INDEX(LISTA_EX,54),INDEX(LISTA_EX,MATCH('T1'!$J62&amp;"|"&amp;54,LISTA_KLUCZ,0))),"")</f>
        <v>Dumbbell lateral raise</v>
      </c>
      <c r="BE62" s="5" t="str">
        <f t="array" ref="BE62">IFERROR(IF('T1'!$J62="",INDEX(LISTA_EX,55),INDEX(LISTA_EX,MATCH('T1'!$J62&amp;"|"&amp;55,LISTA_KLUCZ,0))),"")</f>
        <v>Dumbbell lunges</v>
      </c>
      <c r="BF62" s="5" t="str">
        <f t="array" ref="BF62">IFERROR(IF('T1'!$J62="",INDEX(LISTA_EX,56),INDEX(LISTA_EX,MATCH('T1'!$J62&amp;"|"&amp;56,LISTA_KLUCZ,0))),"")</f>
        <v>Dumbbell OH press</v>
      </c>
      <c r="BG62" s="5" t="str">
        <f t="array" ref="BG62">IFERROR(IF('T1'!$J62="",INDEX(LISTA_EX,57),INDEX(LISTA_EX,MATCH('T1'!$J62&amp;"|"&amp;57,LISTA_KLUCZ,0))),"")</f>
        <v>Dumbbell over head press</v>
      </c>
      <c r="BH62" s="5" t="str">
        <f t="array" ref="BH62">IFERROR(IF('T1'!$J62="",INDEX(LISTA_EX,58),INDEX(LISTA_EX,MATCH('T1'!$J62&amp;"|"&amp;58,LISTA_KLUCZ,0))),"")</f>
        <v>Dumbbell over head press alternating</v>
      </c>
      <c r="BI62" s="5" t="str">
        <f t="array" ref="BI62">IFERROR(IF('T1'!$J62="",INDEX(LISTA_EX,59),INDEX(LISTA_EX,MATCH('T1'!$J62&amp;"|"&amp;59,LISTA_KLUCZ,0))),"")</f>
        <v>Dumbbell row</v>
      </c>
      <c r="BJ62" s="5" t="str">
        <f t="array" ref="BJ62">IFERROR(IF('T1'!$J62="",INDEX(LISTA_EX,60),INDEX(LISTA_EX,MATCH('T1'!$J62&amp;"|"&amp;60,LISTA_KLUCZ,0))),"")</f>
        <v>Dumbbell s/a Arnold press</v>
      </c>
      <c r="BK62" s="5" t="str">
        <f t="array" ref="BK62">IFERROR(IF('T1'!$J62="",INDEX(LISTA_EX,61),INDEX(LISTA_EX,MATCH('T1'!$J62&amp;"|"&amp;61,LISTA_KLUCZ,0))),"")</f>
        <v>Dumbbell s/a row</v>
      </c>
      <c r="BL62" s="5" t="str">
        <f t="array" ref="BL62">IFERROR(IF('T1'!$J62="",INDEX(LISTA_EX,62),INDEX(LISTA_EX,MATCH('T1'!$J62&amp;"|"&amp;62,LISTA_KLUCZ,0))),"")</f>
        <v>Dumbbell seal row</v>
      </c>
      <c r="BM62" s="5" t="str">
        <f t="array" ref="BM62">IFERROR(IF('T1'!$J62="",INDEX(LISTA_EX,63),INDEX(LISTA_EX,MATCH('T1'!$J62&amp;"|"&amp;63,LISTA_KLUCZ,0))),"")</f>
        <v>Dumbbells jumps</v>
      </c>
      <c r="BN62" s="5" t="str">
        <f t="array" ref="BN62">IFERROR(IF('T1'!$J62="",INDEX(LISTA_EX,64),INDEX(LISTA_EX,MATCH('T1'!$J62&amp;"|"&amp;64,LISTA_KLUCZ,0))),"")</f>
        <v>Eccentric pull up</v>
      </c>
      <c r="BO62" s="5" t="str">
        <f t="array" ref="BO62">IFERROR(IF('T1'!$J62="",INDEX(LISTA_EX,65),INDEX(LISTA_EX,MATCH('T1'!$J62&amp;"|"&amp;65,LISTA_KLUCZ,0))),"")</f>
        <v>Eccentric push up (5 sek w dół)</v>
      </c>
      <c r="BP62" s="5" t="str">
        <f t="array" ref="BP62">IFERROR(IF('T1'!$J62="",INDEX(LISTA_EX,66),INDEX(LISTA_EX,MATCH('T1'!$J62&amp;"|"&amp;66,LISTA_KLUCZ,0))),"")</f>
        <v>Extensive plyo jumps s/l</v>
      </c>
      <c r="BQ62" s="5" t="str">
        <f t="array" ref="BQ62">IFERROR(IF('T1'!$J62="",INDEX(LISTA_EX,67),INDEX(LISTA_EX,MATCH('T1'!$J62&amp;"|"&amp;67,LISTA_KLUCZ,0))),"")</f>
        <v>Ez bar curl</v>
      </c>
      <c r="BR62" s="5" t="str">
        <f t="array" ref="BR62">IFERROR(IF('T1'!$J62="",INDEX(LISTA_EX,68),INDEX(LISTA_EX,MATCH('T1'!$J62&amp;"|"&amp;68,LISTA_KLUCZ,0))),"")</f>
        <v>Facepull chest supported</v>
      </c>
      <c r="BS62" s="5" t="str">
        <f t="array" ref="BS62">IFERROR(IF('T1'!$J62="",INDEX(LISTA_EX,69),INDEX(LISTA_EX,MATCH('T1'!$J62&amp;"|"&amp;69,LISTA_KLUCZ,0))),"")</f>
        <v>Front foot elevated split squat</v>
      </c>
      <c r="BT62" s="5" t="str">
        <f t="array" ref="BT62">IFERROR(IF('T1'!$J62="",INDEX(LISTA_EX,70),INDEX(LISTA_EX,MATCH('T1'!$J62&amp;"|"&amp;70,LISTA_KLUCZ,0))),"")</f>
        <v>Front squat</v>
      </c>
      <c r="BU62" s="5" t="str">
        <f t="array" ref="BU62">IFERROR(IF('T1'!$J62="",INDEX(LISTA_EX,71),INDEX(LISTA_EX,MATCH('T1'!$J62&amp;"|"&amp;71,LISTA_KLUCZ,0))),"")</f>
        <v>GHD flexion</v>
      </c>
      <c r="BV62" s="5" t="str">
        <f t="array" ref="BV62">IFERROR(IF('T1'!$J62="",INDEX(LISTA_EX,72),INDEX(LISTA_EX,MATCH('T1'!$J62&amp;"|"&amp;72,LISTA_KLUCZ,0))),"")</f>
        <v>Glute bridge hamstrings izo + OH</v>
      </c>
      <c r="BW62" s="5" t="str">
        <f t="array" ref="BW62">IFERROR(IF('T1'!$J62="",INDEX(LISTA_EX,73),INDEX(LISTA_EX,MATCH('T1'!$J62&amp;"|"&amp;73,LISTA_KLUCZ,0))),"")</f>
        <v>Glute crusher</v>
      </c>
      <c r="BX62" s="5" t="str">
        <f t="array" ref="BX62">IFERROR(IF('T1'!$J62="",INDEX(LISTA_EX,74),INDEX(LISTA_EX,MATCH('T1'!$J62&amp;"|"&amp;74,LISTA_KLUCZ,0))),"")</f>
        <v>Gorilla row</v>
      </c>
      <c r="BY62" s="5" t="str">
        <f t="array" ref="BY62">IFERROR(IF('T1'!$J62="",INDEX(LISTA_EX,75),INDEX(LISTA_EX,MATCH('T1'!$J62&amp;"|"&amp;75,LISTA_KLUCZ,0))),"")</f>
        <v>Halfkneeling s/a cable pull</v>
      </c>
      <c r="BZ62" s="5" t="str">
        <f t="array" ref="BZ62">IFERROR(IF('T1'!$J62="",INDEX(LISTA_EX,76),INDEX(LISTA_EX,MATCH('T1'!$J62&amp;"|"&amp;76,LISTA_KLUCZ,0))),"")</f>
        <v>Halfkneeling wood chopper</v>
      </c>
      <c r="CA62" s="5" t="str">
        <f t="array" ref="CA62">IFERROR(IF('T1'!$J62="",INDEX(LISTA_EX,77),INDEX(LISTA_EX,MATCH('T1'!$J62&amp;"|"&amp;77,LISTA_KLUCZ,0))),"")</f>
        <v>Hinged dumbbell row</v>
      </c>
      <c r="CB62" s="5" t="str">
        <f t="array" ref="CB62">IFERROR(IF('T1'!$J62="",INDEX(LISTA_EX,78),INDEX(LISTA_EX,MATCH('T1'!$J62&amp;"|"&amp;78,LISTA_KLUCZ,0))),"")</f>
        <v>Hip aeroplane</v>
      </c>
      <c r="CC62" s="5" t="str">
        <f t="array" ref="CC62">IFERROR(IF('T1'!$J62="",INDEX(LISTA_EX,79),INDEX(LISTA_EX,MATCH('T1'!$J62&amp;"|"&amp;79,LISTA_KLUCZ,0))),"")</f>
        <v>Hip flexors cable</v>
      </c>
      <c r="CD62" s="5" t="str">
        <f t="array" ref="CD62">IFERROR(IF('T1'!$J62="",INDEX(LISTA_EX,80),INDEX(LISTA_EX,MATCH('T1'!$J62&amp;"|"&amp;80,LISTA_KLUCZ,0))),"")</f>
        <v>Hip thrust barbell</v>
      </c>
      <c r="CE62" s="5" t="str">
        <f t="array" ref="CE62">IFERROR(IF('T1'!$J62="",INDEX(LISTA_EX,81),INDEX(LISTA_EX,MATCH('T1'!$J62&amp;"|"&amp;81,LISTA_KLUCZ,0))),"")</f>
        <v>Hollow body + OH</v>
      </c>
      <c r="CF62" s="5" t="str">
        <f t="array" ref="CF62">IFERROR(IF('T1'!$J62="",INDEX(LISTA_EX,82),INDEX(LISTA_EX,MATCH('T1'!$J62&amp;"|"&amp;82,LISTA_KLUCZ,0))),"")</f>
        <v>Horizontal jump</v>
      </c>
      <c r="CG62" s="5" t="str">
        <f t="array" ref="CG62">IFERROR(IF('T1'!$J62="",INDEX(LISTA_EX,83),INDEX(LISTA_EX,MATCH('T1'!$J62&amp;"|"&amp;83,LISTA_KLUCZ,0))),"")</f>
        <v>Incline bench lateral raise s/a</v>
      </c>
      <c r="CH62" s="5" t="str">
        <f t="array" ref="CH62">IFERROR(IF('T1'!$J62="",INDEX(LISTA_EX,84),INDEX(LISTA_EX,MATCH('T1'!$J62&amp;"|"&amp;84,LISTA_KLUCZ,0))),"")</f>
        <v>Incline curl + OHP</v>
      </c>
      <c r="CI62" s="5" t="str">
        <f t="array" ref="CI62">IFERROR(IF('T1'!$J62="",INDEX(LISTA_EX,85),INDEX(LISTA_EX,MATCH('T1'!$J62&amp;"|"&amp;85,LISTA_KLUCZ,0))),"")</f>
        <v>Incline dumbbell curl</v>
      </c>
      <c r="CJ62" s="5" t="str">
        <f t="array" ref="CJ62">IFERROR(IF('T1'!$J62="",INDEX(LISTA_EX,86),INDEX(LISTA_EX,MATCH('T1'!$J62&amp;"|"&amp;86,LISTA_KLUCZ,0))),"")</f>
        <v>Incline dumbbell curl (back)</v>
      </c>
      <c r="CK62" s="5" t="str">
        <f t="array" ref="CK62">IFERROR(IF('T1'!$J62="",INDEX(LISTA_EX,87),INDEX(LISTA_EX,MATCH('T1'!$J62&amp;"|"&amp;87,LISTA_KLUCZ,0))),"")</f>
        <v>Incline dumbbell curl (front)</v>
      </c>
      <c r="CL62" s="5" t="str">
        <f t="array" ref="CL62">IFERROR(IF('T1'!$J62="",INDEX(LISTA_EX,88),INDEX(LISTA_EX,MATCH('T1'!$J62&amp;"|"&amp;88,LISTA_KLUCZ,0))),"")</f>
        <v>Incline dumbbell fly</v>
      </c>
      <c r="CM62" s="5" t="str">
        <f t="array" ref="CM62">IFERROR(IF('T1'!$J62="",INDEX(LISTA_EX,89),INDEX(LISTA_EX,MATCH('T1'!$J62&amp;"|"&amp;89,LISTA_KLUCZ,0))),"")</f>
        <v>Incline dumbbell press</v>
      </c>
      <c r="CN62" s="5" t="str">
        <f t="array" ref="CN62">IFERROR(IF('T1'!$J62="",INDEX(LISTA_EX,90),INDEX(LISTA_EX,MATCH('T1'!$J62&amp;"|"&amp;90,LISTA_KLUCZ,0))),"")</f>
        <v>Incline dumbbell press alternating</v>
      </c>
      <c r="CO62" s="5" t="str">
        <f t="array" ref="CO62">IFERROR(IF('T1'!$J62="",INDEX(LISTA_EX,91),INDEX(LISTA_EX,MATCH('T1'!$J62&amp;"|"&amp;91,LISTA_KLUCZ,0))),"")</f>
        <v>Incline sit-ups</v>
      </c>
      <c r="CP62" s="5" t="str">
        <f t="array" ref="CP62">IFERROR(IF('T1'!$J62="",INDEX(LISTA_EX,92),INDEX(LISTA_EX,MATCH('T1'!$J62&amp;"|"&amp;92,LISTA_KLUCZ,0))),"")</f>
        <v>Jefferson cable</v>
      </c>
      <c r="CQ62" s="5" t="str">
        <f t="array" ref="CQ62">IFERROR(IF('T1'!$J62="",INDEX(LISTA_EX,93),INDEX(LISTA_EX,MATCH('T1'!$J62&amp;"|"&amp;93,LISTA_KLUCZ,0))),"")</f>
        <v>Kettlebell march</v>
      </c>
      <c r="CR62" s="5" t="str">
        <f t="array" ref="CR62">IFERROR(IF('T1'!$J62="",INDEX(LISTA_EX,94),INDEX(LISTA_EX,MATCH('T1'!$J62&amp;"|"&amp;94,LISTA_KLUCZ,0))),"")</f>
        <v>Kickbacks</v>
      </c>
      <c r="CS62" s="5" t="str">
        <f t="array" ref="CS62">IFERROR(IF('T1'!$J62="",INDEX(LISTA_EX,95),INDEX(LISTA_EX,MATCH('T1'!$J62&amp;"|"&amp;95,LISTA_KLUCZ,0))),"")</f>
        <v>Knee extension machine</v>
      </c>
      <c r="CT62" s="5" t="str">
        <f t="array" ref="CT62">IFERROR(IF('T1'!$J62="",INDEX(LISTA_EX,96),INDEX(LISTA_EX,MATCH('T1'!$J62&amp;"|"&amp;96,LISTA_KLUCZ,0))),"")</f>
        <v>Knee flexion machine</v>
      </c>
      <c r="CU62" s="5" t="str">
        <f t="array" ref="CU62">IFERROR(IF('T1'!$J62="",INDEX(LISTA_EX,97),INDEX(LISTA_EX,MATCH('T1'!$J62&amp;"|"&amp;97,LISTA_KLUCZ,0))),"")</f>
        <v>Knee raises</v>
      </c>
      <c r="CV62" s="5" t="str">
        <f t="array" ref="CV62">IFERROR(IF('T1'!$J62="",INDEX(LISTA_EX,98),INDEX(LISTA_EX,MATCH('T1'!$J62&amp;"|"&amp;98,LISTA_KLUCZ,0))),"")</f>
        <v>Landmine core</v>
      </c>
      <c r="CW62" s="5" t="str">
        <f t="array" ref="CW62">IFERROR(IF('T1'!$J62="",INDEX(LISTA_EX,99),INDEX(LISTA_EX,MATCH('T1'!$J62&amp;"|"&amp;99,LISTA_KLUCZ,0))),"")</f>
        <v>Landmine press</v>
      </c>
      <c r="CX62" s="5" t="str">
        <f t="array" ref="CX62">IFERROR(IF('T1'!$J62="",INDEX(LISTA_EX,100),INDEX(LISTA_EX,MATCH('T1'!$J62&amp;"|"&amp;100,LISTA_KLUCZ,0))),"")</f>
        <v>Landmine rotations (powtórzenia x2)</v>
      </c>
      <c r="CY62" s="5" t="str">
        <f t="array" ref="CY62">IFERROR(IF('T1'!$J62="",INDEX(LISTA_EX,101),INDEX(LISTA_EX,MATCH('T1'!$J62&amp;"|"&amp;101,LISTA_KLUCZ,0))),"")</f>
        <v>Landmine SLDL</v>
      </c>
      <c r="CZ62" s="5" t="str">
        <f t="array" ref="CZ62">IFERROR(IF('T1'!$J62="",INDEX(LISTA_EX,102),INDEX(LISTA_EX,MATCH('T1'!$J62&amp;"|"&amp;102,LISTA_KLUCZ,0))),"")</f>
        <v>Lat pulldown</v>
      </c>
      <c r="DA62" s="5" t="str">
        <f t="array" ref="DA62">IFERROR(IF('T1'!$J62="",INDEX(LISTA_EX,103),INDEX(LISTA_EX,MATCH('T1'!$J62&amp;"|"&amp;103,LISTA_KLUCZ,0))),"")</f>
        <v>Lat pulldown behind the head</v>
      </c>
      <c r="DB62" s="5" t="str">
        <f t="array" ref="DB62">IFERROR(IF('T1'!$J62="",INDEX(LISTA_EX,104),INDEX(LISTA_EX,MATCH('T1'!$J62&amp;"|"&amp;104,LISTA_KLUCZ,0))),"")</f>
        <v>Lat pulldown s/a</v>
      </c>
      <c r="DC62" s="5" t="str">
        <f t="array" ref="DC62">IFERROR(IF('T1'!$J62="",INDEX(LISTA_EX,105),INDEX(LISTA_EX,MATCH('T1'!$J62&amp;"|"&amp;105,LISTA_KLUCZ,0))),"")</f>
        <v>Lateral raise s/a</v>
      </c>
      <c r="DD62" s="5" t="str">
        <f t="array" ref="DD62">IFERROR(IF('T1'!$J62="",INDEX(LISTA_EX,106),INDEX(LISTA_EX,MATCH('T1'!$J62&amp;"|"&amp;106,LISTA_KLUCZ,0))),"")</f>
        <v>Lateral raises</v>
      </c>
      <c r="DE62" s="5" t="str">
        <f t="array" ref="DE62">IFERROR(IF('T1'!$J62="",INDEX(LISTA_EX,107),INDEX(LISTA_EX,MATCH('T1'!$J62&amp;"|"&amp;107,LISTA_KLUCZ,0))),"")</f>
        <v>Lateral raises 2</v>
      </c>
      <c r="DF62" s="5" t="str">
        <f t="array" ref="DF62">IFERROR(IF('T1'!$J62="",INDEX(LISTA_EX,108),INDEX(LISTA_EX,MATCH('T1'!$J62&amp;"|"&amp;108,LISTA_KLUCZ,0))),"")</f>
        <v>Lateral raises full ROM</v>
      </c>
      <c r="DG62" s="5" t="str">
        <f t="array" ref="DG62">IFERROR(IF('T1'!$J62="",INDEX(LISTA_EX,109),INDEX(LISTA_EX,MATCH('T1'!$J62&amp;"|"&amp;109,LISTA_KLUCZ,0))),"")</f>
        <v>Lateral raises hinged</v>
      </c>
      <c r="DH62" s="5" t="str">
        <f t="array" ref="DH62">IFERROR(IF('T1'!$J62="",INDEX(LISTA_EX,110),INDEX(LISTA_EX,MATCH('T1'!$J62&amp;"|"&amp;110,LISTA_KLUCZ,0))),"")</f>
        <v>Lateral raises incline s/a</v>
      </c>
      <c r="DI62" s="5" t="str">
        <f t="array" ref="DI62">IFERROR(IF('T1'!$J62="",INDEX(LISTA_EX,111),INDEX(LISTA_EX,MATCH('T1'!$J62&amp;"|"&amp;111,LISTA_KLUCZ,0))),"")</f>
        <v>Leg curl</v>
      </c>
      <c r="DJ62" s="5" t="str">
        <f t="array" ref="DJ62">IFERROR(IF('T1'!$J62="",INDEX(LISTA_EX,112),INDEX(LISTA_EX,MATCH('T1'!$J62&amp;"|"&amp;112,LISTA_KLUCZ,0))),"")</f>
        <v>Machine row</v>
      </c>
      <c r="DK62" s="5" t="str">
        <f t="array" ref="DK62">IFERROR(IF('T1'!$J62="",INDEX(LISTA_EX,113),INDEX(LISTA_EX,MATCH('T1'!$J62&amp;"|"&amp;113,LISTA_KLUCZ,0))),"")</f>
        <v>Machine row s/a</v>
      </c>
      <c r="DL62" s="5" t="str">
        <f t="array" ref="DL62">IFERROR(IF('T1'!$J62="",INDEX(LISTA_EX,114),INDEX(LISTA_EX,MATCH('T1'!$J62&amp;"|"&amp;114,LISTA_KLUCZ,0))),"")</f>
        <v>Meadows row</v>
      </c>
      <c r="DM62" s="5" t="str">
        <f t="array" ref="DM62">IFERROR(IF('T1'!$J62="",INDEX(LISTA_EX,115),INDEX(LISTA_EX,MATCH('T1'!$J62&amp;"|"&amp;115,LISTA_KLUCZ,0))),"")</f>
        <v>Med ball slam</v>
      </c>
      <c r="DN62" s="5" t="str">
        <f t="array" ref="DN62">IFERROR(IF('T1'!$J62="",INDEX(LISTA_EX,116),INDEX(LISTA_EX,MATCH('T1'!$J62&amp;"|"&amp;116,LISTA_KLUCZ,0))),"")</f>
        <v>OH skullcrushers</v>
      </c>
      <c r="DO62" s="5" t="str">
        <f t="array" ref="DO62">IFERROR(IF('T1'!$J62="",INDEX(LISTA_EX,117),INDEX(LISTA_EX,MATCH('T1'!$J62&amp;"|"&amp;117,LISTA_KLUCZ,0))),"")</f>
        <v>OHP barbell squat 15kg</v>
      </c>
      <c r="DP62" s="5" t="str">
        <f t="array" ref="DP62">IFERROR(IF('T1'!$J62="",INDEX(LISTA_EX,118),INDEX(LISTA_EX,MATCH('T1'!$J62&amp;"|"&amp;118,LISTA_KLUCZ,0))),"")</f>
        <v>Pistol squat eccentric</v>
      </c>
      <c r="DQ62" s="5" t="str">
        <f t="array" ref="DQ62">IFERROR(IF('T1'!$J62="",INDEX(LISTA_EX,119),INDEX(LISTA_EX,MATCH('T1'!$J62&amp;"|"&amp;119,LISTA_KLUCZ,0))),"")</f>
        <v>Plank contralateral</v>
      </c>
      <c r="DR62" s="5" t="str">
        <f t="array" ref="DR62">IFERROR(IF('T1'!$J62="",INDEX(LISTA_EX,120),INDEX(LISTA_EX,MATCH('T1'!$J62&amp;"|"&amp;120,LISTA_KLUCZ,0))),"")</f>
        <v>Plank dumbbell rotation</v>
      </c>
      <c r="DS62" s="5" t="str">
        <f t="array" ref="DS62">IFERROR(IF('T1'!$J62="",INDEX(LISTA_EX,121),INDEX(LISTA_EX,MATCH('T1'!$J62&amp;"|"&amp;121,LISTA_KLUCZ,0))),"")</f>
        <v>Plank leg raises</v>
      </c>
      <c r="DT62" s="5" t="str">
        <f t="array" ref="DT62">IFERROR(IF('T1'!$J62="",INDEX(LISTA_EX,122),INDEX(LISTA_EX,MATCH('T1'!$J62&amp;"|"&amp;122,LISTA_KLUCZ,0))),"")</f>
        <v>Poliquin step up</v>
      </c>
      <c r="DU62" s="5" t="str">
        <f t="array" ref="DU62">IFERROR(IF('T1'!$J62="",INDEX(LISTA_EX,123),INDEX(LISTA_EX,MATCH('T1'!$J62&amp;"|"&amp;123,LISTA_KLUCZ,0))),"")</f>
        <v>Poliquin step up paused 3sec</v>
      </c>
      <c r="DV62" s="5" t="str">
        <f t="array" ref="DV62">IFERROR(IF('T1'!$J62="",INDEX(LISTA_EX,124),INDEX(LISTA_EX,MATCH('T1'!$J62&amp;"|"&amp;124,LISTA_KLUCZ,0))),"")</f>
        <v>Pronation/Supination</v>
      </c>
      <c r="DW62" s="5" t="str">
        <f t="array" ref="DW62">IFERROR(IF('T1'!$J62="",INDEX(LISTA_EX,125),INDEX(LISTA_EX,MATCH('T1'!$J62&amp;"|"&amp;125,LISTA_KLUCZ,0))),"")</f>
        <v>Pull up</v>
      </c>
      <c r="DX62" s="5" t="str">
        <f t="array" ref="DX62">IFERROR(IF('T1'!$J62="",INDEX(LISTA_EX,126),INDEX(LISTA_EX,MATCH('T1'!$J62&amp;"|"&amp;126,LISTA_KLUCZ,0))),"")</f>
        <v>Pull up eccentric weighted</v>
      </c>
      <c r="DY62" s="5" t="str">
        <f t="array" ref="DY62">IFERROR(IF('T1'!$J62="",INDEX(LISTA_EX,127),INDEX(LISTA_EX,MATCH('T1'!$J62&amp;"|"&amp;127,LISTA_KLUCZ,0))),"")</f>
        <v>Pull up eccentric weighted (5 sek w dół)</v>
      </c>
      <c r="DZ62" s="5" t="str">
        <f t="array" ref="DZ62">IFERROR(IF('T1'!$J62="",INDEX(LISTA_EX,128),INDEX(LISTA_EX,MATCH('T1'!$J62&amp;"|"&amp;128,LISTA_KLUCZ,0))),"")</f>
        <v>Pull up weighted</v>
      </c>
      <c r="EA62" s="5" t="str">
        <f t="array" ref="EA62">IFERROR(IF('T1'!$J62="",INDEX(LISTA_EX,129),INDEX(LISTA_EX,MATCH('T1'!$J62&amp;"|"&amp;129,LISTA_KLUCZ,0))),"")</f>
        <v>Pull ups (paused)</v>
      </c>
      <c r="EB62" s="5" t="str">
        <f t="array" ref="EB62">IFERROR(IF('T1'!$J62="",INDEX(LISTA_EX,130),INDEX(LISTA_EX,MATCH('T1'!$J62&amp;"|"&amp;130,LISTA_KLUCZ,0))),"")</f>
        <v>Push press barbell</v>
      </c>
      <c r="EC62" s="5" t="str">
        <f t="array" ref="EC62">IFERROR(IF('T1'!$J62="",INDEX(LISTA_EX,131),INDEX(LISTA_EX,MATCH('T1'!$J62&amp;"|"&amp;131,LISTA_KLUCZ,0))),"")</f>
        <v>Push up</v>
      </c>
      <c r="ED62" s="5" t="str">
        <f t="array" ref="ED62">IFERROR(IF('T1'!$J62="",INDEX(LISTA_EX,132),INDEX(LISTA_EX,MATCH('T1'!$J62&amp;"|"&amp;132,LISTA_KLUCZ,0))),"")</f>
        <v>Raised bird dog</v>
      </c>
      <c r="EE62" s="5" t="str">
        <f t="array" ref="EE62">IFERROR(IF('T1'!$J62="",INDEX(LISTA_EX,133),INDEX(LISTA_EX,MATCH('T1'!$J62&amp;"|"&amp;133,LISTA_KLUCZ,0))),"")</f>
        <v>RDL</v>
      </c>
      <c r="EF62" s="5" t="str">
        <f t="array" ref="EF62">IFERROR(IF('T1'!$J62="",INDEX(LISTA_EX,134),INDEX(LISTA_EX,MATCH('T1'!$J62&amp;"|"&amp;134,LISTA_KLUCZ,0))),"")</f>
        <v>Reverse Nordic</v>
      </c>
      <c r="EG62" s="5" t="str">
        <f t="array" ref="EG62">IFERROR(IF('T1'!$J62="",INDEX(LISTA_EX,135),INDEX(LISTA_EX,MATCH('T1'!$J62&amp;"|"&amp;135,LISTA_KLUCZ,0))),"")</f>
        <v>Rope pushdown</v>
      </c>
      <c r="EH62" s="5" t="str">
        <f t="array" ref="EH62">IFERROR(IF('T1'!$J62="",INDEX(LISTA_EX,136),INDEX(LISTA_EX,MATCH('T1'!$J62&amp;"|"&amp;136,LISTA_KLUCZ,0))),"")</f>
        <v>Rope pushdown OH</v>
      </c>
      <c r="EI62" s="5" t="str">
        <f t="array" ref="EI62">IFERROR(IF('T1'!$J62="",INDEX(LISTA_EX,137),INDEX(LISTA_EX,MATCH('T1'!$J62&amp;"|"&amp;137,LISTA_KLUCZ,0))),"")</f>
        <v>S/a cable pulldown incline bench</v>
      </c>
      <c r="EJ62" s="5" t="str">
        <f t="array" ref="EJ62">IFERROR(IF('T1'!$J62="",INDEX(LISTA_EX,138),INDEX(LISTA_EX,MATCH('T1'!$J62&amp;"|"&amp;138,LISTA_KLUCZ,0))),"")</f>
        <v>S/a lat pulldown incline bench</v>
      </c>
      <c r="EK62" s="5" t="str">
        <f t="array" ref="EK62">IFERROR(IF('T1'!$J62="",INDEX(LISTA_EX,139),INDEX(LISTA_EX,MATCH('T1'!$J62&amp;"|"&amp;139,LISTA_KLUCZ,0))),"")</f>
        <v>S/l dragonflag eccentric</v>
      </c>
      <c r="EL62" s="5" t="str">
        <f t="array" ref="EL62">IFERROR(IF('T1'!$J62="",INDEX(LISTA_EX,140),INDEX(LISTA_EX,MATCH('T1'!$J62&amp;"|"&amp;140,LISTA_KLUCZ,0))),"")</f>
        <v>S/l hip thrust</v>
      </c>
      <c r="EM62" s="5" t="str">
        <f t="array" ref="EM62">IFERROR(IF('T1'!$J62="",INDEX(LISTA_EX,141),INDEX(LISTA_EX,MATCH('T1'!$J62&amp;"|"&amp;141,LISTA_KLUCZ,0))),"")</f>
        <v>Seated broad jump</v>
      </c>
      <c r="EN62" s="5" t="str">
        <f t="array" ref="EN62">IFERROR(IF('T1'!$J62="",INDEX(LISTA_EX,142),INDEX(LISTA_EX,MATCH('T1'!$J62&amp;"|"&amp;142,LISTA_KLUCZ,0))),"")</f>
        <v>Seated cable facepull</v>
      </c>
      <c r="EO62" s="5" t="str">
        <f t="array" ref="EO62">IFERROR(IF('T1'!$J62="",INDEX(LISTA_EX,143),INDEX(LISTA_EX,MATCH('T1'!$J62&amp;"|"&amp;143,LISTA_KLUCZ,0))),"")</f>
        <v>Seated seesaw press (nogi proste)</v>
      </c>
      <c r="EP62" s="5" t="str">
        <f t="array" ref="EP62">IFERROR(IF('T1'!$J62="",INDEX(LISTA_EX,144),INDEX(LISTA_EX,MATCH('T1'!$J62&amp;"|"&amp;144,LISTA_KLUCZ,0))),"")</f>
        <v>Seesaw press</v>
      </c>
      <c r="EQ62" s="5" t="str">
        <f t="array" ref="EQ62">IFERROR(IF('T1'!$J62="",INDEX(LISTA_EX,145),INDEX(LISTA_EX,MATCH('T1'!$J62&amp;"|"&amp;145,LISTA_KLUCZ,0))),"")</f>
        <v>Side crunches</v>
      </c>
      <c r="ER62" s="5" t="str">
        <f t="array" ref="ER62">IFERROR(IF('T1'!$J62="",INDEX(LISTA_EX,146),INDEX(LISTA_EX,MATCH('T1'!$J62&amp;"|"&amp;146,LISTA_KLUCZ,0))),"")</f>
        <v>Side plank hip drop</v>
      </c>
      <c r="ES62" s="5" t="str">
        <f t="array" ref="ES62">IFERROR(IF('T1'!$J62="",INDEX(LISTA_EX,147),INDEX(LISTA_EX,MATCH('T1'!$J62&amp;"|"&amp;147,LISTA_KLUCZ,0))),"")</f>
        <v>Side plank rotations</v>
      </c>
      <c r="ET62" s="5" t="str">
        <f t="array" ref="ET62">IFERROR(IF('T1'!$J62="",INDEX(LISTA_EX,148),INDEX(LISTA_EX,MATCH('T1'!$J62&amp;"|"&amp;148,LISTA_KLUCZ,0))),"")</f>
        <v>SLDL balance</v>
      </c>
      <c r="EU62" s="5" t="str">
        <f t="array" ref="EU62">IFERROR(IF('T1'!$J62="",INDEX(LISTA_EX,149),INDEX(LISTA_EX,MATCH('T1'!$J62&amp;"|"&amp;149,LISTA_KLUCZ,0))),"")</f>
        <v>Split squat</v>
      </c>
      <c r="EV62" s="5" t="str">
        <f t="array" ref="EV62">IFERROR(IF('T1'!$J62="",INDEX(LISTA_EX,150),INDEX(LISTA_EX,MATCH('T1'!$J62&amp;"|"&amp;150,LISTA_KLUCZ,0))),"")</f>
        <v>Split stance SLDL</v>
      </c>
      <c r="EW62" s="5" t="str">
        <f t="array" ref="EW62">IFERROR(IF('T1'!$J62="",INDEX(LISTA_EX,151),INDEX(LISTA_EX,MATCH('T1'!$J62&amp;"|"&amp;151,LISTA_KLUCZ,0))),"")</f>
        <v>Squat izo (15 sek)</v>
      </c>
      <c r="EX62" s="5" t="str">
        <f t="array" ref="EX62">IFERROR(IF('T1'!$J62="",INDEX(LISTA_EX,152),INDEX(LISTA_EX,MATCH('T1'!$J62&amp;"|"&amp;152,LISTA_KLUCZ,0))),"")</f>
        <v>Standing landmine press</v>
      </c>
      <c r="EY62" s="5" t="str">
        <f t="array" ref="EY62">IFERROR(IF('T1'!$J62="",INDEX(LISTA_EX,153),INDEX(LISTA_EX,MATCH('T1'!$J62&amp;"|"&amp;153,LISTA_KLUCZ,0))),"")</f>
        <v>Suitcase carry</v>
      </c>
      <c r="EZ62" s="5" t="str">
        <f t="array" ref="EZ62">IFERROR(IF('T1'!$J62="",INDEX(LISTA_EX,154),INDEX(LISTA_EX,MATCH('T1'!$J62&amp;"|"&amp;154,LISTA_KLUCZ,0))),"")</f>
        <v>Supine pigeon abs</v>
      </c>
      <c r="FA62" s="5" t="str">
        <f t="array" ref="FA62">IFERROR(IF('T1'!$J62="",INDEX(LISTA_EX,155),INDEX(LISTA_EX,MATCH('T1'!$J62&amp;"|"&amp;155,LISTA_KLUCZ,0))),"")</f>
        <v>Swiss ball leg curl</v>
      </c>
      <c r="FB62" s="5" t="str">
        <f t="array" ref="FB62">IFERROR(IF('T1'!$J62="",INDEX(LISTA_EX,156),INDEX(LISTA_EX,MATCH('T1'!$J62&amp;"|"&amp;156,LISTA_KLUCZ,0))),"")</f>
        <v>Toes to bar</v>
      </c>
      <c r="FC62" s="5" t="str">
        <f t="array" ref="FC62">IFERROR(IF('T1'!$J62="",INDEX(LISTA_EX,157),INDEX(LISTA_EX,MATCH('T1'!$J62&amp;"|"&amp;157,LISTA_KLUCZ,0))),"")</f>
        <v>Trap bar deadlift</v>
      </c>
      <c r="FD62" s="5" t="str">
        <f t="array" ref="FD62">IFERROR(IF('T1'!$J62="",INDEX(LISTA_EX,158),INDEX(LISTA_EX,MATCH('T1'!$J62&amp;"|"&amp;158,LISTA_KLUCZ,0))),"")</f>
        <v>Tricep cable pushdown</v>
      </c>
      <c r="FE62" s="5" t="str">
        <f t="array" ref="FE62">IFERROR(IF('T1'!$J62="",INDEX(LISTA_EX,159),INDEX(LISTA_EX,MATCH('T1'!$J62&amp;"|"&amp;159,LISTA_KLUCZ,0))),"")</f>
        <v>Tricep JM press</v>
      </c>
      <c r="FF62" s="5" t="str">
        <f t="array" ref="FF62">IFERROR(IF('T1'!$J62="",INDEX(LISTA_EX,160),INDEX(LISTA_EX,MATCH('T1'!$J62&amp;"|"&amp;160,LISTA_KLUCZ,0))),"")</f>
        <v>Tricep OH cable</v>
      </c>
      <c r="FG62" s="5" t="str">
        <f t="array" ref="FG62">IFERROR(IF('T1'!$J62="",INDEX(LISTA_EX,161),INDEX(LISTA_EX,MATCH('T1'!$J62&amp;"|"&amp;161,LISTA_KLUCZ,0))),"")</f>
        <v>Tricep OH ez bar</v>
      </c>
      <c r="FH62" s="5" t="str">
        <f t="array" ref="FH62">IFERROR(IF('T1'!$J62="",INDEX(LISTA_EX,162),INDEX(LISTA_EX,MATCH('T1'!$J62&amp;"|"&amp;162,LISTA_KLUCZ,0))),"")</f>
        <v>Walking lunges</v>
      </c>
      <c r="FI62" s="5" t="str">
        <f t="array" ref="FI62">IFERROR(IF('T1'!$J62="",INDEX(LISTA_EX,163),INDEX(LISTA_EX,MATCH('T1'!$J62&amp;"|"&amp;163,LISTA_KLUCZ,0))),"")</f>
        <v>Wipers kettle</v>
      </c>
      <c r="FJ62" s="5" t="str">
        <f t="array" ref="FJ62">IFERROR(IF('T1'!$J62="",INDEX(LISTA_EX,164),INDEX(LISTA_EX,MATCH('T1'!$J62&amp;"|"&amp;164,LISTA_KLUCZ,0))),"")</f>
        <v>Zercher jumps</v>
      </c>
      <c r="FK62" s="5" t="str">
        <f t="array" ref="FK62">IFERROR(IF('T1'!$J62="",INDEX(LISTA_EX,165),INDEX(LISTA_EX,MATCH('T1'!$J62&amp;"|"&amp;165,LISTA_KLUCZ,0))),"")</f>
        <v/>
      </c>
      <c r="FL62" s="5" t="str">
        <f t="array" ref="FL62">IFERROR(IF('T1'!$J62="",INDEX(LISTA_EX,166),INDEX(LISTA_EX,MATCH('T1'!$J62&amp;"|"&amp;166,LISTA_KLUCZ,0))),"")</f>
        <v/>
      </c>
      <c r="FM62" s="5" t="str">
        <f t="array" ref="FM62">IFERROR(IF('T1'!$J62="",INDEX(LISTA_EX,167),INDEX(LISTA_EX,MATCH('T1'!$J62&amp;"|"&amp;167,LISTA_KLUCZ,0))),"")</f>
        <v/>
      </c>
      <c r="FN62" s="5" t="str">
        <f t="array" ref="FN62">IFERROR(IF('T1'!$J62="",INDEX(LISTA_EX,168),INDEX(LISTA_EX,MATCH('T1'!$J62&amp;"|"&amp;168,LISTA_KLUCZ,0))),"")</f>
        <v/>
      </c>
      <c r="FO62" s="5" t="str">
        <f t="array" ref="FO62">IFERROR(IF('T1'!$J62="",INDEX(LISTA_EX,169),INDEX(LISTA_EX,MATCH('T1'!$J62&amp;"|"&amp;169,LISTA_KLUCZ,0))),"")</f>
        <v/>
      </c>
      <c r="FP62" s="5" t="str">
        <f t="array" ref="FP62">IFERROR(IF('T1'!$J62="",INDEX(LISTA_EX,170),INDEX(LISTA_EX,MATCH('T1'!$J62&amp;"|"&amp;170,LISTA_KLUCZ,0))),"")</f>
        <v/>
      </c>
      <c r="FQ62" s="5" t="str">
        <f t="array" ref="FQ62">IFERROR(IF('T1'!$J62="",INDEX(LISTA_EX,171),INDEX(LISTA_EX,MATCH('T1'!$J62&amp;"|"&amp;171,LISTA_KLUCZ,0))),"")</f>
        <v/>
      </c>
      <c r="FR62" s="5" t="str">
        <f t="array" ref="FR62">IFERROR(IF('T1'!$J62="",INDEX(LISTA_EX,172),INDEX(LISTA_EX,MATCH('T1'!$J62&amp;"|"&amp;172,LISTA_KLUCZ,0))),"")</f>
        <v/>
      </c>
      <c r="FS62" s="5" t="str">
        <f t="array" ref="FS62">IFERROR(IF('T1'!$J62="",INDEX(LISTA_EX,173),INDEX(LISTA_EX,MATCH('T1'!$J62&amp;"|"&amp;173,LISTA_KLUCZ,0))),"")</f>
        <v/>
      </c>
      <c r="FT62" s="5" t="str">
        <f t="array" ref="FT62">IFERROR(IF('T1'!$J62="",INDEX(LISTA_EX,174),INDEX(LISTA_EX,MATCH('T1'!$J62&amp;"|"&amp;174,LISTA_KLUCZ,0))),"")</f>
        <v/>
      </c>
      <c r="FU62" s="5" t="str">
        <f t="array" ref="FU62">IFERROR(IF('T1'!$J62="",INDEX(LISTA_EX,175),INDEX(LISTA_EX,MATCH('T1'!$J62&amp;"|"&amp;175,LISTA_KLUCZ,0))),"")</f>
        <v/>
      </c>
      <c r="FV62" s="5" t="str">
        <f t="array" ref="FV62">IFERROR(IF('T1'!$J62="",INDEX(LISTA_EX,176),INDEX(LISTA_EX,MATCH('T1'!$J62&amp;"|"&amp;176,LISTA_KLUCZ,0))),"")</f>
        <v/>
      </c>
      <c r="FW62" s="5" t="str">
        <f t="array" ref="FW62">IFERROR(IF('T1'!$J62="",INDEX(LISTA_EX,177),INDEX(LISTA_EX,MATCH('T1'!$J62&amp;"|"&amp;177,LISTA_KLUCZ,0))),"")</f>
        <v/>
      </c>
      <c r="FX62" s="5" t="str">
        <f t="array" ref="FX62">IFERROR(IF('T1'!$J62="",INDEX(LISTA_EX,178),INDEX(LISTA_EX,MATCH('T1'!$J62&amp;"|"&amp;178,LISTA_KLUCZ,0))),"")</f>
        <v/>
      </c>
      <c r="FY62" s="5" t="str">
        <f t="array" ref="FY62">IFERROR(IF('T1'!$J62="",INDEX(LISTA_EX,179),INDEX(LISTA_EX,MATCH('T1'!$J62&amp;"|"&amp;179,LISTA_KLUCZ,0))),"")</f>
        <v/>
      </c>
      <c r="FZ62" s="5" t="str">
        <f t="array" ref="FZ62">IFERROR(IF('T1'!$J62="",INDEX(LISTA_EX,180),INDEX(LISTA_EX,MATCH('T1'!$J62&amp;"|"&amp;180,LISTA_KLUCZ,0))),"")</f>
        <v/>
      </c>
      <c r="GA62" s="5" t="str">
        <f t="array" ref="GA62">IFERROR(IF('T1'!$J62="",INDEX(LISTA_EX,181),INDEX(LISTA_EX,MATCH('T1'!$J62&amp;"|"&amp;181,LISTA_KLUCZ,0))),"")</f>
        <v/>
      </c>
      <c r="GB62" s="5" t="str">
        <f t="array" ref="GB62">IFERROR(IF('T1'!$J62="",INDEX(LISTA_EX,182),INDEX(LISTA_EX,MATCH('T1'!$J62&amp;"|"&amp;182,LISTA_KLUCZ,0))),"")</f>
        <v/>
      </c>
      <c r="GC62" s="5" t="str">
        <f t="array" ref="GC62">IFERROR(IF('T1'!$J62="",INDEX(LISTA_EX,183),INDEX(LISTA_EX,MATCH('T1'!$J62&amp;"|"&amp;183,LISTA_KLUCZ,0))),"")</f>
        <v/>
      </c>
      <c r="GD62" s="5" t="str">
        <f t="array" ref="GD62">IFERROR(IF('T1'!$J62="",INDEX(LISTA_EX,184),INDEX(LISTA_EX,MATCH('T1'!$J62&amp;"|"&amp;184,LISTA_KLUCZ,0))),"")</f>
        <v/>
      </c>
      <c r="GE62" s="5" t="str">
        <f t="array" ref="GE62">IFERROR(IF('T1'!$J62="",INDEX(LISTA_EX,185),INDEX(LISTA_EX,MATCH('T1'!$J62&amp;"|"&amp;185,LISTA_KLUCZ,0))),"")</f>
        <v/>
      </c>
      <c r="GF62" s="5" t="str">
        <f t="array" ref="GF62">IFERROR(IF('T1'!$J62="",INDEX(LISTA_EX,186),INDEX(LISTA_EX,MATCH('T1'!$J62&amp;"|"&amp;186,LISTA_KLUCZ,0))),"")</f>
        <v/>
      </c>
      <c r="GG62" s="5" t="str">
        <f t="array" ref="GG62">IFERROR(IF('T1'!$J62="",INDEX(LISTA_EX,187),INDEX(LISTA_EX,MATCH('T1'!$J62&amp;"|"&amp;187,LISTA_KLUCZ,0))),"")</f>
        <v/>
      </c>
      <c r="GH62" s="5" t="str">
        <f t="array" ref="GH62">IFERROR(IF('T1'!$J62="",INDEX(LISTA_EX,188),INDEX(LISTA_EX,MATCH('T1'!$J62&amp;"|"&amp;188,LISTA_KLUCZ,0))),"")</f>
        <v/>
      </c>
      <c r="GI62" s="5" t="str">
        <f t="array" ref="GI62">IFERROR(IF('T1'!$J62="",INDEX(LISTA_EX,189),INDEX(LISTA_EX,MATCH('T1'!$J62&amp;"|"&amp;189,LISTA_KLUCZ,0))),"")</f>
        <v/>
      </c>
      <c r="GJ62" s="5" t="str">
        <f t="array" ref="GJ62">IFERROR(IF('T1'!$J62="",INDEX(LISTA_EX,190),INDEX(LISTA_EX,MATCH('T1'!$J62&amp;"|"&amp;190,LISTA_KLUCZ,0))),"")</f>
        <v/>
      </c>
      <c r="GK62" s="5" t="str">
        <f t="array" ref="GK62">IFERROR(IF('T1'!$J62="",INDEX(LISTA_EX,191),INDEX(LISTA_EX,MATCH('T1'!$J62&amp;"|"&amp;191,LISTA_KLUCZ,0))),"")</f>
        <v/>
      </c>
      <c r="GL62" s="5" t="str">
        <f t="array" ref="GL62">IFERROR(IF('T1'!$J62="",INDEX(LISTA_EX,192),INDEX(LISTA_EX,MATCH('T1'!$J62&amp;"|"&amp;192,LISTA_KLUCZ,0))),"")</f>
        <v/>
      </c>
      <c r="GM62" s="5" t="str">
        <f t="array" ref="GM62">IFERROR(IF('T1'!$J62="",INDEX(LISTA_EX,193),INDEX(LISTA_EX,MATCH('T1'!$J62&amp;"|"&amp;193,LISTA_KLUCZ,0))),"")</f>
        <v/>
      </c>
      <c r="GN62" s="5" t="str">
        <f t="array" ref="GN62">IFERROR(IF('T1'!$J62="",INDEX(LISTA_EX,194),INDEX(LISTA_EX,MATCH('T1'!$J62&amp;"|"&amp;194,LISTA_KLUCZ,0))),"")</f>
        <v/>
      </c>
      <c r="GO62" s="5" t="str">
        <f t="array" ref="GO62">IFERROR(IF('T1'!$J62="",INDEX(LISTA_EX,195),INDEX(LISTA_EX,MATCH('T1'!$J62&amp;"|"&amp;195,LISTA_KLUCZ,0))),"")</f>
        <v/>
      </c>
      <c r="GP62" s="5" t="str">
        <f t="array" ref="GP62">IFERROR(IF('T1'!$J62="",INDEX(LISTA_EX,196),INDEX(LISTA_EX,MATCH('T1'!$J62&amp;"|"&amp;196,LISTA_KLUCZ,0))),"")</f>
        <v/>
      </c>
      <c r="GQ62" s="5" t="str">
        <f t="array" ref="GQ62">IFERROR(IF('T1'!$J62="",INDEX(LISTA_EX,197),INDEX(LISTA_EX,MATCH('T1'!$J62&amp;"|"&amp;197,LISTA_KLUCZ,0))),"")</f>
        <v/>
      </c>
      <c r="GR62" s="5" t="str">
        <f t="array" ref="GR62">IFERROR(IF('T1'!$J62="",INDEX(LISTA_EX,198),INDEX(LISTA_EX,MATCH('T1'!$J62&amp;"|"&amp;198,LISTA_KLUCZ,0))),"")</f>
        <v/>
      </c>
      <c r="GS62" s="5" t="str">
        <f t="array" ref="GS62">IFERROR(IF('T1'!$J62="",INDEX(LISTA_EX,199),INDEX(LISTA_EX,MATCH('T1'!$J62&amp;"|"&amp;199,LISTA_KLUCZ,0))),"")</f>
        <v/>
      </c>
      <c r="GT62" s="5" t="str">
        <f t="array" ref="GT62">IFERROR(IF('T1'!$J62="",INDEX(LISTA_EX,200),INDEX(LISTA_EX,MATCH('T1'!$J62&amp;"|"&amp;200,LISTA_KLUCZ,0))),"")</f>
        <v/>
      </c>
      <c r="GV62" s="5" t="str">
        <f>IF(BAZA!$A62="","",BAZA!$A62)</f>
        <v>Dumbbell s/a Arnold press</v>
      </c>
      <c r="GW62" s="5" t="str">
        <f>IF(BAZA!$B62="","",BAZA!$B62&amp;"|"&amp;COUNTIF(BAZA!$B$3:$B62,BAZA!$B62))</f>
        <v>Upper push vertical|8</v>
      </c>
    </row>
    <row r="63" ht="15.0" customHeight="1">
      <c r="A63" s="5" t="str">
        <f>IF('T1'!$K63="","",'T1'!$K63)</f>
        <v>D4-S09</v>
      </c>
      <c r="B63" s="5" t="str">
        <f>IF('T1'!$J63="","(wszystkie)",'T1'!$J63)</f>
        <v>(wszystkie)</v>
      </c>
      <c r="C63" s="5" t="str">
        <f t="array" ref="C63">IFERROR(IF('T1'!$J63="",INDEX(LISTA_EX,1),INDEX(LISTA_EX,MATCH('T1'!$J63&amp;"|"&amp;1,LISTA_KLUCZ,0))),"")</f>
        <v>Abduction machine</v>
      </c>
      <c r="D63" s="5" t="str">
        <f t="array" ref="D63">IFERROR(IF('T1'!$J63="",INDEX(LISTA_EX,2),INDEX(LISTA_EX,MATCH('T1'!$J63&amp;"|"&amp;2,LISTA_KLUCZ,0))),"")</f>
        <v>Adduction machine</v>
      </c>
      <c r="E63" s="5" t="str">
        <f t="array" ref="E63">IFERROR(IF('T1'!$J63="",INDEX(LISTA_EX,3),INDEX(LISTA_EX,MATCH('T1'!$J63&amp;"|"&amp;3,LISTA_KLUCZ,0))),"")</f>
        <v>Allah</v>
      </c>
      <c r="F63" s="5" t="str">
        <f t="array" ref="F63">IFERROR(IF('T1'!$J63="",INDEX(LISTA_EX,4),INDEX(LISTA_EX,MATCH('T1'!$J63&amp;"|"&amp;4,LISTA_KLUCZ,0))),"")</f>
        <v>Arnold press</v>
      </c>
      <c r="G63" s="5" t="str">
        <f t="array" ref="G63">IFERROR(IF('T1'!$J63="",INDEX(LISTA_EX,5),INDEX(LISTA_EX,MATCH('T1'!$J63&amp;"|"&amp;5,LISTA_KLUCZ,0))),"")</f>
        <v>Arnold press alternating</v>
      </c>
      <c r="H63" s="5" t="str">
        <f t="array" ref="H63">IFERROR(IF('T1'!$J63="",INDEX(LISTA_EX,6),INDEX(LISTA_EX,MATCH('T1'!$J63&amp;"|"&amp;6,LISTA_KLUCZ,0))),"")</f>
        <v>B/l dragonflag eccentric</v>
      </c>
      <c r="I63" s="5" t="str">
        <f t="array" ref="I63">IFERROR(IF('T1'!$J63="",INDEX(LISTA_EX,7),INDEX(LISTA_EX,MATCH('T1'!$J63&amp;"|"&amp;7,LISTA_KLUCZ,0))),"")</f>
        <v>Back extension</v>
      </c>
      <c r="J63" s="5" t="str">
        <f t="array" ref="J63">IFERROR(IF('T1'!$J63="",INDEX(LISTA_EX,8),INDEX(LISTA_EX,MATCH('T1'!$J63&amp;"|"&amp;8,LISTA_KLUCZ,0))),"")</f>
        <v>Banded pistol squat</v>
      </c>
      <c r="K63" s="5" t="str">
        <f t="array" ref="K63">IFERROR(IF('T1'!$J63="",INDEX(LISTA_EX,9),INDEX(LISTA_EX,MATCH('T1'!$J63&amp;"|"&amp;9,LISTA_KLUCZ,0))),"")</f>
        <v>Banded pull ups</v>
      </c>
      <c r="L63" s="5" t="str">
        <f t="array" ref="L63">IFERROR(IF('T1'!$J63="",INDEX(LISTA_EX,10),INDEX(LISTA_EX,MATCH('T1'!$J63&amp;"|"&amp;10,LISTA_KLUCZ,0))),"")</f>
        <v>Barbell back squat</v>
      </c>
      <c r="M63" s="5" t="str">
        <f t="array" ref="M63">IFERROR(IF('T1'!$J63="",INDEX(LISTA_EX,11),INDEX(LISTA_EX,MATCH('T1'!$J63&amp;"|"&amp;11,LISTA_KLUCZ,0))),"")</f>
        <v>Barbell bench press</v>
      </c>
      <c r="N63" s="5" t="str">
        <f t="array" ref="N63">IFERROR(IF('T1'!$J63="",INDEX(LISTA_EX,12),INDEX(LISTA_EX,MATCH('T1'!$J63&amp;"|"&amp;12,LISTA_KLUCZ,0))),"")</f>
        <v>Barbell curl</v>
      </c>
      <c r="O63" s="5" t="str">
        <f t="array" ref="O63">IFERROR(IF('T1'!$J63="",INDEX(LISTA_EX,13),INDEX(LISTA_EX,MATCH('T1'!$J63&amp;"|"&amp;13,LISTA_KLUCZ,0))),"")</f>
        <v>Barbell low bar squat</v>
      </c>
      <c r="P63" s="5" t="str">
        <f t="array" ref="P63">IFERROR(IF('T1'!$J63="",INDEX(LISTA_EX,14),INDEX(LISTA_EX,MATCH('T1'!$J63&amp;"|"&amp;14,LISTA_KLUCZ,0))),"")</f>
        <v>Barbell OHP</v>
      </c>
      <c r="Q63" s="5" t="str">
        <f t="array" ref="Q63">IFERROR(IF('T1'!$J63="",INDEX(LISTA_EX,15),INDEX(LISTA_EX,MATCH('T1'!$J63&amp;"|"&amp;15,LISTA_KLUCZ,0))),"")</f>
        <v>Barbell oscilation</v>
      </c>
      <c r="R63" s="5" t="str">
        <f t="array" ref="R63">IFERROR(IF('T1'!$J63="",INDEX(LISTA_EX,16),INDEX(LISTA_EX,MATCH('T1'!$J63&amp;"|"&amp;16,LISTA_KLUCZ,0))),"")</f>
        <v>Barbell row</v>
      </c>
      <c r="S63" s="5" t="str">
        <f t="array" ref="S63">IFERROR(IF('T1'!$J63="",INDEX(LISTA_EX,17),INDEX(LISTA_EX,MATCH('T1'!$J63&amp;"|"&amp;17,LISTA_KLUCZ,0))),"")</f>
        <v>Barbell row dead stop pins</v>
      </c>
      <c r="T63" s="5" t="str">
        <f t="array" ref="T63">IFERROR(IF('T1'!$J63="",INDEX(LISTA_EX,18),INDEX(LISTA_EX,MATCH('T1'!$J63&amp;"|"&amp;18,LISTA_KLUCZ,0))),"")</f>
        <v>Barbell SLDL</v>
      </c>
      <c r="U63" s="5" t="str">
        <f t="array" ref="U63">IFERROR(IF('T1'!$J63="",INDEX(LISTA_EX,19),INDEX(LISTA_EX,MATCH('T1'!$J63&amp;"|"&amp;19,LISTA_KLUCZ,0))),"")</f>
        <v>Bayesian curl</v>
      </c>
      <c r="V63" s="5" t="str">
        <f t="array" ref="V63">IFERROR(IF('T1'!$J63="",INDEX(LISTA_EX,20),INDEX(LISTA_EX,MATCH('T1'!$J63&amp;"|"&amp;20,LISTA_KLUCZ,0))),"")</f>
        <v>Bear renegade row</v>
      </c>
      <c r="W63" s="5" t="str">
        <f t="array" ref="W63">IFERROR(IF('T1'!$J63="",INDEX(LISTA_EX,21),INDEX(LISTA_EX,MATCH('T1'!$J63&amp;"|"&amp;21,LISTA_KLUCZ,0))),"")</f>
        <v>Bench press paused 3sec</v>
      </c>
      <c r="X63" s="5" t="str">
        <f t="array" ref="X63">IFERROR(IF('T1'!$J63="",INDEX(LISTA_EX,22),INDEX(LISTA_EX,MATCH('T1'!$J63&amp;"|"&amp;22,LISTA_KLUCZ,0))),"")</f>
        <v>Bicep hammer curl</v>
      </c>
      <c r="Y63" s="5" t="str">
        <f t="array" ref="Y63">IFERROR(IF('T1'!$J63="",INDEX(LISTA_EX,23),INDEX(LISTA_EX,MATCH('T1'!$J63&amp;"|"&amp;23,LISTA_KLUCZ,0))),"")</f>
        <v>Bicep squat cable curl</v>
      </c>
      <c r="Z63" s="5" t="str">
        <f t="array" ref="Z63">IFERROR(IF('T1'!$J63="",INDEX(LISTA_EX,24),INDEX(LISTA_EX,MATCH('T1'!$J63&amp;"|"&amp;24,LISTA_KLUCZ,0))),"")</f>
        <v>Bird dog row</v>
      </c>
      <c r="AA63" s="5" t="str">
        <f t="array" ref="AA63">IFERROR(IF('T1'!$J63="",INDEX(LISTA_EX,25),INDEX(LISTA_EX,MATCH('T1'!$J63&amp;"|"&amp;25,LISTA_KLUCZ,0))),"")</f>
        <v>Box jump</v>
      </c>
      <c r="AB63" s="5" t="str">
        <f t="array" ref="AB63">IFERROR(IF('T1'!$J63="",INDEX(LISTA_EX,26),INDEX(LISTA_EX,MATCH('T1'!$J63&amp;"|"&amp;26,LISTA_KLUCZ,0))),"")</f>
        <v>Bulgarian clean plyo</v>
      </c>
      <c r="AC63" s="5" t="str">
        <f t="array" ref="AC63">IFERROR(IF('T1'!$J63="",INDEX(LISTA_EX,27),INDEX(LISTA_EX,MATCH('T1'!$J63&amp;"|"&amp;27,LISTA_KLUCZ,0))),"")</f>
        <v>Bulgarian squat assisted</v>
      </c>
      <c r="AD63" s="5" t="str">
        <f t="array" ref="AD63">IFERROR(IF('T1'!$J63="",INDEX(LISTA_EX,28),INDEX(LISTA_EX,MATCH('T1'!$J63&amp;"|"&amp;28,LISTA_KLUCZ,0))),"")</f>
        <v>Cable biceps curl</v>
      </c>
      <c r="AE63" s="5" t="str">
        <f t="array" ref="AE63">IFERROR(IF('T1'!$J63="",INDEX(LISTA_EX,29),INDEX(LISTA_EX,MATCH('T1'!$J63&amp;"|"&amp;29,LISTA_KLUCZ,0))),"")</f>
        <v>Cable fly</v>
      </c>
      <c r="AF63" s="5" t="str">
        <f t="array" ref="AF63">IFERROR(IF('T1'!$J63="",INDEX(LISTA_EX,30),INDEX(LISTA_EX,MATCH('T1'!$J63&amp;"|"&amp;30,LISTA_KLUCZ,0))),"")</f>
        <v>Cable lateral raise s/a</v>
      </c>
      <c r="AG63" s="5" t="str">
        <f t="array" ref="AG63">IFERROR(IF('T1'!$J63="",INDEX(LISTA_EX,31),INDEX(LISTA_EX,MATCH('T1'!$J63&amp;"|"&amp;31,LISTA_KLUCZ,0))),"")</f>
        <v>Cable row</v>
      </c>
      <c r="AH63" s="5" t="str">
        <f t="array" ref="AH63">IFERROR(IF('T1'!$J63="",INDEX(LISTA_EX,32),INDEX(LISTA_EX,MATCH('T1'!$J63&amp;"|"&amp;32,LISTA_KLUCZ,0))),"")</f>
        <v>Cable row s/a</v>
      </c>
      <c r="AI63" s="5" t="str">
        <f t="array" ref="AI63">IFERROR(IF('T1'!$J63="",INDEX(LISTA_EX,33),INDEX(LISTA_EX,MATCH('T1'!$J63&amp;"|"&amp;33,LISTA_KLUCZ,0))),"")</f>
        <v>Calf raises</v>
      </c>
      <c r="AJ63" s="5" t="str">
        <f t="array" ref="AJ63">IFERROR(IF('T1'!$J63="",INDEX(LISTA_EX,34),INDEX(LISTA_EX,MATCH('T1'!$J63&amp;"|"&amp;34,LISTA_KLUCZ,0))),"")</f>
        <v>Chest fly machine</v>
      </c>
      <c r="AK63" s="5" t="str">
        <f t="array" ref="AK63">IFERROR(IF('T1'!$J63="",INDEX(LISTA_EX,35),INDEX(LISTA_EX,MATCH('T1'!$J63&amp;"|"&amp;35,LISTA_KLUCZ,0))),"")</f>
        <v>Clean</v>
      </c>
      <c r="AL63" s="5" t="str">
        <f t="array" ref="AL63">IFERROR(IF('T1'!$J63="",INDEX(LISTA_EX,36),INDEX(LISTA_EX,MATCH('T1'!$J63&amp;"|"&amp;36,LISTA_KLUCZ,0))),"")</f>
        <v>Clean pins</v>
      </c>
      <c r="AM63" s="5" t="str">
        <f t="array" ref="AM63">IFERROR(IF('T1'!$J63="",INDEX(LISTA_EX,37),INDEX(LISTA_EX,MATCH('T1'!$J63&amp;"|"&amp;37,LISTA_KLUCZ,0))),"")</f>
        <v>Copenhagen plank</v>
      </c>
      <c r="AN63" s="5" t="str">
        <f t="array" ref="AN63">IFERROR(IF('T1'!$J63="",INDEX(LISTA_EX,38),INDEX(LISTA_EX,MATCH('T1'!$J63&amp;"|"&amp;38,LISTA_KLUCZ,0))),"")</f>
        <v>Dead bug izo + OH</v>
      </c>
      <c r="AO63" s="5" t="str">
        <f t="array" ref="AO63">IFERROR(IF('T1'!$J63="",INDEX(LISTA_EX,39),INDEX(LISTA_EX,MATCH('T1'!$J63&amp;"|"&amp;39,LISTA_KLUCZ,0))),"")</f>
        <v>Dead bug straight legs</v>
      </c>
      <c r="AP63" s="5" t="str">
        <f t="array" ref="AP63">IFERROR(IF('T1'!$J63="",INDEX(LISTA_EX,40),INDEX(LISTA_EX,MATCH('T1'!$J63&amp;"|"&amp;40,LISTA_KLUCZ,0))),"")</f>
        <v>Dead stop barbell row</v>
      </c>
      <c r="AQ63" s="5" t="str">
        <f t="array" ref="AQ63">IFERROR(IF('T1'!$J63="",INDEX(LISTA_EX,41),INDEX(LISTA_EX,MATCH('T1'!$J63&amp;"|"&amp;41,LISTA_KLUCZ,0))),"")</f>
        <v>Deadbug OH</v>
      </c>
      <c r="AR63" s="5" t="str">
        <f t="array" ref="AR63">IFERROR(IF('T1'!$J63="",INDEX(LISTA_EX,42),INDEX(LISTA_EX,MATCH('T1'!$J63&amp;"|"&amp;42,LISTA_KLUCZ,0))),"")</f>
        <v>Deadlift</v>
      </c>
      <c r="AS63" s="5" t="str">
        <f t="array" ref="AS63">IFERROR(IF('T1'!$J63="",INDEX(LISTA_EX,43),INDEX(LISTA_EX,MATCH('T1'!$J63&amp;"|"&amp;43,LISTA_KLUCZ,0))),"")</f>
        <v>Deficit push up</v>
      </c>
      <c r="AT63" s="5" t="str">
        <f t="array" ref="AT63">IFERROR(IF('T1'!$J63="",INDEX(LISTA_EX,44),INDEX(LISTA_EX,MATCH('T1'!$J63&amp;"|"&amp;44,LISTA_KLUCZ,0))),"")</f>
        <v>Deficit reverse lunge</v>
      </c>
      <c r="AU63" s="5" t="str">
        <f t="array" ref="AU63">IFERROR(IF('T1'!$J63="",INDEX(LISTA_EX,45),INDEX(LISTA_EX,MATCH('T1'!$J63&amp;"|"&amp;45,LISTA_KLUCZ,0))),"")</f>
        <v>Dips</v>
      </c>
      <c r="AV63" s="5" t="str">
        <f t="array" ref="AV63">IFERROR(IF('T1'!$J63="",INDEX(LISTA_EX,46),INDEX(LISTA_EX,MATCH('T1'!$J63&amp;"|"&amp;46,LISTA_KLUCZ,0))),"")</f>
        <v>Dips weighted</v>
      </c>
      <c r="AW63" s="5" t="str">
        <f t="array" ref="AW63">IFERROR(IF('T1'!$J63="",INDEX(LISTA_EX,47),INDEX(LISTA_EX,MATCH('T1'!$J63&amp;"|"&amp;47,LISTA_KLUCZ,0))),"")</f>
        <v>Dumbbell bench press</v>
      </c>
      <c r="AX63" s="5" t="str">
        <f t="array" ref="AX63">IFERROR(IF('T1'!$J63="",INDEX(LISTA_EX,48),INDEX(LISTA_EX,MATCH('T1'!$J63&amp;"|"&amp;48,LISTA_KLUCZ,0))),"")</f>
        <v>Dumbbell bench press alternating</v>
      </c>
      <c r="AY63" s="5" t="str">
        <f t="array" ref="AY63">IFERROR(IF('T1'!$J63="",INDEX(LISTA_EX,49),INDEX(LISTA_EX,MATCH('T1'!$J63&amp;"|"&amp;49,LISTA_KLUCZ,0))),"")</f>
        <v>Dumbbell curl</v>
      </c>
      <c r="AZ63" s="5" t="str">
        <f t="array" ref="AZ63">IFERROR(IF('T1'!$J63="",INDEX(LISTA_EX,50),INDEX(LISTA_EX,MATCH('T1'!$J63&amp;"|"&amp;50,LISTA_KLUCZ,0))),"")</f>
        <v>Dumbbell external rotation</v>
      </c>
      <c r="BA63" s="5" t="str">
        <f t="array" ref="BA63">IFERROR(IF('T1'!$J63="",INDEX(LISTA_EX,51),INDEX(LISTA_EX,MATCH('T1'!$J63&amp;"|"&amp;51,LISTA_KLUCZ,0))),"")</f>
        <v>Dumbbell face down curl</v>
      </c>
      <c r="BB63" s="5" t="str">
        <f t="array" ref="BB63">IFERROR(IF('T1'!$J63="",INDEX(LISTA_EX,52),INDEX(LISTA_EX,MATCH('T1'!$J63&amp;"|"&amp;52,LISTA_KLUCZ,0))),"")</f>
        <v>Dumbbell fly</v>
      </c>
      <c r="BC63" s="5" t="str">
        <f t="array" ref="BC63">IFERROR(IF('T1'!$J63="",INDEX(LISTA_EX,53),INDEX(LISTA_EX,MATCH('T1'!$J63&amp;"|"&amp;53,LISTA_KLUCZ,0))),"")</f>
        <v>Dumbbell french press</v>
      </c>
      <c r="BD63" s="5" t="str">
        <f t="array" ref="BD63">IFERROR(IF('T1'!$J63="",INDEX(LISTA_EX,54),INDEX(LISTA_EX,MATCH('T1'!$J63&amp;"|"&amp;54,LISTA_KLUCZ,0))),"")</f>
        <v>Dumbbell lateral raise</v>
      </c>
      <c r="BE63" s="5" t="str">
        <f t="array" ref="BE63">IFERROR(IF('T1'!$J63="",INDEX(LISTA_EX,55),INDEX(LISTA_EX,MATCH('T1'!$J63&amp;"|"&amp;55,LISTA_KLUCZ,0))),"")</f>
        <v>Dumbbell lunges</v>
      </c>
      <c r="BF63" s="5" t="str">
        <f t="array" ref="BF63">IFERROR(IF('T1'!$J63="",INDEX(LISTA_EX,56),INDEX(LISTA_EX,MATCH('T1'!$J63&amp;"|"&amp;56,LISTA_KLUCZ,0))),"")</f>
        <v>Dumbbell OH press</v>
      </c>
      <c r="BG63" s="5" t="str">
        <f t="array" ref="BG63">IFERROR(IF('T1'!$J63="",INDEX(LISTA_EX,57),INDEX(LISTA_EX,MATCH('T1'!$J63&amp;"|"&amp;57,LISTA_KLUCZ,0))),"")</f>
        <v>Dumbbell over head press</v>
      </c>
      <c r="BH63" s="5" t="str">
        <f t="array" ref="BH63">IFERROR(IF('T1'!$J63="",INDEX(LISTA_EX,58),INDEX(LISTA_EX,MATCH('T1'!$J63&amp;"|"&amp;58,LISTA_KLUCZ,0))),"")</f>
        <v>Dumbbell over head press alternating</v>
      </c>
      <c r="BI63" s="5" t="str">
        <f t="array" ref="BI63">IFERROR(IF('T1'!$J63="",INDEX(LISTA_EX,59),INDEX(LISTA_EX,MATCH('T1'!$J63&amp;"|"&amp;59,LISTA_KLUCZ,0))),"")</f>
        <v>Dumbbell row</v>
      </c>
      <c r="BJ63" s="5" t="str">
        <f t="array" ref="BJ63">IFERROR(IF('T1'!$J63="",INDEX(LISTA_EX,60),INDEX(LISTA_EX,MATCH('T1'!$J63&amp;"|"&amp;60,LISTA_KLUCZ,0))),"")</f>
        <v>Dumbbell s/a Arnold press</v>
      </c>
      <c r="BK63" s="5" t="str">
        <f t="array" ref="BK63">IFERROR(IF('T1'!$J63="",INDEX(LISTA_EX,61),INDEX(LISTA_EX,MATCH('T1'!$J63&amp;"|"&amp;61,LISTA_KLUCZ,0))),"")</f>
        <v>Dumbbell s/a row</v>
      </c>
      <c r="BL63" s="5" t="str">
        <f t="array" ref="BL63">IFERROR(IF('T1'!$J63="",INDEX(LISTA_EX,62),INDEX(LISTA_EX,MATCH('T1'!$J63&amp;"|"&amp;62,LISTA_KLUCZ,0))),"")</f>
        <v>Dumbbell seal row</v>
      </c>
      <c r="BM63" s="5" t="str">
        <f t="array" ref="BM63">IFERROR(IF('T1'!$J63="",INDEX(LISTA_EX,63),INDEX(LISTA_EX,MATCH('T1'!$J63&amp;"|"&amp;63,LISTA_KLUCZ,0))),"")</f>
        <v>Dumbbells jumps</v>
      </c>
      <c r="BN63" s="5" t="str">
        <f t="array" ref="BN63">IFERROR(IF('T1'!$J63="",INDEX(LISTA_EX,64),INDEX(LISTA_EX,MATCH('T1'!$J63&amp;"|"&amp;64,LISTA_KLUCZ,0))),"")</f>
        <v>Eccentric pull up</v>
      </c>
      <c r="BO63" s="5" t="str">
        <f t="array" ref="BO63">IFERROR(IF('T1'!$J63="",INDEX(LISTA_EX,65),INDEX(LISTA_EX,MATCH('T1'!$J63&amp;"|"&amp;65,LISTA_KLUCZ,0))),"")</f>
        <v>Eccentric push up (5 sek w dół)</v>
      </c>
      <c r="BP63" s="5" t="str">
        <f t="array" ref="BP63">IFERROR(IF('T1'!$J63="",INDEX(LISTA_EX,66),INDEX(LISTA_EX,MATCH('T1'!$J63&amp;"|"&amp;66,LISTA_KLUCZ,0))),"")</f>
        <v>Extensive plyo jumps s/l</v>
      </c>
      <c r="BQ63" s="5" t="str">
        <f t="array" ref="BQ63">IFERROR(IF('T1'!$J63="",INDEX(LISTA_EX,67),INDEX(LISTA_EX,MATCH('T1'!$J63&amp;"|"&amp;67,LISTA_KLUCZ,0))),"")</f>
        <v>Ez bar curl</v>
      </c>
      <c r="BR63" s="5" t="str">
        <f t="array" ref="BR63">IFERROR(IF('T1'!$J63="",INDEX(LISTA_EX,68),INDEX(LISTA_EX,MATCH('T1'!$J63&amp;"|"&amp;68,LISTA_KLUCZ,0))),"")</f>
        <v>Facepull chest supported</v>
      </c>
      <c r="BS63" s="5" t="str">
        <f t="array" ref="BS63">IFERROR(IF('T1'!$J63="",INDEX(LISTA_EX,69),INDEX(LISTA_EX,MATCH('T1'!$J63&amp;"|"&amp;69,LISTA_KLUCZ,0))),"")</f>
        <v>Front foot elevated split squat</v>
      </c>
      <c r="BT63" s="5" t="str">
        <f t="array" ref="BT63">IFERROR(IF('T1'!$J63="",INDEX(LISTA_EX,70),INDEX(LISTA_EX,MATCH('T1'!$J63&amp;"|"&amp;70,LISTA_KLUCZ,0))),"")</f>
        <v>Front squat</v>
      </c>
      <c r="BU63" s="5" t="str">
        <f t="array" ref="BU63">IFERROR(IF('T1'!$J63="",INDEX(LISTA_EX,71),INDEX(LISTA_EX,MATCH('T1'!$J63&amp;"|"&amp;71,LISTA_KLUCZ,0))),"")</f>
        <v>GHD flexion</v>
      </c>
      <c r="BV63" s="5" t="str">
        <f t="array" ref="BV63">IFERROR(IF('T1'!$J63="",INDEX(LISTA_EX,72),INDEX(LISTA_EX,MATCH('T1'!$J63&amp;"|"&amp;72,LISTA_KLUCZ,0))),"")</f>
        <v>Glute bridge hamstrings izo + OH</v>
      </c>
      <c r="BW63" s="5" t="str">
        <f t="array" ref="BW63">IFERROR(IF('T1'!$J63="",INDEX(LISTA_EX,73),INDEX(LISTA_EX,MATCH('T1'!$J63&amp;"|"&amp;73,LISTA_KLUCZ,0))),"")</f>
        <v>Glute crusher</v>
      </c>
      <c r="BX63" s="5" t="str">
        <f t="array" ref="BX63">IFERROR(IF('T1'!$J63="",INDEX(LISTA_EX,74),INDEX(LISTA_EX,MATCH('T1'!$J63&amp;"|"&amp;74,LISTA_KLUCZ,0))),"")</f>
        <v>Gorilla row</v>
      </c>
      <c r="BY63" s="5" t="str">
        <f t="array" ref="BY63">IFERROR(IF('T1'!$J63="",INDEX(LISTA_EX,75),INDEX(LISTA_EX,MATCH('T1'!$J63&amp;"|"&amp;75,LISTA_KLUCZ,0))),"")</f>
        <v>Halfkneeling s/a cable pull</v>
      </c>
      <c r="BZ63" s="5" t="str">
        <f t="array" ref="BZ63">IFERROR(IF('T1'!$J63="",INDEX(LISTA_EX,76),INDEX(LISTA_EX,MATCH('T1'!$J63&amp;"|"&amp;76,LISTA_KLUCZ,0))),"")</f>
        <v>Halfkneeling wood chopper</v>
      </c>
      <c r="CA63" s="5" t="str">
        <f t="array" ref="CA63">IFERROR(IF('T1'!$J63="",INDEX(LISTA_EX,77),INDEX(LISTA_EX,MATCH('T1'!$J63&amp;"|"&amp;77,LISTA_KLUCZ,0))),"")</f>
        <v>Hinged dumbbell row</v>
      </c>
      <c r="CB63" s="5" t="str">
        <f t="array" ref="CB63">IFERROR(IF('T1'!$J63="",INDEX(LISTA_EX,78),INDEX(LISTA_EX,MATCH('T1'!$J63&amp;"|"&amp;78,LISTA_KLUCZ,0))),"")</f>
        <v>Hip aeroplane</v>
      </c>
      <c r="CC63" s="5" t="str">
        <f t="array" ref="CC63">IFERROR(IF('T1'!$J63="",INDEX(LISTA_EX,79),INDEX(LISTA_EX,MATCH('T1'!$J63&amp;"|"&amp;79,LISTA_KLUCZ,0))),"")</f>
        <v>Hip flexors cable</v>
      </c>
      <c r="CD63" s="5" t="str">
        <f t="array" ref="CD63">IFERROR(IF('T1'!$J63="",INDEX(LISTA_EX,80),INDEX(LISTA_EX,MATCH('T1'!$J63&amp;"|"&amp;80,LISTA_KLUCZ,0))),"")</f>
        <v>Hip thrust barbell</v>
      </c>
      <c r="CE63" s="5" t="str">
        <f t="array" ref="CE63">IFERROR(IF('T1'!$J63="",INDEX(LISTA_EX,81),INDEX(LISTA_EX,MATCH('T1'!$J63&amp;"|"&amp;81,LISTA_KLUCZ,0))),"")</f>
        <v>Hollow body + OH</v>
      </c>
      <c r="CF63" s="5" t="str">
        <f t="array" ref="CF63">IFERROR(IF('T1'!$J63="",INDEX(LISTA_EX,82),INDEX(LISTA_EX,MATCH('T1'!$J63&amp;"|"&amp;82,LISTA_KLUCZ,0))),"")</f>
        <v>Horizontal jump</v>
      </c>
      <c r="CG63" s="5" t="str">
        <f t="array" ref="CG63">IFERROR(IF('T1'!$J63="",INDEX(LISTA_EX,83),INDEX(LISTA_EX,MATCH('T1'!$J63&amp;"|"&amp;83,LISTA_KLUCZ,0))),"")</f>
        <v>Incline bench lateral raise s/a</v>
      </c>
      <c r="CH63" s="5" t="str">
        <f t="array" ref="CH63">IFERROR(IF('T1'!$J63="",INDEX(LISTA_EX,84),INDEX(LISTA_EX,MATCH('T1'!$J63&amp;"|"&amp;84,LISTA_KLUCZ,0))),"")</f>
        <v>Incline curl + OHP</v>
      </c>
      <c r="CI63" s="5" t="str">
        <f t="array" ref="CI63">IFERROR(IF('T1'!$J63="",INDEX(LISTA_EX,85),INDEX(LISTA_EX,MATCH('T1'!$J63&amp;"|"&amp;85,LISTA_KLUCZ,0))),"")</f>
        <v>Incline dumbbell curl</v>
      </c>
      <c r="CJ63" s="5" t="str">
        <f t="array" ref="CJ63">IFERROR(IF('T1'!$J63="",INDEX(LISTA_EX,86),INDEX(LISTA_EX,MATCH('T1'!$J63&amp;"|"&amp;86,LISTA_KLUCZ,0))),"")</f>
        <v>Incline dumbbell curl (back)</v>
      </c>
      <c r="CK63" s="5" t="str">
        <f t="array" ref="CK63">IFERROR(IF('T1'!$J63="",INDEX(LISTA_EX,87),INDEX(LISTA_EX,MATCH('T1'!$J63&amp;"|"&amp;87,LISTA_KLUCZ,0))),"")</f>
        <v>Incline dumbbell curl (front)</v>
      </c>
      <c r="CL63" s="5" t="str">
        <f t="array" ref="CL63">IFERROR(IF('T1'!$J63="",INDEX(LISTA_EX,88),INDEX(LISTA_EX,MATCH('T1'!$J63&amp;"|"&amp;88,LISTA_KLUCZ,0))),"")</f>
        <v>Incline dumbbell fly</v>
      </c>
      <c r="CM63" s="5" t="str">
        <f t="array" ref="CM63">IFERROR(IF('T1'!$J63="",INDEX(LISTA_EX,89),INDEX(LISTA_EX,MATCH('T1'!$J63&amp;"|"&amp;89,LISTA_KLUCZ,0))),"")</f>
        <v>Incline dumbbell press</v>
      </c>
      <c r="CN63" s="5" t="str">
        <f t="array" ref="CN63">IFERROR(IF('T1'!$J63="",INDEX(LISTA_EX,90),INDEX(LISTA_EX,MATCH('T1'!$J63&amp;"|"&amp;90,LISTA_KLUCZ,0))),"")</f>
        <v>Incline dumbbell press alternating</v>
      </c>
      <c r="CO63" s="5" t="str">
        <f t="array" ref="CO63">IFERROR(IF('T1'!$J63="",INDEX(LISTA_EX,91),INDEX(LISTA_EX,MATCH('T1'!$J63&amp;"|"&amp;91,LISTA_KLUCZ,0))),"")</f>
        <v>Incline sit-ups</v>
      </c>
      <c r="CP63" s="5" t="str">
        <f t="array" ref="CP63">IFERROR(IF('T1'!$J63="",INDEX(LISTA_EX,92),INDEX(LISTA_EX,MATCH('T1'!$J63&amp;"|"&amp;92,LISTA_KLUCZ,0))),"")</f>
        <v>Jefferson cable</v>
      </c>
      <c r="CQ63" s="5" t="str">
        <f t="array" ref="CQ63">IFERROR(IF('T1'!$J63="",INDEX(LISTA_EX,93),INDEX(LISTA_EX,MATCH('T1'!$J63&amp;"|"&amp;93,LISTA_KLUCZ,0))),"")</f>
        <v>Kettlebell march</v>
      </c>
      <c r="CR63" s="5" t="str">
        <f t="array" ref="CR63">IFERROR(IF('T1'!$J63="",INDEX(LISTA_EX,94),INDEX(LISTA_EX,MATCH('T1'!$J63&amp;"|"&amp;94,LISTA_KLUCZ,0))),"")</f>
        <v>Kickbacks</v>
      </c>
      <c r="CS63" s="5" t="str">
        <f t="array" ref="CS63">IFERROR(IF('T1'!$J63="",INDEX(LISTA_EX,95),INDEX(LISTA_EX,MATCH('T1'!$J63&amp;"|"&amp;95,LISTA_KLUCZ,0))),"")</f>
        <v>Knee extension machine</v>
      </c>
      <c r="CT63" s="5" t="str">
        <f t="array" ref="CT63">IFERROR(IF('T1'!$J63="",INDEX(LISTA_EX,96),INDEX(LISTA_EX,MATCH('T1'!$J63&amp;"|"&amp;96,LISTA_KLUCZ,0))),"")</f>
        <v>Knee flexion machine</v>
      </c>
      <c r="CU63" s="5" t="str">
        <f t="array" ref="CU63">IFERROR(IF('T1'!$J63="",INDEX(LISTA_EX,97),INDEX(LISTA_EX,MATCH('T1'!$J63&amp;"|"&amp;97,LISTA_KLUCZ,0))),"")</f>
        <v>Knee raises</v>
      </c>
      <c r="CV63" s="5" t="str">
        <f t="array" ref="CV63">IFERROR(IF('T1'!$J63="",INDEX(LISTA_EX,98),INDEX(LISTA_EX,MATCH('T1'!$J63&amp;"|"&amp;98,LISTA_KLUCZ,0))),"")</f>
        <v>Landmine core</v>
      </c>
      <c r="CW63" s="5" t="str">
        <f t="array" ref="CW63">IFERROR(IF('T1'!$J63="",INDEX(LISTA_EX,99),INDEX(LISTA_EX,MATCH('T1'!$J63&amp;"|"&amp;99,LISTA_KLUCZ,0))),"")</f>
        <v>Landmine press</v>
      </c>
      <c r="CX63" s="5" t="str">
        <f t="array" ref="CX63">IFERROR(IF('T1'!$J63="",INDEX(LISTA_EX,100),INDEX(LISTA_EX,MATCH('T1'!$J63&amp;"|"&amp;100,LISTA_KLUCZ,0))),"")</f>
        <v>Landmine rotations (powtórzenia x2)</v>
      </c>
      <c r="CY63" s="5" t="str">
        <f t="array" ref="CY63">IFERROR(IF('T1'!$J63="",INDEX(LISTA_EX,101),INDEX(LISTA_EX,MATCH('T1'!$J63&amp;"|"&amp;101,LISTA_KLUCZ,0))),"")</f>
        <v>Landmine SLDL</v>
      </c>
      <c r="CZ63" s="5" t="str">
        <f t="array" ref="CZ63">IFERROR(IF('T1'!$J63="",INDEX(LISTA_EX,102),INDEX(LISTA_EX,MATCH('T1'!$J63&amp;"|"&amp;102,LISTA_KLUCZ,0))),"")</f>
        <v>Lat pulldown</v>
      </c>
      <c r="DA63" s="5" t="str">
        <f t="array" ref="DA63">IFERROR(IF('T1'!$J63="",INDEX(LISTA_EX,103),INDEX(LISTA_EX,MATCH('T1'!$J63&amp;"|"&amp;103,LISTA_KLUCZ,0))),"")</f>
        <v>Lat pulldown behind the head</v>
      </c>
      <c r="DB63" s="5" t="str">
        <f t="array" ref="DB63">IFERROR(IF('T1'!$J63="",INDEX(LISTA_EX,104),INDEX(LISTA_EX,MATCH('T1'!$J63&amp;"|"&amp;104,LISTA_KLUCZ,0))),"")</f>
        <v>Lat pulldown s/a</v>
      </c>
      <c r="DC63" s="5" t="str">
        <f t="array" ref="DC63">IFERROR(IF('T1'!$J63="",INDEX(LISTA_EX,105),INDEX(LISTA_EX,MATCH('T1'!$J63&amp;"|"&amp;105,LISTA_KLUCZ,0))),"")</f>
        <v>Lateral raise s/a</v>
      </c>
      <c r="DD63" s="5" t="str">
        <f t="array" ref="DD63">IFERROR(IF('T1'!$J63="",INDEX(LISTA_EX,106),INDEX(LISTA_EX,MATCH('T1'!$J63&amp;"|"&amp;106,LISTA_KLUCZ,0))),"")</f>
        <v>Lateral raises</v>
      </c>
      <c r="DE63" s="5" t="str">
        <f t="array" ref="DE63">IFERROR(IF('T1'!$J63="",INDEX(LISTA_EX,107),INDEX(LISTA_EX,MATCH('T1'!$J63&amp;"|"&amp;107,LISTA_KLUCZ,0))),"")</f>
        <v>Lateral raises 2</v>
      </c>
      <c r="DF63" s="5" t="str">
        <f t="array" ref="DF63">IFERROR(IF('T1'!$J63="",INDEX(LISTA_EX,108),INDEX(LISTA_EX,MATCH('T1'!$J63&amp;"|"&amp;108,LISTA_KLUCZ,0))),"")</f>
        <v>Lateral raises full ROM</v>
      </c>
      <c r="DG63" s="5" t="str">
        <f t="array" ref="DG63">IFERROR(IF('T1'!$J63="",INDEX(LISTA_EX,109),INDEX(LISTA_EX,MATCH('T1'!$J63&amp;"|"&amp;109,LISTA_KLUCZ,0))),"")</f>
        <v>Lateral raises hinged</v>
      </c>
      <c r="DH63" s="5" t="str">
        <f t="array" ref="DH63">IFERROR(IF('T1'!$J63="",INDEX(LISTA_EX,110),INDEX(LISTA_EX,MATCH('T1'!$J63&amp;"|"&amp;110,LISTA_KLUCZ,0))),"")</f>
        <v>Lateral raises incline s/a</v>
      </c>
      <c r="DI63" s="5" t="str">
        <f t="array" ref="DI63">IFERROR(IF('T1'!$J63="",INDEX(LISTA_EX,111),INDEX(LISTA_EX,MATCH('T1'!$J63&amp;"|"&amp;111,LISTA_KLUCZ,0))),"")</f>
        <v>Leg curl</v>
      </c>
      <c r="DJ63" s="5" t="str">
        <f t="array" ref="DJ63">IFERROR(IF('T1'!$J63="",INDEX(LISTA_EX,112),INDEX(LISTA_EX,MATCH('T1'!$J63&amp;"|"&amp;112,LISTA_KLUCZ,0))),"")</f>
        <v>Machine row</v>
      </c>
      <c r="DK63" s="5" t="str">
        <f t="array" ref="DK63">IFERROR(IF('T1'!$J63="",INDEX(LISTA_EX,113),INDEX(LISTA_EX,MATCH('T1'!$J63&amp;"|"&amp;113,LISTA_KLUCZ,0))),"")</f>
        <v>Machine row s/a</v>
      </c>
      <c r="DL63" s="5" t="str">
        <f t="array" ref="DL63">IFERROR(IF('T1'!$J63="",INDEX(LISTA_EX,114),INDEX(LISTA_EX,MATCH('T1'!$J63&amp;"|"&amp;114,LISTA_KLUCZ,0))),"")</f>
        <v>Meadows row</v>
      </c>
      <c r="DM63" s="5" t="str">
        <f t="array" ref="DM63">IFERROR(IF('T1'!$J63="",INDEX(LISTA_EX,115),INDEX(LISTA_EX,MATCH('T1'!$J63&amp;"|"&amp;115,LISTA_KLUCZ,0))),"")</f>
        <v>Med ball slam</v>
      </c>
      <c r="DN63" s="5" t="str">
        <f t="array" ref="DN63">IFERROR(IF('T1'!$J63="",INDEX(LISTA_EX,116),INDEX(LISTA_EX,MATCH('T1'!$J63&amp;"|"&amp;116,LISTA_KLUCZ,0))),"")</f>
        <v>OH skullcrushers</v>
      </c>
      <c r="DO63" s="5" t="str">
        <f t="array" ref="DO63">IFERROR(IF('T1'!$J63="",INDEX(LISTA_EX,117),INDEX(LISTA_EX,MATCH('T1'!$J63&amp;"|"&amp;117,LISTA_KLUCZ,0))),"")</f>
        <v>OHP barbell squat 15kg</v>
      </c>
      <c r="DP63" s="5" t="str">
        <f t="array" ref="DP63">IFERROR(IF('T1'!$J63="",INDEX(LISTA_EX,118),INDEX(LISTA_EX,MATCH('T1'!$J63&amp;"|"&amp;118,LISTA_KLUCZ,0))),"")</f>
        <v>Pistol squat eccentric</v>
      </c>
      <c r="DQ63" s="5" t="str">
        <f t="array" ref="DQ63">IFERROR(IF('T1'!$J63="",INDEX(LISTA_EX,119),INDEX(LISTA_EX,MATCH('T1'!$J63&amp;"|"&amp;119,LISTA_KLUCZ,0))),"")</f>
        <v>Plank contralateral</v>
      </c>
      <c r="DR63" s="5" t="str">
        <f t="array" ref="DR63">IFERROR(IF('T1'!$J63="",INDEX(LISTA_EX,120),INDEX(LISTA_EX,MATCH('T1'!$J63&amp;"|"&amp;120,LISTA_KLUCZ,0))),"")</f>
        <v>Plank dumbbell rotation</v>
      </c>
      <c r="DS63" s="5" t="str">
        <f t="array" ref="DS63">IFERROR(IF('T1'!$J63="",INDEX(LISTA_EX,121),INDEX(LISTA_EX,MATCH('T1'!$J63&amp;"|"&amp;121,LISTA_KLUCZ,0))),"")</f>
        <v>Plank leg raises</v>
      </c>
      <c r="DT63" s="5" t="str">
        <f t="array" ref="DT63">IFERROR(IF('T1'!$J63="",INDEX(LISTA_EX,122),INDEX(LISTA_EX,MATCH('T1'!$J63&amp;"|"&amp;122,LISTA_KLUCZ,0))),"")</f>
        <v>Poliquin step up</v>
      </c>
      <c r="DU63" s="5" t="str">
        <f t="array" ref="DU63">IFERROR(IF('T1'!$J63="",INDEX(LISTA_EX,123),INDEX(LISTA_EX,MATCH('T1'!$J63&amp;"|"&amp;123,LISTA_KLUCZ,0))),"")</f>
        <v>Poliquin step up paused 3sec</v>
      </c>
      <c r="DV63" s="5" t="str">
        <f t="array" ref="DV63">IFERROR(IF('T1'!$J63="",INDEX(LISTA_EX,124),INDEX(LISTA_EX,MATCH('T1'!$J63&amp;"|"&amp;124,LISTA_KLUCZ,0))),"")</f>
        <v>Pronation/Supination</v>
      </c>
      <c r="DW63" s="5" t="str">
        <f t="array" ref="DW63">IFERROR(IF('T1'!$J63="",INDEX(LISTA_EX,125),INDEX(LISTA_EX,MATCH('T1'!$J63&amp;"|"&amp;125,LISTA_KLUCZ,0))),"")</f>
        <v>Pull up</v>
      </c>
      <c r="DX63" s="5" t="str">
        <f t="array" ref="DX63">IFERROR(IF('T1'!$J63="",INDEX(LISTA_EX,126),INDEX(LISTA_EX,MATCH('T1'!$J63&amp;"|"&amp;126,LISTA_KLUCZ,0))),"")</f>
        <v>Pull up eccentric weighted</v>
      </c>
      <c r="DY63" s="5" t="str">
        <f t="array" ref="DY63">IFERROR(IF('T1'!$J63="",INDEX(LISTA_EX,127),INDEX(LISTA_EX,MATCH('T1'!$J63&amp;"|"&amp;127,LISTA_KLUCZ,0))),"")</f>
        <v>Pull up eccentric weighted (5 sek w dół)</v>
      </c>
      <c r="DZ63" s="5" t="str">
        <f t="array" ref="DZ63">IFERROR(IF('T1'!$J63="",INDEX(LISTA_EX,128),INDEX(LISTA_EX,MATCH('T1'!$J63&amp;"|"&amp;128,LISTA_KLUCZ,0))),"")</f>
        <v>Pull up weighted</v>
      </c>
      <c r="EA63" s="5" t="str">
        <f t="array" ref="EA63">IFERROR(IF('T1'!$J63="",INDEX(LISTA_EX,129),INDEX(LISTA_EX,MATCH('T1'!$J63&amp;"|"&amp;129,LISTA_KLUCZ,0))),"")</f>
        <v>Pull ups (paused)</v>
      </c>
      <c r="EB63" s="5" t="str">
        <f t="array" ref="EB63">IFERROR(IF('T1'!$J63="",INDEX(LISTA_EX,130),INDEX(LISTA_EX,MATCH('T1'!$J63&amp;"|"&amp;130,LISTA_KLUCZ,0))),"")</f>
        <v>Push press barbell</v>
      </c>
      <c r="EC63" s="5" t="str">
        <f t="array" ref="EC63">IFERROR(IF('T1'!$J63="",INDEX(LISTA_EX,131),INDEX(LISTA_EX,MATCH('T1'!$J63&amp;"|"&amp;131,LISTA_KLUCZ,0))),"")</f>
        <v>Push up</v>
      </c>
      <c r="ED63" s="5" t="str">
        <f t="array" ref="ED63">IFERROR(IF('T1'!$J63="",INDEX(LISTA_EX,132),INDEX(LISTA_EX,MATCH('T1'!$J63&amp;"|"&amp;132,LISTA_KLUCZ,0))),"")</f>
        <v>Raised bird dog</v>
      </c>
      <c r="EE63" s="5" t="str">
        <f t="array" ref="EE63">IFERROR(IF('T1'!$J63="",INDEX(LISTA_EX,133),INDEX(LISTA_EX,MATCH('T1'!$J63&amp;"|"&amp;133,LISTA_KLUCZ,0))),"")</f>
        <v>RDL</v>
      </c>
      <c r="EF63" s="5" t="str">
        <f t="array" ref="EF63">IFERROR(IF('T1'!$J63="",INDEX(LISTA_EX,134),INDEX(LISTA_EX,MATCH('T1'!$J63&amp;"|"&amp;134,LISTA_KLUCZ,0))),"")</f>
        <v>Reverse Nordic</v>
      </c>
      <c r="EG63" s="5" t="str">
        <f t="array" ref="EG63">IFERROR(IF('T1'!$J63="",INDEX(LISTA_EX,135),INDEX(LISTA_EX,MATCH('T1'!$J63&amp;"|"&amp;135,LISTA_KLUCZ,0))),"")</f>
        <v>Rope pushdown</v>
      </c>
      <c r="EH63" s="5" t="str">
        <f t="array" ref="EH63">IFERROR(IF('T1'!$J63="",INDEX(LISTA_EX,136),INDEX(LISTA_EX,MATCH('T1'!$J63&amp;"|"&amp;136,LISTA_KLUCZ,0))),"")</f>
        <v>Rope pushdown OH</v>
      </c>
      <c r="EI63" s="5" t="str">
        <f t="array" ref="EI63">IFERROR(IF('T1'!$J63="",INDEX(LISTA_EX,137),INDEX(LISTA_EX,MATCH('T1'!$J63&amp;"|"&amp;137,LISTA_KLUCZ,0))),"")</f>
        <v>S/a cable pulldown incline bench</v>
      </c>
      <c r="EJ63" s="5" t="str">
        <f t="array" ref="EJ63">IFERROR(IF('T1'!$J63="",INDEX(LISTA_EX,138),INDEX(LISTA_EX,MATCH('T1'!$J63&amp;"|"&amp;138,LISTA_KLUCZ,0))),"")</f>
        <v>S/a lat pulldown incline bench</v>
      </c>
      <c r="EK63" s="5" t="str">
        <f t="array" ref="EK63">IFERROR(IF('T1'!$J63="",INDEX(LISTA_EX,139),INDEX(LISTA_EX,MATCH('T1'!$J63&amp;"|"&amp;139,LISTA_KLUCZ,0))),"")</f>
        <v>S/l dragonflag eccentric</v>
      </c>
      <c r="EL63" s="5" t="str">
        <f t="array" ref="EL63">IFERROR(IF('T1'!$J63="",INDEX(LISTA_EX,140),INDEX(LISTA_EX,MATCH('T1'!$J63&amp;"|"&amp;140,LISTA_KLUCZ,0))),"")</f>
        <v>S/l hip thrust</v>
      </c>
      <c r="EM63" s="5" t="str">
        <f t="array" ref="EM63">IFERROR(IF('T1'!$J63="",INDEX(LISTA_EX,141),INDEX(LISTA_EX,MATCH('T1'!$J63&amp;"|"&amp;141,LISTA_KLUCZ,0))),"")</f>
        <v>Seated broad jump</v>
      </c>
      <c r="EN63" s="5" t="str">
        <f t="array" ref="EN63">IFERROR(IF('T1'!$J63="",INDEX(LISTA_EX,142),INDEX(LISTA_EX,MATCH('T1'!$J63&amp;"|"&amp;142,LISTA_KLUCZ,0))),"")</f>
        <v>Seated cable facepull</v>
      </c>
      <c r="EO63" s="5" t="str">
        <f t="array" ref="EO63">IFERROR(IF('T1'!$J63="",INDEX(LISTA_EX,143),INDEX(LISTA_EX,MATCH('T1'!$J63&amp;"|"&amp;143,LISTA_KLUCZ,0))),"")</f>
        <v>Seated seesaw press (nogi proste)</v>
      </c>
      <c r="EP63" s="5" t="str">
        <f t="array" ref="EP63">IFERROR(IF('T1'!$J63="",INDEX(LISTA_EX,144),INDEX(LISTA_EX,MATCH('T1'!$J63&amp;"|"&amp;144,LISTA_KLUCZ,0))),"")</f>
        <v>Seesaw press</v>
      </c>
      <c r="EQ63" s="5" t="str">
        <f t="array" ref="EQ63">IFERROR(IF('T1'!$J63="",INDEX(LISTA_EX,145),INDEX(LISTA_EX,MATCH('T1'!$J63&amp;"|"&amp;145,LISTA_KLUCZ,0))),"")</f>
        <v>Side crunches</v>
      </c>
      <c r="ER63" s="5" t="str">
        <f t="array" ref="ER63">IFERROR(IF('T1'!$J63="",INDEX(LISTA_EX,146),INDEX(LISTA_EX,MATCH('T1'!$J63&amp;"|"&amp;146,LISTA_KLUCZ,0))),"")</f>
        <v>Side plank hip drop</v>
      </c>
      <c r="ES63" s="5" t="str">
        <f t="array" ref="ES63">IFERROR(IF('T1'!$J63="",INDEX(LISTA_EX,147),INDEX(LISTA_EX,MATCH('T1'!$J63&amp;"|"&amp;147,LISTA_KLUCZ,0))),"")</f>
        <v>Side plank rotations</v>
      </c>
      <c r="ET63" s="5" t="str">
        <f t="array" ref="ET63">IFERROR(IF('T1'!$J63="",INDEX(LISTA_EX,148),INDEX(LISTA_EX,MATCH('T1'!$J63&amp;"|"&amp;148,LISTA_KLUCZ,0))),"")</f>
        <v>SLDL balance</v>
      </c>
      <c r="EU63" s="5" t="str">
        <f t="array" ref="EU63">IFERROR(IF('T1'!$J63="",INDEX(LISTA_EX,149),INDEX(LISTA_EX,MATCH('T1'!$J63&amp;"|"&amp;149,LISTA_KLUCZ,0))),"")</f>
        <v>Split squat</v>
      </c>
      <c r="EV63" s="5" t="str">
        <f t="array" ref="EV63">IFERROR(IF('T1'!$J63="",INDEX(LISTA_EX,150),INDEX(LISTA_EX,MATCH('T1'!$J63&amp;"|"&amp;150,LISTA_KLUCZ,0))),"")</f>
        <v>Split stance SLDL</v>
      </c>
      <c r="EW63" s="5" t="str">
        <f t="array" ref="EW63">IFERROR(IF('T1'!$J63="",INDEX(LISTA_EX,151),INDEX(LISTA_EX,MATCH('T1'!$J63&amp;"|"&amp;151,LISTA_KLUCZ,0))),"")</f>
        <v>Squat izo (15 sek)</v>
      </c>
      <c r="EX63" s="5" t="str">
        <f t="array" ref="EX63">IFERROR(IF('T1'!$J63="",INDEX(LISTA_EX,152),INDEX(LISTA_EX,MATCH('T1'!$J63&amp;"|"&amp;152,LISTA_KLUCZ,0))),"")</f>
        <v>Standing landmine press</v>
      </c>
      <c r="EY63" s="5" t="str">
        <f t="array" ref="EY63">IFERROR(IF('T1'!$J63="",INDEX(LISTA_EX,153),INDEX(LISTA_EX,MATCH('T1'!$J63&amp;"|"&amp;153,LISTA_KLUCZ,0))),"")</f>
        <v>Suitcase carry</v>
      </c>
      <c r="EZ63" s="5" t="str">
        <f t="array" ref="EZ63">IFERROR(IF('T1'!$J63="",INDEX(LISTA_EX,154),INDEX(LISTA_EX,MATCH('T1'!$J63&amp;"|"&amp;154,LISTA_KLUCZ,0))),"")</f>
        <v>Supine pigeon abs</v>
      </c>
      <c r="FA63" s="5" t="str">
        <f t="array" ref="FA63">IFERROR(IF('T1'!$J63="",INDEX(LISTA_EX,155),INDEX(LISTA_EX,MATCH('T1'!$J63&amp;"|"&amp;155,LISTA_KLUCZ,0))),"")</f>
        <v>Swiss ball leg curl</v>
      </c>
      <c r="FB63" s="5" t="str">
        <f t="array" ref="FB63">IFERROR(IF('T1'!$J63="",INDEX(LISTA_EX,156),INDEX(LISTA_EX,MATCH('T1'!$J63&amp;"|"&amp;156,LISTA_KLUCZ,0))),"")</f>
        <v>Toes to bar</v>
      </c>
      <c r="FC63" s="5" t="str">
        <f t="array" ref="FC63">IFERROR(IF('T1'!$J63="",INDEX(LISTA_EX,157),INDEX(LISTA_EX,MATCH('T1'!$J63&amp;"|"&amp;157,LISTA_KLUCZ,0))),"")</f>
        <v>Trap bar deadlift</v>
      </c>
      <c r="FD63" s="5" t="str">
        <f t="array" ref="FD63">IFERROR(IF('T1'!$J63="",INDEX(LISTA_EX,158),INDEX(LISTA_EX,MATCH('T1'!$J63&amp;"|"&amp;158,LISTA_KLUCZ,0))),"")</f>
        <v>Tricep cable pushdown</v>
      </c>
      <c r="FE63" s="5" t="str">
        <f t="array" ref="FE63">IFERROR(IF('T1'!$J63="",INDEX(LISTA_EX,159),INDEX(LISTA_EX,MATCH('T1'!$J63&amp;"|"&amp;159,LISTA_KLUCZ,0))),"")</f>
        <v>Tricep JM press</v>
      </c>
      <c r="FF63" s="5" t="str">
        <f t="array" ref="FF63">IFERROR(IF('T1'!$J63="",INDEX(LISTA_EX,160),INDEX(LISTA_EX,MATCH('T1'!$J63&amp;"|"&amp;160,LISTA_KLUCZ,0))),"")</f>
        <v>Tricep OH cable</v>
      </c>
      <c r="FG63" s="5" t="str">
        <f t="array" ref="FG63">IFERROR(IF('T1'!$J63="",INDEX(LISTA_EX,161),INDEX(LISTA_EX,MATCH('T1'!$J63&amp;"|"&amp;161,LISTA_KLUCZ,0))),"")</f>
        <v>Tricep OH ez bar</v>
      </c>
      <c r="FH63" s="5" t="str">
        <f t="array" ref="FH63">IFERROR(IF('T1'!$J63="",INDEX(LISTA_EX,162),INDEX(LISTA_EX,MATCH('T1'!$J63&amp;"|"&amp;162,LISTA_KLUCZ,0))),"")</f>
        <v>Walking lunges</v>
      </c>
      <c r="FI63" s="5" t="str">
        <f t="array" ref="FI63">IFERROR(IF('T1'!$J63="",INDEX(LISTA_EX,163),INDEX(LISTA_EX,MATCH('T1'!$J63&amp;"|"&amp;163,LISTA_KLUCZ,0))),"")</f>
        <v>Wipers kettle</v>
      </c>
      <c r="FJ63" s="5" t="str">
        <f t="array" ref="FJ63">IFERROR(IF('T1'!$J63="",INDEX(LISTA_EX,164),INDEX(LISTA_EX,MATCH('T1'!$J63&amp;"|"&amp;164,LISTA_KLUCZ,0))),"")</f>
        <v>Zercher jumps</v>
      </c>
      <c r="FK63" s="5" t="str">
        <f t="array" ref="FK63">IFERROR(IF('T1'!$J63="",INDEX(LISTA_EX,165),INDEX(LISTA_EX,MATCH('T1'!$J63&amp;"|"&amp;165,LISTA_KLUCZ,0))),"")</f>
        <v/>
      </c>
      <c r="FL63" s="5" t="str">
        <f t="array" ref="FL63">IFERROR(IF('T1'!$J63="",INDEX(LISTA_EX,166),INDEX(LISTA_EX,MATCH('T1'!$J63&amp;"|"&amp;166,LISTA_KLUCZ,0))),"")</f>
        <v/>
      </c>
      <c r="FM63" s="5" t="str">
        <f t="array" ref="FM63">IFERROR(IF('T1'!$J63="",INDEX(LISTA_EX,167),INDEX(LISTA_EX,MATCH('T1'!$J63&amp;"|"&amp;167,LISTA_KLUCZ,0))),"")</f>
        <v/>
      </c>
      <c r="FN63" s="5" t="str">
        <f t="array" ref="FN63">IFERROR(IF('T1'!$J63="",INDEX(LISTA_EX,168),INDEX(LISTA_EX,MATCH('T1'!$J63&amp;"|"&amp;168,LISTA_KLUCZ,0))),"")</f>
        <v/>
      </c>
      <c r="FO63" s="5" t="str">
        <f t="array" ref="FO63">IFERROR(IF('T1'!$J63="",INDEX(LISTA_EX,169),INDEX(LISTA_EX,MATCH('T1'!$J63&amp;"|"&amp;169,LISTA_KLUCZ,0))),"")</f>
        <v/>
      </c>
      <c r="FP63" s="5" t="str">
        <f t="array" ref="FP63">IFERROR(IF('T1'!$J63="",INDEX(LISTA_EX,170),INDEX(LISTA_EX,MATCH('T1'!$J63&amp;"|"&amp;170,LISTA_KLUCZ,0))),"")</f>
        <v/>
      </c>
      <c r="FQ63" s="5" t="str">
        <f t="array" ref="FQ63">IFERROR(IF('T1'!$J63="",INDEX(LISTA_EX,171),INDEX(LISTA_EX,MATCH('T1'!$J63&amp;"|"&amp;171,LISTA_KLUCZ,0))),"")</f>
        <v/>
      </c>
      <c r="FR63" s="5" t="str">
        <f t="array" ref="FR63">IFERROR(IF('T1'!$J63="",INDEX(LISTA_EX,172),INDEX(LISTA_EX,MATCH('T1'!$J63&amp;"|"&amp;172,LISTA_KLUCZ,0))),"")</f>
        <v/>
      </c>
      <c r="FS63" s="5" t="str">
        <f t="array" ref="FS63">IFERROR(IF('T1'!$J63="",INDEX(LISTA_EX,173),INDEX(LISTA_EX,MATCH('T1'!$J63&amp;"|"&amp;173,LISTA_KLUCZ,0))),"")</f>
        <v/>
      </c>
      <c r="FT63" s="5" t="str">
        <f t="array" ref="FT63">IFERROR(IF('T1'!$J63="",INDEX(LISTA_EX,174),INDEX(LISTA_EX,MATCH('T1'!$J63&amp;"|"&amp;174,LISTA_KLUCZ,0))),"")</f>
        <v/>
      </c>
      <c r="FU63" s="5" t="str">
        <f t="array" ref="FU63">IFERROR(IF('T1'!$J63="",INDEX(LISTA_EX,175),INDEX(LISTA_EX,MATCH('T1'!$J63&amp;"|"&amp;175,LISTA_KLUCZ,0))),"")</f>
        <v/>
      </c>
      <c r="FV63" s="5" t="str">
        <f t="array" ref="FV63">IFERROR(IF('T1'!$J63="",INDEX(LISTA_EX,176),INDEX(LISTA_EX,MATCH('T1'!$J63&amp;"|"&amp;176,LISTA_KLUCZ,0))),"")</f>
        <v/>
      </c>
      <c r="FW63" s="5" t="str">
        <f t="array" ref="FW63">IFERROR(IF('T1'!$J63="",INDEX(LISTA_EX,177),INDEX(LISTA_EX,MATCH('T1'!$J63&amp;"|"&amp;177,LISTA_KLUCZ,0))),"")</f>
        <v/>
      </c>
      <c r="FX63" s="5" t="str">
        <f t="array" ref="FX63">IFERROR(IF('T1'!$J63="",INDEX(LISTA_EX,178),INDEX(LISTA_EX,MATCH('T1'!$J63&amp;"|"&amp;178,LISTA_KLUCZ,0))),"")</f>
        <v/>
      </c>
      <c r="FY63" s="5" t="str">
        <f t="array" ref="FY63">IFERROR(IF('T1'!$J63="",INDEX(LISTA_EX,179),INDEX(LISTA_EX,MATCH('T1'!$J63&amp;"|"&amp;179,LISTA_KLUCZ,0))),"")</f>
        <v/>
      </c>
      <c r="FZ63" s="5" t="str">
        <f t="array" ref="FZ63">IFERROR(IF('T1'!$J63="",INDEX(LISTA_EX,180),INDEX(LISTA_EX,MATCH('T1'!$J63&amp;"|"&amp;180,LISTA_KLUCZ,0))),"")</f>
        <v/>
      </c>
      <c r="GA63" s="5" t="str">
        <f t="array" ref="GA63">IFERROR(IF('T1'!$J63="",INDEX(LISTA_EX,181),INDEX(LISTA_EX,MATCH('T1'!$J63&amp;"|"&amp;181,LISTA_KLUCZ,0))),"")</f>
        <v/>
      </c>
      <c r="GB63" s="5" t="str">
        <f t="array" ref="GB63">IFERROR(IF('T1'!$J63="",INDEX(LISTA_EX,182),INDEX(LISTA_EX,MATCH('T1'!$J63&amp;"|"&amp;182,LISTA_KLUCZ,0))),"")</f>
        <v/>
      </c>
      <c r="GC63" s="5" t="str">
        <f t="array" ref="GC63">IFERROR(IF('T1'!$J63="",INDEX(LISTA_EX,183),INDEX(LISTA_EX,MATCH('T1'!$J63&amp;"|"&amp;183,LISTA_KLUCZ,0))),"")</f>
        <v/>
      </c>
      <c r="GD63" s="5" t="str">
        <f t="array" ref="GD63">IFERROR(IF('T1'!$J63="",INDEX(LISTA_EX,184),INDEX(LISTA_EX,MATCH('T1'!$J63&amp;"|"&amp;184,LISTA_KLUCZ,0))),"")</f>
        <v/>
      </c>
      <c r="GE63" s="5" t="str">
        <f t="array" ref="GE63">IFERROR(IF('T1'!$J63="",INDEX(LISTA_EX,185),INDEX(LISTA_EX,MATCH('T1'!$J63&amp;"|"&amp;185,LISTA_KLUCZ,0))),"")</f>
        <v/>
      </c>
      <c r="GF63" s="5" t="str">
        <f t="array" ref="GF63">IFERROR(IF('T1'!$J63="",INDEX(LISTA_EX,186),INDEX(LISTA_EX,MATCH('T1'!$J63&amp;"|"&amp;186,LISTA_KLUCZ,0))),"")</f>
        <v/>
      </c>
      <c r="GG63" s="5" t="str">
        <f t="array" ref="GG63">IFERROR(IF('T1'!$J63="",INDEX(LISTA_EX,187),INDEX(LISTA_EX,MATCH('T1'!$J63&amp;"|"&amp;187,LISTA_KLUCZ,0))),"")</f>
        <v/>
      </c>
      <c r="GH63" s="5" t="str">
        <f t="array" ref="GH63">IFERROR(IF('T1'!$J63="",INDEX(LISTA_EX,188),INDEX(LISTA_EX,MATCH('T1'!$J63&amp;"|"&amp;188,LISTA_KLUCZ,0))),"")</f>
        <v/>
      </c>
      <c r="GI63" s="5" t="str">
        <f t="array" ref="GI63">IFERROR(IF('T1'!$J63="",INDEX(LISTA_EX,189),INDEX(LISTA_EX,MATCH('T1'!$J63&amp;"|"&amp;189,LISTA_KLUCZ,0))),"")</f>
        <v/>
      </c>
      <c r="GJ63" s="5" t="str">
        <f t="array" ref="GJ63">IFERROR(IF('T1'!$J63="",INDEX(LISTA_EX,190),INDEX(LISTA_EX,MATCH('T1'!$J63&amp;"|"&amp;190,LISTA_KLUCZ,0))),"")</f>
        <v/>
      </c>
      <c r="GK63" s="5" t="str">
        <f t="array" ref="GK63">IFERROR(IF('T1'!$J63="",INDEX(LISTA_EX,191),INDEX(LISTA_EX,MATCH('T1'!$J63&amp;"|"&amp;191,LISTA_KLUCZ,0))),"")</f>
        <v/>
      </c>
      <c r="GL63" s="5" t="str">
        <f t="array" ref="GL63">IFERROR(IF('T1'!$J63="",INDEX(LISTA_EX,192),INDEX(LISTA_EX,MATCH('T1'!$J63&amp;"|"&amp;192,LISTA_KLUCZ,0))),"")</f>
        <v/>
      </c>
      <c r="GM63" s="5" t="str">
        <f t="array" ref="GM63">IFERROR(IF('T1'!$J63="",INDEX(LISTA_EX,193),INDEX(LISTA_EX,MATCH('T1'!$J63&amp;"|"&amp;193,LISTA_KLUCZ,0))),"")</f>
        <v/>
      </c>
      <c r="GN63" s="5" t="str">
        <f t="array" ref="GN63">IFERROR(IF('T1'!$J63="",INDEX(LISTA_EX,194),INDEX(LISTA_EX,MATCH('T1'!$J63&amp;"|"&amp;194,LISTA_KLUCZ,0))),"")</f>
        <v/>
      </c>
      <c r="GO63" s="5" t="str">
        <f t="array" ref="GO63">IFERROR(IF('T1'!$J63="",INDEX(LISTA_EX,195),INDEX(LISTA_EX,MATCH('T1'!$J63&amp;"|"&amp;195,LISTA_KLUCZ,0))),"")</f>
        <v/>
      </c>
      <c r="GP63" s="5" t="str">
        <f t="array" ref="GP63">IFERROR(IF('T1'!$J63="",INDEX(LISTA_EX,196),INDEX(LISTA_EX,MATCH('T1'!$J63&amp;"|"&amp;196,LISTA_KLUCZ,0))),"")</f>
        <v/>
      </c>
      <c r="GQ63" s="5" t="str">
        <f t="array" ref="GQ63">IFERROR(IF('T1'!$J63="",INDEX(LISTA_EX,197),INDEX(LISTA_EX,MATCH('T1'!$J63&amp;"|"&amp;197,LISTA_KLUCZ,0))),"")</f>
        <v/>
      </c>
      <c r="GR63" s="5" t="str">
        <f t="array" ref="GR63">IFERROR(IF('T1'!$J63="",INDEX(LISTA_EX,198),INDEX(LISTA_EX,MATCH('T1'!$J63&amp;"|"&amp;198,LISTA_KLUCZ,0))),"")</f>
        <v/>
      </c>
      <c r="GS63" s="5" t="str">
        <f t="array" ref="GS63">IFERROR(IF('T1'!$J63="",INDEX(LISTA_EX,199),INDEX(LISTA_EX,MATCH('T1'!$J63&amp;"|"&amp;199,LISTA_KLUCZ,0))),"")</f>
        <v/>
      </c>
      <c r="GT63" s="5" t="str">
        <f t="array" ref="GT63">IFERROR(IF('T1'!$J63="",INDEX(LISTA_EX,200),INDEX(LISTA_EX,MATCH('T1'!$J63&amp;"|"&amp;200,LISTA_KLUCZ,0))),"")</f>
        <v/>
      </c>
      <c r="GV63" s="5" t="str">
        <f>IF(BAZA!$A63="","",BAZA!$A63)</f>
        <v>Dumbbell s/a row</v>
      </c>
      <c r="GW63" s="5" t="str">
        <f>IF(BAZA!$B63="","",BAZA!$B63&amp;"|"&amp;COUNTIF(BAZA!$B$3:$B63,BAZA!$B63))</f>
        <v>Upper pull horizontal|9</v>
      </c>
    </row>
    <row r="64" ht="15.0" customHeight="1">
      <c r="A64" s="5" t="str">
        <f>IF('T1'!$K64="","",'T1'!$K64)</f>
        <v>D4-S10</v>
      </c>
      <c r="B64" s="5" t="str">
        <f>IF('T1'!$J64="","(wszystkie)",'T1'!$J64)</f>
        <v>(wszystkie)</v>
      </c>
      <c r="C64" s="5" t="str">
        <f t="array" ref="C64">IFERROR(IF('T1'!$J64="",INDEX(LISTA_EX,1),INDEX(LISTA_EX,MATCH('T1'!$J64&amp;"|"&amp;1,LISTA_KLUCZ,0))),"")</f>
        <v>Abduction machine</v>
      </c>
      <c r="D64" s="5" t="str">
        <f t="array" ref="D64">IFERROR(IF('T1'!$J64="",INDEX(LISTA_EX,2),INDEX(LISTA_EX,MATCH('T1'!$J64&amp;"|"&amp;2,LISTA_KLUCZ,0))),"")</f>
        <v>Adduction machine</v>
      </c>
      <c r="E64" s="5" t="str">
        <f t="array" ref="E64">IFERROR(IF('T1'!$J64="",INDEX(LISTA_EX,3),INDEX(LISTA_EX,MATCH('T1'!$J64&amp;"|"&amp;3,LISTA_KLUCZ,0))),"")</f>
        <v>Allah</v>
      </c>
      <c r="F64" s="5" t="str">
        <f t="array" ref="F64">IFERROR(IF('T1'!$J64="",INDEX(LISTA_EX,4),INDEX(LISTA_EX,MATCH('T1'!$J64&amp;"|"&amp;4,LISTA_KLUCZ,0))),"")</f>
        <v>Arnold press</v>
      </c>
      <c r="G64" s="5" t="str">
        <f t="array" ref="G64">IFERROR(IF('T1'!$J64="",INDEX(LISTA_EX,5),INDEX(LISTA_EX,MATCH('T1'!$J64&amp;"|"&amp;5,LISTA_KLUCZ,0))),"")</f>
        <v>Arnold press alternating</v>
      </c>
      <c r="H64" s="5" t="str">
        <f t="array" ref="H64">IFERROR(IF('T1'!$J64="",INDEX(LISTA_EX,6),INDEX(LISTA_EX,MATCH('T1'!$J64&amp;"|"&amp;6,LISTA_KLUCZ,0))),"")</f>
        <v>B/l dragonflag eccentric</v>
      </c>
      <c r="I64" s="5" t="str">
        <f t="array" ref="I64">IFERROR(IF('T1'!$J64="",INDEX(LISTA_EX,7),INDEX(LISTA_EX,MATCH('T1'!$J64&amp;"|"&amp;7,LISTA_KLUCZ,0))),"")</f>
        <v>Back extension</v>
      </c>
      <c r="J64" s="5" t="str">
        <f t="array" ref="J64">IFERROR(IF('T1'!$J64="",INDEX(LISTA_EX,8),INDEX(LISTA_EX,MATCH('T1'!$J64&amp;"|"&amp;8,LISTA_KLUCZ,0))),"")</f>
        <v>Banded pistol squat</v>
      </c>
      <c r="K64" s="5" t="str">
        <f t="array" ref="K64">IFERROR(IF('T1'!$J64="",INDEX(LISTA_EX,9),INDEX(LISTA_EX,MATCH('T1'!$J64&amp;"|"&amp;9,LISTA_KLUCZ,0))),"")</f>
        <v>Banded pull ups</v>
      </c>
      <c r="L64" s="5" t="str">
        <f t="array" ref="L64">IFERROR(IF('T1'!$J64="",INDEX(LISTA_EX,10),INDEX(LISTA_EX,MATCH('T1'!$J64&amp;"|"&amp;10,LISTA_KLUCZ,0))),"")</f>
        <v>Barbell back squat</v>
      </c>
      <c r="M64" s="5" t="str">
        <f t="array" ref="M64">IFERROR(IF('T1'!$J64="",INDEX(LISTA_EX,11),INDEX(LISTA_EX,MATCH('T1'!$J64&amp;"|"&amp;11,LISTA_KLUCZ,0))),"")</f>
        <v>Barbell bench press</v>
      </c>
      <c r="N64" s="5" t="str">
        <f t="array" ref="N64">IFERROR(IF('T1'!$J64="",INDEX(LISTA_EX,12),INDEX(LISTA_EX,MATCH('T1'!$J64&amp;"|"&amp;12,LISTA_KLUCZ,0))),"")</f>
        <v>Barbell curl</v>
      </c>
      <c r="O64" s="5" t="str">
        <f t="array" ref="O64">IFERROR(IF('T1'!$J64="",INDEX(LISTA_EX,13),INDEX(LISTA_EX,MATCH('T1'!$J64&amp;"|"&amp;13,LISTA_KLUCZ,0))),"")</f>
        <v>Barbell low bar squat</v>
      </c>
      <c r="P64" s="5" t="str">
        <f t="array" ref="P64">IFERROR(IF('T1'!$J64="",INDEX(LISTA_EX,14),INDEX(LISTA_EX,MATCH('T1'!$J64&amp;"|"&amp;14,LISTA_KLUCZ,0))),"")</f>
        <v>Barbell OHP</v>
      </c>
      <c r="Q64" s="5" t="str">
        <f t="array" ref="Q64">IFERROR(IF('T1'!$J64="",INDEX(LISTA_EX,15),INDEX(LISTA_EX,MATCH('T1'!$J64&amp;"|"&amp;15,LISTA_KLUCZ,0))),"")</f>
        <v>Barbell oscilation</v>
      </c>
      <c r="R64" s="5" t="str">
        <f t="array" ref="R64">IFERROR(IF('T1'!$J64="",INDEX(LISTA_EX,16),INDEX(LISTA_EX,MATCH('T1'!$J64&amp;"|"&amp;16,LISTA_KLUCZ,0))),"")</f>
        <v>Barbell row</v>
      </c>
      <c r="S64" s="5" t="str">
        <f t="array" ref="S64">IFERROR(IF('T1'!$J64="",INDEX(LISTA_EX,17),INDEX(LISTA_EX,MATCH('T1'!$J64&amp;"|"&amp;17,LISTA_KLUCZ,0))),"")</f>
        <v>Barbell row dead stop pins</v>
      </c>
      <c r="T64" s="5" t="str">
        <f t="array" ref="T64">IFERROR(IF('T1'!$J64="",INDEX(LISTA_EX,18),INDEX(LISTA_EX,MATCH('T1'!$J64&amp;"|"&amp;18,LISTA_KLUCZ,0))),"")</f>
        <v>Barbell SLDL</v>
      </c>
      <c r="U64" s="5" t="str">
        <f t="array" ref="U64">IFERROR(IF('T1'!$J64="",INDEX(LISTA_EX,19),INDEX(LISTA_EX,MATCH('T1'!$J64&amp;"|"&amp;19,LISTA_KLUCZ,0))),"")</f>
        <v>Bayesian curl</v>
      </c>
      <c r="V64" s="5" t="str">
        <f t="array" ref="V64">IFERROR(IF('T1'!$J64="",INDEX(LISTA_EX,20),INDEX(LISTA_EX,MATCH('T1'!$J64&amp;"|"&amp;20,LISTA_KLUCZ,0))),"")</f>
        <v>Bear renegade row</v>
      </c>
      <c r="W64" s="5" t="str">
        <f t="array" ref="W64">IFERROR(IF('T1'!$J64="",INDEX(LISTA_EX,21),INDEX(LISTA_EX,MATCH('T1'!$J64&amp;"|"&amp;21,LISTA_KLUCZ,0))),"")</f>
        <v>Bench press paused 3sec</v>
      </c>
      <c r="X64" s="5" t="str">
        <f t="array" ref="X64">IFERROR(IF('T1'!$J64="",INDEX(LISTA_EX,22),INDEX(LISTA_EX,MATCH('T1'!$J64&amp;"|"&amp;22,LISTA_KLUCZ,0))),"")</f>
        <v>Bicep hammer curl</v>
      </c>
      <c r="Y64" s="5" t="str">
        <f t="array" ref="Y64">IFERROR(IF('T1'!$J64="",INDEX(LISTA_EX,23),INDEX(LISTA_EX,MATCH('T1'!$J64&amp;"|"&amp;23,LISTA_KLUCZ,0))),"")</f>
        <v>Bicep squat cable curl</v>
      </c>
      <c r="Z64" s="5" t="str">
        <f t="array" ref="Z64">IFERROR(IF('T1'!$J64="",INDEX(LISTA_EX,24),INDEX(LISTA_EX,MATCH('T1'!$J64&amp;"|"&amp;24,LISTA_KLUCZ,0))),"")</f>
        <v>Bird dog row</v>
      </c>
      <c r="AA64" s="5" t="str">
        <f t="array" ref="AA64">IFERROR(IF('T1'!$J64="",INDEX(LISTA_EX,25),INDEX(LISTA_EX,MATCH('T1'!$J64&amp;"|"&amp;25,LISTA_KLUCZ,0))),"")</f>
        <v>Box jump</v>
      </c>
      <c r="AB64" s="5" t="str">
        <f t="array" ref="AB64">IFERROR(IF('T1'!$J64="",INDEX(LISTA_EX,26),INDEX(LISTA_EX,MATCH('T1'!$J64&amp;"|"&amp;26,LISTA_KLUCZ,0))),"")</f>
        <v>Bulgarian clean plyo</v>
      </c>
      <c r="AC64" s="5" t="str">
        <f t="array" ref="AC64">IFERROR(IF('T1'!$J64="",INDEX(LISTA_EX,27),INDEX(LISTA_EX,MATCH('T1'!$J64&amp;"|"&amp;27,LISTA_KLUCZ,0))),"")</f>
        <v>Bulgarian squat assisted</v>
      </c>
      <c r="AD64" s="5" t="str">
        <f t="array" ref="AD64">IFERROR(IF('T1'!$J64="",INDEX(LISTA_EX,28),INDEX(LISTA_EX,MATCH('T1'!$J64&amp;"|"&amp;28,LISTA_KLUCZ,0))),"")</f>
        <v>Cable biceps curl</v>
      </c>
      <c r="AE64" s="5" t="str">
        <f t="array" ref="AE64">IFERROR(IF('T1'!$J64="",INDEX(LISTA_EX,29),INDEX(LISTA_EX,MATCH('T1'!$J64&amp;"|"&amp;29,LISTA_KLUCZ,0))),"")</f>
        <v>Cable fly</v>
      </c>
      <c r="AF64" s="5" t="str">
        <f t="array" ref="AF64">IFERROR(IF('T1'!$J64="",INDEX(LISTA_EX,30),INDEX(LISTA_EX,MATCH('T1'!$J64&amp;"|"&amp;30,LISTA_KLUCZ,0))),"")</f>
        <v>Cable lateral raise s/a</v>
      </c>
      <c r="AG64" s="5" t="str">
        <f t="array" ref="AG64">IFERROR(IF('T1'!$J64="",INDEX(LISTA_EX,31),INDEX(LISTA_EX,MATCH('T1'!$J64&amp;"|"&amp;31,LISTA_KLUCZ,0))),"")</f>
        <v>Cable row</v>
      </c>
      <c r="AH64" s="5" t="str">
        <f t="array" ref="AH64">IFERROR(IF('T1'!$J64="",INDEX(LISTA_EX,32),INDEX(LISTA_EX,MATCH('T1'!$J64&amp;"|"&amp;32,LISTA_KLUCZ,0))),"")</f>
        <v>Cable row s/a</v>
      </c>
      <c r="AI64" s="5" t="str">
        <f t="array" ref="AI64">IFERROR(IF('T1'!$J64="",INDEX(LISTA_EX,33),INDEX(LISTA_EX,MATCH('T1'!$J64&amp;"|"&amp;33,LISTA_KLUCZ,0))),"")</f>
        <v>Calf raises</v>
      </c>
      <c r="AJ64" s="5" t="str">
        <f t="array" ref="AJ64">IFERROR(IF('T1'!$J64="",INDEX(LISTA_EX,34),INDEX(LISTA_EX,MATCH('T1'!$J64&amp;"|"&amp;34,LISTA_KLUCZ,0))),"")</f>
        <v>Chest fly machine</v>
      </c>
      <c r="AK64" s="5" t="str">
        <f t="array" ref="AK64">IFERROR(IF('T1'!$J64="",INDEX(LISTA_EX,35),INDEX(LISTA_EX,MATCH('T1'!$J64&amp;"|"&amp;35,LISTA_KLUCZ,0))),"")</f>
        <v>Clean</v>
      </c>
      <c r="AL64" s="5" t="str">
        <f t="array" ref="AL64">IFERROR(IF('T1'!$J64="",INDEX(LISTA_EX,36),INDEX(LISTA_EX,MATCH('T1'!$J64&amp;"|"&amp;36,LISTA_KLUCZ,0))),"")</f>
        <v>Clean pins</v>
      </c>
      <c r="AM64" s="5" t="str">
        <f t="array" ref="AM64">IFERROR(IF('T1'!$J64="",INDEX(LISTA_EX,37),INDEX(LISTA_EX,MATCH('T1'!$J64&amp;"|"&amp;37,LISTA_KLUCZ,0))),"")</f>
        <v>Copenhagen plank</v>
      </c>
      <c r="AN64" s="5" t="str">
        <f t="array" ref="AN64">IFERROR(IF('T1'!$J64="",INDEX(LISTA_EX,38),INDEX(LISTA_EX,MATCH('T1'!$J64&amp;"|"&amp;38,LISTA_KLUCZ,0))),"")</f>
        <v>Dead bug izo + OH</v>
      </c>
      <c r="AO64" s="5" t="str">
        <f t="array" ref="AO64">IFERROR(IF('T1'!$J64="",INDEX(LISTA_EX,39),INDEX(LISTA_EX,MATCH('T1'!$J64&amp;"|"&amp;39,LISTA_KLUCZ,0))),"")</f>
        <v>Dead bug straight legs</v>
      </c>
      <c r="AP64" s="5" t="str">
        <f t="array" ref="AP64">IFERROR(IF('T1'!$J64="",INDEX(LISTA_EX,40),INDEX(LISTA_EX,MATCH('T1'!$J64&amp;"|"&amp;40,LISTA_KLUCZ,0))),"")</f>
        <v>Dead stop barbell row</v>
      </c>
      <c r="AQ64" s="5" t="str">
        <f t="array" ref="AQ64">IFERROR(IF('T1'!$J64="",INDEX(LISTA_EX,41),INDEX(LISTA_EX,MATCH('T1'!$J64&amp;"|"&amp;41,LISTA_KLUCZ,0))),"")</f>
        <v>Deadbug OH</v>
      </c>
      <c r="AR64" s="5" t="str">
        <f t="array" ref="AR64">IFERROR(IF('T1'!$J64="",INDEX(LISTA_EX,42),INDEX(LISTA_EX,MATCH('T1'!$J64&amp;"|"&amp;42,LISTA_KLUCZ,0))),"")</f>
        <v>Deadlift</v>
      </c>
      <c r="AS64" s="5" t="str">
        <f t="array" ref="AS64">IFERROR(IF('T1'!$J64="",INDEX(LISTA_EX,43),INDEX(LISTA_EX,MATCH('T1'!$J64&amp;"|"&amp;43,LISTA_KLUCZ,0))),"")</f>
        <v>Deficit push up</v>
      </c>
      <c r="AT64" s="5" t="str">
        <f t="array" ref="AT64">IFERROR(IF('T1'!$J64="",INDEX(LISTA_EX,44),INDEX(LISTA_EX,MATCH('T1'!$J64&amp;"|"&amp;44,LISTA_KLUCZ,0))),"")</f>
        <v>Deficit reverse lunge</v>
      </c>
      <c r="AU64" s="5" t="str">
        <f t="array" ref="AU64">IFERROR(IF('T1'!$J64="",INDEX(LISTA_EX,45),INDEX(LISTA_EX,MATCH('T1'!$J64&amp;"|"&amp;45,LISTA_KLUCZ,0))),"")</f>
        <v>Dips</v>
      </c>
      <c r="AV64" s="5" t="str">
        <f t="array" ref="AV64">IFERROR(IF('T1'!$J64="",INDEX(LISTA_EX,46),INDEX(LISTA_EX,MATCH('T1'!$J64&amp;"|"&amp;46,LISTA_KLUCZ,0))),"")</f>
        <v>Dips weighted</v>
      </c>
      <c r="AW64" s="5" t="str">
        <f t="array" ref="AW64">IFERROR(IF('T1'!$J64="",INDEX(LISTA_EX,47),INDEX(LISTA_EX,MATCH('T1'!$J64&amp;"|"&amp;47,LISTA_KLUCZ,0))),"")</f>
        <v>Dumbbell bench press</v>
      </c>
      <c r="AX64" s="5" t="str">
        <f t="array" ref="AX64">IFERROR(IF('T1'!$J64="",INDEX(LISTA_EX,48),INDEX(LISTA_EX,MATCH('T1'!$J64&amp;"|"&amp;48,LISTA_KLUCZ,0))),"")</f>
        <v>Dumbbell bench press alternating</v>
      </c>
      <c r="AY64" s="5" t="str">
        <f t="array" ref="AY64">IFERROR(IF('T1'!$J64="",INDEX(LISTA_EX,49),INDEX(LISTA_EX,MATCH('T1'!$J64&amp;"|"&amp;49,LISTA_KLUCZ,0))),"")</f>
        <v>Dumbbell curl</v>
      </c>
      <c r="AZ64" s="5" t="str">
        <f t="array" ref="AZ64">IFERROR(IF('T1'!$J64="",INDEX(LISTA_EX,50),INDEX(LISTA_EX,MATCH('T1'!$J64&amp;"|"&amp;50,LISTA_KLUCZ,0))),"")</f>
        <v>Dumbbell external rotation</v>
      </c>
      <c r="BA64" s="5" t="str">
        <f t="array" ref="BA64">IFERROR(IF('T1'!$J64="",INDEX(LISTA_EX,51),INDEX(LISTA_EX,MATCH('T1'!$J64&amp;"|"&amp;51,LISTA_KLUCZ,0))),"")</f>
        <v>Dumbbell face down curl</v>
      </c>
      <c r="BB64" s="5" t="str">
        <f t="array" ref="BB64">IFERROR(IF('T1'!$J64="",INDEX(LISTA_EX,52),INDEX(LISTA_EX,MATCH('T1'!$J64&amp;"|"&amp;52,LISTA_KLUCZ,0))),"")</f>
        <v>Dumbbell fly</v>
      </c>
      <c r="BC64" s="5" t="str">
        <f t="array" ref="BC64">IFERROR(IF('T1'!$J64="",INDEX(LISTA_EX,53),INDEX(LISTA_EX,MATCH('T1'!$J64&amp;"|"&amp;53,LISTA_KLUCZ,0))),"")</f>
        <v>Dumbbell french press</v>
      </c>
      <c r="BD64" s="5" t="str">
        <f t="array" ref="BD64">IFERROR(IF('T1'!$J64="",INDEX(LISTA_EX,54),INDEX(LISTA_EX,MATCH('T1'!$J64&amp;"|"&amp;54,LISTA_KLUCZ,0))),"")</f>
        <v>Dumbbell lateral raise</v>
      </c>
      <c r="BE64" s="5" t="str">
        <f t="array" ref="BE64">IFERROR(IF('T1'!$J64="",INDEX(LISTA_EX,55),INDEX(LISTA_EX,MATCH('T1'!$J64&amp;"|"&amp;55,LISTA_KLUCZ,0))),"")</f>
        <v>Dumbbell lunges</v>
      </c>
      <c r="BF64" s="5" t="str">
        <f t="array" ref="BF64">IFERROR(IF('T1'!$J64="",INDEX(LISTA_EX,56),INDEX(LISTA_EX,MATCH('T1'!$J64&amp;"|"&amp;56,LISTA_KLUCZ,0))),"")</f>
        <v>Dumbbell OH press</v>
      </c>
      <c r="BG64" s="5" t="str">
        <f t="array" ref="BG64">IFERROR(IF('T1'!$J64="",INDEX(LISTA_EX,57),INDEX(LISTA_EX,MATCH('T1'!$J64&amp;"|"&amp;57,LISTA_KLUCZ,0))),"")</f>
        <v>Dumbbell over head press</v>
      </c>
      <c r="BH64" s="5" t="str">
        <f t="array" ref="BH64">IFERROR(IF('T1'!$J64="",INDEX(LISTA_EX,58),INDEX(LISTA_EX,MATCH('T1'!$J64&amp;"|"&amp;58,LISTA_KLUCZ,0))),"")</f>
        <v>Dumbbell over head press alternating</v>
      </c>
      <c r="BI64" s="5" t="str">
        <f t="array" ref="BI64">IFERROR(IF('T1'!$J64="",INDEX(LISTA_EX,59),INDEX(LISTA_EX,MATCH('T1'!$J64&amp;"|"&amp;59,LISTA_KLUCZ,0))),"")</f>
        <v>Dumbbell row</v>
      </c>
      <c r="BJ64" s="5" t="str">
        <f t="array" ref="BJ64">IFERROR(IF('T1'!$J64="",INDEX(LISTA_EX,60),INDEX(LISTA_EX,MATCH('T1'!$J64&amp;"|"&amp;60,LISTA_KLUCZ,0))),"")</f>
        <v>Dumbbell s/a Arnold press</v>
      </c>
      <c r="BK64" s="5" t="str">
        <f t="array" ref="BK64">IFERROR(IF('T1'!$J64="",INDEX(LISTA_EX,61),INDEX(LISTA_EX,MATCH('T1'!$J64&amp;"|"&amp;61,LISTA_KLUCZ,0))),"")</f>
        <v>Dumbbell s/a row</v>
      </c>
      <c r="BL64" s="5" t="str">
        <f t="array" ref="BL64">IFERROR(IF('T1'!$J64="",INDEX(LISTA_EX,62),INDEX(LISTA_EX,MATCH('T1'!$J64&amp;"|"&amp;62,LISTA_KLUCZ,0))),"")</f>
        <v>Dumbbell seal row</v>
      </c>
      <c r="BM64" s="5" t="str">
        <f t="array" ref="BM64">IFERROR(IF('T1'!$J64="",INDEX(LISTA_EX,63),INDEX(LISTA_EX,MATCH('T1'!$J64&amp;"|"&amp;63,LISTA_KLUCZ,0))),"")</f>
        <v>Dumbbells jumps</v>
      </c>
      <c r="BN64" s="5" t="str">
        <f t="array" ref="BN64">IFERROR(IF('T1'!$J64="",INDEX(LISTA_EX,64),INDEX(LISTA_EX,MATCH('T1'!$J64&amp;"|"&amp;64,LISTA_KLUCZ,0))),"")</f>
        <v>Eccentric pull up</v>
      </c>
      <c r="BO64" s="5" t="str">
        <f t="array" ref="BO64">IFERROR(IF('T1'!$J64="",INDEX(LISTA_EX,65),INDEX(LISTA_EX,MATCH('T1'!$J64&amp;"|"&amp;65,LISTA_KLUCZ,0))),"")</f>
        <v>Eccentric push up (5 sek w dół)</v>
      </c>
      <c r="BP64" s="5" t="str">
        <f t="array" ref="BP64">IFERROR(IF('T1'!$J64="",INDEX(LISTA_EX,66),INDEX(LISTA_EX,MATCH('T1'!$J64&amp;"|"&amp;66,LISTA_KLUCZ,0))),"")</f>
        <v>Extensive plyo jumps s/l</v>
      </c>
      <c r="BQ64" s="5" t="str">
        <f t="array" ref="BQ64">IFERROR(IF('T1'!$J64="",INDEX(LISTA_EX,67),INDEX(LISTA_EX,MATCH('T1'!$J64&amp;"|"&amp;67,LISTA_KLUCZ,0))),"")</f>
        <v>Ez bar curl</v>
      </c>
      <c r="BR64" s="5" t="str">
        <f t="array" ref="BR64">IFERROR(IF('T1'!$J64="",INDEX(LISTA_EX,68),INDEX(LISTA_EX,MATCH('T1'!$J64&amp;"|"&amp;68,LISTA_KLUCZ,0))),"")</f>
        <v>Facepull chest supported</v>
      </c>
      <c r="BS64" s="5" t="str">
        <f t="array" ref="BS64">IFERROR(IF('T1'!$J64="",INDEX(LISTA_EX,69),INDEX(LISTA_EX,MATCH('T1'!$J64&amp;"|"&amp;69,LISTA_KLUCZ,0))),"")</f>
        <v>Front foot elevated split squat</v>
      </c>
      <c r="BT64" s="5" t="str">
        <f t="array" ref="BT64">IFERROR(IF('T1'!$J64="",INDEX(LISTA_EX,70),INDEX(LISTA_EX,MATCH('T1'!$J64&amp;"|"&amp;70,LISTA_KLUCZ,0))),"")</f>
        <v>Front squat</v>
      </c>
      <c r="BU64" s="5" t="str">
        <f t="array" ref="BU64">IFERROR(IF('T1'!$J64="",INDEX(LISTA_EX,71),INDEX(LISTA_EX,MATCH('T1'!$J64&amp;"|"&amp;71,LISTA_KLUCZ,0))),"")</f>
        <v>GHD flexion</v>
      </c>
      <c r="BV64" s="5" t="str">
        <f t="array" ref="BV64">IFERROR(IF('T1'!$J64="",INDEX(LISTA_EX,72),INDEX(LISTA_EX,MATCH('T1'!$J64&amp;"|"&amp;72,LISTA_KLUCZ,0))),"")</f>
        <v>Glute bridge hamstrings izo + OH</v>
      </c>
      <c r="BW64" s="5" t="str">
        <f t="array" ref="BW64">IFERROR(IF('T1'!$J64="",INDEX(LISTA_EX,73),INDEX(LISTA_EX,MATCH('T1'!$J64&amp;"|"&amp;73,LISTA_KLUCZ,0))),"")</f>
        <v>Glute crusher</v>
      </c>
      <c r="BX64" s="5" t="str">
        <f t="array" ref="BX64">IFERROR(IF('T1'!$J64="",INDEX(LISTA_EX,74),INDEX(LISTA_EX,MATCH('T1'!$J64&amp;"|"&amp;74,LISTA_KLUCZ,0))),"")</f>
        <v>Gorilla row</v>
      </c>
      <c r="BY64" s="5" t="str">
        <f t="array" ref="BY64">IFERROR(IF('T1'!$J64="",INDEX(LISTA_EX,75),INDEX(LISTA_EX,MATCH('T1'!$J64&amp;"|"&amp;75,LISTA_KLUCZ,0))),"")</f>
        <v>Halfkneeling s/a cable pull</v>
      </c>
      <c r="BZ64" s="5" t="str">
        <f t="array" ref="BZ64">IFERROR(IF('T1'!$J64="",INDEX(LISTA_EX,76),INDEX(LISTA_EX,MATCH('T1'!$J64&amp;"|"&amp;76,LISTA_KLUCZ,0))),"")</f>
        <v>Halfkneeling wood chopper</v>
      </c>
      <c r="CA64" s="5" t="str">
        <f t="array" ref="CA64">IFERROR(IF('T1'!$J64="",INDEX(LISTA_EX,77),INDEX(LISTA_EX,MATCH('T1'!$J64&amp;"|"&amp;77,LISTA_KLUCZ,0))),"")</f>
        <v>Hinged dumbbell row</v>
      </c>
      <c r="CB64" s="5" t="str">
        <f t="array" ref="CB64">IFERROR(IF('T1'!$J64="",INDEX(LISTA_EX,78),INDEX(LISTA_EX,MATCH('T1'!$J64&amp;"|"&amp;78,LISTA_KLUCZ,0))),"")</f>
        <v>Hip aeroplane</v>
      </c>
      <c r="CC64" s="5" t="str">
        <f t="array" ref="CC64">IFERROR(IF('T1'!$J64="",INDEX(LISTA_EX,79),INDEX(LISTA_EX,MATCH('T1'!$J64&amp;"|"&amp;79,LISTA_KLUCZ,0))),"")</f>
        <v>Hip flexors cable</v>
      </c>
      <c r="CD64" s="5" t="str">
        <f t="array" ref="CD64">IFERROR(IF('T1'!$J64="",INDEX(LISTA_EX,80),INDEX(LISTA_EX,MATCH('T1'!$J64&amp;"|"&amp;80,LISTA_KLUCZ,0))),"")</f>
        <v>Hip thrust barbell</v>
      </c>
      <c r="CE64" s="5" t="str">
        <f t="array" ref="CE64">IFERROR(IF('T1'!$J64="",INDEX(LISTA_EX,81),INDEX(LISTA_EX,MATCH('T1'!$J64&amp;"|"&amp;81,LISTA_KLUCZ,0))),"")</f>
        <v>Hollow body + OH</v>
      </c>
      <c r="CF64" s="5" t="str">
        <f t="array" ref="CF64">IFERROR(IF('T1'!$J64="",INDEX(LISTA_EX,82),INDEX(LISTA_EX,MATCH('T1'!$J64&amp;"|"&amp;82,LISTA_KLUCZ,0))),"")</f>
        <v>Horizontal jump</v>
      </c>
      <c r="CG64" s="5" t="str">
        <f t="array" ref="CG64">IFERROR(IF('T1'!$J64="",INDEX(LISTA_EX,83),INDEX(LISTA_EX,MATCH('T1'!$J64&amp;"|"&amp;83,LISTA_KLUCZ,0))),"")</f>
        <v>Incline bench lateral raise s/a</v>
      </c>
      <c r="CH64" s="5" t="str">
        <f t="array" ref="CH64">IFERROR(IF('T1'!$J64="",INDEX(LISTA_EX,84),INDEX(LISTA_EX,MATCH('T1'!$J64&amp;"|"&amp;84,LISTA_KLUCZ,0))),"")</f>
        <v>Incline curl + OHP</v>
      </c>
      <c r="CI64" s="5" t="str">
        <f t="array" ref="CI64">IFERROR(IF('T1'!$J64="",INDEX(LISTA_EX,85),INDEX(LISTA_EX,MATCH('T1'!$J64&amp;"|"&amp;85,LISTA_KLUCZ,0))),"")</f>
        <v>Incline dumbbell curl</v>
      </c>
      <c r="CJ64" s="5" t="str">
        <f t="array" ref="CJ64">IFERROR(IF('T1'!$J64="",INDEX(LISTA_EX,86),INDEX(LISTA_EX,MATCH('T1'!$J64&amp;"|"&amp;86,LISTA_KLUCZ,0))),"")</f>
        <v>Incline dumbbell curl (back)</v>
      </c>
      <c r="CK64" s="5" t="str">
        <f t="array" ref="CK64">IFERROR(IF('T1'!$J64="",INDEX(LISTA_EX,87),INDEX(LISTA_EX,MATCH('T1'!$J64&amp;"|"&amp;87,LISTA_KLUCZ,0))),"")</f>
        <v>Incline dumbbell curl (front)</v>
      </c>
      <c r="CL64" s="5" t="str">
        <f t="array" ref="CL64">IFERROR(IF('T1'!$J64="",INDEX(LISTA_EX,88),INDEX(LISTA_EX,MATCH('T1'!$J64&amp;"|"&amp;88,LISTA_KLUCZ,0))),"")</f>
        <v>Incline dumbbell fly</v>
      </c>
      <c r="CM64" s="5" t="str">
        <f t="array" ref="CM64">IFERROR(IF('T1'!$J64="",INDEX(LISTA_EX,89),INDEX(LISTA_EX,MATCH('T1'!$J64&amp;"|"&amp;89,LISTA_KLUCZ,0))),"")</f>
        <v>Incline dumbbell press</v>
      </c>
      <c r="CN64" s="5" t="str">
        <f t="array" ref="CN64">IFERROR(IF('T1'!$J64="",INDEX(LISTA_EX,90),INDEX(LISTA_EX,MATCH('T1'!$J64&amp;"|"&amp;90,LISTA_KLUCZ,0))),"")</f>
        <v>Incline dumbbell press alternating</v>
      </c>
      <c r="CO64" s="5" t="str">
        <f t="array" ref="CO64">IFERROR(IF('T1'!$J64="",INDEX(LISTA_EX,91),INDEX(LISTA_EX,MATCH('T1'!$J64&amp;"|"&amp;91,LISTA_KLUCZ,0))),"")</f>
        <v>Incline sit-ups</v>
      </c>
      <c r="CP64" s="5" t="str">
        <f t="array" ref="CP64">IFERROR(IF('T1'!$J64="",INDEX(LISTA_EX,92),INDEX(LISTA_EX,MATCH('T1'!$J64&amp;"|"&amp;92,LISTA_KLUCZ,0))),"")</f>
        <v>Jefferson cable</v>
      </c>
      <c r="CQ64" s="5" t="str">
        <f t="array" ref="CQ64">IFERROR(IF('T1'!$J64="",INDEX(LISTA_EX,93),INDEX(LISTA_EX,MATCH('T1'!$J64&amp;"|"&amp;93,LISTA_KLUCZ,0))),"")</f>
        <v>Kettlebell march</v>
      </c>
      <c r="CR64" s="5" t="str">
        <f t="array" ref="CR64">IFERROR(IF('T1'!$J64="",INDEX(LISTA_EX,94),INDEX(LISTA_EX,MATCH('T1'!$J64&amp;"|"&amp;94,LISTA_KLUCZ,0))),"")</f>
        <v>Kickbacks</v>
      </c>
      <c r="CS64" s="5" t="str">
        <f t="array" ref="CS64">IFERROR(IF('T1'!$J64="",INDEX(LISTA_EX,95),INDEX(LISTA_EX,MATCH('T1'!$J64&amp;"|"&amp;95,LISTA_KLUCZ,0))),"")</f>
        <v>Knee extension machine</v>
      </c>
      <c r="CT64" s="5" t="str">
        <f t="array" ref="CT64">IFERROR(IF('T1'!$J64="",INDEX(LISTA_EX,96),INDEX(LISTA_EX,MATCH('T1'!$J64&amp;"|"&amp;96,LISTA_KLUCZ,0))),"")</f>
        <v>Knee flexion machine</v>
      </c>
      <c r="CU64" s="5" t="str">
        <f t="array" ref="CU64">IFERROR(IF('T1'!$J64="",INDEX(LISTA_EX,97),INDEX(LISTA_EX,MATCH('T1'!$J64&amp;"|"&amp;97,LISTA_KLUCZ,0))),"")</f>
        <v>Knee raises</v>
      </c>
      <c r="CV64" s="5" t="str">
        <f t="array" ref="CV64">IFERROR(IF('T1'!$J64="",INDEX(LISTA_EX,98),INDEX(LISTA_EX,MATCH('T1'!$J64&amp;"|"&amp;98,LISTA_KLUCZ,0))),"")</f>
        <v>Landmine core</v>
      </c>
      <c r="CW64" s="5" t="str">
        <f t="array" ref="CW64">IFERROR(IF('T1'!$J64="",INDEX(LISTA_EX,99),INDEX(LISTA_EX,MATCH('T1'!$J64&amp;"|"&amp;99,LISTA_KLUCZ,0))),"")</f>
        <v>Landmine press</v>
      </c>
      <c r="CX64" s="5" t="str">
        <f t="array" ref="CX64">IFERROR(IF('T1'!$J64="",INDEX(LISTA_EX,100),INDEX(LISTA_EX,MATCH('T1'!$J64&amp;"|"&amp;100,LISTA_KLUCZ,0))),"")</f>
        <v>Landmine rotations (powtórzenia x2)</v>
      </c>
      <c r="CY64" s="5" t="str">
        <f t="array" ref="CY64">IFERROR(IF('T1'!$J64="",INDEX(LISTA_EX,101),INDEX(LISTA_EX,MATCH('T1'!$J64&amp;"|"&amp;101,LISTA_KLUCZ,0))),"")</f>
        <v>Landmine SLDL</v>
      </c>
      <c r="CZ64" s="5" t="str">
        <f t="array" ref="CZ64">IFERROR(IF('T1'!$J64="",INDEX(LISTA_EX,102),INDEX(LISTA_EX,MATCH('T1'!$J64&amp;"|"&amp;102,LISTA_KLUCZ,0))),"")</f>
        <v>Lat pulldown</v>
      </c>
      <c r="DA64" s="5" t="str">
        <f t="array" ref="DA64">IFERROR(IF('T1'!$J64="",INDEX(LISTA_EX,103),INDEX(LISTA_EX,MATCH('T1'!$J64&amp;"|"&amp;103,LISTA_KLUCZ,0))),"")</f>
        <v>Lat pulldown behind the head</v>
      </c>
      <c r="DB64" s="5" t="str">
        <f t="array" ref="DB64">IFERROR(IF('T1'!$J64="",INDEX(LISTA_EX,104),INDEX(LISTA_EX,MATCH('T1'!$J64&amp;"|"&amp;104,LISTA_KLUCZ,0))),"")</f>
        <v>Lat pulldown s/a</v>
      </c>
      <c r="DC64" s="5" t="str">
        <f t="array" ref="DC64">IFERROR(IF('T1'!$J64="",INDEX(LISTA_EX,105),INDEX(LISTA_EX,MATCH('T1'!$J64&amp;"|"&amp;105,LISTA_KLUCZ,0))),"")</f>
        <v>Lateral raise s/a</v>
      </c>
      <c r="DD64" s="5" t="str">
        <f t="array" ref="DD64">IFERROR(IF('T1'!$J64="",INDEX(LISTA_EX,106),INDEX(LISTA_EX,MATCH('T1'!$J64&amp;"|"&amp;106,LISTA_KLUCZ,0))),"")</f>
        <v>Lateral raises</v>
      </c>
      <c r="DE64" s="5" t="str">
        <f t="array" ref="DE64">IFERROR(IF('T1'!$J64="",INDEX(LISTA_EX,107),INDEX(LISTA_EX,MATCH('T1'!$J64&amp;"|"&amp;107,LISTA_KLUCZ,0))),"")</f>
        <v>Lateral raises 2</v>
      </c>
      <c r="DF64" s="5" t="str">
        <f t="array" ref="DF64">IFERROR(IF('T1'!$J64="",INDEX(LISTA_EX,108),INDEX(LISTA_EX,MATCH('T1'!$J64&amp;"|"&amp;108,LISTA_KLUCZ,0))),"")</f>
        <v>Lateral raises full ROM</v>
      </c>
      <c r="DG64" s="5" t="str">
        <f t="array" ref="DG64">IFERROR(IF('T1'!$J64="",INDEX(LISTA_EX,109),INDEX(LISTA_EX,MATCH('T1'!$J64&amp;"|"&amp;109,LISTA_KLUCZ,0))),"")</f>
        <v>Lateral raises hinged</v>
      </c>
      <c r="DH64" s="5" t="str">
        <f t="array" ref="DH64">IFERROR(IF('T1'!$J64="",INDEX(LISTA_EX,110),INDEX(LISTA_EX,MATCH('T1'!$J64&amp;"|"&amp;110,LISTA_KLUCZ,0))),"")</f>
        <v>Lateral raises incline s/a</v>
      </c>
      <c r="DI64" s="5" t="str">
        <f t="array" ref="DI64">IFERROR(IF('T1'!$J64="",INDEX(LISTA_EX,111),INDEX(LISTA_EX,MATCH('T1'!$J64&amp;"|"&amp;111,LISTA_KLUCZ,0))),"")</f>
        <v>Leg curl</v>
      </c>
      <c r="DJ64" s="5" t="str">
        <f t="array" ref="DJ64">IFERROR(IF('T1'!$J64="",INDEX(LISTA_EX,112),INDEX(LISTA_EX,MATCH('T1'!$J64&amp;"|"&amp;112,LISTA_KLUCZ,0))),"")</f>
        <v>Machine row</v>
      </c>
      <c r="DK64" s="5" t="str">
        <f t="array" ref="DK64">IFERROR(IF('T1'!$J64="",INDEX(LISTA_EX,113),INDEX(LISTA_EX,MATCH('T1'!$J64&amp;"|"&amp;113,LISTA_KLUCZ,0))),"")</f>
        <v>Machine row s/a</v>
      </c>
      <c r="DL64" s="5" t="str">
        <f t="array" ref="DL64">IFERROR(IF('T1'!$J64="",INDEX(LISTA_EX,114),INDEX(LISTA_EX,MATCH('T1'!$J64&amp;"|"&amp;114,LISTA_KLUCZ,0))),"")</f>
        <v>Meadows row</v>
      </c>
      <c r="DM64" s="5" t="str">
        <f t="array" ref="DM64">IFERROR(IF('T1'!$J64="",INDEX(LISTA_EX,115),INDEX(LISTA_EX,MATCH('T1'!$J64&amp;"|"&amp;115,LISTA_KLUCZ,0))),"")</f>
        <v>Med ball slam</v>
      </c>
      <c r="DN64" s="5" t="str">
        <f t="array" ref="DN64">IFERROR(IF('T1'!$J64="",INDEX(LISTA_EX,116),INDEX(LISTA_EX,MATCH('T1'!$J64&amp;"|"&amp;116,LISTA_KLUCZ,0))),"")</f>
        <v>OH skullcrushers</v>
      </c>
      <c r="DO64" s="5" t="str">
        <f t="array" ref="DO64">IFERROR(IF('T1'!$J64="",INDEX(LISTA_EX,117),INDEX(LISTA_EX,MATCH('T1'!$J64&amp;"|"&amp;117,LISTA_KLUCZ,0))),"")</f>
        <v>OHP barbell squat 15kg</v>
      </c>
      <c r="DP64" s="5" t="str">
        <f t="array" ref="DP64">IFERROR(IF('T1'!$J64="",INDEX(LISTA_EX,118),INDEX(LISTA_EX,MATCH('T1'!$J64&amp;"|"&amp;118,LISTA_KLUCZ,0))),"")</f>
        <v>Pistol squat eccentric</v>
      </c>
      <c r="DQ64" s="5" t="str">
        <f t="array" ref="DQ64">IFERROR(IF('T1'!$J64="",INDEX(LISTA_EX,119),INDEX(LISTA_EX,MATCH('T1'!$J64&amp;"|"&amp;119,LISTA_KLUCZ,0))),"")</f>
        <v>Plank contralateral</v>
      </c>
      <c r="DR64" s="5" t="str">
        <f t="array" ref="DR64">IFERROR(IF('T1'!$J64="",INDEX(LISTA_EX,120),INDEX(LISTA_EX,MATCH('T1'!$J64&amp;"|"&amp;120,LISTA_KLUCZ,0))),"")</f>
        <v>Plank dumbbell rotation</v>
      </c>
      <c r="DS64" s="5" t="str">
        <f t="array" ref="DS64">IFERROR(IF('T1'!$J64="",INDEX(LISTA_EX,121),INDEX(LISTA_EX,MATCH('T1'!$J64&amp;"|"&amp;121,LISTA_KLUCZ,0))),"")</f>
        <v>Plank leg raises</v>
      </c>
      <c r="DT64" s="5" t="str">
        <f t="array" ref="DT64">IFERROR(IF('T1'!$J64="",INDEX(LISTA_EX,122),INDEX(LISTA_EX,MATCH('T1'!$J64&amp;"|"&amp;122,LISTA_KLUCZ,0))),"")</f>
        <v>Poliquin step up</v>
      </c>
      <c r="DU64" s="5" t="str">
        <f t="array" ref="DU64">IFERROR(IF('T1'!$J64="",INDEX(LISTA_EX,123),INDEX(LISTA_EX,MATCH('T1'!$J64&amp;"|"&amp;123,LISTA_KLUCZ,0))),"")</f>
        <v>Poliquin step up paused 3sec</v>
      </c>
      <c r="DV64" s="5" t="str">
        <f t="array" ref="DV64">IFERROR(IF('T1'!$J64="",INDEX(LISTA_EX,124),INDEX(LISTA_EX,MATCH('T1'!$J64&amp;"|"&amp;124,LISTA_KLUCZ,0))),"")</f>
        <v>Pronation/Supination</v>
      </c>
      <c r="DW64" s="5" t="str">
        <f t="array" ref="DW64">IFERROR(IF('T1'!$J64="",INDEX(LISTA_EX,125),INDEX(LISTA_EX,MATCH('T1'!$J64&amp;"|"&amp;125,LISTA_KLUCZ,0))),"")</f>
        <v>Pull up</v>
      </c>
      <c r="DX64" s="5" t="str">
        <f t="array" ref="DX64">IFERROR(IF('T1'!$J64="",INDEX(LISTA_EX,126),INDEX(LISTA_EX,MATCH('T1'!$J64&amp;"|"&amp;126,LISTA_KLUCZ,0))),"")</f>
        <v>Pull up eccentric weighted</v>
      </c>
      <c r="DY64" s="5" t="str">
        <f t="array" ref="DY64">IFERROR(IF('T1'!$J64="",INDEX(LISTA_EX,127),INDEX(LISTA_EX,MATCH('T1'!$J64&amp;"|"&amp;127,LISTA_KLUCZ,0))),"")</f>
        <v>Pull up eccentric weighted (5 sek w dół)</v>
      </c>
      <c r="DZ64" s="5" t="str">
        <f t="array" ref="DZ64">IFERROR(IF('T1'!$J64="",INDEX(LISTA_EX,128),INDEX(LISTA_EX,MATCH('T1'!$J64&amp;"|"&amp;128,LISTA_KLUCZ,0))),"")</f>
        <v>Pull up weighted</v>
      </c>
      <c r="EA64" s="5" t="str">
        <f t="array" ref="EA64">IFERROR(IF('T1'!$J64="",INDEX(LISTA_EX,129),INDEX(LISTA_EX,MATCH('T1'!$J64&amp;"|"&amp;129,LISTA_KLUCZ,0))),"")</f>
        <v>Pull ups (paused)</v>
      </c>
      <c r="EB64" s="5" t="str">
        <f t="array" ref="EB64">IFERROR(IF('T1'!$J64="",INDEX(LISTA_EX,130),INDEX(LISTA_EX,MATCH('T1'!$J64&amp;"|"&amp;130,LISTA_KLUCZ,0))),"")</f>
        <v>Push press barbell</v>
      </c>
      <c r="EC64" s="5" t="str">
        <f t="array" ref="EC64">IFERROR(IF('T1'!$J64="",INDEX(LISTA_EX,131),INDEX(LISTA_EX,MATCH('T1'!$J64&amp;"|"&amp;131,LISTA_KLUCZ,0))),"")</f>
        <v>Push up</v>
      </c>
      <c r="ED64" s="5" t="str">
        <f t="array" ref="ED64">IFERROR(IF('T1'!$J64="",INDEX(LISTA_EX,132),INDEX(LISTA_EX,MATCH('T1'!$J64&amp;"|"&amp;132,LISTA_KLUCZ,0))),"")</f>
        <v>Raised bird dog</v>
      </c>
      <c r="EE64" s="5" t="str">
        <f t="array" ref="EE64">IFERROR(IF('T1'!$J64="",INDEX(LISTA_EX,133),INDEX(LISTA_EX,MATCH('T1'!$J64&amp;"|"&amp;133,LISTA_KLUCZ,0))),"")</f>
        <v>RDL</v>
      </c>
      <c r="EF64" s="5" t="str">
        <f t="array" ref="EF64">IFERROR(IF('T1'!$J64="",INDEX(LISTA_EX,134),INDEX(LISTA_EX,MATCH('T1'!$J64&amp;"|"&amp;134,LISTA_KLUCZ,0))),"")</f>
        <v>Reverse Nordic</v>
      </c>
      <c r="EG64" s="5" t="str">
        <f t="array" ref="EG64">IFERROR(IF('T1'!$J64="",INDEX(LISTA_EX,135),INDEX(LISTA_EX,MATCH('T1'!$J64&amp;"|"&amp;135,LISTA_KLUCZ,0))),"")</f>
        <v>Rope pushdown</v>
      </c>
      <c r="EH64" s="5" t="str">
        <f t="array" ref="EH64">IFERROR(IF('T1'!$J64="",INDEX(LISTA_EX,136),INDEX(LISTA_EX,MATCH('T1'!$J64&amp;"|"&amp;136,LISTA_KLUCZ,0))),"")</f>
        <v>Rope pushdown OH</v>
      </c>
      <c r="EI64" s="5" t="str">
        <f t="array" ref="EI64">IFERROR(IF('T1'!$J64="",INDEX(LISTA_EX,137),INDEX(LISTA_EX,MATCH('T1'!$J64&amp;"|"&amp;137,LISTA_KLUCZ,0))),"")</f>
        <v>S/a cable pulldown incline bench</v>
      </c>
      <c r="EJ64" s="5" t="str">
        <f t="array" ref="EJ64">IFERROR(IF('T1'!$J64="",INDEX(LISTA_EX,138),INDEX(LISTA_EX,MATCH('T1'!$J64&amp;"|"&amp;138,LISTA_KLUCZ,0))),"")</f>
        <v>S/a lat pulldown incline bench</v>
      </c>
      <c r="EK64" s="5" t="str">
        <f t="array" ref="EK64">IFERROR(IF('T1'!$J64="",INDEX(LISTA_EX,139),INDEX(LISTA_EX,MATCH('T1'!$J64&amp;"|"&amp;139,LISTA_KLUCZ,0))),"")</f>
        <v>S/l dragonflag eccentric</v>
      </c>
      <c r="EL64" s="5" t="str">
        <f t="array" ref="EL64">IFERROR(IF('T1'!$J64="",INDEX(LISTA_EX,140),INDEX(LISTA_EX,MATCH('T1'!$J64&amp;"|"&amp;140,LISTA_KLUCZ,0))),"")</f>
        <v>S/l hip thrust</v>
      </c>
      <c r="EM64" s="5" t="str">
        <f t="array" ref="EM64">IFERROR(IF('T1'!$J64="",INDEX(LISTA_EX,141),INDEX(LISTA_EX,MATCH('T1'!$J64&amp;"|"&amp;141,LISTA_KLUCZ,0))),"")</f>
        <v>Seated broad jump</v>
      </c>
      <c r="EN64" s="5" t="str">
        <f t="array" ref="EN64">IFERROR(IF('T1'!$J64="",INDEX(LISTA_EX,142),INDEX(LISTA_EX,MATCH('T1'!$J64&amp;"|"&amp;142,LISTA_KLUCZ,0))),"")</f>
        <v>Seated cable facepull</v>
      </c>
      <c r="EO64" s="5" t="str">
        <f t="array" ref="EO64">IFERROR(IF('T1'!$J64="",INDEX(LISTA_EX,143),INDEX(LISTA_EX,MATCH('T1'!$J64&amp;"|"&amp;143,LISTA_KLUCZ,0))),"")</f>
        <v>Seated seesaw press (nogi proste)</v>
      </c>
      <c r="EP64" s="5" t="str">
        <f t="array" ref="EP64">IFERROR(IF('T1'!$J64="",INDEX(LISTA_EX,144),INDEX(LISTA_EX,MATCH('T1'!$J64&amp;"|"&amp;144,LISTA_KLUCZ,0))),"")</f>
        <v>Seesaw press</v>
      </c>
      <c r="EQ64" s="5" t="str">
        <f t="array" ref="EQ64">IFERROR(IF('T1'!$J64="",INDEX(LISTA_EX,145),INDEX(LISTA_EX,MATCH('T1'!$J64&amp;"|"&amp;145,LISTA_KLUCZ,0))),"")</f>
        <v>Side crunches</v>
      </c>
      <c r="ER64" s="5" t="str">
        <f t="array" ref="ER64">IFERROR(IF('T1'!$J64="",INDEX(LISTA_EX,146),INDEX(LISTA_EX,MATCH('T1'!$J64&amp;"|"&amp;146,LISTA_KLUCZ,0))),"")</f>
        <v>Side plank hip drop</v>
      </c>
      <c r="ES64" s="5" t="str">
        <f t="array" ref="ES64">IFERROR(IF('T1'!$J64="",INDEX(LISTA_EX,147),INDEX(LISTA_EX,MATCH('T1'!$J64&amp;"|"&amp;147,LISTA_KLUCZ,0))),"")</f>
        <v>Side plank rotations</v>
      </c>
      <c r="ET64" s="5" t="str">
        <f t="array" ref="ET64">IFERROR(IF('T1'!$J64="",INDEX(LISTA_EX,148),INDEX(LISTA_EX,MATCH('T1'!$J64&amp;"|"&amp;148,LISTA_KLUCZ,0))),"")</f>
        <v>SLDL balance</v>
      </c>
      <c r="EU64" s="5" t="str">
        <f t="array" ref="EU64">IFERROR(IF('T1'!$J64="",INDEX(LISTA_EX,149),INDEX(LISTA_EX,MATCH('T1'!$J64&amp;"|"&amp;149,LISTA_KLUCZ,0))),"")</f>
        <v>Split squat</v>
      </c>
      <c r="EV64" s="5" t="str">
        <f t="array" ref="EV64">IFERROR(IF('T1'!$J64="",INDEX(LISTA_EX,150),INDEX(LISTA_EX,MATCH('T1'!$J64&amp;"|"&amp;150,LISTA_KLUCZ,0))),"")</f>
        <v>Split stance SLDL</v>
      </c>
      <c r="EW64" s="5" t="str">
        <f t="array" ref="EW64">IFERROR(IF('T1'!$J64="",INDEX(LISTA_EX,151),INDEX(LISTA_EX,MATCH('T1'!$J64&amp;"|"&amp;151,LISTA_KLUCZ,0))),"")</f>
        <v>Squat izo (15 sek)</v>
      </c>
      <c r="EX64" s="5" t="str">
        <f t="array" ref="EX64">IFERROR(IF('T1'!$J64="",INDEX(LISTA_EX,152),INDEX(LISTA_EX,MATCH('T1'!$J64&amp;"|"&amp;152,LISTA_KLUCZ,0))),"")</f>
        <v>Standing landmine press</v>
      </c>
      <c r="EY64" s="5" t="str">
        <f t="array" ref="EY64">IFERROR(IF('T1'!$J64="",INDEX(LISTA_EX,153),INDEX(LISTA_EX,MATCH('T1'!$J64&amp;"|"&amp;153,LISTA_KLUCZ,0))),"")</f>
        <v>Suitcase carry</v>
      </c>
      <c r="EZ64" s="5" t="str">
        <f t="array" ref="EZ64">IFERROR(IF('T1'!$J64="",INDEX(LISTA_EX,154),INDEX(LISTA_EX,MATCH('T1'!$J64&amp;"|"&amp;154,LISTA_KLUCZ,0))),"")</f>
        <v>Supine pigeon abs</v>
      </c>
      <c r="FA64" s="5" t="str">
        <f t="array" ref="FA64">IFERROR(IF('T1'!$J64="",INDEX(LISTA_EX,155),INDEX(LISTA_EX,MATCH('T1'!$J64&amp;"|"&amp;155,LISTA_KLUCZ,0))),"")</f>
        <v>Swiss ball leg curl</v>
      </c>
      <c r="FB64" s="5" t="str">
        <f t="array" ref="FB64">IFERROR(IF('T1'!$J64="",INDEX(LISTA_EX,156),INDEX(LISTA_EX,MATCH('T1'!$J64&amp;"|"&amp;156,LISTA_KLUCZ,0))),"")</f>
        <v>Toes to bar</v>
      </c>
      <c r="FC64" s="5" t="str">
        <f t="array" ref="FC64">IFERROR(IF('T1'!$J64="",INDEX(LISTA_EX,157),INDEX(LISTA_EX,MATCH('T1'!$J64&amp;"|"&amp;157,LISTA_KLUCZ,0))),"")</f>
        <v>Trap bar deadlift</v>
      </c>
      <c r="FD64" s="5" t="str">
        <f t="array" ref="FD64">IFERROR(IF('T1'!$J64="",INDEX(LISTA_EX,158),INDEX(LISTA_EX,MATCH('T1'!$J64&amp;"|"&amp;158,LISTA_KLUCZ,0))),"")</f>
        <v>Tricep cable pushdown</v>
      </c>
      <c r="FE64" s="5" t="str">
        <f t="array" ref="FE64">IFERROR(IF('T1'!$J64="",INDEX(LISTA_EX,159),INDEX(LISTA_EX,MATCH('T1'!$J64&amp;"|"&amp;159,LISTA_KLUCZ,0))),"")</f>
        <v>Tricep JM press</v>
      </c>
      <c r="FF64" s="5" t="str">
        <f t="array" ref="FF64">IFERROR(IF('T1'!$J64="",INDEX(LISTA_EX,160),INDEX(LISTA_EX,MATCH('T1'!$J64&amp;"|"&amp;160,LISTA_KLUCZ,0))),"")</f>
        <v>Tricep OH cable</v>
      </c>
      <c r="FG64" s="5" t="str">
        <f t="array" ref="FG64">IFERROR(IF('T1'!$J64="",INDEX(LISTA_EX,161),INDEX(LISTA_EX,MATCH('T1'!$J64&amp;"|"&amp;161,LISTA_KLUCZ,0))),"")</f>
        <v>Tricep OH ez bar</v>
      </c>
      <c r="FH64" s="5" t="str">
        <f t="array" ref="FH64">IFERROR(IF('T1'!$J64="",INDEX(LISTA_EX,162),INDEX(LISTA_EX,MATCH('T1'!$J64&amp;"|"&amp;162,LISTA_KLUCZ,0))),"")</f>
        <v>Walking lunges</v>
      </c>
      <c r="FI64" s="5" t="str">
        <f t="array" ref="FI64">IFERROR(IF('T1'!$J64="",INDEX(LISTA_EX,163),INDEX(LISTA_EX,MATCH('T1'!$J64&amp;"|"&amp;163,LISTA_KLUCZ,0))),"")</f>
        <v>Wipers kettle</v>
      </c>
      <c r="FJ64" s="5" t="str">
        <f t="array" ref="FJ64">IFERROR(IF('T1'!$J64="",INDEX(LISTA_EX,164),INDEX(LISTA_EX,MATCH('T1'!$J64&amp;"|"&amp;164,LISTA_KLUCZ,0))),"")</f>
        <v>Zercher jumps</v>
      </c>
      <c r="FK64" s="5" t="str">
        <f t="array" ref="FK64">IFERROR(IF('T1'!$J64="",INDEX(LISTA_EX,165),INDEX(LISTA_EX,MATCH('T1'!$J64&amp;"|"&amp;165,LISTA_KLUCZ,0))),"")</f>
        <v/>
      </c>
      <c r="FL64" s="5" t="str">
        <f t="array" ref="FL64">IFERROR(IF('T1'!$J64="",INDEX(LISTA_EX,166),INDEX(LISTA_EX,MATCH('T1'!$J64&amp;"|"&amp;166,LISTA_KLUCZ,0))),"")</f>
        <v/>
      </c>
      <c r="FM64" s="5" t="str">
        <f t="array" ref="FM64">IFERROR(IF('T1'!$J64="",INDEX(LISTA_EX,167),INDEX(LISTA_EX,MATCH('T1'!$J64&amp;"|"&amp;167,LISTA_KLUCZ,0))),"")</f>
        <v/>
      </c>
      <c r="FN64" s="5" t="str">
        <f t="array" ref="FN64">IFERROR(IF('T1'!$J64="",INDEX(LISTA_EX,168),INDEX(LISTA_EX,MATCH('T1'!$J64&amp;"|"&amp;168,LISTA_KLUCZ,0))),"")</f>
        <v/>
      </c>
      <c r="FO64" s="5" t="str">
        <f t="array" ref="FO64">IFERROR(IF('T1'!$J64="",INDEX(LISTA_EX,169),INDEX(LISTA_EX,MATCH('T1'!$J64&amp;"|"&amp;169,LISTA_KLUCZ,0))),"")</f>
        <v/>
      </c>
      <c r="FP64" s="5" t="str">
        <f t="array" ref="FP64">IFERROR(IF('T1'!$J64="",INDEX(LISTA_EX,170),INDEX(LISTA_EX,MATCH('T1'!$J64&amp;"|"&amp;170,LISTA_KLUCZ,0))),"")</f>
        <v/>
      </c>
      <c r="FQ64" s="5" t="str">
        <f t="array" ref="FQ64">IFERROR(IF('T1'!$J64="",INDEX(LISTA_EX,171),INDEX(LISTA_EX,MATCH('T1'!$J64&amp;"|"&amp;171,LISTA_KLUCZ,0))),"")</f>
        <v/>
      </c>
      <c r="FR64" s="5" t="str">
        <f t="array" ref="FR64">IFERROR(IF('T1'!$J64="",INDEX(LISTA_EX,172),INDEX(LISTA_EX,MATCH('T1'!$J64&amp;"|"&amp;172,LISTA_KLUCZ,0))),"")</f>
        <v/>
      </c>
      <c r="FS64" s="5" t="str">
        <f t="array" ref="FS64">IFERROR(IF('T1'!$J64="",INDEX(LISTA_EX,173),INDEX(LISTA_EX,MATCH('T1'!$J64&amp;"|"&amp;173,LISTA_KLUCZ,0))),"")</f>
        <v/>
      </c>
      <c r="FT64" s="5" t="str">
        <f t="array" ref="FT64">IFERROR(IF('T1'!$J64="",INDEX(LISTA_EX,174),INDEX(LISTA_EX,MATCH('T1'!$J64&amp;"|"&amp;174,LISTA_KLUCZ,0))),"")</f>
        <v/>
      </c>
      <c r="FU64" s="5" t="str">
        <f t="array" ref="FU64">IFERROR(IF('T1'!$J64="",INDEX(LISTA_EX,175),INDEX(LISTA_EX,MATCH('T1'!$J64&amp;"|"&amp;175,LISTA_KLUCZ,0))),"")</f>
        <v/>
      </c>
      <c r="FV64" s="5" t="str">
        <f t="array" ref="FV64">IFERROR(IF('T1'!$J64="",INDEX(LISTA_EX,176),INDEX(LISTA_EX,MATCH('T1'!$J64&amp;"|"&amp;176,LISTA_KLUCZ,0))),"")</f>
        <v/>
      </c>
      <c r="FW64" s="5" t="str">
        <f t="array" ref="FW64">IFERROR(IF('T1'!$J64="",INDEX(LISTA_EX,177),INDEX(LISTA_EX,MATCH('T1'!$J64&amp;"|"&amp;177,LISTA_KLUCZ,0))),"")</f>
        <v/>
      </c>
      <c r="FX64" s="5" t="str">
        <f t="array" ref="FX64">IFERROR(IF('T1'!$J64="",INDEX(LISTA_EX,178),INDEX(LISTA_EX,MATCH('T1'!$J64&amp;"|"&amp;178,LISTA_KLUCZ,0))),"")</f>
        <v/>
      </c>
      <c r="FY64" s="5" t="str">
        <f t="array" ref="FY64">IFERROR(IF('T1'!$J64="",INDEX(LISTA_EX,179),INDEX(LISTA_EX,MATCH('T1'!$J64&amp;"|"&amp;179,LISTA_KLUCZ,0))),"")</f>
        <v/>
      </c>
      <c r="FZ64" s="5" t="str">
        <f t="array" ref="FZ64">IFERROR(IF('T1'!$J64="",INDEX(LISTA_EX,180),INDEX(LISTA_EX,MATCH('T1'!$J64&amp;"|"&amp;180,LISTA_KLUCZ,0))),"")</f>
        <v/>
      </c>
      <c r="GA64" s="5" t="str">
        <f t="array" ref="GA64">IFERROR(IF('T1'!$J64="",INDEX(LISTA_EX,181),INDEX(LISTA_EX,MATCH('T1'!$J64&amp;"|"&amp;181,LISTA_KLUCZ,0))),"")</f>
        <v/>
      </c>
      <c r="GB64" s="5" t="str">
        <f t="array" ref="GB64">IFERROR(IF('T1'!$J64="",INDEX(LISTA_EX,182),INDEX(LISTA_EX,MATCH('T1'!$J64&amp;"|"&amp;182,LISTA_KLUCZ,0))),"")</f>
        <v/>
      </c>
      <c r="GC64" s="5" t="str">
        <f t="array" ref="GC64">IFERROR(IF('T1'!$J64="",INDEX(LISTA_EX,183),INDEX(LISTA_EX,MATCH('T1'!$J64&amp;"|"&amp;183,LISTA_KLUCZ,0))),"")</f>
        <v/>
      </c>
      <c r="GD64" s="5" t="str">
        <f t="array" ref="GD64">IFERROR(IF('T1'!$J64="",INDEX(LISTA_EX,184),INDEX(LISTA_EX,MATCH('T1'!$J64&amp;"|"&amp;184,LISTA_KLUCZ,0))),"")</f>
        <v/>
      </c>
      <c r="GE64" s="5" t="str">
        <f t="array" ref="GE64">IFERROR(IF('T1'!$J64="",INDEX(LISTA_EX,185),INDEX(LISTA_EX,MATCH('T1'!$J64&amp;"|"&amp;185,LISTA_KLUCZ,0))),"")</f>
        <v/>
      </c>
      <c r="GF64" s="5" t="str">
        <f t="array" ref="GF64">IFERROR(IF('T1'!$J64="",INDEX(LISTA_EX,186),INDEX(LISTA_EX,MATCH('T1'!$J64&amp;"|"&amp;186,LISTA_KLUCZ,0))),"")</f>
        <v/>
      </c>
      <c r="GG64" s="5" t="str">
        <f t="array" ref="GG64">IFERROR(IF('T1'!$J64="",INDEX(LISTA_EX,187),INDEX(LISTA_EX,MATCH('T1'!$J64&amp;"|"&amp;187,LISTA_KLUCZ,0))),"")</f>
        <v/>
      </c>
      <c r="GH64" s="5" t="str">
        <f t="array" ref="GH64">IFERROR(IF('T1'!$J64="",INDEX(LISTA_EX,188),INDEX(LISTA_EX,MATCH('T1'!$J64&amp;"|"&amp;188,LISTA_KLUCZ,0))),"")</f>
        <v/>
      </c>
      <c r="GI64" s="5" t="str">
        <f t="array" ref="GI64">IFERROR(IF('T1'!$J64="",INDEX(LISTA_EX,189),INDEX(LISTA_EX,MATCH('T1'!$J64&amp;"|"&amp;189,LISTA_KLUCZ,0))),"")</f>
        <v/>
      </c>
      <c r="GJ64" s="5" t="str">
        <f t="array" ref="GJ64">IFERROR(IF('T1'!$J64="",INDEX(LISTA_EX,190),INDEX(LISTA_EX,MATCH('T1'!$J64&amp;"|"&amp;190,LISTA_KLUCZ,0))),"")</f>
        <v/>
      </c>
      <c r="GK64" s="5" t="str">
        <f t="array" ref="GK64">IFERROR(IF('T1'!$J64="",INDEX(LISTA_EX,191),INDEX(LISTA_EX,MATCH('T1'!$J64&amp;"|"&amp;191,LISTA_KLUCZ,0))),"")</f>
        <v/>
      </c>
      <c r="GL64" s="5" t="str">
        <f t="array" ref="GL64">IFERROR(IF('T1'!$J64="",INDEX(LISTA_EX,192),INDEX(LISTA_EX,MATCH('T1'!$J64&amp;"|"&amp;192,LISTA_KLUCZ,0))),"")</f>
        <v/>
      </c>
      <c r="GM64" s="5" t="str">
        <f t="array" ref="GM64">IFERROR(IF('T1'!$J64="",INDEX(LISTA_EX,193),INDEX(LISTA_EX,MATCH('T1'!$J64&amp;"|"&amp;193,LISTA_KLUCZ,0))),"")</f>
        <v/>
      </c>
      <c r="GN64" s="5" t="str">
        <f t="array" ref="GN64">IFERROR(IF('T1'!$J64="",INDEX(LISTA_EX,194),INDEX(LISTA_EX,MATCH('T1'!$J64&amp;"|"&amp;194,LISTA_KLUCZ,0))),"")</f>
        <v/>
      </c>
      <c r="GO64" s="5" t="str">
        <f t="array" ref="GO64">IFERROR(IF('T1'!$J64="",INDEX(LISTA_EX,195),INDEX(LISTA_EX,MATCH('T1'!$J64&amp;"|"&amp;195,LISTA_KLUCZ,0))),"")</f>
        <v/>
      </c>
      <c r="GP64" s="5" t="str">
        <f t="array" ref="GP64">IFERROR(IF('T1'!$J64="",INDEX(LISTA_EX,196),INDEX(LISTA_EX,MATCH('T1'!$J64&amp;"|"&amp;196,LISTA_KLUCZ,0))),"")</f>
        <v/>
      </c>
      <c r="GQ64" s="5" t="str">
        <f t="array" ref="GQ64">IFERROR(IF('T1'!$J64="",INDEX(LISTA_EX,197),INDEX(LISTA_EX,MATCH('T1'!$J64&amp;"|"&amp;197,LISTA_KLUCZ,0))),"")</f>
        <v/>
      </c>
      <c r="GR64" s="5" t="str">
        <f t="array" ref="GR64">IFERROR(IF('T1'!$J64="",INDEX(LISTA_EX,198),INDEX(LISTA_EX,MATCH('T1'!$J64&amp;"|"&amp;198,LISTA_KLUCZ,0))),"")</f>
        <v/>
      </c>
      <c r="GS64" s="5" t="str">
        <f t="array" ref="GS64">IFERROR(IF('T1'!$J64="",INDEX(LISTA_EX,199),INDEX(LISTA_EX,MATCH('T1'!$J64&amp;"|"&amp;199,LISTA_KLUCZ,0))),"")</f>
        <v/>
      </c>
      <c r="GT64" s="5" t="str">
        <f t="array" ref="GT64">IFERROR(IF('T1'!$J64="",INDEX(LISTA_EX,200),INDEX(LISTA_EX,MATCH('T1'!$J64&amp;"|"&amp;200,LISTA_KLUCZ,0))),"")</f>
        <v/>
      </c>
      <c r="GV64" s="5" t="str">
        <f>IF(BAZA!$A64="","",BAZA!$A64)</f>
        <v>Dumbbell seal row</v>
      </c>
      <c r="GW64" s="5" t="str">
        <f>IF(BAZA!$B64="","",BAZA!$B64&amp;"|"&amp;COUNTIF(BAZA!$B$3:$B64,BAZA!$B64))</f>
        <v>Upper pull horizontal|10</v>
      </c>
    </row>
    <row r="65" ht="15.0" customHeight="1">
      <c r="A65" s="5" t="str">
        <f>IF('T1'!$K65="","",'T1'!$K65)</f>
        <v>D4-S11</v>
      </c>
      <c r="B65" s="5" t="str">
        <f>IF('T1'!$J65="","(wszystkie)",'T1'!$J65)</f>
        <v>(wszystkie)</v>
      </c>
      <c r="C65" s="5" t="str">
        <f t="array" ref="C65">IFERROR(IF('T1'!$J65="",INDEX(LISTA_EX,1),INDEX(LISTA_EX,MATCH('T1'!$J65&amp;"|"&amp;1,LISTA_KLUCZ,0))),"")</f>
        <v>Abduction machine</v>
      </c>
      <c r="D65" s="5" t="str">
        <f t="array" ref="D65">IFERROR(IF('T1'!$J65="",INDEX(LISTA_EX,2),INDEX(LISTA_EX,MATCH('T1'!$J65&amp;"|"&amp;2,LISTA_KLUCZ,0))),"")</f>
        <v>Adduction machine</v>
      </c>
      <c r="E65" s="5" t="str">
        <f t="array" ref="E65">IFERROR(IF('T1'!$J65="",INDEX(LISTA_EX,3),INDEX(LISTA_EX,MATCH('T1'!$J65&amp;"|"&amp;3,LISTA_KLUCZ,0))),"")</f>
        <v>Allah</v>
      </c>
      <c r="F65" s="5" t="str">
        <f t="array" ref="F65">IFERROR(IF('T1'!$J65="",INDEX(LISTA_EX,4),INDEX(LISTA_EX,MATCH('T1'!$J65&amp;"|"&amp;4,LISTA_KLUCZ,0))),"")</f>
        <v>Arnold press</v>
      </c>
      <c r="G65" s="5" t="str">
        <f t="array" ref="G65">IFERROR(IF('T1'!$J65="",INDEX(LISTA_EX,5),INDEX(LISTA_EX,MATCH('T1'!$J65&amp;"|"&amp;5,LISTA_KLUCZ,0))),"")</f>
        <v>Arnold press alternating</v>
      </c>
      <c r="H65" s="5" t="str">
        <f t="array" ref="H65">IFERROR(IF('T1'!$J65="",INDEX(LISTA_EX,6),INDEX(LISTA_EX,MATCH('T1'!$J65&amp;"|"&amp;6,LISTA_KLUCZ,0))),"")</f>
        <v>B/l dragonflag eccentric</v>
      </c>
      <c r="I65" s="5" t="str">
        <f t="array" ref="I65">IFERROR(IF('T1'!$J65="",INDEX(LISTA_EX,7),INDEX(LISTA_EX,MATCH('T1'!$J65&amp;"|"&amp;7,LISTA_KLUCZ,0))),"")</f>
        <v>Back extension</v>
      </c>
      <c r="J65" s="5" t="str">
        <f t="array" ref="J65">IFERROR(IF('T1'!$J65="",INDEX(LISTA_EX,8),INDEX(LISTA_EX,MATCH('T1'!$J65&amp;"|"&amp;8,LISTA_KLUCZ,0))),"")</f>
        <v>Banded pistol squat</v>
      </c>
      <c r="K65" s="5" t="str">
        <f t="array" ref="K65">IFERROR(IF('T1'!$J65="",INDEX(LISTA_EX,9),INDEX(LISTA_EX,MATCH('T1'!$J65&amp;"|"&amp;9,LISTA_KLUCZ,0))),"")</f>
        <v>Banded pull ups</v>
      </c>
      <c r="L65" s="5" t="str">
        <f t="array" ref="L65">IFERROR(IF('T1'!$J65="",INDEX(LISTA_EX,10),INDEX(LISTA_EX,MATCH('T1'!$J65&amp;"|"&amp;10,LISTA_KLUCZ,0))),"")</f>
        <v>Barbell back squat</v>
      </c>
      <c r="M65" s="5" t="str">
        <f t="array" ref="M65">IFERROR(IF('T1'!$J65="",INDEX(LISTA_EX,11),INDEX(LISTA_EX,MATCH('T1'!$J65&amp;"|"&amp;11,LISTA_KLUCZ,0))),"")</f>
        <v>Barbell bench press</v>
      </c>
      <c r="N65" s="5" t="str">
        <f t="array" ref="N65">IFERROR(IF('T1'!$J65="",INDEX(LISTA_EX,12),INDEX(LISTA_EX,MATCH('T1'!$J65&amp;"|"&amp;12,LISTA_KLUCZ,0))),"")</f>
        <v>Barbell curl</v>
      </c>
      <c r="O65" s="5" t="str">
        <f t="array" ref="O65">IFERROR(IF('T1'!$J65="",INDEX(LISTA_EX,13),INDEX(LISTA_EX,MATCH('T1'!$J65&amp;"|"&amp;13,LISTA_KLUCZ,0))),"")</f>
        <v>Barbell low bar squat</v>
      </c>
      <c r="P65" s="5" t="str">
        <f t="array" ref="P65">IFERROR(IF('T1'!$J65="",INDEX(LISTA_EX,14),INDEX(LISTA_EX,MATCH('T1'!$J65&amp;"|"&amp;14,LISTA_KLUCZ,0))),"")</f>
        <v>Barbell OHP</v>
      </c>
      <c r="Q65" s="5" t="str">
        <f t="array" ref="Q65">IFERROR(IF('T1'!$J65="",INDEX(LISTA_EX,15),INDEX(LISTA_EX,MATCH('T1'!$J65&amp;"|"&amp;15,LISTA_KLUCZ,0))),"")</f>
        <v>Barbell oscilation</v>
      </c>
      <c r="R65" s="5" t="str">
        <f t="array" ref="R65">IFERROR(IF('T1'!$J65="",INDEX(LISTA_EX,16),INDEX(LISTA_EX,MATCH('T1'!$J65&amp;"|"&amp;16,LISTA_KLUCZ,0))),"")</f>
        <v>Barbell row</v>
      </c>
      <c r="S65" s="5" t="str">
        <f t="array" ref="S65">IFERROR(IF('T1'!$J65="",INDEX(LISTA_EX,17),INDEX(LISTA_EX,MATCH('T1'!$J65&amp;"|"&amp;17,LISTA_KLUCZ,0))),"")</f>
        <v>Barbell row dead stop pins</v>
      </c>
      <c r="T65" s="5" t="str">
        <f t="array" ref="T65">IFERROR(IF('T1'!$J65="",INDEX(LISTA_EX,18),INDEX(LISTA_EX,MATCH('T1'!$J65&amp;"|"&amp;18,LISTA_KLUCZ,0))),"")</f>
        <v>Barbell SLDL</v>
      </c>
      <c r="U65" s="5" t="str">
        <f t="array" ref="U65">IFERROR(IF('T1'!$J65="",INDEX(LISTA_EX,19),INDEX(LISTA_EX,MATCH('T1'!$J65&amp;"|"&amp;19,LISTA_KLUCZ,0))),"")</f>
        <v>Bayesian curl</v>
      </c>
      <c r="V65" s="5" t="str">
        <f t="array" ref="V65">IFERROR(IF('T1'!$J65="",INDEX(LISTA_EX,20),INDEX(LISTA_EX,MATCH('T1'!$J65&amp;"|"&amp;20,LISTA_KLUCZ,0))),"")</f>
        <v>Bear renegade row</v>
      </c>
      <c r="W65" s="5" t="str">
        <f t="array" ref="W65">IFERROR(IF('T1'!$J65="",INDEX(LISTA_EX,21),INDEX(LISTA_EX,MATCH('T1'!$J65&amp;"|"&amp;21,LISTA_KLUCZ,0))),"")</f>
        <v>Bench press paused 3sec</v>
      </c>
      <c r="X65" s="5" t="str">
        <f t="array" ref="X65">IFERROR(IF('T1'!$J65="",INDEX(LISTA_EX,22),INDEX(LISTA_EX,MATCH('T1'!$J65&amp;"|"&amp;22,LISTA_KLUCZ,0))),"")</f>
        <v>Bicep hammer curl</v>
      </c>
      <c r="Y65" s="5" t="str">
        <f t="array" ref="Y65">IFERROR(IF('T1'!$J65="",INDEX(LISTA_EX,23),INDEX(LISTA_EX,MATCH('T1'!$J65&amp;"|"&amp;23,LISTA_KLUCZ,0))),"")</f>
        <v>Bicep squat cable curl</v>
      </c>
      <c r="Z65" s="5" t="str">
        <f t="array" ref="Z65">IFERROR(IF('T1'!$J65="",INDEX(LISTA_EX,24),INDEX(LISTA_EX,MATCH('T1'!$J65&amp;"|"&amp;24,LISTA_KLUCZ,0))),"")</f>
        <v>Bird dog row</v>
      </c>
      <c r="AA65" s="5" t="str">
        <f t="array" ref="AA65">IFERROR(IF('T1'!$J65="",INDEX(LISTA_EX,25),INDEX(LISTA_EX,MATCH('T1'!$J65&amp;"|"&amp;25,LISTA_KLUCZ,0))),"")</f>
        <v>Box jump</v>
      </c>
      <c r="AB65" s="5" t="str">
        <f t="array" ref="AB65">IFERROR(IF('T1'!$J65="",INDEX(LISTA_EX,26),INDEX(LISTA_EX,MATCH('T1'!$J65&amp;"|"&amp;26,LISTA_KLUCZ,0))),"")</f>
        <v>Bulgarian clean plyo</v>
      </c>
      <c r="AC65" s="5" t="str">
        <f t="array" ref="AC65">IFERROR(IF('T1'!$J65="",INDEX(LISTA_EX,27),INDEX(LISTA_EX,MATCH('T1'!$J65&amp;"|"&amp;27,LISTA_KLUCZ,0))),"")</f>
        <v>Bulgarian squat assisted</v>
      </c>
      <c r="AD65" s="5" t="str">
        <f t="array" ref="AD65">IFERROR(IF('T1'!$J65="",INDEX(LISTA_EX,28),INDEX(LISTA_EX,MATCH('T1'!$J65&amp;"|"&amp;28,LISTA_KLUCZ,0))),"")</f>
        <v>Cable biceps curl</v>
      </c>
      <c r="AE65" s="5" t="str">
        <f t="array" ref="AE65">IFERROR(IF('T1'!$J65="",INDEX(LISTA_EX,29),INDEX(LISTA_EX,MATCH('T1'!$J65&amp;"|"&amp;29,LISTA_KLUCZ,0))),"")</f>
        <v>Cable fly</v>
      </c>
      <c r="AF65" s="5" t="str">
        <f t="array" ref="AF65">IFERROR(IF('T1'!$J65="",INDEX(LISTA_EX,30),INDEX(LISTA_EX,MATCH('T1'!$J65&amp;"|"&amp;30,LISTA_KLUCZ,0))),"")</f>
        <v>Cable lateral raise s/a</v>
      </c>
      <c r="AG65" s="5" t="str">
        <f t="array" ref="AG65">IFERROR(IF('T1'!$J65="",INDEX(LISTA_EX,31),INDEX(LISTA_EX,MATCH('T1'!$J65&amp;"|"&amp;31,LISTA_KLUCZ,0))),"")</f>
        <v>Cable row</v>
      </c>
      <c r="AH65" s="5" t="str">
        <f t="array" ref="AH65">IFERROR(IF('T1'!$J65="",INDEX(LISTA_EX,32),INDEX(LISTA_EX,MATCH('T1'!$J65&amp;"|"&amp;32,LISTA_KLUCZ,0))),"")</f>
        <v>Cable row s/a</v>
      </c>
      <c r="AI65" s="5" t="str">
        <f t="array" ref="AI65">IFERROR(IF('T1'!$J65="",INDEX(LISTA_EX,33),INDEX(LISTA_EX,MATCH('T1'!$J65&amp;"|"&amp;33,LISTA_KLUCZ,0))),"")</f>
        <v>Calf raises</v>
      </c>
      <c r="AJ65" s="5" t="str">
        <f t="array" ref="AJ65">IFERROR(IF('T1'!$J65="",INDEX(LISTA_EX,34),INDEX(LISTA_EX,MATCH('T1'!$J65&amp;"|"&amp;34,LISTA_KLUCZ,0))),"")</f>
        <v>Chest fly machine</v>
      </c>
      <c r="AK65" s="5" t="str">
        <f t="array" ref="AK65">IFERROR(IF('T1'!$J65="",INDEX(LISTA_EX,35),INDEX(LISTA_EX,MATCH('T1'!$J65&amp;"|"&amp;35,LISTA_KLUCZ,0))),"")</f>
        <v>Clean</v>
      </c>
      <c r="AL65" s="5" t="str">
        <f t="array" ref="AL65">IFERROR(IF('T1'!$J65="",INDEX(LISTA_EX,36),INDEX(LISTA_EX,MATCH('T1'!$J65&amp;"|"&amp;36,LISTA_KLUCZ,0))),"")</f>
        <v>Clean pins</v>
      </c>
      <c r="AM65" s="5" t="str">
        <f t="array" ref="AM65">IFERROR(IF('T1'!$J65="",INDEX(LISTA_EX,37),INDEX(LISTA_EX,MATCH('T1'!$J65&amp;"|"&amp;37,LISTA_KLUCZ,0))),"")</f>
        <v>Copenhagen plank</v>
      </c>
      <c r="AN65" s="5" t="str">
        <f t="array" ref="AN65">IFERROR(IF('T1'!$J65="",INDEX(LISTA_EX,38),INDEX(LISTA_EX,MATCH('T1'!$J65&amp;"|"&amp;38,LISTA_KLUCZ,0))),"")</f>
        <v>Dead bug izo + OH</v>
      </c>
      <c r="AO65" s="5" t="str">
        <f t="array" ref="AO65">IFERROR(IF('T1'!$J65="",INDEX(LISTA_EX,39),INDEX(LISTA_EX,MATCH('T1'!$J65&amp;"|"&amp;39,LISTA_KLUCZ,0))),"")</f>
        <v>Dead bug straight legs</v>
      </c>
      <c r="AP65" s="5" t="str">
        <f t="array" ref="AP65">IFERROR(IF('T1'!$J65="",INDEX(LISTA_EX,40),INDEX(LISTA_EX,MATCH('T1'!$J65&amp;"|"&amp;40,LISTA_KLUCZ,0))),"")</f>
        <v>Dead stop barbell row</v>
      </c>
      <c r="AQ65" s="5" t="str">
        <f t="array" ref="AQ65">IFERROR(IF('T1'!$J65="",INDEX(LISTA_EX,41),INDEX(LISTA_EX,MATCH('T1'!$J65&amp;"|"&amp;41,LISTA_KLUCZ,0))),"")</f>
        <v>Deadbug OH</v>
      </c>
      <c r="AR65" s="5" t="str">
        <f t="array" ref="AR65">IFERROR(IF('T1'!$J65="",INDEX(LISTA_EX,42),INDEX(LISTA_EX,MATCH('T1'!$J65&amp;"|"&amp;42,LISTA_KLUCZ,0))),"")</f>
        <v>Deadlift</v>
      </c>
      <c r="AS65" s="5" t="str">
        <f t="array" ref="AS65">IFERROR(IF('T1'!$J65="",INDEX(LISTA_EX,43),INDEX(LISTA_EX,MATCH('T1'!$J65&amp;"|"&amp;43,LISTA_KLUCZ,0))),"")</f>
        <v>Deficit push up</v>
      </c>
      <c r="AT65" s="5" t="str">
        <f t="array" ref="AT65">IFERROR(IF('T1'!$J65="",INDEX(LISTA_EX,44),INDEX(LISTA_EX,MATCH('T1'!$J65&amp;"|"&amp;44,LISTA_KLUCZ,0))),"")</f>
        <v>Deficit reverse lunge</v>
      </c>
      <c r="AU65" s="5" t="str">
        <f t="array" ref="AU65">IFERROR(IF('T1'!$J65="",INDEX(LISTA_EX,45),INDEX(LISTA_EX,MATCH('T1'!$J65&amp;"|"&amp;45,LISTA_KLUCZ,0))),"")</f>
        <v>Dips</v>
      </c>
      <c r="AV65" s="5" t="str">
        <f t="array" ref="AV65">IFERROR(IF('T1'!$J65="",INDEX(LISTA_EX,46),INDEX(LISTA_EX,MATCH('T1'!$J65&amp;"|"&amp;46,LISTA_KLUCZ,0))),"")</f>
        <v>Dips weighted</v>
      </c>
      <c r="AW65" s="5" t="str">
        <f t="array" ref="AW65">IFERROR(IF('T1'!$J65="",INDEX(LISTA_EX,47),INDEX(LISTA_EX,MATCH('T1'!$J65&amp;"|"&amp;47,LISTA_KLUCZ,0))),"")</f>
        <v>Dumbbell bench press</v>
      </c>
      <c r="AX65" s="5" t="str">
        <f t="array" ref="AX65">IFERROR(IF('T1'!$J65="",INDEX(LISTA_EX,48),INDEX(LISTA_EX,MATCH('T1'!$J65&amp;"|"&amp;48,LISTA_KLUCZ,0))),"")</f>
        <v>Dumbbell bench press alternating</v>
      </c>
      <c r="AY65" s="5" t="str">
        <f t="array" ref="AY65">IFERROR(IF('T1'!$J65="",INDEX(LISTA_EX,49),INDEX(LISTA_EX,MATCH('T1'!$J65&amp;"|"&amp;49,LISTA_KLUCZ,0))),"")</f>
        <v>Dumbbell curl</v>
      </c>
      <c r="AZ65" s="5" t="str">
        <f t="array" ref="AZ65">IFERROR(IF('T1'!$J65="",INDEX(LISTA_EX,50),INDEX(LISTA_EX,MATCH('T1'!$J65&amp;"|"&amp;50,LISTA_KLUCZ,0))),"")</f>
        <v>Dumbbell external rotation</v>
      </c>
      <c r="BA65" s="5" t="str">
        <f t="array" ref="BA65">IFERROR(IF('T1'!$J65="",INDEX(LISTA_EX,51),INDEX(LISTA_EX,MATCH('T1'!$J65&amp;"|"&amp;51,LISTA_KLUCZ,0))),"")</f>
        <v>Dumbbell face down curl</v>
      </c>
      <c r="BB65" s="5" t="str">
        <f t="array" ref="BB65">IFERROR(IF('T1'!$J65="",INDEX(LISTA_EX,52),INDEX(LISTA_EX,MATCH('T1'!$J65&amp;"|"&amp;52,LISTA_KLUCZ,0))),"")</f>
        <v>Dumbbell fly</v>
      </c>
      <c r="BC65" s="5" t="str">
        <f t="array" ref="BC65">IFERROR(IF('T1'!$J65="",INDEX(LISTA_EX,53),INDEX(LISTA_EX,MATCH('T1'!$J65&amp;"|"&amp;53,LISTA_KLUCZ,0))),"")</f>
        <v>Dumbbell french press</v>
      </c>
      <c r="BD65" s="5" t="str">
        <f t="array" ref="BD65">IFERROR(IF('T1'!$J65="",INDEX(LISTA_EX,54),INDEX(LISTA_EX,MATCH('T1'!$J65&amp;"|"&amp;54,LISTA_KLUCZ,0))),"")</f>
        <v>Dumbbell lateral raise</v>
      </c>
      <c r="BE65" s="5" t="str">
        <f t="array" ref="BE65">IFERROR(IF('T1'!$J65="",INDEX(LISTA_EX,55),INDEX(LISTA_EX,MATCH('T1'!$J65&amp;"|"&amp;55,LISTA_KLUCZ,0))),"")</f>
        <v>Dumbbell lunges</v>
      </c>
      <c r="BF65" s="5" t="str">
        <f t="array" ref="BF65">IFERROR(IF('T1'!$J65="",INDEX(LISTA_EX,56),INDEX(LISTA_EX,MATCH('T1'!$J65&amp;"|"&amp;56,LISTA_KLUCZ,0))),"")</f>
        <v>Dumbbell OH press</v>
      </c>
      <c r="BG65" s="5" t="str">
        <f t="array" ref="BG65">IFERROR(IF('T1'!$J65="",INDEX(LISTA_EX,57),INDEX(LISTA_EX,MATCH('T1'!$J65&amp;"|"&amp;57,LISTA_KLUCZ,0))),"")</f>
        <v>Dumbbell over head press</v>
      </c>
      <c r="BH65" s="5" t="str">
        <f t="array" ref="BH65">IFERROR(IF('T1'!$J65="",INDEX(LISTA_EX,58),INDEX(LISTA_EX,MATCH('T1'!$J65&amp;"|"&amp;58,LISTA_KLUCZ,0))),"")</f>
        <v>Dumbbell over head press alternating</v>
      </c>
      <c r="BI65" s="5" t="str">
        <f t="array" ref="BI65">IFERROR(IF('T1'!$J65="",INDEX(LISTA_EX,59),INDEX(LISTA_EX,MATCH('T1'!$J65&amp;"|"&amp;59,LISTA_KLUCZ,0))),"")</f>
        <v>Dumbbell row</v>
      </c>
      <c r="BJ65" s="5" t="str">
        <f t="array" ref="BJ65">IFERROR(IF('T1'!$J65="",INDEX(LISTA_EX,60),INDEX(LISTA_EX,MATCH('T1'!$J65&amp;"|"&amp;60,LISTA_KLUCZ,0))),"")</f>
        <v>Dumbbell s/a Arnold press</v>
      </c>
      <c r="BK65" s="5" t="str">
        <f t="array" ref="BK65">IFERROR(IF('T1'!$J65="",INDEX(LISTA_EX,61),INDEX(LISTA_EX,MATCH('T1'!$J65&amp;"|"&amp;61,LISTA_KLUCZ,0))),"")</f>
        <v>Dumbbell s/a row</v>
      </c>
      <c r="BL65" s="5" t="str">
        <f t="array" ref="BL65">IFERROR(IF('T1'!$J65="",INDEX(LISTA_EX,62),INDEX(LISTA_EX,MATCH('T1'!$J65&amp;"|"&amp;62,LISTA_KLUCZ,0))),"")</f>
        <v>Dumbbell seal row</v>
      </c>
      <c r="BM65" s="5" t="str">
        <f t="array" ref="BM65">IFERROR(IF('T1'!$J65="",INDEX(LISTA_EX,63),INDEX(LISTA_EX,MATCH('T1'!$J65&amp;"|"&amp;63,LISTA_KLUCZ,0))),"")</f>
        <v>Dumbbells jumps</v>
      </c>
      <c r="BN65" s="5" t="str">
        <f t="array" ref="BN65">IFERROR(IF('T1'!$J65="",INDEX(LISTA_EX,64),INDEX(LISTA_EX,MATCH('T1'!$J65&amp;"|"&amp;64,LISTA_KLUCZ,0))),"")</f>
        <v>Eccentric pull up</v>
      </c>
      <c r="BO65" s="5" t="str">
        <f t="array" ref="BO65">IFERROR(IF('T1'!$J65="",INDEX(LISTA_EX,65),INDEX(LISTA_EX,MATCH('T1'!$J65&amp;"|"&amp;65,LISTA_KLUCZ,0))),"")</f>
        <v>Eccentric push up (5 sek w dół)</v>
      </c>
      <c r="BP65" s="5" t="str">
        <f t="array" ref="BP65">IFERROR(IF('T1'!$J65="",INDEX(LISTA_EX,66),INDEX(LISTA_EX,MATCH('T1'!$J65&amp;"|"&amp;66,LISTA_KLUCZ,0))),"")</f>
        <v>Extensive plyo jumps s/l</v>
      </c>
      <c r="BQ65" s="5" t="str">
        <f t="array" ref="BQ65">IFERROR(IF('T1'!$J65="",INDEX(LISTA_EX,67),INDEX(LISTA_EX,MATCH('T1'!$J65&amp;"|"&amp;67,LISTA_KLUCZ,0))),"")</f>
        <v>Ez bar curl</v>
      </c>
      <c r="BR65" s="5" t="str">
        <f t="array" ref="BR65">IFERROR(IF('T1'!$J65="",INDEX(LISTA_EX,68),INDEX(LISTA_EX,MATCH('T1'!$J65&amp;"|"&amp;68,LISTA_KLUCZ,0))),"")</f>
        <v>Facepull chest supported</v>
      </c>
      <c r="BS65" s="5" t="str">
        <f t="array" ref="BS65">IFERROR(IF('T1'!$J65="",INDEX(LISTA_EX,69),INDEX(LISTA_EX,MATCH('T1'!$J65&amp;"|"&amp;69,LISTA_KLUCZ,0))),"")</f>
        <v>Front foot elevated split squat</v>
      </c>
      <c r="BT65" s="5" t="str">
        <f t="array" ref="BT65">IFERROR(IF('T1'!$J65="",INDEX(LISTA_EX,70),INDEX(LISTA_EX,MATCH('T1'!$J65&amp;"|"&amp;70,LISTA_KLUCZ,0))),"")</f>
        <v>Front squat</v>
      </c>
      <c r="BU65" s="5" t="str">
        <f t="array" ref="BU65">IFERROR(IF('T1'!$J65="",INDEX(LISTA_EX,71),INDEX(LISTA_EX,MATCH('T1'!$J65&amp;"|"&amp;71,LISTA_KLUCZ,0))),"")</f>
        <v>GHD flexion</v>
      </c>
      <c r="BV65" s="5" t="str">
        <f t="array" ref="BV65">IFERROR(IF('T1'!$J65="",INDEX(LISTA_EX,72),INDEX(LISTA_EX,MATCH('T1'!$J65&amp;"|"&amp;72,LISTA_KLUCZ,0))),"")</f>
        <v>Glute bridge hamstrings izo + OH</v>
      </c>
      <c r="BW65" s="5" t="str">
        <f t="array" ref="BW65">IFERROR(IF('T1'!$J65="",INDEX(LISTA_EX,73),INDEX(LISTA_EX,MATCH('T1'!$J65&amp;"|"&amp;73,LISTA_KLUCZ,0))),"")</f>
        <v>Glute crusher</v>
      </c>
      <c r="BX65" s="5" t="str">
        <f t="array" ref="BX65">IFERROR(IF('T1'!$J65="",INDEX(LISTA_EX,74),INDEX(LISTA_EX,MATCH('T1'!$J65&amp;"|"&amp;74,LISTA_KLUCZ,0))),"")</f>
        <v>Gorilla row</v>
      </c>
      <c r="BY65" s="5" t="str">
        <f t="array" ref="BY65">IFERROR(IF('T1'!$J65="",INDEX(LISTA_EX,75),INDEX(LISTA_EX,MATCH('T1'!$J65&amp;"|"&amp;75,LISTA_KLUCZ,0))),"")</f>
        <v>Halfkneeling s/a cable pull</v>
      </c>
      <c r="BZ65" s="5" t="str">
        <f t="array" ref="BZ65">IFERROR(IF('T1'!$J65="",INDEX(LISTA_EX,76),INDEX(LISTA_EX,MATCH('T1'!$J65&amp;"|"&amp;76,LISTA_KLUCZ,0))),"")</f>
        <v>Halfkneeling wood chopper</v>
      </c>
      <c r="CA65" s="5" t="str">
        <f t="array" ref="CA65">IFERROR(IF('T1'!$J65="",INDEX(LISTA_EX,77),INDEX(LISTA_EX,MATCH('T1'!$J65&amp;"|"&amp;77,LISTA_KLUCZ,0))),"")</f>
        <v>Hinged dumbbell row</v>
      </c>
      <c r="CB65" s="5" t="str">
        <f t="array" ref="CB65">IFERROR(IF('T1'!$J65="",INDEX(LISTA_EX,78),INDEX(LISTA_EX,MATCH('T1'!$J65&amp;"|"&amp;78,LISTA_KLUCZ,0))),"")</f>
        <v>Hip aeroplane</v>
      </c>
      <c r="CC65" s="5" t="str">
        <f t="array" ref="CC65">IFERROR(IF('T1'!$J65="",INDEX(LISTA_EX,79),INDEX(LISTA_EX,MATCH('T1'!$J65&amp;"|"&amp;79,LISTA_KLUCZ,0))),"")</f>
        <v>Hip flexors cable</v>
      </c>
      <c r="CD65" s="5" t="str">
        <f t="array" ref="CD65">IFERROR(IF('T1'!$J65="",INDEX(LISTA_EX,80),INDEX(LISTA_EX,MATCH('T1'!$J65&amp;"|"&amp;80,LISTA_KLUCZ,0))),"")</f>
        <v>Hip thrust barbell</v>
      </c>
      <c r="CE65" s="5" t="str">
        <f t="array" ref="CE65">IFERROR(IF('T1'!$J65="",INDEX(LISTA_EX,81),INDEX(LISTA_EX,MATCH('T1'!$J65&amp;"|"&amp;81,LISTA_KLUCZ,0))),"")</f>
        <v>Hollow body + OH</v>
      </c>
      <c r="CF65" s="5" t="str">
        <f t="array" ref="CF65">IFERROR(IF('T1'!$J65="",INDEX(LISTA_EX,82),INDEX(LISTA_EX,MATCH('T1'!$J65&amp;"|"&amp;82,LISTA_KLUCZ,0))),"")</f>
        <v>Horizontal jump</v>
      </c>
      <c r="CG65" s="5" t="str">
        <f t="array" ref="CG65">IFERROR(IF('T1'!$J65="",INDEX(LISTA_EX,83),INDEX(LISTA_EX,MATCH('T1'!$J65&amp;"|"&amp;83,LISTA_KLUCZ,0))),"")</f>
        <v>Incline bench lateral raise s/a</v>
      </c>
      <c r="CH65" s="5" t="str">
        <f t="array" ref="CH65">IFERROR(IF('T1'!$J65="",INDEX(LISTA_EX,84),INDEX(LISTA_EX,MATCH('T1'!$J65&amp;"|"&amp;84,LISTA_KLUCZ,0))),"")</f>
        <v>Incline curl + OHP</v>
      </c>
      <c r="CI65" s="5" t="str">
        <f t="array" ref="CI65">IFERROR(IF('T1'!$J65="",INDEX(LISTA_EX,85),INDEX(LISTA_EX,MATCH('T1'!$J65&amp;"|"&amp;85,LISTA_KLUCZ,0))),"")</f>
        <v>Incline dumbbell curl</v>
      </c>
      <c r="CJ65" s="5" t="str">
        <f t="array" ref="CJ65">IFERROR(IF('T1'!$J65="",INDEX(LISTA_EX,86),INDEX(LISTA_EX,MATCH('T1'!$J65&amp;"|"&amp;86,LISTA_KLUCZ,0))),"")</f>
        <v>Incline dumbbell curl (back)</v>
      </c>
      <c r="CK65" s="5" t="str">
        <f t="array" ref="CK65">IFERROR(IF('T1'!$J65="",INDEX(LISTA_EX,87),INDEX(LISTA_EX,MATCH('T1'!$J65&amp;"|"&amp;87,LISTA_KLUCZ,0))),"")</f>
        <v>Incline dumbbell curl (front)</v>
      </c>
      <c r="CL65" s="5" t="str">
        <f t="array" ref="CL65">IFERROR(IF('T1'!$J65="",INDEX(LISTA_EX,88),INDEX(LISTA_EX,MATCH('T1'!$J65&amp;"|"&amp;88,LISTA_KLUCZ,0))),"")</f>
        <v>Incline dumbbell fly</v>
      </c>
      <c r="CM65" s="5" t="str">
        <f t="array" ref="CM65">IFERROR(IF('T1'!$J65="",INDEX(LISTA_EX,89),INDEX(LISTA_EX,MATCH('T1'!$J65&amp;"|"&amp;89,LISTA_KLUCZ,0))),"")</f>
        <v>Incline dumbbell press</v>
      </c>
      <c r="CN65" s="5" t="str">
        <f t="array" ref="CN65">IFERROR(IF('T1'!$J65="",INDEX(LISTA_EX,90),INDEX(LISTA_EX,MATCH('T1'!$J65&amp;"|"&amp;90,LISTA_KLUCZ,0))),"")</f>
        <v>Incline dumbbell press alternating</v>
      </c>
      <c r="CO65" s="5" t="str">
        <f t="array" ref="CO65">IFERROR(IF('T1'!$J65="",INDEX(LISTA_EX,91),INDEX(LISTA_EX,MATCH('T1'!$J65&amp;"|"&amp;91,LISTA_KLUCZ,0))),"")</f>
        <v>Incline sit-ups</v>
      </c>
      <c r="CP65" s="5" t="str">
        <f t="array" ref="CP65">IFERROR(IF('T1'!$J65="",INDEX(LISTA_EX,92),INDEX(LISTA_EX,MATCH('T1'!$J65&amp;"|"&amp;92,LISTA_KLUCZ,0))),"")</f>
        <v>Jefferson cable</v>
      </c>
      <c r="CQ65" s="5" t="str">
        <f t="array" ref="CQ65">IFERROR(IF('T1'!$J65="",INDEX(LISTA_EX,93),INDEX(LISTA_EX,MATCH('T1'!$J65&amp;"|"&amp;93,LISTA_KLUCZ,0))),"")</f>
        <v>Kettlebell march</v>
      </c>
      <c r="CR65" s="5" t="str">
        <f t="array" ref="CR65">IFERROR(IF('T1'!$J65="",INDEX(LISTA_EX,94),INDEX(LISTA_EX,MATCH('T1'!$J65&amp;"|"&amp;94,LISTA_KLUCZ,0))),"")</f>
        <v>Kickbacks</v>
      </c>
      <c r="CS65" s="5" t="str">
        <f t="array" ref="CS65">IFERROR(IF('T1'!$J65="",INDEX(LISTA_EX,95),INDEX(LISTA_EX,MATCH('T1'!$J65&amp;"|"&amp;95,LISTA_KLUCZ,0))),"")</f>
        <v>Knee extension machine</v>
      </c>
      <c r="CT65" s="5" t="str">
        <f t="array" ref="CT65">IFERROR(IF('T1'!$J65="",INDEX(LISTA_EX,96),INDEX(LISTA_EX,MATCH('T1'!$J65&amp;"|"&amp;96,LISTA_KLUCZ,0))),"")</f>
        <v>Knee flexion machine</v>
      </c>
      <c r="CU65" s="5" t="str">
        <f t="array" ref="CU65">IFERROR(IF('T1'!$J65="",INDEX(LISTA_EX,97),INDEX(LISTA_EX,MATCH('T1'!$J65&amp;"|"&amp;97,LISTA_KLUCZ,0))),"")</f>
        <v>Knee raises</v>
      </c>
      <c r="CV65" s="5" t="str">
        <f t="array" ref="CV65">IFERROR(IF('T1'!$J65="",INDEX(LISTA_EX,98),INDEX(LISTA_EX,MATCH('T1'!$J65&amp;"|"&amp;98,LISTA_KLUCZ,0))),"")</f>
        <v>Landmine core</v>
      </c>
      <c r="CW65" s="5" t="str">
        <f t="array" ref="CW65">IFERROR(IF('T1'!$J65="",INDEX(LISTA_EX,99),INDEX(LISTA_EX,MATCH('T1'!$J65&amp;"|"&amp;99,LISTA_KLUCZ,0))),"")</f>
        <v>Landmine press</v>
      </c>
      <c r="CX65" s="5" t="str">
        <f t="array" ref="CX65">IFERROR(IF('T1'!$J65="",INDEX(LISTA_EX,100),INDEX(LISTA_EX,MATCH('T1'!$J65&amp;"|"&amp;100,LISTA_KLUCZ,0))),"")</f>
        <v>Landmine rotations (powtórzenia x2)</v>
      </c>
      <c r="CY65" s="5" t="str">
        <f t="array" ref="CY65">IFERROR(IF('T1'!$J65="",INDEX(LISTA_EX,101),INDEX(LISTA_EX,MATCH('T1'!$J65&amp;"|"&amp;101,LISTA_KLUCZ,0))),"")</f>
        <v>Landmine SLDL</v>
      </c>
      <c r="CZ65" s="5" t="str">
        <f t="array" ref="CZ65">IFERROR(IF('T1'!$J65="",INDEX(LISTA_EX,102),INDEX(LISTA_EX,MATCH('T1'!$J65&amp;"|"&amp;102,LISTA_KLUCZ,0))),"")</f>
        <v>Lat pulldown</v>
      </c>
      <c r="DA65" s="5" t="str">
        <f t="array" ref="DA65">IFERROR(IF('T1'!$J65="",INDEX(LISTA_EX,103),INDEX(LISTA_EX,MATCH('T1'!$J65&amp;"|"&amp;103,LISTA_KLUCZ,0))),"")</f>
        <v>Lat pulldown behind the head</v>
      </c>
      <c r="DB65" s="5" t="str">
        <f t="array" ref="DB65">IFERROR(IF('T1'!$J65="",INDEX(LISTA_EX,104),INDEX(LISTA_EX,MATCH('T1'!$J65&amp;"|"&amp;104,LISTA_KLUCZ,0))),"")</f>
        <v>Lat pulldown s/a</v>
      </c>
      <c r="DC65" s="5" t="str">
        <f t="array" ref="DC65">IFERROR(IF('T1'!$J65="",INDEX(LISTA_EX,105),INDEX(LISTA_EX,MATCH('T1'!$J65&amp;"|"&amp;105,LISTA_KLUCZ,0))),"")</f>
        <v>Lateral raise s/a</v>
      </c>
      <c r="DD65" s="5" t="str">
        <f t="array" ref="DD65">IFERROR(IF('T1'!$J65="",INDEX(LISTA_EX,106),INDEX(LISTA_EX,MATCH('T1'!$J65&amp;"|"&amp;106,LISTA_KLUCZ,0))),"")</f>
        <v>Lateral raises</v>
      </c>
      <c r="DE65" s="5" t="str">
        <f t="array" ref="DE65">IFERROR(IF('T1'!$J65="",INDEX(LISTA_EX,107),INDEX(LISTA_EX,MATCH('T1'!$J65&amp;"|"&amp;107,LISTA_KLUCZ,0))),"")</f>
        <v>Lateral raises 2</v>
      </c>
      <c r="DF65" s="5" t="str">
        <f t="array" ref="DF65">IFERROR(IF('T1'!$J65="",INDEX(LISTA_EX,108),INDEX(LISTA_EX,MATCH('T1'!$J65&amp;"|"&amp;108,LISTA_KLUCZ,0))),"")</f>
        <v>Lateral raises full ROM</v>
      </c>
      <c r="DG65" s="5" t="str">
        <f t="array" ref="DG65">IFERROR(IF('T1'!$J65="",INDEX(LISTA_EX,109),INDEX(LISTA_EX,MATCH('T1'!$J65&amp;"|"&amp;109,LISTA_KLUCZ,0))),"")</f>
        <v>Lateral raises hinged</v>
      </c>
      <c r="DH65" s="5" t="str">
        <f t="array" ref="DH65">IFERROR(IF('T1'!$J65="",INDEX(LISTA_EX,110),INDEX(LISTA_EX,MATCH('T1'!$J65&amp;"|"&amp;110,LISTA_KLUCZ,0))),"")</f>
        <v>Lateral raises incline s/a</v>
      </c>
      <c r="DI65" s="5" t="str">
        <f t="array" ref="DI65">IFERROR(IF('T1'!$J65="",INDEX(LISTA_EX,111),INDEX(LISTA_EX,MATCH('T1'!$J65&amp;"|"&amp;111,LISTA_KLUCZ,0))),"")</f>
        <v>Leg curl</v>
      </c>
      <c r="DJ65" s="5" t="str">
        <f t="array" ref="DJ65">IFERROR(IF('T1'!$J65="",INDEX(LISTA_EX,112),INDEX(LISTA_EX,MATCH('T1'!$J65&amp;"|"&amp;112,LISTA_KLUCZ,0))),"")</f>
        <v>Machine row</v>
      </c>
      <c r="DK65" s="5" t="str">
        <f t="array" ref="DK65">IFERROR(IF('T1'!$J65="",INDEX(LISTA_EX,113),INDEX(LISTA_EX,MATCH('T1'!$J65&amp;"|"&amp;113,LISTA_KLUCZ,0))),"")</f>
        <v>Machine row s/a</v>
      </c>
      <c r="DL65" s="5" t="str">
        <f t="array" ref="DL65">IFERROR(IF('T1'!$J65="",INDEX(LISTA_EX,114),INDEX(LISTA_EX,MATCH('T1'!$J65&amp;"|"&amp;114,LISTA_KLUCZ,0))),"")</f>
        <v>Meadows row</v>
      </c>
      <c r="DM65" s="5" t="str">
        <f t="array" ref="DM65">IFERROR(IF('T1'!$J65="",INDEX(LISTA_EX,115),INDEX(LISTA_EX,MATCH('T1'!$J65&amp;"|"&amp;115,LISTA_KLUCZ,0))),"")</f>
        <v>Med ball slam</v>
      </c>
      <c r="DN65" s="5" t="str">
        <f t="array" ref="DN65">IFERROR(IF('T1'!$J65="",INDEX(LISTA_EX,116),INDEX(LISTA_EX,MATCH('T1'!$J65&amp;"|"&amp;116,LISTA_KLUCZ,0))),"")</f>
        <v>OH skullcrushers</v>
      </c>
      <c r="DO65" s="5" t="str">
        <f t="array" ref="DO65">IFERROR(IF('T1'!$J65="",INDEX(LISTA_EX,117),INDEX(LISTA_EX,MATCH('T1'!$J65&amp;"|"&amp;117,LISTA_KLUCZ,0))),"")</f>
        <v>OHP barbell squat 15kg</v>
      </c>
      <c r="DP65" s="5" t="str">
        <f t="array" ref="DP65">IFERROR(IF('T1'!$J65="",INDEX(LISTA_EX,118),INDEX(LISTA_EX,MATCH('T1'!$J65&amp;"|"&amp;118,LISTA_KLUCZ,0))),"")</f>
        <v>Pistol squat eccentric</v>
      </c>
      <c r="DQ65" s="5" t="str">
        <f t="array" ref="DQ65">IFERROR(IF('T1'!$J65="",INDEX(LISTA_EX,119),INDEX(LISTA_EX,MATCH('T1'!$J65&amp;"|"&amp;119,LISTA_KLUCZ,0))),"")</f>
        <v>Plank contralateral</v>
      </c>
      <c r="DR65" s="5" t="str">
        <f t="array" ref="DR65">IFERROR(IF('T1'!$J65="",INDEX(LISTA_EX,120),INDEX(LISTA_EX,MATCH('T1'!$J65&amp;"|"&amp;120,LISTA_KLUCZ,0))),"")</f>
        <v>Plank dumbbell rotation</v>
      </c>
      <c r="DS65" s="5" t="str">
        <f t="array" ref="DS65">IFERROR(IF('T1'!$J65="",INDEX(LISTA_EX,121),INDEX(LISTA_EX,MATCH('T1'!$J65&amp;"|"&amp;121,LISTA_KLUCZ,0))),"")</f>
        <v>Plank leg raises</v>
      </c>
      <c r="DT65" s="5" t="str">
        <f t="array" ref="DT65">IFERROR(IF('T1'!$J65="",INDEX(LISTA_EX,122),INDEX(LISTA_EX,MATCH('T1'!$J65&amp;"|"&amp;122,LISTA_KLUCZ,0))),"")</f>
        <v>Poliquin step up</v>
      </c>
      <c r="DU65" s="5" t="str">
        <f t="array" ref="DU65">IFERROR(IF('T1'!$J65="",INDEX(LISTA_EX,123),INDEX(LISTA_EX,MATCH('T1'!$J65&amp;"|"&amp;123,LISTA_KLUCZ,0))),"")</f>
        <v>Poliquin step up paused 3sec</v>
      </c>
      <c r="DV65" s="5" t="str">
        <f t="array" ref="DV65">IFERROR(IF('T1'!$J65="",INDEX(LISTA_EX,124),INDEX(LISTA_EX,MATCH('T1'!$J65&amp;"|"&amp;124,LISTA_KLUCZ,0))),"")</f>
        <v>Pronation/Supination</v>
      </c>
      <c r="DW65" s="5" t="str">
        <f t="array" ref="DW65">IFERROR(IF('T1'!$J65="",INDEX(LISTA_EX,125),INDEX(LISTA_EX,MATCH('T1'!$J65&amp;"|"&amp;125,LISTA_KLUCZ,0))),"")</f>
        <v>Pull up</v>
      </c>
      <c r="DX65" s="5" t="str">
        <f t="array" ref="DX65">IFERROR(IF('T1'!$J65="",INDEX(LISTA_EX,126),INDEX(LISTA_EX,MATCH('T1'!$J65&amp;"|"&amp;126,LISTA_KLUCZ,0))),"")</f>
        <v>Pull up eccentric weighted</v>
      </c>
      <c r="DY65" s="5" t="str">
        <f t="array" ref="DY65">IFERROR(IF('T1'!$J65="",INDEX(LISTA_EX,127),INDEX(LISTA_EX,MATCH('T1'!$J65&amp;"|"&amp;127,LISTA_KLUCZ,0))),"")</f>
        <v>Pull up eccentric weighted (5 sek w dół)</v>
      </c>
      <c r="DZ65" s="5" t="str">
        <f t="array" ref="DZ65">IFERROR(IF('T1'!$J65="",INDEX(LISTA_EX,128),INDEX(LISTA_EX,MATCH('T1'!$J65&amp;"|"&amp;128,LISTA_KLUCZ,0))),"")</f>
        <v>Pull up weighted</v>
      </c>
      <c r="EA65" s="5" t="str">
        <f t="array" ref="EA65">IFERROR(IF('T1'!$J65="",INDEX(LISTA_EX,129),INDEX(LISTA_EX,MATCH('T1'!$J65&amp;"|"&amp;129,LISTA_KLUCZ,0))),"")</f>
        <v>Pull ups (paused)</v>
      </c>
      <c r="EB65" s="5" t="str">
        <f t="array" ref="EB65">IFERROR(IF('T1'!$J65="",INDEX(LISTA_EX,130),INDEX(LISTA_EX,MATCH('T1'!$J65&amp;"|"&amp;130,LISTA_KLUCZ,0))),"")</f>
        <v>Push press barbell</v>
      </c>
      <c r="EC65" s="5" t="str">
        <f t="array" ref="EC65">IFERROR(IF('T1'!$J65="",INDEX(LISTA_EX,131),INDEX(LISTA_EX,MATCH('T1'!$J65&amp;"|"&amp;131,LISTA_KLUCZ,0))),"")</f>
        <v>Push up</v>
      </c>
      <c r="ED65" s="5" t="str">
        <f t="array" ref="ED65">IFERROR(IF('T1'!$J65="",INDEX(LISTA_EX,132),INDEX(LISTA_EX,MATCH('T1'!$J65&amp;"|"&amp;132,LISTA_KLUCZ,0))),"")</f>
        <v>Raised bird dog</v>
      </c>
      <c r="EE65" s="5" t="str">
        <f t="array" ref="EE65">IFERROR(IF('T1'!$J65="",INDEX(LISTA_EX,133),INDEX(LISTA_EX,MATCH('T1'!$J65&amp;"|"&amp;133,LISTA_KLUCZ,0))),"")</f>
        <v>RDL</v>
      </c>
      <c r="EF65" s="5" t="str">
        <f t="array" ref="EF65">IFERROR(IF('T1'!$J65="",INDEX(LISTA_EX,134),INDEX(LISTA_EX,MATCH('T1'!$J65&amp;"|"&amp;134,LISTA_KLUCZ,0))),"")</f>
        <v>Reverse Nordic</v>
      </c>
      <c r="EG65" s="5" t="str">
        <f t="array" ref="EG65">IFERROR(IF('T1'!$J65="",INDEX(LISTA_EX,135),INDEX(LISTA_EX,MATCH('T1'!$J65&amp;"|"&amp;135,LISTA_KLUCZ,0))),"")</f>
        <v>Rope pushdown</v>
      </c>
      <c r="EH65" s="5" t="str">
        <f t="array" ref="EH65">IFERROR(IF('T1'!$J65="",INDEX(LISTA_EX,136),INDEX(LISTA_EX,MATCH('T1'!$J65&amp;"|"&amp;136,LISTA_KLUCZ,0))),"")</f>
        <v>Rope pushdown OH</v>
      </c>
      <c r="EI65" s="5" t="str">
        <f t="array" ref="EI65">IFERROR(IF('T1'!$J65="",INDEX(LISTA_EX,137),INDEX(LISTA_EX,MATCH('T1'!$J65&amp;"|"&amp;137,LISTA_KLUCZ,0))),"")</f>
        <v>S/a cable pulldown incline bench</v>
      </c>
      <c r="EJ65" s="5" t="str">
        <f t="array" ref="EJ65">IFERROR(IF('T1'!$J65="",INDEX(LISTA_EX,138),INDEX(LISTA_EX,MATCH('T1'!$J65&amp;"|"&amp;138,LISTA_KLUCZ,0))),"")</f>
        <v>S/a lat pulldown incline bench</v>
      </c>
      <c r="EK65" s="5" t="str">
        <f t="array" ref="EK65">IFERROR(IF('T1'!$J65="",INDEX(LISTA_EX,139),INDEX(LISTA_EX,MATCH('T1'!$J65&amp;"|"&amp;139,LISTA_KLUCZ,0))),"")</f>
        <v>S/l dragonflag eccentric</v>
      </c>
      <c r="EL65" s="5" t="str">
        <f t="array" ref="EL65">IFERROR(IF('T1'!$J65="",INDEX(LISTA_EX,140),INDEX(LISTA_EX,MATCH('T1'!$J65&amp;"|"&amp;140,LISTA_KLUCZ,0))),"")</f>
        <v>S/l hip thrust</v>
      </c>
      <c r="EM65" s="5" t="str">
        <f t="array" ref="EM65">IFERROR(IF('T1'!$J65="",INDEX(LISTA_EX,141),INDEX(LISTA_EX,MATCH('T1'!$J65&amp;"|"&amp;141,LISTA_KLUCZ,0))),"")</f>
        <v>Seated broad jump</v>
      </c>
      <c r="EN65" s="5" t="str">
        <f t="array" ref="EN65">IFERROR(IF('T1'!$J65="",INDEX(LISTA_EX,142),INDEX(LISTA_EX,MATCH('T1'!$J65&amp;"|"&amp;142,LISTA_KLUCZ,0))),"")</f>
        <v>Seated cable facepull</v>
      </c>
      <c r="EO65" s="5" t="str">
        <f t="array" ref="EO65">IFERROR(IF('T1'!$J65="",INDEX(LISTA_EX,143),INDEX(LISTA_EX,MATCH('T1'!$J65&amp;"|"&amp;143,LISTA_KLUCZ,0))),"")</f>
        <v>Seated seesaw press (nogi proste)</v>
      </c>
      <c r="EP65" s="5" t="str">
        <f t="array" ref="EP65">IFERROR(IF('T1'!$J65="",INDEX(LISTA_EX,144),INDEX(LISTA_EX,MATCH('T1'!$J65&amp;"|"&amp;144,LISTA_KLUCZ,0))),"")</f>
        <v>Seesaw press</v>
      </c>
      <c r="EQ65" s="5" t="str">
        <f t="array" ref="EQ65">IFERROR(IF('T1'!$J65="",INDEX(LISTA_EX,145),INDEX(LISTA_EX,MATCH('T1'!$J65&amp;"|"&amp;145,LISTA_KLUCZ,0))),"")</f>
        <v>Side crunches</v>
      </c>
      <c r="ER65" s="5" t="str">
        <f t="array" ref="ER65">IFERROR(IF('T1'!$J65="",INDEX(LISTA_EX,146),INDEX(LISTA_EX,MATCH('T1'!$J65&amp;"|"&amp;146,LISTA_KLUCZ,0))),"")</f>
        <v>Side plank hip drop</v>
      </c>
      <c r="ES65" s="5" t="str">
        <f t="array" ref="ES65">IFERROR(IF('T1'!$J65="",INDEX(LISTA_EX,147),INDEX(LISTA_EX,MATCH('T1'!$J65&amp;"|"&amp;147,LISTA_KLUCZ,0))),"")</f>
        <v>Side plank rotations</v>
      </c>
      <c r="ET65" s="5" t="str">
        <f t="array" ref="ET65">IFERROR(IF('T1'!$J65="",INDEX(LISTA_EX,148),INDEX(LISTA_EX,MATCH('T1'!$J65&amp;"|"&amp;148,LISTA_KLUCZ,0))),"")</f>
        <v>SLDL balance</v>
      </c>
      <c r="EU65" s="5" t="str">
        <f t="array" ref="EU65">IFERROR(IF('T1'!$J65="",INDEX(LISTA_EX,149),INDEX(LISTA_EX,MATCH('T1'!$J65&amp;"|"&amp;149,LISTA_KLUCZ,0))),"")</f>
        <v>Split squat</v>
      </c>
      <c r="EV65" s="5" t="str">
        <f t="array" ref="EV65">IFERROR(IF('T1'!$J65="",INDEX(LISTA_EX,150),INDEX(LISTA_EX,MATCH('T1'!$J65&amp;"|"&amp;150,LISTA_KLUCZ,0))),"")</f>
        <v>Split stance SLDL</v>
      </c>
      <c r="EW65" s="5" t="str">
        <f t="array" ref="EW65">IFERROR(IF('T1'!$J65="",INDEX(LISTA_EX,151),INDEX(LISTA_EX,MATCH('T1'!$J65&amp;"|"&amp;151,LISTA_KLUCZ,0))),"")</f>
        <v>Squat izo (15 sek)</v>
      </c>
      <c r="EX65" s="5" t="str">
        <f t="array" ref="EX65">IFERROR(IF('T1'!$J65="",INDEX(LISTA_EX,152),INDEX(LISTA_EX,MATCH('T1'!$J65&amp;"|"&amp;152,LISTA_KLUCZ,0))),"")</f>
        <v>Standing landmine press</v>
      </c>
      <c r="EY65" s="5" t="str">
        <f t="array" ref="EY65">IFERROR(IF('T1'!$J65="",INDEX(LISTA_EX,153),INDEX(LISTA_EX,MATCH('T1'!$J65&amp;"|"&amp;153,LISTA_KLUCZ,0))),"")</f>
        <v>Suitcase carry</v>
      </c>
      <c r="EZ65" s="5" t="str">
        <f t="array" ref="EZ65">IFERROR(IF('T1'!$J65="",INDEX(LISTA_EX,154),INDEX(LISTA_EX,MATCH('T1'!$J65&amp;"|"&amp;154,LISTA_KLUCZ,0))),"")</f>
        <v>Supine pigeon abs</v>
      </c>
      <c r="FA65" s="5" t="str">
        <f t="array" ref="FA65">IFERROR(IF('T1'!$J65="",INDEX(LISTA_EX,155),INDEX(LISTA_EX,MATCH('T1'!$J65&amp;"|"&amp;155,LISTA_KLUCZ,0))),"")</f>
        <v>Swiss ball leg curl</v>
      </c>
      <c r="FB65" s="5" t="str">
        <f t="array" ref="FB65">IFERROR(IF('T1'!$J65="",INDEX(LISTA_EX,156),INDEX(LISTA_EX,MATCH('T1'!$J65&amp;"|"&amp;156,LISTA_KLUCZ,0))),"")</f>
        <v>Toes to bar</v>
      </c>
      <c r="FC65" s="5" t="str">
        <f t="array" ref="FC65">IFERROR(IF('T1'!$J65="",INDEX(LISTA_EX,157),INDEX(LISTA_EX,MATCH('T1'!$J65&amp;"|"&amp;157,LISTA_KLUCZ,0))),"")</f>
        <v>Trap bar deadlift</v>
      </c>
      <c r="FD65" s="5" t="str">
        <f t="array" ref="FD65">IFERROR(IF('T1'!$J65="",INDEX(LISTA_EX,158),INDEX(LISTA_EX,MATCH('T1'!$J65&amp;"|"&amp;158,LISTA_KLUCZ,0))),"")</f>
        <v>Tricep cable pushdown</v>
      </c>
      <c r="FE65" s="5" t="str">
        <f t="array" ref="FE65">IFERROR(IF('T1'!$J65="",INDEX(LISTA_EX,159),INDEX(LISTA_EX,MATCH('T1'!$J65&amp;"|"&amp;159,LISTA_KLUCZ,0))),"")</f>
        <v>Tricep JM press</v>
      </c>
      <c r="FF65" s="5" t="str">
        <f t="array" ref="FF65">IFERROR(IF('T1'!$J65="",INDEX(LISTA_EX,160),INDEX(LISTA_EX,MATCH('T1'!$J65&amp;"|"&amp;160,LISTA_KLUCZ,0))),"")</f>
        <v>Tricep OH cable</v>
      </c>
      <c r="FG65" s="5" t="str">
        <f t="array" ref="FG65">IFERROR(IF('T1'!$J65="",INDEX(LISTA_EX,161),INDEX(LISTA_EX,MATCH('T1'!$J65&amp;"|"&amp;161,LISTA_KLUCZ,0))),"")</f>
        <v>Tricep OH ez bar</v>
      </c>
      <c r="FH65" s="5" t="str">
        <f t="array" ref="FH65">IFERROR(IF('T1'!$J65="",INDEX(LISTA_EX,162),INDEX(LISTA_EX,MATCH('T1'!$J65&amp;"|"&amp;162,LISTA_KLUCZ,0))),"")</f>
        <v>Walking lunges</v>
      </c>
      <c r="FI65" s="5" t="str">
        <f t="array" ref="FI65">IFERROR(IF('T1'!$J65="",INDEX(LISTA_EX,163),INDEX(LISTA_EX,MATCH('T1'!$J65&amp;"|"&amp;163,LISTA_KLUCZ,0))),"")</f>
        <v>Wipers kettle</v>
      </c>
      <c r="FJ65" s="5" t="str">
        <f t="array" ref="FJ65">IFERROR(IF('T1'!$J65="",INDEX(LISTA_EX,164),INDEX(LISTA_EX,MATCH('T1'!$J65&amp;"|"&amp;164,LISTA_KLUCZ,0))),"")</f>
        <v>Zercher jumps</v>
      </c>
      <c r="FK65" s="5" t="str">
        <f t="array" ref="FK65">IFERROR(IF('T1'!$J65="",INDEX(LISTA_EX,165),INDEX(LISTA_EX,MATCH('T1'!$J65&amp;"|"&amp;165,LISTA_KLUCZ,0))),"")</f>
        <v/>
      </c>
      <c r="FL65" s="5" t="str">
        <f t="array" ref="FL65">IFERROR(IF('T1'!$J65="",INDEX(LISTA_EX,166),INDEX(LISTA_EX,MATCH('T1'!$J65&amp;"|"&amp;166,LISTA_KLUCZ,0))),"")</f>
        <v/>
      </c>
      <c r="FM65" s="5" t="str">
        <f t="array" ref="FM65">IFERROR(IF('T1'!$J65="",INDEX(LISTA_EX,167),INDEX(LISTA_EX,MATCH('T1'!$J65&amp;"|"&amp;167,LISTA_KLUCZ,0))),"")</f>
        <v/>
      </c>
      <c r="FN65" s="5" t="str">
        <f t="array" ref="FN65">IFERROR(IF('T1'!$J65="",INDEX(LISTA_EX,168),INDEX(LISTA_EX,MATCH('T1'!$J65&amp;"|"&amp;168,LISTA_KLUCZ,0))),"")</f>
        <v/>
      </c>
      <c r="FO65" s="5" t="str">
        <f t="array" ref="FO65">IFERROR(IF('T1'!$J65="",INDEX(LISTA_EX,169),INDEX(LISTA_EX,MATCH('T1'!$J65&amp;"|"&amp;169,LISTA_KLUCZ,0))),"")</f>
        <v/>
      </c>
      <c r="FP65" s="5" t="str">
        <f t="array" ref="FP65">IFERROR(IF('T1'!$J65="",INDEX(LISTA_EX,170),INDEX(LISTA_EX,MATCH('T1'!$J65&amp;"|"&amp;170,LISTA_KLUCZ,0))),"")</f>
        <v/>
      </c>
      <c r="FQ65" s="5" t="str">
        <f t="array" ref="FQ65">IFERROR(IF('T1'!$J65="",INDEX(LISTA_EX,171),INDEX(LISTA_EX,MATCH('T1'!$J65&amp;"|"&amp;171,LISTA_KLUCZ,0))),"")</f>
        <v/>
      </c>
      <c r="FR65" s="5" t="str">
        <f t="array" ref="FR65">IFERROR(IF('T1'!$J65="",INDEX(LISTA_EX,172),INDEX(LISTA_EX,MATCH('T1'!$J65&amp;"|"&amp;172,LISTA_KLUCZ,0))),"")</f>
        <v/>
      </c>
      <c r="FS65" s="5" t="str">
        <f t="array" ref="FS65">IFERROR(IF('T1'!$J65="",INDEX(LISTA_EX,173),INDEX(LISTA_EX,MATCH('T1'!$J65&amp;"|"&amp;173,LISTA_KLUCZ,0))),"")</f>
        <v/>
      </c>
      <c r="FT65" s="5" t="str">
        <f t="array" ref="FT65">IFERROR(IF('T1'!$J65="",INDEX(LISTA_EX,174),INDEX(LISTA_EX,MATCH('T1'!$J65&amp;"|"&amp;174,LISTA_KLUCZ,0))),"")</f>
        <v/>
      </c>
      <c r="FU65" s="5" t="str">
        <f t="array" ref="FU65">IFERROR(IF('T1'!$J65="",INDEX(LISTA_EX,175),INDEX(LISTA_EX,MATCH('T1'!$J65&amp;"|"&amp;175,LISTA_KLUCZ,0))),"")</f>
        <v/>
      </c>
      <c r="FV65" s="5" t="str">
        <f t="array" ref="FV65">IFERROR(IF('T1'!$J65="",INDEX(LISTA_EX,176),INDEX(LISTA_EX,MATCH('T1'!$J65&amp;"|"&amp;176,LISTA_KLUCZ,0))),"")</f>
        <v/>
      </c>
      <c r="FW65" s="5" t="str">
        <f t="array" ref="FW65">IFERROR(IF('T1'!$J65="",INDEX(LISTA_EX,177),INDEX(LISTA_EX,MATCH('T1'!$J65&amp;"|"&amp;177,LISTA_KLUCZ,0))),"")</f>
        <v/>
      </c>
      <c r="FX65" s="5" t="str">
        <f t="array" ref="FX65">IFERROR(IF('T1'!$J65="",INDEX(LISTA_EX,178),INDEX(LISTA_EX,MATCH('T1'!$J65&amp;"|"&amp;178,LISTA_KLUCZ,0))),"")</f>
        <v/>
      </c>
      <c r="FY65" s="5" t="str">
        <f t="array" ref="FY65">IFERROR(IF('T1'!$J65="",INDEX(LISTA_EX,179),INDEX(LISTA_EX,MATCH('T1'!$J65&amp;"|"&amp;179,LISTA_KLUCZ,0))),"")</f>
        <v/>
      </c>
      <c r="FZ65" s="5" t="str">
        <f t="array" ref="FZ65">IFERROR(IF('T1'!$J65="",INDEX(LISTA_EX,180),INDEX(LISTA_EX,MATCH('T1'!$J65&amp;"|"&amp;180,LISTA_KLUCZ,0))),"")</f>
        <v/>
      </c>
      <c r="GA65" s="5" t="str">
        <f t="array" ref="GA65">IFERROR(IF('T1'!$J65="",INDEX(LISTA_EX,181),INDEX(LISTA_EX,MATCH('T1'!$J65&amp;"|"&amp;181,LISTA_KLUCZ,0))),"")</f>
        <v/>
      </c>
      <c r="GB65" s="5" t="str">
        <f t="array" ref="GB65">IFERROR(IF('T1'!$J65="",INDEX(LISTA_EX,182),INDEX(LISTA_EX,MATCH('T1'!$J65&amp;"|"&amp;182,LISTA_KLUCZ,0))),"")</f>
        <v/>
      </c>
      <c r="GC65" s="5" t="str">
        <f t="array" ref="GC65">IFERROR(IF('T1'!$J65="",INDEX(LISTA_EX,183),INDEX(LISTA_EX,MATCH('T1'!$J65&amp;"|"&amp;183,LISTA_KLUCZ,0))),"")</f>
        <v/>
      </c>
      <c r="GD65" s="5" t="str">
        <f t="array" ref="GD65">IFERROR(IF('T1'!$J65="",INDEX(LISTA_EX,184),INDEX(LISTA_EX,MATCH('T1'!$J65&amp;"|"&amp;184,LISTA_KLUCZ,0))),"")</f>
        <v/>
      </c>
      <c r="GE65" s="5" t="str">
        <f t="array" ref="GE65">IFERROR(IF('T1'!$J65="",INDEX(LISTA_EX,185),INDEX(LISTA_EX,MATCH('T1'!$J65&amp;"|"&amp;185,LISTA_KLUCZ,0))),"")</f>
        <v/>
      </c>
      <c r="GF65" s="5" t="str">
        <f t="array" ref="GF65">IFERROR(IF('T1'!$J65="",INDEX(LISTA_EX,186),INDEX(LISTA_EX,MATCH('T1'!$J65&amp;"|"&amp;186,LISTA_KLUCZ,0))),"")</f>
        <v/>
      </c>
      <c r="GG65" s="5" t="str">
        <f t="array" ref="GG65">IFERROR(IF('T1'!$J65="",INDEX(LISTA_EX,187),INDEX(LISTA_EX,MATCH('T1'!$J65&amp;"|"&amp;187,LISTA_KLUCZ,0))),"")</f>
        <v/>
      </c>
      <c r="GH65" s="5" t="str">
        <f t="array" ref="GH65">IFERROR(IF('T1'!$J65="",INDEX(LISTA_EX,188),INDEX(LISTA_EX,MATCH('T1'!$J65&amp;"|"&amp;188,LISTA_KLUCZ,0))),"")</f>
        <v/>
      </c>
      <c r="GI65" s="5" t="str">
        <f t="array" ref="GI65">IFERROR(IF('T1'!$J65="",INDEX(LISTA_EX,189),INDEX(LISTA_EX,MATCH('T1'!$J65&amp;"|"&amp;189,LISTA_KLUCZ,0))),"")</f>
        <v/>
      </c>
      <c r="GJ65" s="5" t="str">
        <f t="array" ref="GJ65">IFERROR(IF('T1'!$J65="",INDEX(LISTA_EX,190),INDEX(LISTA_EX,MATCH('T1'!$J65&amp;"|"&amp;190,LISTA_KLUCZ,0))),"")</f>
        <v/>
      </c>
      <c r="GK65" s="5" t="str">
        <f t="array" ref="GK65">IFERROR(IF('T1'!$J65="",INDEX(LISTA_EX,191),INDEX(LISTA_EX,MATCH('T1'!$J65&amp;"|"&amp;191,LISTA_KLUCZ,0))),"")</f>
        <v/>
      </c>
      <c r="GL65" s="5" t="str">
        <f t="array" ref="GL65">IFERROR(IF('T1'!$J65="",INDEX(LISTA_EX,192),INDEX(LISTA_EX,MATCH('T1'!$J65&amp;"|"&amp;192,LISTA_KLUCZ,0))),"")</f>
        <v/>
      </c>
      <c r="GM65" s="5" t="str">
        <f t="array" ref="GM65">IFERROR(IF('T1'!$J65="",INDEX(LISTA_EX,193),INDEX(LISTA_EX,MATCH('T1'!$J65&amp;"|"&amp;193,LISTA_KLUCZ,0))),"")</f>
        <v/>
      </c>
      <c r="GN65" s="5" t="str">
        <f t="array" ref="GN65">IFERROR(IF('T1'!$J65="",INDEX(LISTA_EX,194),INDEX(LISTA_EX,MATCH('T1'!$J65&amp;"|"&amp;194,LISTA_KLUCZ,0))),"")</f>
        <v/>
      </c>
      <c r="GO65" s="5" t="str">
        <f t="array" ref="GO65">IFERROR(IF('T1'!$J65="",INDEX(LISTA_EX,195),INDEX(LISTA_EX,MATCH('T1'!$J65&amp;"|"&amp;195,LISTA_KLUCZ,0))),"")</f>
        <v/>
      </c>
      <c r="GP65" s="5" t="str">
        <f t="array" ref="GP65">IFERROR(IF('T1'!$J65="",INDEX(LISTA_EX,196),INDEX(LISTA_EX,MATCH('T1'!$J65&amp;"|"&amp;196,LISTA_KLUCZ,0))),"")</f>
        <v/>
      </c>
      <c r="GQ65" s="5" t="str">
        <f t="array" ref="GQ65">IFERROR(IF('T1'!$J65="",INDEX(LISTA_EX,197),INDEX(LISTA_EX,MATCH('T1'!$J65&amp;"|"&amp;197,LISTA_KLUCZ,0))),"")</f>
        <v/>
      </c>
      <c r="GR65" s="5" t="str">
        <f t="array" ref="GR65">IFERROR(IF('T1'!$J65="",INDEX(LISTA_EX,198),INDEX(LISTA_EX,MATCH('T1'!$J65&amp;"|"&amp;198,LISTA_KLUCZ,0))),"")</f>
        <v/>
      </c>
      <c r="GS65" s="5" t="str">
        <f t="array" ref="GS65">IFERROR(IF('T1'!$J65="",INDEX(LISTA_EX,199),INDEX(LISTA_EX,MATCH('T1'!$J65&amp;"|"&amp;199,LISTA_KLUCZ,0))),"")</f>
        <v/>
      </c>
      <c r="GT65" s="5" t="str">
        <f t="array" ref="GT65">IFERROR(IF('T1'!$J65="",INDEX(LISTA_EX,200),INDEX(LISTA_EX,MATCH('T1'!$J65&amp;"|"&amp;200,LISTA_KLUCZ,0))),"")</f>
        <v/>
      </c>
      <c r="GV65" s="5" t="str">
        <f>IF(BAZA!$A65="","",BAZA!$A65)</f>
        <v>Dumbbells jumps</v>
      </c>
      <c r="GW65" s="5" t="str">
        <f>IF(BAZA!$B65="","",BAZA!$B65&amp;"|"&amp;COUNTIF(BAZA!$B$3:$B65,BAZA!$B65))</f>
        <v>Lower push|10</v>
      </c>
    </row>
    <row r="66" ht="15.0" customHeight="1">
      <c r="A66" s="5" t="str">
        <f>IF('T1'!$K66="","",'T1'!$K66)</f>
        <v>D4-S12</v>
      </c>
      <c r="B66" s="5" t="str">
        <f>IF('T1'!$J66="","(wszystkie)",'T1'!$J66)</f>
        <v>(wszystkie)</v>
      </c>
      <c r="C66" s="5" t="str">
        <f t="array" ref="C66">IFERROR(IF('T1'!$J66="",INDEX(LISTA_EX,1),INDEX(LISTA_EX,MATCH('T1'!$J66&amp;"|"&amp;1,LISTA_KLUCZ,0))),"")</f>
        <v>Abduction machine</v>
      </c>
      <c r="D66" s="5" t="str">
        <f t="array" ref="D66">IFERROR(IF('T1'!$J66="",INDEX(LISTA_EX,2),INDEX(LISTA_EX,MATCH('T1'!$J66&amp;"|"&amp;2,LISTA_KLUCZ,0))),"")</f>
        <v>Adduction machine</v>
      </c>
      <c r="E66" s="5" t="str">
        <f t="array" ref="E66">IFERROR(IF('T1'!$J66="",INDEX(LISTA_EX,3),INDEX(LISTA_EX,MATCH('T1'!$J66&amp;"|"&amp;3,LISTA_KLUCZ,0))),"")</f>
        <v>Allah</v>
      </c>
      <c r="F66" s="5" t="str">
        <f t="array" ref="F66">IFERROR(IF('T1'!$J66="",INDEX(LISTA_EX,4),INDEX(LISTA_EX,MATCH('T1'!$J66&amp;"|"&amp;4,LISTA_KLUCZ,0))),"")</f>
        <v>Arnold press</v>
      </c>
      <c r="G66" s="5" t="str">
        <f t="array" ref="G66">IFERROR(IF('T1'!$J66="",INDEX(LISTA_EX,5),INDEX(LISTA_EX,MATCH('T1'!$J66&amp;"|"&amp;5,LISTA_KLUCZ,0))),"")</f>
        <v>Arnold press alternating</v>
      </c>
      <c r="H66" s="5" t="str">
        <f t="array" ref="H66">IFERROR(IF('T1'!$J66="",INDEX(LISTA_EX,6),INDEX(LISTA_EX,MATCH('T1'!$J66&amp;"|"&amp;6,LISTA_KLUCZ,0))),"")</f>
        <v>B/l dragonflag eccentric</v>
      </c>
      <c r="I66" s="5" t="str">
        <f t="array" ref="I66">IFERROR(IF('T1'!$J66="",INDEX(LISTA_EX,7),INDEX(LISTA_EX,MATCH('T1'!$J66&amp;"|"&amp;7,LISTA_KLUCZ,0))),"")</f>
        <v>Back extension</v>
      </c>
      <c r="J66" s="5" t="str">
        <f t="array" ref="J66">IFERROR(IF('T1'!$J66="",INDEX(LISTA_EX,8),INDEX(LISTA_EX,MATCH('T1'!$J66&amp;"|"&amp;8,LISTA_KLUCZ,0))),"")</f>
        <v>Banded pistol squat</v>
      </c>
      <c r="K66" s="5" t="str">
        <f t="array" ref="K66">IFERROR(IF('T1'!$J66="",INDEX(LISTA_EX,9),INDEX(LISTA_EX,MATCH('T1'!$J66&amp;"|"&amp;9,LISTA_KLUCZ,0))),"")</f>
        <v>Banded pull ups</v>
      </c>
      <c r="L66" s="5" t="str">
        <f t="array" ref="L66">IFERROR(IF('T1'!$J66="",INDEX(LISTA_EX,10),INDEX(LISTA_EX,MATCH('T1'!$J66&amp;"|"&amp;10,LISTA_KLUCZ,0))),"")</f>
        <v>Barbell back squat</v>
      </c>
      <c r="M66" s="5" t="str">
        <f t="array" ref="M66">IFERROR(IF('T1'!$J66="",INDEX(LISTA_EX,11),INDEX(LISTA_EX,MATCH('T1'!$J66&amp;"|"&amp;11,LISTA_KLUCZ,0))),"")</f>
        <v>Barbell bench press</v>
      </c>
      <c r="N66" s="5" t="str">
        <f t="array" ref="N66">IFERROR(IF('T1'!$J66="",INDEX(LISTA_EX,12),INDEX(LISTA_EX,MATCH('T1'!$J66&amp;"|"&amp;12,LISTA_KLUCZ,0))),"")</f>
        <v>Barbell curl</v>
      </c>
      <c r="O66" s="5" t="str">
        <f t="array" ref="O66">IFERROR(IF('T1'!$J66="",INDEX(LISTA_EX,13),INDEX(LISTA_EX,MATCH('T1'!$J66&amp;"|"&amp;13,LISTA_KLUCZ,0))),"")</f>
        <v>Barbell low bar squat</v>
      </c>
      <c r="P66" s="5" t="str">
        <f t="array" ref="P66">IFERROR(IF('T1'!$J66="",INDEX(LISTA_EX,14),INDEX(LISTA_EX,MATCH('T1'!$J66&amp;"|"&amp;14,LISTA_KLUCZ,0))),"")</f>
        <v>Barbell OHP</v>
      </c>
      <c r="Q66" s="5" t="str">
        <f t="array" ref="Q66">IFERROR(IF('T1'!$J66="",INDEX(LISTA_EX,15),INDEX(LISTA_EX,MATCH('T1'!$J66&amp;"|"&amp;15,LISTA_KLUCZ,0))),"")</f>
        <v>Barbell oscilation</v>
      </c>
      <c r="R66" s="5" t="str">
        <f t="array" ref="R66">IFERROR(IF('T1'!$J66="",INDEX(LISTA_EX,16),INDEX(LISTA_EX,MATCH('T1'!$J66&amp;"|"&amp;16,LISTA_KLUCZ,0))),"")</f>
        <v>Barbell row</v>
      </c>
      <c r="S66" s="5" t="str">
        <f t="array" ref="S66">IFERROR(IF('T1'!$J66="",INDEX(LISTA_EX,17),INDEX(LISTA_EX,MATCH('T1'!$J66&amp;"|"&amp;17,LISTA_KLUCZ,0))),"")</f>
        <v>Barbell row dead stop pins</v>
      </c>
      <c r="T66" s="5" t="str">
        <f t="array" ref="T66">IFERROR(IF('T1'!$J66="",INDEX(LISTA_EX,18),INDEX(LISTA_EX,MATCH('T1'!$J66&amp;"|"&amp;18,LISTA_KLUCZ,0))),"")</f>
        <v>Barbell SLDL</v>
      </c>
      <c r="U66" s="5" t="str">
        <f t="array" ref="U66">IFERROR(IF('T1'!$J66="",INDEX(LISTA_EX,19),INDEX(LISTA_EX,MATCH('T1'!$J66&amp;"|"&amp;19,LISTA_KLUCZ,0))),"")</f>
        <v>Bayesian curl</v>
      </c>
      <c r="V66" s="5" t="str">
        <f t="array" ref="V66">IFERROR(IF('T1'!$J66="",INDEX(LISTA_EX,20),INDEX(LISTA_EX,MATCH('T1'!$J66&amp;"|"&amp;20,LISTA_KLUCZ,0))),"")</f>
        <v>Bear renegade row</v>
      </c>
      <c r="W66" s="5" t="str">
        <f t="array" ref="W66">IFERROR(IF('T1'!$J66="",INDEX(LISTA_EX,21),INDEX(LISTA_EX,MATCH('T1'!$J66&amp;"|"&amp;21,LISTA_KLUCZ,0))),"")</f>
        <v>Bench press paused 3sec</v>
      </c>
      <c r="X66" s="5" t="str">
        <f t="array" ref="X66">IFERROR(IF('T1'!$J66="",INDEX(LISTA_EX,22),INDEX(LISTA_EX,MATCH('T1'!$J66&amp;"|"&amp;22,LISTA_KLUCZ,0))),"")</f>
        <v>Bicep hammer curl</v>
      </c>
      <c r="Y66" s="5" t="str">
        <f t="array" ref="Y66">IFERROR(IF('T1'!$J66="",INDEX(LISTA_EX,23),INDEX(LISTA_EX,MATCH('T1'!$J66&amp;"|"&amp;23,LISTA_KLUCZ,0))),"")</f>
        <v>Bicep squat cable curl</v>
      </c>
      <c r="Z66" s="5" t="str">
        <f t="array" ref="Z66">IFERROR(IF('T1'!$J66="",INDEX(LISTA_EX,24),INDEX(LISTA_EX,MATCH('T1'!$J66&amp;"|"&amp;24,LISTA_KLUCZ,0))),"")</f>
        <v>Bird dog row</v>
      </c>
      <c r="AA66" s="5" t="str">
        <f t="array" ref="AA66">IFERROR(IF('T1'!$J66="",INDEX(LISTA_EX,25),INDEX(LISTA_EX,MATCH('T1'!$J66&amp;"|"&amp;25,LISTA_KLUCZ,0))),"")</f>
        <v>Box jump</v>
      </c>
      <c r="AB66" s="5" t="str">
        <f t="array" ref="AB66">IFERROR(IF('T1'!$J66="",INDEX(LISTA_EX,26),INDEX(LISTA_EX,MATCH('T1'!$J66&amp;"|"&amp;26,LISTA_KLUCZ,0))),"")</f>
        <v>Bulgarian clean plyo</v>
      </c>
      <c r="AC66" s="5" t="str">
        <f t="array" ref="AC66">IFERROR(IF('T1'!$J66="",INDEX(LISTA_EX,27),INDEX(LISTA_EX,MATCH('T1'!$J66&amp;"|"&amp;27,LISTA_KLUCZ,0))),"")</f>
        <v>Bulgarian squat assisted</v>
      </c>
      <c r="AD66" s="5" t="str">
        <f t="array" ref="AD66">IFERROR(IF('T1'!$J66="",INDEX(LISTA_EX,28),INDEX(LISTA_EX,MATCH('T1'!$J66&amp;"|"&amp;28,LISTA_KLUCZ,0))),"")</f>
        <v>Cable biceps curl</v>
      </c>
      <c r="AE66" s="5" t="str">
        <f t="array" ref="AE66">IFERROR(IF('T1'!$J66="",INDEX(LISTA_EX,29),INDEX(LISTA_EX,MATCH('T1'!$J66&amp;"|"&amp;29,LISTA_KLUCZ,0))),"")</f>
        <v>Cable fly</v>
      </c>
      <c r="AF66" s="5" t="str">
        <f t="array" ref="AF66">IFERROR(IF('T1'!$J66="",INDEX(LISTA_EX,30),INDEX(LISTA_EX,MATCH('T1'!$J66&amp;"|"&amp;30,LISTA_KLUCZ,0))),"")</f>
        <v>Cable lateral raise s/a</v>
      </c>
      <c r="AG66" s="5" t="str">
        <f t="array" ref="AG66">IFERROR(IF('T1'!$J66="",INDEX(LISTA_EX,31),INDEX(LISTA_EX,MATCH('T1'!$J66&amp;"|"&amp;31,LISTA_KLUCZ,0))),"")</f>
        <v>Cable row</v>
      </c>
      <c r="AH66" s="5" t="str">
        <f t="array" ref="AH66">IFERROR(IF('T1'!$J66="",INDEX(LISTA_EX,32),INDEX(LISTA_EX,MATCH('T1'!$J66&amp;"|"&amp;32,LISTA_KLUCZ,0))),"")</f>
        <v>Cable row s/a</v>
      </c>
      <c r="AI66" s="5" t="str">
        <f t="array" ref="AI66">IFERROR(IF('T1'!$J66="",INDEX(LISTA_EX,33),INDEX(LISTA_EX,MATCH('T1'!$J66&amp;"|"&amp;33,LISTA_KLUCZ,0))),"")</f>
        <v>Calf raises</v>
      </c>
      <c r="AJ66" s="5" t="str">
        <f t="array" ref="AJ66">IFERROR(IF('T1'!$J66="",INDEX(LISTA_EX,34),INDEX(LISTA_EX,MATCH('T1'!$J66&amp;"|"&amp;34,LISTA_KLUCZ,0))),"")</f>
        <v>Chest fly machine</v>
      </c>
      <c r="AK66" s="5" t="str">
        <f t="array" ref="AK66">IFERROR(IF('T1'!$J66="",INDEX(LISTA_EX,35),INDEX(LISTA_EX,MATCH('T1'!$J66&amp;"|"&amp;35,LISTA_KLUCZ,0))),"")</f>
        <v>Clean</v>
      </c>
      <c r="AL66" s="5" t="str">
        <f t="array" ref="AL66">IFERROR(IF('T1'!$J66="",INDEX(LISTA_EX,36),INDEX(LISTA_EX,MATCH('T1'!$J66&amp;"|"&amp;36,LISTA_KLUCZ,0))),"")</f>
        <v>Clean pins</v>
      </c>
      <c r="AM66" s="5" t="str">
        <f t="array" ref="AM66">IFERROR(IF('T1'!$J66="",INDEX(LISTA_EX,37),INDEX(LISTA_EX,MATCH('T1'!$J66&amp;"|"&amp;37,LISTA_KLUCZ,0))),"")</f>
        <v>Copenhagen plank</v>
      </c>
      <c r="AN66" s="5" t="str">
        <f t="array" ref="AN66">IFERROR(IF('T1'!$J66="",INDEX(LISTA_EX,38),INDEX(LISTA_EX,MATCH('T1'!$J66&amp;"|"&amp;38,LISTA_KLUCZ,0))),"")</f>
        <v>Dead bug izo + OH</v>
      </c>
      <c r="AO66" s="5" t="str">
        <f t="array" ref="AO66">IFERROR(IF('T1'!$J66="",INDEX(LISTA_EX,39),INDEX(LISTA_EX,MATCH('T1'!$J66&amp;"|"&amp;39,LISTA_KLUCZ,0))),"")</f>
        <v>Dead bug straight legs</v>
      </c>
      <c r="AP66" s="5" t="str">
        <f t="array" ref="AP66">IFERROR(IF('T1'!$J66="",INDEX(LISTA_EX,40),INDEX(LISTA_EX,MATCH('T1'!$J66&amp;"|"&amp;40,LISTA_KLUCZ,0))),"")</f>
        <v>Dead stop barbell row</v>
      </c>
      <c r="AQ66" s="5" t="str">
        <f t="array" ref="AQ66">IFERROR(IF('T1'!$J66="",INDEX(LISTA_EX,41),INDEX(LISTA_EX,MATCH('T1'!$J66&amp;"|"&amp;41,LISTA_KLUCZ,0))),"")</f>
        <v>Deadbug OH</v>
      </c>
      <c r="AR66" s="5" t="str">
        <f t="array" ref="AR66">IFERROR(IF('T1'!$J66="",INDEX(LISTA_EX,42),INDEX(LISTA_EX,MATCH('T1'!$J66&amp;"|"&amp;42,LISTA_KLUCZ,0))),"")</f>
        <v>Deadlift</v>
      </c>
      <c r="AS66" s="5" t="str">
        <f t="array" ref="AS66">IFERROR(IF('T1'!$J66="",INDEX(LISTA_EX,43),INDEX(LISTA_EX,MATCH('T1'!$J66&amp;"|"&amp;43,LISTA_KLUCZ,0))),"")</f>
        <v>Deficit push up</v>
      </c>
      <c r="AT66" s="5" t="str">
        <f t="array" ref="AT66">IFERROR(IF('T1'!$J66="",INDEX(LISTA_EX,44),INDEX(LISTA_EX,MATCH('T1'!$J66&amp;"|"&amp;44,LISTA_KLUCZ,0))),"")</f>
        <v>Deficit reverse lunge</v>
      </c>
      <c r="AU66" s="5" t="str">
        <f t="array" ref="AU66">IFERROR(IF('T1'!$J66="",INDEX(LISTA_EX,45),INDEX(LISTA_EX,MATCH('T1'!$J66&amp;"|"&amp;45,LISTA_KLUCZ,0))),"")</f>
        <v>Dips</v>
      </c>
      <c r="AV66" s="5" t="str">
        <f t="array" ref="AV66">IFERROR(IF('T1'!$J66="",INDEX(LISTA_EX,46),INDEX(LISTA_EX,MATCH('T1'!$J66&amp;"|"&amp;46,LISTA_KLUCZ,0))),"")</f>
        <v>Dips weighted</v>
      </c>
      <c r="AW66" s="5" t="str">
        <f t="array" ref="AW66">IFERROR(IF('T1'!$J66="",INDEX(LISTA_EX,47),INDEX(LISTA_EX,MATCH('T1'!$J66&amp;"|"&amp;47,LISTA_KLUCZ,0))),"")</f>
        <v>Dumbbell bench press</v>
      </c>
      <c r="AX66" s="5" t="str">
        <f t="array" ref="AX66">IFERROR(IF('T1'!$J66="",INDEX(LISTA_EX,48),INDEX(LISTA_EX,MATCH('T1'!$J66&amp;"|"&amp;48,LISTA_KLUCZ,0))),"")</f>
        <v>Dumbbell bench press alternating</v>
      </c>
      <c r="AY66" s="5" t="str">
        <f t="array" ref="AY66">IFERROR(IF('T1'!$J66="",INDEX(LISTA_EX,49),INDEX(LISTA_EX,MATCH('T1'!$J66&amp;"|"&amp;49,LISTA_KLUCZ,0))),"")</f>
        <v>Dumbbell curl</v>
      </c>
      <c r="AZ66" s="5" t="str">
        <f t="array" ref="AZ66">IFERROR(IF('T1'!$J66="",INDEX(LISTA_EX,50),INDEX(LISTA_EX,MATCH('T1'!$J66&amp;"|"&amp;50,LISTA_KLUCZ,0))),"")</f>
        <v>Dumbbell external rotation</v>
      </c>
      <c r="BA66" s="5" t="str">
        <f t="array" ref="BA66">IFERROR(IF('T1'!$J66="",INDEX(LISTA_EX,51),INDEX(LISTA_EX,MATCH('T1'!$J66&amp;"|"&amp;51,LISTA_KLUCZ,0))),"")</f>
        <v>Dumbbell face down curl</v>
      </c>
      <c r="BB66" s="5" t="str">
        <f t="array" ref="BB66">IFERROR(IF('T1'!$J66="",INDEX(LISTA_EX,52),INDEX(LISTA_EX,MATCH('T1'!$J66&amp;"|"&amp;52,LISTA_KLUCZ,0))),"")</f>
        <v>Dumbbell fly</v>
      </c>
      <c r="BC66" s="5" t="str">
        <f t="array" ref="BC66">IFERROR(IF('T1'!$J66="",INDEX(LISTA_EX,53),INDEX(LISTA_EX,MATCH('T1'!$J66&amp;"|"&amp;53,LISTA_KLUCZ,0))),"")</f>
        <v>Dumbbell french press</v>
      </c>
      <c r="BD66" s="5" t="str">
        <f t="array" ref="BD66">IFERROR(IF('T1'!$J66="",INDEX(LISTA_EX,54),INDEX(LISTA_EX,MATCH('T1'!$J66&amp;"|"&amp;54,LISTA_KLUCZ,0))),"")</f>
        <v>Dumbbell lateral raise</v>
      </c>
      <c r="BE66" s="5" t="str">
        <f t="array" ref="BE66">IFERROR(IF('T1'!$J66="",INDEX(LISTA_EX,55),INDEX(LISTA_EX,MATCH('T1'!$J66&amp;"|"&amp;55,LISTA_KLUCZ,0))),"")</f>
        <v>Dumbbell lunges</v>
      </c>
      <c r="BF66" s="5" t="str">
        <f t="array" ref="BF66">IFERROR(IF('T1'!$J66="",INDEX(LISTA_EX,56),INDEX(LISTA_EX,MATCH('T1'!$J66&amp;"|"&amp;56,LISTA_KLUCZ,0))),"")</f>
        <v>Dumbbell OH press</v>
      </c>
      <c r="BG66" s="5" t="str">
        <f t="array" ref="BG66">IFERROR(IF('T1'!$J66="",INDEX(LISTA_EX,57),INDEX(LISTA_EX,MATCH('T1'!$J66&amp;"|"&amp;57,LISTA_KLUCZ,0))),"")</f>
        <v>Dumbbell over head press</v>
      </c>
      <c r="BH66" s="5" t="str">
        <f t="array" ref="BH66">IFERROR(IF('T1'!$J66="",INDEX(LISTA_EX,58),INDEX(LISTA_EX,MATCH('T1'!$J66&amp;"|"&amp;58,LISTA_KLUCZ,0))),"")</f>
        <v>Dumbbell over head press alternating</v>
      </c>
      <c r="BI66" s="5" t="str">
        <f t="array" ref="BI66">IFERROR(IF('T1'!$J66="",INDEX(LISTA_EX,59),INDEX(LISTA_EX,MATCH('T1'!$J66&amp;"|"&amp;59,LISTA_KLUCZ,0))),"")</f>
        <v>Dumbbell row</v>
      </c>
      <c r="BJ66" s="5" t="str">
        <f t="array" ref="BJ66">IFERROR(IF('T1'!$J66="",INDEX(LISTA_EX,60),INDEX(LISTA_EX,MATCH('T1'!$J66&amp;"|"&amp;60,LISTA_KLUCZ,0))),"")</f>
        <v>Dumbbell s/a Arnold press</v>
      </c>
      <c r="BK66" s="5" t="str">
        <f t="array" ref="BK66">IFERROR(IF('T1'!$J66="",INDEX(LISTA_EX,61),INDEX(LISTA_EX,MATCH('T1'!$J66&amp;"|"&amp;61,LISTA_KLUCZ,0))),"")</f>
        <v>Dumbbell s/a row</v>
      </c>
      <c r="BL66" s="5" t="str">
        <f t="array" ref="BL66">IFERROR(IF('T1'!$J66="",INDEX(LISTA_EX,62),INDEX(LISTA_EX,MATCH('T1'!$J66&amp;"|"&amp;62,LISTA_KLUCZ,0))),"")</f>
        <v>Dumbbell seal row</v>
      </c>
      <c r="BM66" s="5" t="str">
        <f t="array" ref="BM66">IFERROR(IF('T1'!$J66="",INDEX(LISTA_EX,63),INDEX(LISTA_EX,MATCH('T1'!$J66&amp;"|"&amp;63,LISTA_KLUCZ,0))),"")</f>
        <v>Dumbbells jumps</v>
      </c>
      <c r="BN66" s="5" t="str">
        <f t="array" ref="BN66">IFERROR(IF('T1'!$J66="",INDEX(LISTA_EX,64),INDEX(LISTA_EX,MATCH('T1'!$J66&amp;"|"&amp;64,LISTA_KLUCZ,0))),"")</f>
        <v>Eccentric pull up</v>
      </c>
      <c r="BO66" s="5" t="str">
        <f t="array" ref="BO66">IFERROR(IF('T1'!$J66="",INDEX(LISTA_EX,65),INDEX(LISTA_EX,MATCH('T1'!$J66&amp;"|"&amp;65,LISTA_KLUCZ,0))),"")</f>
        <v>Eccentric push up (5 sek w dół)</v>
      </c>
      <c r="BP66" s="5" t="str">
        <f t="array" ref="BP66">IFERROR(IF('T1'!$J66="",INDEX(LISTA_EX,66),INDEX(LISTA_EX,MATCH('T1'!$J66&amp;"|"&amp;66,LISTA_KLUCZ,0))),"")</f>
        <v>Extensive plyo jumps s/l</v>
      </c>
      <c r="BQ66" s="5" t="str">
        <f t="array" ref="BQ66">IFERROR(IF('T1'!$J66="",INDEX(LISTA_EX,67),INDEX(LISTA_EX,MATCH('T1'!$J66&amp;"|"&amp;67,LISTA_KLUCZ,0))),"")</f>
        <v>Ez bar curl</v>
      </c>
      <c r="BR66" s="5" t="str">
        <f t="array" ref="BR66">IFERROR(IF('T1'!$J66="",INDEX(LISTA_EX,68),INDEX(LISTA_EX,MATCH('T1'!$J66&amp;"|"&amp;68,LISTA_KLUCZ,0))),"")</f>
        <v>Facepull chest supported</v>
      </c>
      <c r="BS66" s="5" t="str">
        <f t="array" ref="BS66">IFERROR(IF('T1'!$J66="",INDEX(LISTA_EX,69),INDEX(LISTA_EX,MATCH('T1'!$J66&amp;"|"&amp;69,LISTA_KLUCZ,0))),"")</f>
        <v>Front foot elevated split squat</v>
      </c>
      <c r="BT66" s="5" t="str">
        <f t="array" ref="BT66">IFERROR(IF('T1'!$J66="",INDEX(LISTA_EX,70),INDEX(LISTA_EX,MATCH('T1'!$J66&amp;"|"&amp;70,LISTA_KLUCZ,0))),"")</f>
        <v>Front squat</v>
      </c>
      <c r="BU66" s="5" t="str">
        <f t="array" ref="BU66">IFERROR(IF('T1'!$J66="",INDEX(LISTA_EX,71),INDEX(LISTA_EX,MATCH('T1'!$J66&amp;"|"&amp;71,LISTA_KLUCZ,0))),"")</f>
        <v>GHD flexion</v>
      </c>
      <c r="BV66" s="5" t="str">
        <f t="array" ref="BV66">IFERROR(IF('T1'!$J66="",INDEX(LISTA_EX,72),INDEX(LISTA_EX,MATCH('T1'!$J66&amp;"|"&amp;72,LISTA_KLUCZ,0))),"")</f>
        <v>Glute bridge hamstrings izo + OH</v>
      </c>
      <c r="BW66" s="5" t="str">
        <f t="array" ref="BW66">IFERROR(IF('T1'!$J66="",INDEX(LISTA_EX,73),INDEX(LISTA_EX,MATCH('T1'!$J66&amp;"|"&amp;73,LISTA_KLUCZ,0))),"")</f>
        <v>Glute crusher</v>
      </c>
      <c r="BX66" s="5" t="str">
        <f t="array" ref="BX66">IFERROR(IF('T1'!$J66="",INDEX(LISTA_EX,74),INDEX(LISTA_EX,MATCH('T1'!$J66&amp;"|"&amp;74,LISTA_KLUCZ,0))),"")</f>
        <v>Gorilla row</v>
      </c>
      <c r="BY66" s="5" t="str">
        <f t="array" ref="BY66">IFERROR(IF('T1'!$J66="",INDEX(LISTA_EX,75),INDEX(LISTA_EX,MATCH('T1'!$J66&amp;"|"&amp;75,LISTA_KLUCZ,0))),"")</f>
        <v>Halfkneeling s/a cable pull</v>
      </c>
      <c r="BZ66" s="5" t="str">
        <f t="array" ref="BZ66">IFERROR(IF('T1'!$J66="",INDEX(LISTA_EX,76),INDEX(LISTA_EX,MATCH('T1'!$J66&amp;"|"&amp;76,LISTA_KLUCZ,0))),"")</f>
        <v>Halfkneeling wood chopper</v>
      </c>
      <c r="CA66" s="5" t="str">
        <f t="array" ref="CA66">IFERROR(IF('T1'!$J66="",INDEX(LISTA_EX,77),INDEX(LISTA_EX,MATCH('T1'!$J66&amp;"|"&amp;77,LISTA_KLUCZ,0))),"")</f>
        <v>Hinged dumbbell row</v>
      </c>
      <c r="CB66" s="5" t="str">
        <f t="array" ref="CB66">IFERROR(IF('T1'!$J66="",INDEX(LISTA_EX,78),INDEX(LISTA_EX,MATCH('T1'!$J66&amp;"|"&amp;78,LISTA_KLUCZ,0))),"")</f>
        <v>Hip aeroplane</v>
      </c>
      <c r="CC66" s="5" t="str">
        <f t="array" ref="CC66">IFERROR(IF('T1'!$J66="",INDEX(LISTA_EX,79),INDEX(LISTA_EX,MATCH('T1'!$J66&amp;"|"&amp;79,LISTA_KLUCZ,0))),"")</f>
        <v>Hip flexors cable</v>
      </c>
      <c r="CD66" s="5" t="str">
        <f t="array" ref="CD66">IFERROR(IF('T1'!$J66="",INDEX(LISTA_EX,80),INDEX(LISTA_EX,MATCH('T1'!$J66&amp;"|"&amp;80,LISTA_KLUCZ,0))),"")</f>
        <v>Hip thrust barbell</v>
      </c>
      <c r="CE66" s="5" t="str">
        <f t="array" ref="CE66">IFERROR(IF('T1'!$J66="",INDEX(LISTA_EX,81),INDEX(LISTA_EX,MATCH('T1'!$J66&amp;"|"&amp;81,LISTA_KLUCZ,0))),"")</f>
        <v>Hollow body + OH</v>
      </c>
      <c r="CF66" s="5" t="str">
        <f t="array" ref="CF66">IFERROR(IF('T1'!$J66="",INDEX(LISTA_EX,82),INDEX(LISTA_EX,MATCH('T1'!$J66&amp;"|"&amp;82,LISTA_KLUCZ,0))),"")</f>
        <v>Horizontal jump</v>
      </c>
      <c r="CG66" s="5" t="str">
        <f t="array" ref="CG66">IFERROR(IF('T1'!$J66="",INDEX(LISTA_EX,83),INDEX(LISTA_EX,MATCH('T1'!$J66&amp;"|"&amp;83,LISTA_KLUCZ,0))),"")</f>
        <v>Incline bench lateral raise s/a</v>
      </c>
      <c r="CH66" s="5" t="str">
        <f t="array" ref="CH66">IFERROR(IF('T1'!$J66="",INDEX(LISTA_EX,84),INDEX(LISTA_EX,MATCH('T1'!$J66&amp;"|"&amp;84,LISTA_KLUCZ,0))),"")</f>
        <v>Incline curl + OHP</v>
      </c>
      <c r="CI66" s="5" t="str">
        <f t="array" ref="CI66">IFERROR(IF('T1'!$J66="",INDEX(LISTA_EX,85),INDEX(LISTA_EX,MATCH('T1'!$J66&amp;"|"&amp;85,LISTA_KLUCZ,0))),"")</f>
        <v>Incline dumbbell curl</v>
      </c>
      <c r="CJ66" s="5" t="str">
        <f t="array" ref="CJ66">IFERROR(IF('T1'!$J66="",INDEX(LISTA_EX,86),INDEX(LISTA_EX,MATCH('T1'!$J66&amp;"|"&amp;86,LISTA_KLUCZ,0))),"")</f>
        <v>Incline dumbbell curl (back)</v>
      </c>
      <c r="CK66" s="5" t="str">
        <f t="array" ref="CK66">IFERROR(IF('T1'!$J66="",INDEX(LISTA_EX,87),INDEX(LISTA_EX,MATCH('T1'!$J66&amp;"|"&amp;87,LISTA_KLUCZ,0))),"")</f>
        <v>Incline dumbbell curl (front)</v>
      </c>
      <c r="CL66" s="5" t="str">
        <f t="array" ref="CL66">IFERROR(IF('T1'!$J66="",INDEX(LISTA_EX,88),INDEX(LISTA_EX,MATCH('T1'!$J66&amp;"|"&amp;88,LISTA_KLUCZ,0))),"")</f>
        <v>Incline dumbbell fly</v>
      </c>
      <c r="CM66" s="5" t="str">
        <f t="array" ref="CM66">IFERROR(IF('T1'!$J66="",INDEX(LISTA_EX,89),INDEX(LISTA_EX,MATCH('T1'!$J66&amp;"|"&amp;89,LISTA_KLUCZ,0))),"")</f>
        <v>Incline dumbbell press</v>
      </c>
      <c r="CN66" s="5" t="str">
        <f t="array" ref="CN66">IFERROR(IF('T1'!$J66="",INDEX(LISTA_EX,90),INDEX(LISTA_EX,MATCH('T1'!$J66&amp;"|"&amp;90,LISTA_KLUCZ,0))),"")</f>
        <v>Incline dumbbell press alternating</v>
      </c>
      <c r="CO66" s="5" t="str">
        <f t="array" ref="CO66">IFERROR(IF('T1'!$J66="",INDEX(LISTA_EX,91),INDEX(LISTA_EX,MATCH('T1'!$J66&amp;"|"&amp;91,LISTA_KLUCZ,0))),"")</f>
        <v>Incline sit-ups</v>
      </c>
      <c r="CP66" s="5" t="str">
        <f t="array" ref="CP66">IFERROR(IF('T1'!$J66="",INDEX(LISTA_EX,92),INDEX(LISTA_EX,MATCH('T1'!$J66&amp;"|"&amp;92,LISTA_KLUCZ,0))),"")</f>
        <v>Jefferson cable</v>
      </c>
      <c r="CQ66" s="5" t="str">
        <f t="array" ref="CQ66">IFERROR(IF('T1'!$J66="",INDEX(LISTA_EX,93),INDEX(LISTA_EX,MATCH('T1'!$J66&amp;"|"&amp;93,LISTA_KLUCZ,0))),"")</f>
        <v>Kettlebell march</v>
      </c>
      <c r="CR66" s="5" t="str">
        <f t="array" ref="CR66">IFERROR(IF('T1'!$J66="",INDEX(LISTA_EX,94),INDEX(LISTA_EX,MATCH('T1'!$J66&amp;"|"&amp;94,LISTA_KLUCZ,0))),"")</f>
        <v>Kickbacks</v>
      </c>
      <c r="CS66" s="5" t="str">
        <f t="array" ref="CS66">IFERROR(IF('T1'!$J66="",INDEX(LISTA_EX,95),INDEX(LISTA_EX,MATCH('T1'!$J66&amp;"|"&amp;95,LISTA_KLUCZ,0))),"")</f>
        <v>Knee extension machine</v>
      </c>
      <c r="CT66" s="5" t="str">
        <f t="array" ref="CT66">IFERROR(IF('T1'!$J66="",INDEX(LISTA_EX,96),INDEX(LISTA_EX,MATCH('T1'!$J66&amp;"|"&amp;96,LISTA_KLUCZ,0))),"")</f>
        <v>Knee flexion machine</v>
      </c>
      <c r="CU66" s="5" t="str">
        <f t="array" ref="CU66">IFERROR(IF('T1'!$J66="",INDEX(LISTA_EX,97),INDEX(LISTA_EX,MATCH('T1'!$J66&amp;"|"&amp;97,LISTA_KLUCZ,0))),"")</f>
        <v>Knee raises</v>
      </c>
      <c r="CV66" s="5" t="str">
        <f t="array" ref="CV66">IFERROR(IF('T1'!$J66="",INDEX(LISTA_EX,98),INDEX(LISTA_EX,MATCH('T1'!$J66&amp;"|"&amp;98,LISTA_KLUCZ,0))),"")</f>
        <v>Landmine core</v>
      </c>
      <c r="CW66" s="5" t="str">
        <f t="array" ref="CW66">IFERROR(IF('T1'!$J66="",INDEX(LISTA_EX,99),INDEX(LISTA_EX,MATCH('T1'!$J66&amp;"|"&amp;99,LISTA_KLUCZ,0))),"")</f>
        <v>Landmine press</v>
      </c>
      <c r="CX66" s="5" t="str">
        <f t="array" ref="CX66">IFERROR(IF('T1'!$J66="",INDEX(LISTA_EX,100),INDEX(LISTA_EX,MATCH('T1'!$J66&amp;"|"&amp;100,LISTA_KLUCZ,0))),"")</f>
        <v>Landmine rotations (powtórzenia x2)</v>
      </c>
      <c r="CY66" s="5" t="str">
        <f t="array" ref="CY66">IFERROR(IF('T1'!$J66="",INDEX(LISTA_EX,101),INDEX(LISTA_EX,MATCH('T1'!$J66&amp;"|"&amp;101,LISTA_KLUCZ,0))),"")</f>
        <v>Landmine SLDL</v>
      </c>
      <c r="CZ66" s="5" t="str">
        <f t="array" ref="CZ66">IFERROR(IF('T1'!$J66="",INDEX(LISTA_EX,102),INDEX(LISTA_EX,MATCH('T1'!$J66&amp;"|"&amp;102,LISTA_KLUCZ,0))),"")</f>
        <v>Lat pulldown</v>
      </c>
      <c r="DA66" s="5" t="str">
        <f t="array" ref="DA66">IFERROR(IF('T1'!$J66="",INDEX(LISTA_EX,103),INDEX(LISTA_EX,MATCH('T1'!$J66&amp;"|"&amp;103,LISTA_KLUCZ,0))),"")</f>
        <v>Lat pulldown behind the head</v>
      </c>
      <c r="DB66" s="5" t="str">
        <f t="array" ref="DB66">IFERROR(IF('T1'!$J66="",INDEX(LISTA_EX,104),INDEX(LISTA_EX,MATCH('T1'!$J66&amp;"|"&amp;104,LISTA_KLUCZ,0))),"")</f>
        <v>Lat pulldown s/a</v>
      </c>
      <c r="DC66" s="5" t="str">
        <f t="array" ref="DC66">IFERROR(IF('T1'!$J66="",INDEX(LISTA_EX,105),INDEX(LISTA_EX,MATCH('T1'!$J66&amp;"|"&amp;105,LISTA_KLUCZ,0))),"")</f>
        <v>Lateral raise s/a</v>
      </c>
      <c r="DD66" s="5" t="str">
        <f t="array" ref="DD66">IFERROR(IF('T1'!$J66="",INDEX(LISTA_EX,106),INDEX(LISTA_EX,MATCH('T1'!$J66&amp;"|"&amp;106,LISTA_KLUCZ,0))),"")</f>
        <v>Lateral raises</v>
      </c>
      <c r="DE66" s="5" t="str">
        <f t="array" ref="DE66">IFERROR(IF('T1'!$J66="",INDEX(LISTA_EX,107),INDEX(LISTA_EX,MATCH('T1'!$J66&amp;"|"&amp;107,LISTA_KLUCZ,0))),"")</f>
        <v>Lateral raises 2</v>
      </c>
      <c r="DF66" s="5" t="str">
        <f t="array" ref="DF66">IFERROR(IF('T1'!$J66="",INDEX(LISTA_EX,108),INDEX(LISTA_EX,MATCH('T1'!$J66&amp;"|"&amp;108,LISTA_KLUCZ,0))),"")</f>
        <v>Lateral raises full ROM</v>
      </c>
      <c r="DG66" s="5" t="str">
        <f t="array" ref="DG66">IFERROR(IF('T1'!$J66="",INDEX(LISTA_EX,109),INDEX(LISTA_EX,MATCH('T1'!$J66&amp;"|"&amp;109,LISTA_KLUCZ,0))),"")</f>
        <v>Lateral raises hinged</v>
      </c>
      <c r="DH66" s="5" t="str">
        <f t="array" ref="DH66">IFERROR(IF('T1'!$J66="",INDEX(LISTA_EX,110),INDEX(LISTA_EX,MATCH('T1'!$J66&amp;"|"&amp;110,LISTA_KLUCZ,0))),"")</f>
        <v>Lateral raises incline s/a</v>
      </c>
      <c r="DI66" s="5" t="str">
        <f t="array" ref="DI66">IFERROR(IF('T1'!$J66="",INDEX(LISTA_EX,111),INDEX(LISTA_EX,MATCH('T1'!$J66&amp;"|"&amp;111,LISTA_KLUCZ,0))),"")</f>
        <v>Leg curl</v>
      </c>
      <c r="DJ66" s="5" t="str">
        <f t="array" ref="DJ66">IFERROR(IF('T1'!$J66="",INDEX(LISTA_EX,112),INDEX(LISTA_EX,MATCH('T1'!$J66&amp;"|"&amp;112,LISTA_KLUCZ,0))),"")</f>
        <v>Machine row</v>
      </c>
      <c r="DK66" s="5" t="str">
        <f t="array" ref="DK66">IFERROR(IF('T1'!$J66="",INDEX(LISTA_EX,113),INDEX(LISTA_EX,MATCH('T1'!$J66&amp;"|"&amp;113,LISTA_KLUCZ,0))),"")</f>
        <v>Machine row s/a</v>
      </c>
      <c r="DL66" s="5" t="str">
        <f t="array" ref="DL66">IFERROR(IF('T1'!$J66="",INDEX(LISTA_EX,114),INDEX(LISTA_EX,MATCH('T1'!$J66&amp;"|"&amp;114,LISTA_KLUCZ,0))),"")</f>
        <v>Meadows row</v>
      </c>
      <c r="DM66" s="5" t="str">
        <f t="array" ref="DM66">IFERROR(IF('T1'!$J66="",INDEX(LISTA_EX,115),INDEX(LISTA_EX,MATCH('T1'!$J66&amp;"|"&amp;115,LISTA_KLUCZ,0))),"")</f>
        <v>Med ball slam</v>
      </c>
      <c r="DN66" s="5" t="str">
        <f t="array" ref="DN66">IFERROR(IF('T1'!$J66="",INDEX(LISTA_EX,116),INDEX(LISTA_EX,MATCH('T1'!$J66&amp;"|"&amp;116,LISTA_KLUCZ,0))),"")</f>
        <v>OH skullcrushers</v>
      </c>
      <c r="DO66" s="5" t="str">
        <f t="array" ref="DO66">IFERROR(IF('T1'!$J66="",INDEX(LISTA_EX,117),INDEX(LISTA_EX,MATCH('T1'!$J66&amp;"|"&amp;117,LISTA_KLUCZ,0))),"")</f>
        <v>OHP barbell squat 15kg</v>
      </c>
      <c r="DP66" s="5" t="str">
        <f t="array" ref="DP66">IFERROR(IF('T1'!$J66="",INDEX(LISTA_EX,118),INDEX(LISTA_EX,MATCH('T1'!$J66&amp;"|"&amp;118,LISTA_KLUCZ,0))),"")</f>
        <v>Pistol squat eccentric</v>
      </c>
      <c r="DQ66" s="5" t="str">
        <f t="array" ref="DQ66">IFERROR(IF('T1'!$J66="",INDEX(LISTA_EX,119),INDEX(LISTA_EX,MATCH('T1'!$J66&amp;"|"&amp;119,LISTA_KLUCZ,0))),"")</f>
        <v>Plank contralateral</v>
      </c>
      <c r="DR66" s="5" t="str">
        <f t="array" ref="DR66">IFERROR(IF('T1'!$J66="",INDEX(LISTA_EX,120),INDEX(LISTA_EX,MATCH('T1'!$J66&amp;"|"&amp;120,LISTA_KLUCZ,0))),"")</f>
        <v>Plank dumbbell rotation</v>
      </c>
      <c r="DS66" s="5" t="str">
        <f t="array" ref="DS66">IFERROR(IF('T1'!$J66="",INDEX(LISTA_EX,121),INDEX(LISTA_EX,MATCH('T1'!$J66&amp;"|"&amp;121,LISTA_KLUCZ,0))),"")</f>
        <v>Plank leg raises</v>
      </c>
      <c r="DT66" s="5" t="str">
        <f t="array" ref="DT66">IFERROR(IF('T1'!$J66="",INDEX(LISTA_EX,122),INDEX(LISTA_EX,MATCH('T1'!$J66&amp;"|"&amp;122,LISTA_KLUCZ,0))),"")</f>
        <v>Poliquin step up</v>
      </c>
      <c r="DU66" s="5" t="str">
        <f t="array" ref="DU66">IFERROR(IF('T1'!$J66="",INDEX(LISTA_EX,123),INDEX(LISTA_EX,MATCH('T1'!$J66&amp;"|"&amp;123,LISTA_KLUCZ,0))),"")</f>
        <v>Poliquin step up paused 3sec</v>
      </c>
      <c r="DV66" s="5" t="str">
        <f t="array" ref="DV66">IFERROR(IF('T1'!$J66="",INDEX(LISTA_EX,124),INDEX(LISTA_EX,MATCH('T1'!$J66&amp;"|"&amp;124,LISTA_KLUCZ,0))),"")</f>
        <v>Pronation/Supination</v>
      </c>
      <c r="DW66" s="5" t="str">
        <f t="array" ref="DW66">IFERROR(IF('T1'!$J66="",INDEX(LISTA_EX,125),INDEX(LISTA_EX,MATCH('T1'!$J66&amp;"|"&amp;125,LISTA_KLUCZ,0))),"")</f>
        <v>Pull up</v>
      </c>
      <c r="DX66" s="5" t="str">
        <f t="array" ref="DX66">IFERROR(IF('T1'!$J66="",INDEX(LISTA_EX,126),INDEX(LISTA_EX,MATCH('T1'!$J66&amp;"|"&amp;126,LISTA_KLUCZ,0))),"")</f>
        <v>Pull up eccentric weighted</v>
      </c>
      <c r="DY66" s="5" t="str">
        <f t="array" ref="DY66">IFERROR(IF('T1'!$J66="",INDEX(LISTA_EX,127),INDEX(LISTA_EX,MATCH('T1'!$J66&amp;"|"&amp;127,LISTA_KLUCZ,0))),"")</f>
        <v>Pull up eccentric weighted (5 sek w dół)</v>
      </c>
      <c r="DZ66" s="5" t="str">
        <f t="array" ref="DZ66">IFERROR(IF('T1'!$J66="",INDEX(LISTA_EX,128),INDEX(LISTA_EX,MATCH('T1'!$J66&amp;"|"&amp;128,LISTA_KLUCZ,0))),"")</f>
        <v>Pull up weighted</v>
      </c>
      <c r="EA66" s="5" t="str">
        <f t="array" ref="EA66">IFERROR(IF('T1'!$J66="",INDEX(LISTA_EX,129),INDEX(LISTA_EX,MATCH('T1'!$J66&amp;"|"&amp;129,LISTA_KLUCZ,0))),"")</f>
        <v>Pull ups (paused)</v>
      </c>
      <c r="EB66" s="5" t="str">
        <f t="array" ref="EB66">IFERROR(IF('T1'!$J66="",INDEX(LISTA_EX,130),INDEX(LISTA_EX,MATCH('T1'!$J66&amp;"|"&amp;130,LISTA_KLUCZ,0))),"")</f>
        <v>Push press barbell</v>
      </c>
      <c r="EC66" s="5" t="str">
        <f t="array" ref="EC66">IFERROR(IF('T1'!$J66="",INDEX(LISTA_EX,131),INDEX(LISTA_EX,MATCH('T1'!$J66&amp;"|"&amp;131,LISTA_KLUCZ,0))),"")</f>
        <v>Push up</v>
      </c>
      <c r="ED66" s="5" t="str">
        <f t="array" ref="ED66">IFERROR(IF('T1'!$J66="",INDEX(LISTA_EX,132),INDEX(LISTA_EX,MATCH('T1'!$J66&amp;"|"&amp;132,LISTA_KLUCZ,0))),"")</f>
        <v>Raised bird dog</v>
      </c>
      <c r="EE66" s="5" t="str">
        <f t="array" ref="EE66">IFERROR(IF('T1'!$J66="",INDEX(LISTA_EX,133),INDEX(LISTA_EX,MATCH('T1'!$J66&amp;"|"&amp;133,LISTA_KLUCZ,0))),"")</f>
        <v>RDL</v>
      </c>
      <c r="EF66" s="5" t="str">
        <f t="array" ref="EF66">IFERROR(IF('T1'!$J66="",INDEX(LISTA_EX,134),INDEX(LISTA_EX,MATCH('T1'!$J66&amp;"|"&amp;134,LISTA_KLUCZ,0))),"")</f>
        <v>Reverse Nordic</v>
      </c>
      <c r="EG66" s="5" t="str">
        <f t="array" ref="EG66">IFERROR(IF('T1'!$J66="",INDEX(LISTA_EX,135),INDEX(LISTA_EX,MATCH('T1'!$J66&amp;"|"&amp;135,LISTA_KLUCZ,0))),"")</f>
        <v>Rope pushdown</v>
      </c>
      <c r="EH66" s="5" t="str">
        <f t="array" ref="EH66">IFERROR(IF('T1'!$J66="",INDEX(LISTA_EX,136),INDEX(LISTA_EX,MATCH('T1'!$J66&amp;"|"&amp;136,LISTA_KLUCZ,0))),"")</f>
        <v>Rope pushdown OH</v>
      </c>
      <c r="EI66" s="5" t="str">
        <f t="array" ref="EI66">IFERROR(IF('T1'!$J66="",INDEX(LISTA_EX,137),INDEX(LISTA_EX,MATCH('T1'!$J66&amp;"|"&amp;137,LISTA_KLUCZ,0))),"")</f>
        <v>S/a cable pulldown incline bench</v>
      </c>
      <c r="EJ66" s="5" t="str">
        <f t="array" ref="EJ66">IFERROR(IF('T1'!$J66="",INDEX(LISTA_EX,138),INDEX(LISTA_EX,MATCH('T1'!$J66&amp;"|"&amp;138,LISTA_KLUCZ,0))),"")</f>
        <v>S/a lat pulldown incline bench</v>
      </c>
      <c r="EK66" s="5" t="str">
        <f t="array" ref="EK66">IFERROR(IF('T1'!$J66="",INDEX(LISTA_EX,139),INDEX(LISTA_EX,MATCH('T1'!$J66&amp;"|"&amp;139,LISTA_KLUCZ,0))),"")</f>
        <v>S/l dragonflag eccentric</v>
      </c>
      <c r="EL66" s="5" t="str">
        <f t="array" ref="EL66">IFERROR(IF('T1'!$J66="",INDEX(LISTA_EX,140),INDEX(LISTA_EX,MATCH('T1'!$J66&amp;"|"&amp;140,LISTA_KLUCZ,0))),"")</f>
        <v>S/l hip thrust</v>
      </c>
      <c r="EM66" s="5" t="str">
        <f t="array" ref="EM66">IFERROR(IF('T1'!$J66="",INDEX(LISTA_EX,141),INDEX(LISTA_EX,MATCH('T1'!$J66&amp;"|"&amp;141,LISTA_KLUCZ,0))),"")</f>
        <v>Seated broad jump</v>
      </c>
      <c r="EN66" s="5" t="str">
        <f t="array" ref="EN66">IFERROR(IF('T1'!$J66="",INDEX(LISTA_EX,142),INDEX(LISTA_EX,MATCH('T1'!$J66&amp;"|"&amp;142,LISTA_KLUCZ,0))),"")</f>
        <v>Seated cable facepull</v>
      </c>
      <c r="EO66" s="5" t="str">
        <f t="array" ref="EO66">IFERROR(IF('T1'!$J66="",INDEX(LISTA_EX,143),INDEX(LISTA_EX,MATCH('T1'!$J66&amp;"|"&amp;143,LISTA_KLUCZ,0))),"")</f>
        <v>Seated seesaw press (nogi proste)</v>
      </c>
      <c r="EP66" s="5" t="str">
        <f t="array" ref="EP66">IFERROR(IF('T1'!$J66="",INDEX(LISTA_EX,144),INDEX(LISTA_EX,MATCH('T1'!$J66&amp;"|"&amp;144,LISTA_KLUCZ,0))),"")</f>
        <v>Seesaw press</v>
      </c>
      <c r="EQ66" s="5" t="str">
        <f t="array" ref="EQ66">IFERROR(IF('T1'!$J66="",INDEX(LISTA_EX,145),INDEX(LISTA_EX,MATCH('T1'!$J66&amp;"|"&amp;145,LISTA_KLUCZ,0))),"")</f>
        <v>Side crunches</v>
      </c>
      <c r="ER66" s="5" t="str">
        <f t="array" ref="ER66">IFERROR(IF('T1'!$J66="",INDEX(LISTA_EX,146),INDEX(LISTA_EX,MATCH('T1'!$J66&amp;"|"&amp;146,LISTA_KLUCZ,0))),"")</f>
        <v>Side plank hip drop</v>
      </c>
      <c r="ES66" s="5" t="str">
        <f t="array" ref="ES66">IFERROR(IF('T1'!$J66="",INDEX(LISTA_EX,147),INDEX(LISTA_EX,MATCH('T1'!$J66&amp;"|"&amp;147,LISTA_KLUCZ,0))),"")</f>
        <v>Side plank rotations</v>
      </c>
      <c r="ET66" s="5" t="str">
        <f t="array" ref="ET66">IFERROR(IF('T1'!$J66="",INDEX(LISTA_EX,148),INDEX(LISTA_EX,MATCH('T1'!$J66&amp;"|"&amp;148,LISTA_KLUCZ,0))),"")</f>
        <v>SLDL balance</v>
      </c>
      <c r="EU66" s="5" t="str">
        <f t="array" ref="EU66">IFERROR(IF('T1'!$J66="",INDEX(LISTA_EX,149),INDEX(LISTA_EX,MATCH('T1'!$J66&amp;"|"&amp;149,LISTA_KLUCZ,0))),"")</f>
        <v>Split squat</v>
      </c>
      <c r="EV66" s="5" t="str">
        <f t="array" ref="EV66">IFERROR(IF('T1'!$J66="",INDEX(LISTA_EX,150),INDEX(LISTA_EX,MATCH('T1'!$J66&amp;"|"&amp;150,LISTA_KLUCZ,0))),"")</f>
        <v>Split stance SLDL</v>
      </c>
      <c r="EW66" s="5" t="str">
        <f t="array" ref="EW66">IFERROR(IF('T1'!$J66="",INDEX(LISTA_EX,151),INDEX(LISTA_EX,MATCH('T1'!$J66&amp;"|"&amp;151,LISTA_KLUCZ,0))),"")</f>
        <v>Squat izo (15 sek)</v>
      </c>
      <c r="EX66" s="5" t="str">
        <f t="array" ref="EX66">IFERROR(IF('T1'!$J66="",INDEX(LISTA_EX,152),INDEX(LISTA_EX,MATCH('T1'!$J66&amp;"|"&amp;152,LISTA_KLUCZ,0))),"")</f>
        <v>Standing landmine press</v>
      </c>
      <c r="EY66" s="5" t="str">
        <f t="array" ref="EY66">IFERROR(IF('T1'!$J66="",INDEX(LISTA_EX,153),INDEX(LISTA_EX,MATCH('T1'!$J66&amp;"|"&amp;153,LISTA_KLUCZ,0))),"")</f>
        <v>Suitcase carry</v>
      </c>
      <c r="EZ66" s="5" t="str">
        <f t="array" ref="EZ66">IFERROR(IF('T1'!$J66="",INDEX(LISTA_EX,154),INDEX(LISTA_EX,MATCH('T1'!$J66&amp;"|"&amp;154,LISTA_KLUCZ,0))),"")</f>
        <v>Supine pigeon abs</v>
      </c>
      <c r="FA66" s="5" t="str">
        <f t="array" ref="FA66">IFERROR(IF('T1'!$J66="",INDEX(LISTA_EX,155),INDEX(LISTA_EX,MATCH('T1'!$J66&amp;"|"&amp;155,LISTA_KLUCZ,0))),"")</f>
        <v>Swiss ball leg curl</v>
      </c>
      <c r="FB66" s="5" t="str">
        <f t="array" ref="FB66">IFERROR(IF('T1'!$J66="",INDEX(LISTA_EX,156),INDEX(LISTA_EX,MATCH('T1'!$J66&amp;"|"&amp;156,LISTA_KLUCZ,0))),"")</f>
        <v>Toes to bar</v>
      </c>
      <c r="FC66" s="5" t="str">
        <f t="array" ref="FC66">IFERROR(IF('T1'!$J66="",INDEX(LISTA_EX,157),INDEX(LISTA_EX,MATCH('T1'!$J66&amp;"|"&amp;157,LISTA_KLUCZ,0))),"")</f>
        <v>Trap bar deadlift</v>
      </c>
      <c r="FD66" s="5" t="str">
        <f t="array" ref="FD66">IFERROR(IF('T1'!$J66="",INDEX(LISTA_EX,158),INDEX(LISTA_EX,MATCH('T1'!$J66&amp;"|"&amp;158,LISTA_KLUCZ,0))),"")</f>
        <v>Tricep cable pushdown</v>
      </c>
      <c r="FE66" s="5" t="str">
        <f t="array" ref="FE66">IFERROR(IF('T1'!$J66="",INDEX(LISTA_EX,159),INDEX(LISTA_EX,MATCH('T1'!$J66&amp;"|"&amp;159,LISTA_KLUCZ,0))),"")</f>
        <v>Tricep JM press</v>
      </c>
      <c r="FF66" s="5" t="str">
        <f t="array" ref="FF66">IFERROR(IF('T1'!$J66="",INDEX(LISTA_EX,160),INDEX(LISTA_EX,MATCH('T1'!$J66&amp;"|"&amp;160,LISTA_KLUCZ,0))),"")</f>
        <v>Tricep OH cable</v>
      </c>
      <c r="FG66" s="5" t="str">
        <f t="array" ref="FG66">IFERROR(IF('T1'!$J66="",INDEX(LISTA_EX,161),INDEX(LISTA_EX,MATCH('T1'!$J66&amp;"|"&amp;161,LISTA_KLUCZ,0))),"")</f>
        <v>Tricep OH ez bar</v>
      </c>
      <c r="FH66" s="5" t="str">
        <f t="array" ref="FH66">IFERROR(IF('T1'!$J66="",INDEX(LISTA_EX,162),INDEX(LISTA_EX,MATCH('T1'!$J66&amp;"|"&amp;162,LISTA_KLUCZ,0))),"")</f>
        <v>Walking lunges</v>
      </c>
      <c r="FI66" s="5" t="str">
        <f t="array" ref="FI66">IFERROR(IF('T1'!$J66="",INDEX(LISTA_EX,163),INDEX(LISTA_EX,MATCH('T1'!$J66&amp;"|"&amp;163,LISTA_KLUCZ,0))),"")</f>
        <v>Wipers kettle</v>
      </c>
      <c r="FJ66" s="5" t="str">
        <f t="array" ref="FJ66">IFERROR(IF('T1'!$J66="",INDEX(LISTA_EX,164),INDEX(LISTA_EX,MATCH('T1'!$J66&amp;"|"&amp;164,LISTA_KLUCZ,0))),"")</f>
        <v>Zercher jumps</v>
      </c>
      <c r="FK66" s="5" t="str">
        <f t="array" ref="FK66">IFERROR(IF('T1'!$J66="",INDEX(LISTA_EX,165),INDEX(LISTA_EX,MATCH('T1'!$J66&amp;"|"&amp;165,LISTA_KLUCZ,0))),"")</f>
        <v/>
      </c>
      <c r="FL66" s="5" t="str">
        <f t="array" ref="FL66">IFERROR(IF('T1'!$J66="",INDEX(LISTA_EX,166),INDEX(LISTA_EX,MATCH('T1'!$J66&amp;"|"&amp;166,LISTA_KLUCZ,0))),"")</f>
        <v/>
      </c>
      <c r="FM66" s="5" t="str">
        <f t="array" ref="FM66">IFERROR(IF('T1'!$J66="",INDEX(LISTA_EX,167),INDEX(LISTA_EX,MATCH('T1'!$J66&amp;"|"&amp;167,LISTA_KLUCZ,0))),"")</f>
        <v/>
      </c>
      <c r="FN66" s="5" t="str">
        <f t="array" ref="FN66">IFERROR(IF('T1'!$J66="",INDEX(LISTA_EX,168),INDEX(LISTA_EX,MATCH('T1'!$J66&amp;"|"&amp;168,LISTA_KLUCZ,0))),"")</f>
        <v/>
      </c>
      <c r="FO66" s="5" t="str">
        <f t="array" ref="FO66">IFERROR(IF('T1'!$J66="",INDEX(LISTA_EX,169),INDEX(LISTA_EX,MATCH('T1'!$J66&amp;"|"&amp;169,LISTA_KLUCZ,0))),"")</f>
        <v/>
      </c>
      <c r="FP66" s="5" t="str">
        <f t="array" ref="FP66">IFERROR(IF('T1'!$J66="",INDEX(LISTA_EX,170),INDEX(LISTA_EX,MATCH('T1'!$J66&amp;"|"&amp;170,LISTA_KLUCZ,0))),"")</f>
        <v/>
      </c>
      <c r="FQ66" s="5" t="str">
        <f t="array" ref="FQ66">IFERROR(IF('T1'!$J66="",INDEX(LISTA_EX,171),INDEX(LISTA_EX,MATCH('T1'!$J66&amp;"|"&amp;171,LISTA_KLUCZ,0))),"")</f>
        <v/>
      </c>
      <c r="FR66" s="5" t="str">
        <f t="array" ref="FR66">IFERROR(IF('T1'!$J66="",INDEX(LISTA_EX,172),INDEX(LISTA_EX,MATCH('T1'!$J66&amp;"|"&amp;172,LISTA_KLUCZ,0))),"")</f>
        <v/>
      </c>
      <c r="FS66" s="5" t="str">
        <f t="array" ref="FS66">IFERROR(IF('T1'!$J66="",INDEX(LISTA_EX,173),INDEX(LISTA_EX,MATCH('T1'!$J66&amp;"|"&amp;173,LISTA_KLUCZ,0))),"")</f>
        <v/>
      </c>
      <c r="FT66" s="5" t="str">
        <f t="array" ref="FT66">IFERROR(IF('T1'!$J66="",INDEX(LISTA_EX,174),INDEX(LISTA_EX,MATCH('T1'!$J66&amp;"|"&amp;174,LISTA_KLUCZ,0))),"")</f>
        <v/>
      </c>
      <c r="FU66" s="5" t="str">
        <f t="array" ref="FU66">IFERROR(IF('T1'!$J66="",INDEX(LISTA_EX,175),INDEX(LISTA_EX,MATCH('T1'!$J66&amp;"|"&amp;175,LISTA_KLUCZ,0))),"")</f>
        <v/>
      </c>
      <c r="FV66" s="5" t="str">
        <f t="array" ref="FV66">IFERROR(IF('T1'!$J66="",INDEX(LISTA_EX,176),INDEX(LISTA_EX,MATCH('T1'!$J66&amp;"|"&amp;176,LISTA_KLUCZ,0))),"")</f>
        <v/>
      </c>
      <c r="FW66" s="5" t="str">
        <f t="array" ref="FW66">IFERROR(IF('T1'!$J66="",INDEX(LISTA_EX,177),INDEX(LISTA_EX,MATCH('T1'!$J66&amp;"|"&amp;177,LISTA_KLUCZ,0))),"")</f>
        <v/>
      </c>
      <c r="FX66" s="5" t="str">
        <f t="array" ref="FX66">IFERROR(IF('T1'!$J66="",INDEX(LISTA_EX,178),INDEX(LISTA_EX,MATCH('T1'!$J66&amp;"|"&amp;178,LISTA_KLUCZ,0))),"")</f>
        <v/>
      </c>
      <c r="FY66" s="5" t="str">
        <f t="array" ref="FY66">IFERROR(IF('T1'!$J66="",INDEX(LISTA_EX,179),INDEX(LISTA_EX,MATCH('T1'!$J66&amp;"|"&amp;179,LISTA_KLUCZ,0))),"")</f>
        <v/>
      </c>
      <c r="FZ66" s="5" t="str">
        <f t="array" ref="FZ66">IFERROR(IF('T1'!$J66="",INDEX(LISTA_EX,180),INDEX(LISTA_EX,MATCH('T1'!$J66&amp;"|"&amp;180,LISTA_KLUCZ,0))),"")</f>
        <v/>
      </c>
      <c r="GA66" s="5" t="str">
        <f t="array" ref="GA66">IFERROR(IF('T1'!$J66="",INDEX(LISTA_EX,181),INDEX(LISTA_EX,MATCH('T1'!$J66&amp;"|"&amp;181,LISTA_KLUCZ,0))),"")</f>
        <v/>
      </c>
      <c r="GB66" s="5" t="str">
        <f t="array" ref="GB66">IFERROR(IF('T1'!$J66="",INDEX(LISTA_EX,182),INDEX(LISTA_EX,MATCH('T1'!$J66&amp;"|"&amp;182,LISTA_KLUCZ,0))),"")</f>
        <v/>
      </c>
      <c r="GC66" s="5" t="str">
        <f t="array" ref="GC66">IFERROR(IF('T1'!$J66="",INDEX(LISTA_EX,183),INDEX(LISTA_EX,MATCH('T1'!$J66&amp;"|"&amp;183,LISTA_KLUCZ,0))),"")</f>
        <v/>
      </c>
      <c r="GD66" s="5" t="str">
        <f t="array" ref="GD66">IFERROR(IF('T1'!$J66="",INDEX(LISTA_EX,184),INDEX(LISTA_EX,MATCH('T1'!$J66&amp;"|"&amp;184,LISTA_KLUCZ,0))),"")</f>
        <v/>
      </c>
      <c r="GE66" s="5" t="str">
        <f t="array" ref="GE66">IFERROR(IF('T1'!$J66="",INDEX(LISTA_EX,185),INDEX(LISTA_EX,MATCH('T1'!$J66&amp;"|"&amp;185,LISTA_KLUCZ,0))),"")</f>
        <v/>
      </c>
      <c r="GF66" s="5" t="str">
        <f t="array" ref="GF66">IFERROR(IF('T1'!$J66="",INDEX(LISTA_EX,186),INDEX(LISTA_EX,MATCH('T1'!$J66&amp;"|"&amp;186,LISTA_KLUCZ,0))),"")</f>
        <v/>
      </c>
      <c r="GG66" s="5" t="str">
        <f t="array" ref="GG66">IFERROR(IF('T1'!$J66="",INDEX(LISTA_EX,187),INDEX(LISTA_EX,MATCH('T1'!$J66&amp;"|"&amp;187,LISTA_KLUCZ,0))),"")</f>
        <v/>
      </c>
      <c r="GH66" s="5" t="str">
        <f t="array" ref="GH66">IFERROR(IF('T1'!$J66="",INDEX(LISTA_EX,188),INDEX(LISTA_EX,MATCH('T1'!$J66&amp;"|"&amp;188,LISTA_KLUCZ,0))),"")</f>
        <v/>
      </c>
      <c r="GI66" s="5" t="str">
        <f t="array" ref="GI66">IFERROR(IF('T1'!$J66="",INDEX(LISTA_EX,189),INDEX(LISTA_EX,MATCH('T1'!$J66&amp;"|"&amp;189,LISTA_KLUCZ,0))),"")</f>
        <v/>
      </c>
      <c r="GJ66" s="5" t="str">
        <f t="array" ref="GJ66">IFERROR(IF('T1'!$J66="",INDEX(LISTA_EX,190),INDEX(LISTA_EX,MATCH('T1'!$J66&amp;"|"&amp;190,LISTA_KLUCZ,0))),"")</f>
        <v/>
      </c>
      <c r="GK66" s="5" t="str">
        <f t="array" ref="GK66">IFERROR(IF('T1'!$J66="",INDEX(LISTA_EX,191),INDEX(LISTA_EX,MATCH('T1'!$J66&amp;"|"&amp;191,LISTA_KLUCZ,0))),"")</f>
        <v/>
      </c>
      <c r="GL66" s="5" t="str">
        <f t="array" ref="GL66">IFERROR(IF('T1'!$J66="",INDEX(LISTA_EX,192),INDEX(LISTA_EX,MATCH('T1'!$J66&amp;"|"&amp;192,LISTA_KLUCZ,0))),"")</f>
        <v/>
      </c>
      <c r="GM66" s="5" t="str">
        <f t="array" ref="GM66">IFERROR(IF('T1'!$J66="",INDEX(LISTA_EX,193),INDEX(LISTA_EX,MATCH('T1'!$J66&amp;"|"&amp;193,LISTA_KLUCZ,0))),"")</f>
        <v/>
      </c>
      <c r="GN66" s="5" t="str">
        <f t="array" ref="GN66">IFERROR(IF('T1'!$J66="",INDEX(LISTA_EX,194),INDEX(LISTA_EX,MATCH('T1'!$J66&amp;"|"&amp;194,LISTA_KLUCZ,0))),"")</f>
        <v/>
      </c>
      <c r="GO66" s="5" t="str">
        <f t="array" ref="GO66">IFERROR(IF('T1'!$J66="",INDEX(LISTA_EX,195),INDEX(LISTA_EX,MATCH('T1'!$J66&amp;"|"&amp;195,LISTA_KLUCZ,0))),"")</f>
        <v/>
      </c>
      <c r="GP66" s="5" t="str">
        <f t="array" ref="GP66">IFERROR(IF('T1'!$J66="",INDEX(LISTA_EX,196),INDEX(LISTA_EX,MATCH('T1'!$J66&amp;"|"&amp;196,LISTA_KLUCZ,0))),"")</f>
        <v/>
      </c>
      <c r="GQ66" s="5" t="str">
        <f t="array" ref="GQ66">IFERROR(IF('T1'!$J66="",INDEX(LISTA_EX,197),INDEX(LISTA_EX,MATCH('T1'!$J66&amp;"|"&amp;197,LISTA_KLUCZ,0))),"")</f>
        <v/>
      </c>
      <c r="GR66" s="5" t="str">
        <f t="array" ref="GR66">IFERROR(IF('T1'!$J66="",INDEX(LISTA_EX,198),INDEX(LISTA_EX,MATCH('T1'!$J66&amp;"|"&amp;198,LISTA_KLUCZ,0))),"")</f>
        <v/>
      </c>
      <c r="GS66" s="5" t="str">
        <f t="array" ref="GS66">IFERROR(IF('T1'!$J66="",INDEX(LISTA_EX,199),INDEX(LISTA_EX,MATCH('T1'!$J66&amp;"|"&amp;199,LISTA_KLUCZ,0))),"")</f>
        <v/>
      </c>
      <c r="GT66" s="5" t="str">
        <f t="array" ref="GT66">IFERROR(IF('T1'!$J66="",INDEX(LISTA_EX,200),INDEX(LISTA_EX,MATCH('T1'!$J66&amp;"|"&amp;200,LISTA_KLUCZ,0))),"")</f>
        <v/>
      </c>
      <c r="GV66" s="5" t="str">
        <f>IF(BAZA!$A66="","",BAZA!$A66)</f>
        <v>Eccentric pull up</v>
      </c>
      <c r="GW66" s="5" t="str">
        <f>IF(BAZA!$B66="","",BAZA!$B66&amp;"|"&amp;COUNTIF(BAZA!$B$3:$B66,BAZA!$B66))</f>
        <v>Upper pull vertical|2</v>
      </c>
    </row>
    <row r="67" ht="15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L67" s="5"/>
      <c r="FM67" s="5"/>
      <c r="GV67" s="5" t="str">
        <f>IF(BAZA!$A67="","",BAZA!$A67)</f>
        <v>Eccentric push up (5 sek w dół)</v>
      </c>
      <c r="GW67" s="5" t="str">
        <f>IF(BAZA!$B67="","",BAZA!$B67&amp;"|"&amp;COUNTIF(BAZA!$B$3:$B67,BAZA!$B67))</f>
        <v>Upper push horizontal|11</v>
      </c>
    </row>
    <row r="68" ht="15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L68" s="5"/>
      <c r="FM68" s="5"/>
      <c r="GV68" s="5" t="str">
        <f>IF(BAZA!$A68="","",BAZA!$A68)</f>
        <v>Extensive plyo jumps s/l</v>
      </c>
      <c r="GW68" s="5" t="str">
        <f>IF(BAZA!$B68="","",BAZA!$B68&amp;"|"&amp;COUNTIF(BAZA!$B$3:$B68,BAZA!$B68))</f>
        <v>Lower push|11</v>
      </c>
    </row>
    <row r="69" ht="15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L69" s="5"/>
      <c r="FM69" s="5"/>
      <c r="GV69" s="5" t="str">
        <f>IF(BAZA!$A69="","",BAZA!$A69)</f>
        <v>Ez bar curl</v>
      </c>
      <c r="GW69" s="5" t="str">
        <f>IF(BAZA!$B69="","",BAZA!$B69&amp;"|"&amp;COUNTIF(BAZA!$B$3:$B69,BAZA!$B69))</f>
        <v>Bicep|8</v>
      </c>
    </row>
    <row r="70" ht="15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L70" s="5"/>
      <c r="FM70" s="5"/>
      <c r="GV70" s="5" t="str">
        <f>IF(BAZA!$A70="","",BAZA!$A70)</f>
        <v>Facepull chest supported</v>
      </c>
      <c r="GW70" s="5" t="str">
        <f>IF(BAZA!$B70="","",BAZA!$B70&amp;"|"&amp;COUNTIF(BAZA!$B$3:$B70,BAZA!$B70))</f>
        <v>Upper pull horizontal|11</v>
      </c>
    </row>
    <row r="71" ht="15.0" customHeight="1">
      <c r="A71" s="5" t="str">
        <f>IF('T1'!$K71="","",'T1'!$K71)</f>
        <v>D5-S01</v>
      </c>
      <c r="B71" s="5" t="str">
        <f>IF('T1'!$J71="","(wszystkie)",'T1'!$J71)</f>
        <v>(wszystkie)</v>
      </c>
      <c r="C71" s="5" t="str">
        <f t="array" ref="C71">IFERROR(IF('T1'!$J71="",INDEX(LISTA_EX,1),INDEX(LISTA_EX,MATCH('T1'!$J71&amp;"|"&amp;1,LISTA_KLUCZ,0))),"")</f>
        <v>Abduction machine</v>
      </c>
      <c r="D71" s="5" t="str">
        <f t="array" ref="D71">IFERROR(IF('T1'!$J71="",INDEX(LISTA_EX,2),INDEX(LISTA_EX,MATCH('T1'!$J71&amp;"|"&amp;2,LISTA_KLUCZ,0))),"")</f>
        <v>Adduction machine</v>
      </c>
      <c r="E71" s="5" t="str">
        <f t="array" ref="E71">IFERROR(IF('T1'!$J71="",INDEX(LISTA_EX,3),INDEX(LISTA_EX,MATCH('T1'!$J71&amp;"|"&amp;3,LISTA_KLUCZ,0))),"")</f>
        <v>Allah</v>
      </c>
      <c r="F71" s="5" t="str">
        <f t="array" ref="F71">IFERROR(IF('T1'!$J71="",INDEX(LISTA_EX,4),INDEX(LISTA_EX,MATCH('T1'!$J71&amp;"|"&amp;4,LISTA_KLUCZ,0))),"")</f>
        <v>Arnold press</v>
      </c>
      <c r="G71" s="5" t="str">
        <f t="array" ref="G71">IFERROR(IF('T1'!$J71="",INDEX(LISTA_EX,5),INDEX(LISTA_EX,MATCH('T1'!$J71&amp;"|"&amp;5,LISTA_KLUCZ,0))),"")</f>
        <v>Arnold press alternating</v>
      </c>
      <c r="H71" s="5" t="str">
        <f t="array" ref="H71">IFERROR(IF('T1'!$J71="",INDEX(LISTA_EX,6),INDEX(LISTA_EX,MATCH('T1'!$J71&amp;"|"&amp;6,LISTA_KLUCZ,0))),"")</f>
        <v>B/l dragonflag eccentric</v>
      </c>
      <c r="I71" s="5" t="str">
        <f t="array" ref="I71">IFERROR(IF('T1'!$J71="",INDEX(LISTA_EX,7),INDEX(LISTA_EX,MATCH('T1'!$J71&amp;"|"&amp;7,LISTA_KLUCZ,0))),"")</f>
        <v>Back extension</v>
      </c>
      <c r="J71" s="5" t="str">
        <f t="array" ref="J71">IFERROR(IF('T1'!$J71="",INDEX(LISTA_EX,8),INDEX(LISTA_EX,MATCH('T1'!$J71&amp;"|"&amp;8,LISTA_KLUCZ,0))),"")</f>
        <v>Banded pistol squat</v>
      </c>
      <c r="K71" s="5" t="str">
        <f t="array" ref="K71">IFERROR(IF('T1'!$J71="",INDEX(LISTA_EX,9),INDEX(LISTA_EX,MATCH('T1'!$J71&amp;"|"&amp;9,LISTA_KLUCZ,0))),"")</f>
        <v>Banded pull ups</v>
      </c>
      <c r="L71" s="5" t="str">
        <f t="array" ref="L71">IFERROR(IF('T1'!$J71="",INDEX(LISTA_EX,10),INDEX(LISTA_EX,MATCH('T1'!$J71&amp;"|"&amp;10,LISTA_KLUCZ,0))),"")</f>
        <v>Barbell back squat</v>
      </c>
      <c r="M71" s="5" t="str">
        <f t="array" ref="M71">IFERROR(IF('T1'!$J71="",INDEX(LISTA_EX,11),INDEX(LISTA_EX,MATCH('T1'!$J71&amp;"|"&amp;11,LISTA_KLUCZ,0))),"")</f>
        <v>Barbell bench press</v>
      </c>
      <c r="N71" s="5" t="str">
        <f t="array" ref="N71">IFERROR(IF('T1'!$J71="",INDEX(LISTA_EX,12),INDEX(LISTA_EX,MATCH('T1'!$J71&amp;"|"&amp;12,LISTA_KLUCZ,0))),"")</f>
        <v>Barbell curl</v>
      </c>
      <c r="O71" s="5" t="str">
        <f t="array" ref="O71">IFERROR(IF('T1'!$J71="",INDEX(LISTA_EX,13),INDEX(LISTA_EX,MATCH('T1'!$J71&amp;"|"&amp;13,LISTA_KLUCZ,0))),"")</f>
        <v>Barbell low bar squat</v>
      </c>
      <c r="P71" s="5" t="str">
        <f t="array" ref="P71">IFERROR(IF('T1'!$J71="",INDEX(LISTA_EX,14),INDEX(LISTA_EX,MATCH('T1'!$J71&amp;"|"&amp;14,LISTA_KLUCZ,0))),"")</f>
        <v>Barbell OHP</v>
      </c>
      <c r="Q71" s="5" t="str">
        <f t="array" ref="Q71">IFERROR(IF('T1'!$J71="",INDEX(LISTA_EX,15),INDEX(LISTA_EX,MATCH('T1'!$J71&amp;"|"&amp;15,LISTA_KLUCZ,0))),"")</f>
        <v>Barbell oscilation</v>
      </c>
      <c r="R71" s="5" t="str">
        <f t="array" ref="R71">IFERROR(IF('T1'!$J71="",INDEX(LISTA_EX,16),INDEX(LISTA_EX,MATCH('T1'!$J71&amp;"|"&amp;16,LISTA_KLUCZ,0))),"")</f>
        <v>Barbell row</v>
      </c>
      <c r="S71" s="5" t="str">
        <f t="array" ref="S71">IFERROR(IF('T1'!$J71="",INDEX(LISTA_EX,17),INDEX(LISTA_EX,MATCH('T1'!$J71&amp;"|"&amp;17,LISTA_KLUCZ,0))),"")</f>
        <v>Barbell row dead stop pins</v>
      </c>
      <c r="T71" s="5" t="str">
        <f t="array" ref="T71">IFERROR(IF('T1'!$J71="",INDEX(LISTA_EX,18),INDEX(LISTA_EX,MATCH('T1'!$J71&amp;"|"&amp;18,LISTA_KLUCZ,0))),"")</f>
        <v>Barbell SLDL</v>
      </c>
      <c r="U71" s="5" t="str">
        <f t="array" ref="U71">IFERROR(IF('T1'!$J71="",INDEX(LISTA_EX,19),INDEX(LISTA_EX,MATCH('T1'!$J71&amp;"|"&amp;19,LISTA_KLUCZ,0))),"")</f>
        <v>Bayesian curl</v>
      </c>
      <c r="V71" s="5" t="str">
        <f t="array" ref="V71">IFERROR(IF('T1'!$J71="",INDEX(LISTA_EX,20),INDEX(LISTA_EX,MATCH('T1'!$J71&amp;"|"&amp;20,LISTA_KLUCZ,0))),"")</f>
        <v>Bear renegade row</v>
      </c>
      <c r="W71" s="5" t="str">
        <f t="array" ref="W71">IFERROR(IF('T1'!$J71="",INDEX(LISTA_EX,21),INDEX(LISTA_EX,MATCH('T1'!$J71&amp;"|"&amp;21,LISTA_KLUCZ,0))),"")</f>
        <v>Bench press paused 3sec</v>
      </c>
      <c r="X71" s="5" t="str">
        <f t="array" ref="X71">IFERROR(IF('T1'!$J71="",INDEX(LISTA_EX,22),INDEX(LISTA_EX,MATCH('T1'!$J71&amp;"|"&amp;22,LISTA_KLUCZ,0))),"")</f>
        <v>Bicep hammer curl</v>
      </c>
      <c r="Y71" s="5" t="str">
        <f t="array" ref="Y71">IFERROR(IF('T1'!$J71="",INDEX(LISTA_EX,23),INDEX(LISTA_EX,MATCH('T1'!$J71&amp;"|"&amp;23,LISTA_KLUCZ,0))),"")</f>
        <v>Bicep squat cable curl</v>
      </c>
      <c r="Z71" s="5" t="str">
        <f t="array" ref="Z71">IFERROR(IF('T1'!$J71="",INDEX(LISTA_EX,24),INDEX(LISTA_EX,MATCH('T1'!$J71&amp;"|"&amp;24,LISTA_KLUCZ,0))),"")</f>
        <v>Bird dog row</v>
      </c>
      <c r="AA71" s="5" t="str">
        <f t="array" ref="AA71">IFERROR(IF('T1'!$J71="",INDEX(LISTA_EX,25),INDEX(LISTA_EX,MATCH('T1'!$J71&amp;"|"&amp;25,LISTA_KLUCZ,0))),"")</f>
        <v>Box jump</v>
      </c>
      <c r="AB71" s="5" t="str">
        <f t="array" ref="AB71">IFERROR(IF('T1'!$J71="",INDEX(LISTA_EX,26),INDEX(LISTA_EX,MATCH('T1'!$J71&amp;"|"&amp;26,LISTA_KLUCZ,0))),"")</f>
        <v>Bulgarian clean plyo</v>
      </c>
      <c r="AC71" s="5" t="str">
        <f t="array" ref="AC71">IFERROR(IF('T1'!$J71="",INDEX(LISTA_EX,27),INDEX(LISTA_EX,MATCH('T1'!$J71&amp;"|"&amp;27,LISTA_KLUCZ,0))),"")</f>
        <v>Bulgarian squat assisted</v>
      </c>
      <c r="AD71" s="5" t="str">
        <f t="array" ref="AD71">IFERROR(IF('T1'!$J71="",INDEX(LISTA_EX,28),INDEX(LISTA_EX,MATCH('T1'!$J71&amp;"|"&amp;28,LISTA_KLUCZ,0))),"")</f>
        <v>Cable biceps curl</v>
      </c>
      <c r="AE71" s="5" t="str">
        <f t="array" ref="AE71">IFERROR(IF('T1'!$J71="",INDEX(LISTA_EX,29),INDEX(LISTA_EX,MATCH('T1'!$J71&amp;"|"&amp;29,LISTA_KLUCZ,0))),"")</f>
        <v>Cable fly</v>
      </c>
      <c r="AF71" s="5" t="str">
        <f t="array" ref="AF71">IFERROR(IF('T1'!$J71="",INDEX(LISTA_EX,30),INDEX(LISTA_EX,MATCH('T1'!$J71&amp;"|"&amp;30,LISTA_KLUCZ,0))),"")</f>
        <v>Cable lateral raise s/a</v>
      </c>
      <c r="AG71" s="5" t="str">
        <f t="array" ref="AG71">IFERROR(IF('T1'!$J71="",INDEX(LISTA_EX,31),INDEX(LISTA_EX,MATCH('T1'!$J71&amp;"|"&amp;31,LISTA_KLUCZ,0))),"")</f>
        <v>Cable row</v>
      </c>
      <c r="AH71" s="5" t="str">
        <f t="array" ref="AH71">IFERROR(IF('T1'!$J71="",INDEX(LISTA_EX,32),INDEX(LISTA_EX,MATCH('T1'!$J71&amp;"|"&amp;32,LISTA_KLUCZ,0))),"")</f>
        <v>Cable row s/a</v>
      </c>
      <c r="AI71" s="5" t="str">
        <f t="array" ref="AI71">IFERROR(IF('T1'!$J71="",INDEX(LISTA_EX,33),INDEX(LISTA_EX,MATCH('T1'!$J71&amp;"|"&amp;33,LISTA_KLUCZ,0))),"")</f>
        <v>Calf raises</v>
      </c>
      <c r="AJ71" s="5" t="str">
        <f t="array" ref="AJ71">IFERROR(IF('T1'!$J71="",INDEX(LISTA_EX,34),INDEX(LISTA_EX,MATCH('T1'!$J71&amp;"|"&amp;34,LISTA_KLUCZ,0))),"")</f>
        <v>Chest fly machine</v>
      </c>
      <c r="AK71" s="5" t="str">
        <f t="array" ref="AK71">IFERROR(IF('T1'!$J71="",INDEX(LISTA_EX,35),INDEX(LISTA_EX,MATCH('T1'!$J71&amp;"|"&amp;35,LISTA_KLUCZ,0))),"")</f>
        <v>Clean</v>
      </c>
      <c r="AL71" s="5" t="str">
        <f t="array" ref="AL71">IFERROR(IF('T1'!$J71="",INDEX(LISTA_EX,36),INDEX(LISTA_EX,MATCH('T1'!$J71&amp;"|"&amp;36,LISTA_KLUCZ,0))),"")</f>
        <v>Clean pins</v>
      </c>
      <c r="AM71" s="5" t="str">
        <f t="array" ref="AM71">IFERROR(IF('T1'!$J71="",INDEX(LISTA_EX,37),INDEX(LISTA_EX,MATCH('T1'!$J71&amp;"|"&amp;37,LISTA_KLUCZ,0))),"")</f>
        <v>Copenhagen plank</v>
      </c>
      <c r="AN71" s="5" t="str">
        <f t="array" ref="AN71">IFERROR(IF('T1'!$J71="",INDEX(LISTA_EX,38),INDEX(LISTA_EX,MATCH('T1'!$J71&amp;"|"&amp;38,LISTA_KLUCZ,0))),"")</f>
        <v>Dead bug izo + OH</v>
      </c>
      <c r="AO71" s="5" t="str">
        <f t="array" ref="AO71">IFERROR(IF('T1'!$J71="",INDEX(LISTA_EX,39),INDEX(LISTA_EX,MATCH('T1'!$J71&amp;"|"&amp;39,LISTA_KLUCZ,0))),"")</f>
        <v>Dead bug straight legs</v>
      </c>
      <c r="AP71" s="5" t="str">
        <f t="array" ref="AP71">IFERROR(IF('T1'!$J71="",INDEX(LISTA_EX,40),INDEX(LISTA_EX,MATCH('T1'!$J71&amp;"|"&amp;40,LISTA_KLUCZ,0))),"")</f>
        <v>Dead stop barbell row</v>
      </c>
      <c r="AQ71" s="5" t="str">
        <f t="array" ref="AQ71">IFERROR(IF('T1'!$J71="",INDEX(LISTA_EX,41),INDEX(LISTA_EX,MATCH('T1'!$J71&amp;"|"&amp;41,LISTA_KLUCZ,0))),"")</f>
        <v>Deadbug OH</v>
      </c>
      <c r="AR71" s="5" t="str">
        <f t="array" ref="AR71">IFERROR(IF('T1'!$J71="",INDEX(LISTA_EX,42),INDEX(LISTA_EX,MATCH('T1'!$J71&amp;"|"&amp;42,LISTA_KLUCZ,0))),"")</f>
        <v>Deadlift</v>
      </c>
      <c r="AS71" s="5" t="str">
        <f t="array" ref="AS71">IFERROR(IF('T1'!$J71="",INDEX(LISTA_EX,43),INDEX(LISTA_EX,MATCH('T1'!$J71&amp;"|"&amp;43,LISTA_KLUCZ,0))),"")</f>
        <v>Deficit push up</v>
      </c>
      <c r="AT71" s="5" t="str">
        <f t="array" ref="AT71">IFERROR(IF('T1'!$J71="",INDEX(LISTA_EX,44),INDEX(LISTA_EX,MATCH('T1'!$J71&amp;"|"&amp;44,LISTA_KLUCZ,0))),"")</f>
        <v>Deficit reverse lunge</v>
      </c>
      <c r="AU71" s="5" t="str">
        <f t="array" ref="AU71">IFERROR(IF('T1'!$J71="",INDEX(LISTA_EX,45),INDEX(LISTA_EX,MATCH('T1'!$J71&amp;"|"&amp;45,LISTA_KLUCZ,0))),"")</f>
        <v>Dips</v>
      </c>
      <c r="AV71" s="5" t="str">
        <f t="array" ref="AV71">IFERROR(IF('T1'!$J71="",INDEX(LISTA_EX,46),INDEX(LISTA_EX,MATCH('T1'!$J71&amp;"|"&amp;46,LISTA_KLUCZ,0))),"")</f>
        <v>Dips weighted</v>
      </c>
      <c r="AW71" s="5" t="str">
        <f t="array" ref="AW71">IFERROR(IF('T1'!$J71="",INDEX(LISTA_EX,47),INDEX(LISTA_EX,MATCH('T1'!$J71&amp;"|"&amp;47,LISTA_KLUCZ,0))),"")</f>
        <v>Dumbbell bench press</v>
      </c>
      <c r="AX71" s="5" t="str">
        <f t="array" ref="AX71">IFERROR(IF('T1'!$J71="",INDEX(LISTA_EX,48),INDEX(LISTA_EX,MATCH('T1'!$J71&amp;"|"&amp;48,LISTA_KLUCZ,0))),"")</f>
        <v>Dumbbell bench press alternating</v>
      </c>
      <c r="AY71" s="5" t="str">
        <f t="array" ref="AY71">IFERROR(IF('T1'!$J71="",INDEX(LISTA_EX,49),INDEX(LISTA_EX,MATCH('T1'!$J71&amp;"|"&amp;49,LISTA_KLUCZ,0))),"")</f>
        <v>Dumbbell curl</v>
      </c>
      <c r="AZ71" s="5" t="str">
        <f t="array" ref="AZ71">IFERROR(IF('T1'!$J71="",INDEX(LISTA_EX,50),INDEX(LISTA_EX,MATCH('T1'!$J71&amp;"|"&amp;50,LISTA_KLUCZ,0))),"")</f>
        <v>Dumbbell external rotation</v>
      </c>
      <c r="BA71" s="5" t="str">
        <f t="array" ref="BA71">IFERROR(IF('T1'!$J71="",INDEX(LISTA_EX,51),INDEX(LISTA_EX,MATCH('T1'!$J71&amp;"|"&amp;51,LISTA_KLUCZ,0))),"")</f>
        <v>Dumbbell face down curl</v>
      </c>
      <c r="BB71" s="5" t="str">
        <f t="array" ref="BB71">IFERROR(IF('T1'!$J71="",INDEX(LISTA_EX,52),INDEX(LISTA_EX,MATCH('T1'!$J71&amp;"|"&amp;52,LISTA_KLUCZ,0))),"")</f>
        <v>Dumbbell fly</v>
      </c>
      <c r="BC71" s="5" t="str">
        <f t="array" ref="BC71">IFERROR(IF('T1'!$J71="",INDEX(LISTA_EX,53),INDEX(LISTA_EX,MATCH('T1'!$J71&amp;"|"&amp;53,LISTA_KLUCZ,0))),"")</f>
        <v>Dumbbell french press</v>
      </c>
      <c r="BD71" s="5" t="str">
        <f t="array" ref="BD71">IFERROR(IF('T1'!$J71="",INDEX(LISTA_EX,54),INDEX(LISTA_EX,MATCH('T1'!$J71&amp;"|"&amp;54,LISTA_KLUCZ,0))),"")</f>
        <v>Dumbbell lateral raise</v>
      </c>
      <c r="BE71" s="5" t="str">
        <f t="array" ref="BE71">IFERROR(IF('T1'!$J71="",INDEX(LISTA_EX,55),INDEX(LISTA_EX,MATCH('T1'!$J71&amp;"|"&amp;55,LISTA_KLUCZ,0))),"")</f>
        <v>Dumbbell lunges</v>
      </c>
      <c r="BF71" s="5" t="str">
        <f t="array" ref="BF71">IFERROR(IF('T1'!$J71="",INDEX(LISTA_EX,56),INDEX(LISTA_EX,MATCH('T1'!$J71&amp;"|"&amp;56,LISTA_KLUCZ,0))),"")</f>
        <v>Dumbbell OH press</v>
      </c>
      <c r="BG71" s="5" t="str">
        <f t="array" ref="BG71">IFERROR(IF('T1'!$J71="",INDEX(LISTA_EX,57),INDEX(LISTA_EX,MATCH('T1'!$J71&amp;"|"&amp;57,LISTA_KLUCZ,0))),"")</f>
        <v>Dumbbell over head press</v>
      </c>
      <c r="BH71" s="5" t="str">
        <f t="array" ref="BH71">IFERROR(IF('T1'!$J71="",INDEX(LISTA_EX,58),INDEX(LISTA_EX,MATCH('T1'!$J71&amp;"|"&amp;58,LISTA_KLUCZ,0))),"")</f>
        <v>Dumbbell over head press alternating</v>
      </c>
      <c r="BI71" s="5" t="str">
        <f t="array" ref="BI71">IFERROR(IF('T1'!$J71="",INDEX(LISTA_EX,59),INDEX(LISTA_EX,MATCH('T1'!$J71&amp;"|"&amp;59,LISTA_KLUCZ,0))),"")</f>
        <v>Dumbbell row</v>
      </c>
      <c r="BJ71" s="5" t="str">
        <f t="array" ref="BJ71">IFERROR(IF('T1'!$J71="",INDEX(LISTA_EX,60),INDEX(LISTA_EX,MATCH('T1'!$J71&amp;"|"&amp;60,LISTA_KLUCZ,0))),"")</f>
        <v>Dumbbell s/a Arnold press</v>
      </c>
      <c r="BK71" s="5" t="str">
        <f t="array" ref="BK71">IFERROR(IF('T1'!$J71="",INDEX(LISTA_EX,61),INDEX(LISTA_EX,MATCH('T1'!$J71&amp;"|"&amp;61,LISTA_KLUCZ,0))),"")</f>
        <v>Dumbbell s/a row</v>
      </c>
      <c r="BL71" s="5" t="str">
        <f t="array" ref="BL71">IFERROR(IF('T1'!$J71="",INDEX(LISTA_EX,62),INDEX(LISTA_EX,MATCH('T1'!$J71&amp;"|"&amp;62,LISTA_KLUCZ,0))),"")</f>
        <v>Dumbbell seal row</v>
      </c>
      <c r="BM71" s="5" t="str">
        <f t="array" ref="BM71">IFERROR(IF('T1'!$J71="",INDEX(LISTA_EX,63),INDEX(LISTA_EX,MATCH('T1'!$J71&amp;"|"&amp;63,LISTA_KLUCZ,0))),"")</f>
        <v>Dumbbells jumps</v>
      </c>
      <c r="BN71" s="5" t="str">
        <f t="array" ref="BN71">IFERROR(IF('T1'!$J71="",INDEX(LISTA_EX,64),INDEX(LISTA_EX,MATCH('T1'!$J71&amp;"|"&amp;64,LISTA_KLUCZ,0))),"")</f>
        <v>Eccentric pull up</v>
      </c>
      <c r="BO71" s="5" t="str">
        <f t="array" ref="BO71">IFERROR(IF('T1'!$J71="",INDEX(LISTA_EX,65),INDEX(LISTA_EX,MATCH('T1'!$J71&amp;"|"&amp;65,LISTA_KLUCZ,0))),"")</f>
        <v>Eccentric push up (5 sek w dół)</v>
      </c>
      <c r="BP71" s="5" t="str">
        <f t="array" ref="BP71">IFERROR(IF('T1'!$J71="",INDEX(LISTA_EX,66),INDEX(LISTA_EX,MATCH('T1'!$J71&amp;"|"&amp;66,LISTA_KLUCZ,0))),"")</f>
        <v>Extensive plyo jumps s/l</v>
      </c>
      <c r="BQ71" s="5" t="str">
        <f t="array" ref="BQ71">IFERROR(IF('T1'!$J71="",INDEX(LISTA_EX,67),INDEX(LISTA_EX,MATCH('T1'!$J71&amp;"|"&amp;67,LISTA_KLUCZ,0))),"")</f>
        <v>Ez bar curl</v>
      </c>
      <c r="BR71" s="5" t="str">
        <f t="array" ref="BR71">IFERROR(IF('T1'!$J71="",INDEX(LISTA_EX,68),INDEX(LISTA_EX,MATCH('T1'!$J71&amp;"|"&amp;68,LISTA_KLUCZ,0))),"")</f>
        <v>Facepull chest supported</v>
      </c>
      <c r="BS71" s="5" t="str">
        <f t="array" ref="BS71">IFERROR(IF('T1'!$J71="",INDEX(LISTA_EX,69),INDEX(LISTA_EX,MATCH('T1'!$J71&amp;"|"&amp;69,LISTA_KLUCZ,0))),"")</f>
        <v>Front foot elevated split squat</v>
      </c>
      <c r="BT71" s="5" t="str">
        <f t="array" ref="BT71">IFERROR(IF('T1'!$J71="",INDEX(LISTA_EX,70),INDEX(LISTA_EX,MATCH('T1'!$J71&amp;"|"&amp;70,LISTA_KLUCZ,0))),"")</f>
        <v>Front squat</v>
      </c>
      <c r="BU71" s="5" t="str">
        <f t="array" ref="BU71">IFERROR(IF('T1'!$J71="",INDEX(LISTA_EX,71),INDEX(LISTA_EX,MATCH('T1'!$J71&amp;"|"&amp;71,LISTA_KLUCZ,0))),"")</f>
        <v>GHD flexion</v>
      </c>
      <c r="BV71" s="5" t="str">
        <f t="array" ref="BV71">IFERROR(IF('T1'!$J71="",INDEX(LISTA_EX,72),INDEX(LISTA_EX,MATCH('T1'!$J71&amp;"|"&amp;72,LISTA_KLUCZ,0))),"")</f>
        <v>Glute bridge hamstrings izo + OH</v>
      </c>
      <c r="BW71" s="5" t="str">
        <f t="array" ref="BW71">IFERROR(IF('T1'!$J71="",INDEX(LISTA_EX,73),INDEX(LISTA_EX,MATCH('T1'!$J71&amp;"|"&amp;73,LISTA_KLUCZ,0))),"")</f>
        <v>Glute crusher</v>
      </c>
      <c r="BX71" s="5" t="str">
        <f t="array" ref="BX71">IFERROR(IF('T1'!$J71="",INDEX(LISTA_EX,74),INDEX(LISTA_EX,MATCH('T1'!$J71&amp;"|"&amp;74,LISTA_KLUCZ,0))),"")</f>
        <v>Gorilla row</v>
      </c>
      <c r="BY71" s="5" t="str">
        <f t="array" ref="BY71">IFERROR(IF('T1'!$J71="",INDEX(LISTA_EX,75),INDEX(LISTA_EX,MATCH('T1'!$J71&amp;"|"&amp;75,LISTA_KLUCZ,0))),"")</f>
        <v>Halfkneeling s/a cable pull</v>
      </c>
      <c r="BZ71" s="5" t="str">
        <f t="array" ref="BZ71">IFERROR(IF('T1'!$J71="",INDEX(LISTA_EX,76),INDEX(LISTA_EX,MATCH('T1'!$J71&amp;"|"&amp;76,LISTA_KLUCZ,0))),"")</f>
        <v>Halfkneeling wood chopper</v>
      </c>
      <c r="CA71" s="5" t="str">
        <f t="array" ref="CA71">IFERROR(IF('T1'!$J71="",INDEX(LISTA_EX,77),INDEX(LISTA_EX,MATCH('T1'!$J71&amp;"|"&amp;77,LISTA_KLUCZ,0))),"")</f>
        <v>Hinged dumbbell row</v>
      </c>
      <c r="CB71" s="5" t="str">
        <f t="array" ref="CB71">IFERROR(IF('T1'!$J71="",INDEX(LISTA_EX,78),INDEX(LISTA_EX,MATCH('T1'!$J71&amp;"|"&amp;78,LISTA_KLUCZ,0))),"")</f>
        <v>Hip aeroplane</v>
      </c>
      <c r="CC71" s="5" t="str">
        <f t="array" ref="CC71">IFERROR(IF('T1'!$J71="",INDEX(LISTA_EX,79),INDEX(LISTA_EX,MATCH('T1'!$J71&amp;"|"&amp;79,LISTA_KLUCZ,0))),"")</f>
        <v>Hip flexors cable</v>
      </c>
      <c r="CD71" s="5" t="str">
        <f t="array" ref="CD71">IFERROR(IF('T1'!$J71="",INDEX(LISTA_EX,80),INDEX(LISTA_EX,MATCH('T1'!$J71&amp;"|"&amp;80,LISTA_KLUCZ,0))),"")</f>
        <v>Hip thrust barbell</v>
      </c>
      <c r="CE71" s="5" t="str">
        <f t="array" ref="CE71">IFERROR(IF('T1'!$J71="",INDEX(LISTA_EX,81),INDEX(LISTA_EX,MATCH('T1'!$J71&amp;"|"&amp;81,LISTA_KLUCZ,0))),"")</f>
        <v>Hollow body + OH</v>
      </c>
      <c r="CF71" s="5" t="str">
        <f t="array" ref="CF71">IFERROR(IF('T1'!$J71="",INDEX(LISTA_EX,82),INDEX(LISTA_EX,MATCH('T1'!$J71&amp;"|"&amp;82,LISTA_KLUCZ,0))),"")</f>
        <v>Horizontal jump</v>
      </c>
      <c r="CG71" s="5" t="str">
        <f t="array" ref="CG71">IFERROR(IF('T1'!$J71="",INDEX(LISTA_EX,83),INDEX(LISTA_EX,MATCH('T1'!$J71&amp;"|"&amp;83,LISTA_KLUCZ,0))),"")</f>
        <v>Incline bench lateral raise s/a</v>
      </c>
      <c r="CH71" s="5" t="str">
        <f t="array" ref="CH71">IFERROR(IF('T1'!$J71="",INDEX(LISTA_EX,84),INDEX(LISTA_EX,MATCH('T1'!$J71&amp;"|"&amp;84,LISTA_KLUCZ,0))),"")</f>
        <v>Incline curl + OHP</v>
      </c>
      <c r="CI71" s="5" t="str">
        <f t="array" ref="CI71">IFERROR(IF('T1'!$J71="",INDEX(LISTA_EX,85),INDEX(LISTA_EX,MATCH('T1'!$J71&amp;"|"&amp;85,LISTA_KLUCZ,0))),"")</f>
        <v>Incline dumbbell curl</v>
      </c>
      <c r="CJ71" s="5" t="str">
        <f t="array" ref="CJ71">IFERROR(IF('T1'!$J71="",INDEX(LISTA_EX,86),INDEX(LISTA_EX,MATCH('T1'!$J71&amp;"|"&amp;86,LISTA_KLUCZ,0))),"")</f>
        <v>Incline dumbbell curl (back)</v>
      </c>
      <c r="CK71" s="5" t="str">
        <f t="array" ref="CK71">IFERROR(IF('T1'!$J71="",INDEX(LISTA_EX,87),INDEX(LISTA_EX,MATCH('T1'!$J71&amp;"|"&amp;87,LISTA_KLUCZ,0))),"")</f>
        <v>Incline dumbbell curl (front)</v>
      </c>
      <c r="CL71" s="5" t="str">
        <f t="array" ref="CL71">IFERROR(IF('T1'!$J71="",INDEX(LISTA_EX,88),INDEX(LISTA_EX,MATCH('T1'!$J71&amp;"|"&amp;88,LISTA_KLUCZ,0))),"")</f>
        <v>Incline dumbbell fly</v>
      </c>
      <c r="CM71" s="5" t="str">
        <f t="array" ref="CM71">IFERROR(IF('T1'!$J71="",INDEX(LISTA_EX,89),INDEX(LISTA_EX,MATCH('T1'!$J71&amp;"|"&amp;89,LISTA_KLUCZ,0))),"")</f>
        <v>Incline dumbbell press</v>
      </c>
      <c r="CN71" s="5" t="str">
        <f t="array" ref="CN71">IFERROR(IF('T1'!$J71="",INDEX(LISTA_EX,90),INDEX(LISTA_EX,MATCH('T1'!$J71&amp;"|"&amp;90,LISTA_KLUCZ,0))),"")</f>
        <v>Incline dumbbell press alternating</v>
      </c>
      <c r="CO71" s="5" t="str">
        <f t="array" ref="CO71">IFERROR(IF('T1'!$J71="",INDEX(LISTA_EX,91),INDEX(LISTA_EX,MATCH('T1'!$J71&amp;"|"&amp;91,LISTA_KLUCZ,0))),"")</f>
        <v>Incline sit-ups</v>
      </c>
      <c r="CP71" s="5" t="str">
        <f t="array" ref="CP71">IFERROR(IF('T1'!$J71="",INDEX(LISTA_EX,92),INDEX(LISTA_EX,MATCH('T1'!$J71&amp;"|"&amp;92,LISTA_KLUCZ,0))),"")</f>
        <v>Jefferson cable</v>
      </c>
      <c r="CQ71" s="5" t="str">
        <f t="array" ref="CQ71">IFERROR(IF('T1'!$J71="",INDEX(LISTA_EX,93),INDEX(LISTA_EX,MATCH('T1'!$J71&amp;"|"&amp;93,LISTA_KLUCZ,0))),"")</f>
        <v>Kettlebell march</v>
      </c>
      <c r="CR71" s="5" t="str">
        <f t="array" ref="CR71">IFERROR(IF('T1'!$J71="",INDEX(LISTA_EX,94),INDEX(LISTA_EX,MATCH('T1'!$J71&amp;"|"&amp;94,LISTA_KLUCZ,0))),"")</f>
        <v>Kickbacks</v>
      </c>
      <c r="CS71" s="5" t="str">
        <f t="array" ref="CS71">IFERROR(IF('T1'!$J71="",INDEX(LISTA_EX,95),INDEX(LISTA_EX,MATCH('T1'!$J71&amp;"|"&amp;95,LISTA_KLUCZ,0))),"")</f>
        <v>Knee extension machine</v>
      </c>
      <c r="CT71" s="5" t="str">
        <f t="array" ref="CT71">IFERROR(IF('T1'!$J71="",INDEX(LISTA_EX,96),INDEX(LISTA_EX,MATCH('T1'!$J71&amp;"|"&amp;96,LISTA_KLUCZ,0))),"")</f>
        <v>Knee flexion machine</v>
      </c>
      <c r="CU71" s="5" t="str">
        <f t="array" ref="CU71">IFERROR(IF('T1'!$J71="",INDEX(LISTA_EX,97),INDEX(LISTA_EX,MATCH('T1'!$J71&amp;"|"&amp;97,LISTA_KLUCZ,0))),"")</f>
        <v>Knee raises</v>
      </c>
      <c r="CV71" s="5" t="str">
        <f t="array" ref="CV71">IFERROR(IF('T1'!$J71="",INDEX(LISTA_EX,98),INDEX(LISTA_EX,MATCH('T1'!$J71&amp;"|"&amp;98,LISTA_KLUCZ,0))),"")</f>
        <v>Landmine core</v>
      </c>
      <c r="CW71" s="5" t="str">
        <f t="array" ref="CW71">IFERROR(IF('T1'!$J71="",INDEX(LISTA_EX,99),INDEX(LISTA_EX,MATCH('T1'!$J71&amp;"|"&amp;99,LISTA_KLUCZ,0))),"")</f>
        <v>Landmine press</v>
      </c>
      <c r="CX71" s="5" t="str">
        <f t="array" ref="CX71">IFERROR(IF('T1'!$J71="",INDEX(LISTA_EX,100),INDEX(LISTA_EX,MATCH('T1'!$J71&amp;"|"&amp;100,LISTA_KLUCZ,0))),"")</f>
        <v>Landmine rotations (powtórzenia x2)</v>
      </c>
      <c r="CY71" s="5" t="str">
        <f t="array" ref="CY71">IFERROR(IF('T1'!$J71="",INDEX(LISTA_EX,101),INDEX(LISTA_EX,MATCH('T1'!$J71&amp;"|"&amp;101,LISTA_KLUCZ,0))),"")</f>
        <v>Landmine SLDL</v>
      </c>
      <c r="CZ71" s="5" t="str">
        <f t="array" ref="CZ71">IFERROR(IF('T1'!$J71="",INDEX(LISTA_EX,102),INDEX(LISTA_EX,MATCH('T1'!$J71&amp;"|"&amp;102,LISTA_KLUCZ,0))),"")</f>
        <v>Lat pulldown</v>
      </c>
      <c r="DA71" s="5" t="str">
        <f t="array" ref="DA71">IFERROR(IF('T1'!$J71="",INDEX(LISTA_EX,103),INDEX(LISTA_EX,MATCH('T1'!$J71&amp;"|"&amp;103,LISTA_KLUCZ,0))),"")</f>
        <v>Lat pulldown behind the head</v>
      </c>
      <c r="DB71" s="5" t="str">
        <f t="array" ref="DB71">IFERROR(IF('T1'!$J71="",INDEX(LISTA_EX,104),INDEX(LISTA_EX,MATCH('T1'!$J71&amp;"|"&amp;104,LISTA_KLUCZ,0))),"")</f>
        <v>Lat pulldown s/a</v>
      </c>
      <c r="DC71" s="5" t="str">
        <f t="array" ref="DC71">IFERROR(IF('T1'!$J71="",INDEX(LISTA_EX,105),INDEX(LISTA_EX,MATCH('T1'!$J71&amp;"|"&amp;105,LISTA_KLUCZ,0))),"")</f>
        <v>Lateral raise s/a</v>
      </c>
      <c r="DD71" s="5" t="str">
        <f t="array" ref="DD71">IFERROR(IF('T1'!$J71="",INDEX(LISTA_EX,106),INDEX(LISTA_EX,MATCH('T1'!$J71&amp;"|"&amp;106,LISTA_KLUCZ,0))),"")</f>
        <v>Lateral raises</v>
      </c>
      <c r="DE71" s="5" t="str">
        <f t="array" ref="DE71">IFERROR(IF('T1'!$J71="",INDEX(LISTA_EX,107),INDEX(LISTA_EX,MATCH('T1'!$J71&amp;"|"&amp;107,LISTA_KLUCZ,0))),"")</f>
        <v>Lateral raises 2</v>
      </c>
      <c r="DF71" s="5" t="str">
        <f t="array" ref="DF71">IFERROR(IF('T1'!$J71="",INDEX(LISTA_EX,108),INDEX(LISTA_EX,MATCH('T1'!$J71&amp;"|"&amp;108,LISTA_KLUCZ,0))),"")</f>
        <v>Lateral raises full ROM</v>
      </c>
      <c r="DG71" s="5" t="str">
        <f t="array" ref="DG71">IFERROR(IF('T1'!$J71="",INDEX(LISTA_EX,109),INDEX(LISTA_EX,MATCH('T1'!$J71&amp;"|"&amp;109,LISTA_KLUCZ,0))),"")</f>
        <v>Lateral raises hinged</v>
      </c>
      <c r="DH71" s="5" t="str">
        <f t="array" ref="DH71">IFERROR(IF('T1'!$J71="",INDEX(LISTA_EX,110),INDEX(LISTA_EX,MATCH('T1'!$J71&amp;"|"&amp;110,LISTA_KLUCZ,0))),"")</f>
        <v>Lateral raises incline s/a</v>
      </c>
      <c r="DI71" s="5" t="str">
        <f t="array" ref="DI71">IFERROR(IF('T1'!$J71="",INDEX(LISTA_EX,111),INDEX(LISTA_EX,MATCH('T1'!$J71&amp;"|"&amp;111,LISTA_KLUCZ,0))),"")</f>
        <v>Leg curl</v>
      </c>
      <c r="DJ71" s="5" t="str">
        <f t="array" ref="DJ71">IFERROR(IF('T1'!$J71="",INDEX(LISTA_EX,112),INDEX(LISTA_EX,MATCH('T1'!$J71&amp;"|"&amp;112,LISTA_KLUCZ,0))),"")</f>
        <v>Machine row</v>
      </c>
      <c r="DK71" s="5" t="str">
        <f t="array" ref="DK71">IFERROR(IF('T1'!$J71="",INDEX(LISTA_EX,113),INDEX(LISTA_EX,MATCH('T1'!$J71&amp;"|"&amp;113,LISTA_KLUCZ,0))),"")</f>
        <v>Machine row s/a</v>
      </c>
      <c r="DL71" s="5" t="str">
        <f t="array" ref="DL71">IFERROR(IF('T1'!$J71="",INDEX(LISTA_EX,114),INDEX(LISTA_EX,MATCH('T1'!$J71&amp;"|"&amp;114,LISTA_KLUCZ,0))),"")</f>
        <v>Meadows row</v>
      </c>
      <c r="DM71" s="5" t="str">
        <f t="array" ref="DM71">IFERROR(IF('T1'!$J71="",INDEX(LISTA_EX,115),INDEX(LISTA_EX,MATCH('T1'!$J71&amp;"|"&amp;115,LISTA_KLUCZ,0))),"")</f>
        <v>Med ball slam</v>
      </c>
      <c r="DN71" s="5" t="str">
        <f t="array" ref="DN71">IFERROR(IF('T1'!$J71="",INDEX(LISTA_EX,116),INDEX(LISTA_EX,MATCH('T1'!$J71&amp;"|"&amp;116,LISTA_KLUCZ,0))),"")</f>
        <v>OH skullcrushers</v>
      </c>
      <c r="DO71" s="5" t="str">
        <f t="array" ref="DO71">IFERROR(IF('T1'!$J71="",INDEX(LISTA_EX,117),INDEX(LISTA_EX,MATCH('T1'!$J71&amp;"|"&amp;117,LISTA_KLUCZ,0))),"")</f>
        <v>OHP barbell squat 15kg</v>
      </c>
      <c r="DP71" s="5" t="str">
        <f t="array" ref="DP71">IFERROR(IF('T1'!$J71="",INDEX(LISTA_EX,118),INDEX(LISTA_EX,MATCH('T1'!$J71&amp;"|"&amp;118,LISTA_KLUCZ,0))),"")</f>
        <v>Pistol squat eccentric</v>
      </c>
      <c r="DQ71" s="5" t="str">
        <f t="array" ref="DQ71">IFERROR(IF('T1'!$J71="",INDEX(LISTA_EX,119),INDEX(LISTA_EX,MATCH('T1'!$J71&amp;"|"&amp;119,LISTA_KLUCZ,0))),"")</f>
        <v>Plank contralateral</v>
      </c>
      <c r="DR71" s="5" t="str">
        <f t="array" ref="DR71">IFERROR(IF('T1'!$J71="",INDEX(LISTA_EX,120),INDEX(LISTA_EX,MATCH('T1'!$J71&amp;"|"&amp;120,LISTA_KLUCZ,0))),"")</f>
        <v>Plank dumbbell rotation</v>
      </c>
      <c r="DS71" s="5" t="str">
        <f t="array" ref="DS71">IFERROR(IF('T1'!$J71="",INDEX(LISTA_EX,121),INDEX(LISTA_EX,MATCH('T1'!$J71&amp;"|"&amp;121,LISTA_KLUCZ,0))),"")</f>
        <v>Plank leg raises</v>
      </c>
      <c r="DT71" s="5" t="str">
        <f t="array" ref="DT71">IFERROR(IF('T1'!$J71="",INDEX(LISTA_EX,122),INDEX(LISTA_EX,MATCH('T1'!$J71&amp;"|"&amp;122,LISTA_KLUCZ,0))),"")</f>
        <v>Poliquin step up</v>
      </c>
      <c r="DU71" s="5" t="str">
        <f t="array" ref="DU71">IFERROR(IF('T1'!$J71="",INDEX(LISTA_EX,123),INDEX(LISTA_EX,MATCH('T1'!$J71&amp;"|"&amp;123,LISTA_KLUCZ,0))),"")</f>
        <v>Poliquin step up paused 3sec</v>
      </c>
      <c r="DV71" s="5" t="str">
        <f t="array" ref="DV71">IFERROR(IF('T1'!$J71="",INDEX(LISTA_EX,124),INDEX(LISTA_EX,MATCH('T1'!$J71&amp;"|"&amp;124,LISTA_KLUCZ,0))),"")</f>
        <v>Pronation/Supination</v>
      </c>
      <c r="DW71" s="5" t="str">
        <f t="array" ref="DW71">IFERROR(IF('T1'!$J71="",INDEX(LISTA_EX,125),INDEX(LISTA_EX,MATCH('T1'!$J71&amp;"|"&amp;125,LISTA_KLUCZ,0))),"")</f>
        <v>Pull up</v>
      </c>
      <c r="DX71" s="5" t="str">
        <f t="array" ref="DX71">IFERROR(IF('T1'!$J71="",INDEX(LISTA_EX,126),INDEX(LISTA_EX,MATCH('T1'!$J71&amp;"|"&amp;126,LISTA_KLUCZ,0))),"")</f>
        <v>Pull up eccentric weighted</v>
      </c>
      <c r="DY71" s="5" t="str">
        <f t="array" ref="DY71">IFERROR(IF('T1'!$J71="",INDEX(LISTA_EX,127),INDEX(LISTA_EX,MATCH('T1'!$J71&amp;"|"&amp;127,LISTA_KLUCZ,0))),"")</f>
        <v>Pull up eccentric weighted (5 sek w dół)</v>
      </c>
      <c r="DZ71" s="5" t="str">
        <f t="array" ref="DZ71">IFERROR(IF('T1'!$J71="",INDEX(LISTA_EX,128),INDEX(LISTA_EX,MATCH('T1'!$J71&amp;"|"&amp;128,LISTA_KLUCZ,0))),"")</f>
        <v>Pull up weighted</v>
      </c>
      <c r="EA71" s="5" t="str">
        <f t="array" ref="EA71">IFERROR(IF('T1'!$J71="",INDEX(LISTA_EX,129),INDEX(LISTA_EX,MATCH('T1'!$J71&amp;"|"&amp;129,LISTA_KLUCZ,0))),"")</f>
        <v>Pull ups (paused)</v>
      </c>
      <c r="EB71" s="5" t="str">
        <f t="array" ref="EB71">IFERROR(IF('T1'!$J71="",INDEX(LISTA_EX,130),INDEX(LISTA_EX,MATCH('T1'!$J71&amp;"|"&amp;130,LISTA_KLUCZ,0))),"")</f>
        <v>Push press barbell</v>
      </c>
      <c r="EC71" s="5" t="str">
        <f t="array" ref="EC71">IFERROR(IF('T1'!$J71="",INDEX(LISTA_EX,131),INDEX(LISTA_EX,MATCH('T1'!$J71&amp;"|"&amp;131,LISTA_KLUCZ,0))),"")</f>
        <v>Push up</v>
      </c>
      <c r="ED71" s="5" t="str">
        <f t="array" ref="ED71">IFERROR(IF('T1'!$J71="",INDEX(LISTA_EX,132),INDEX(LISTA_EX,MATCH('T1'!$J71&amp;"|"&amp;132,LISTA_KLUCZ,0))),"")</f>
        <v>Raised bird dog</v>
      </c>
      <c r="EE71" s="5" t="str">
        <f t="array" ref="EE71">IFERROR(IF('T1'!$J71="",INDEX(LISTA_EX,133),INDEX(LISTA_EX,MATCH('T1'!$J71&amp;"|"&amp;133,LISTA_KLUCZ,0))),"")</f>
        <v>RDL</v>
      </c>
      <c r="EF71" s="5" t="str">
        <f t="array" ref="EF71">IFERROR(IF('T1'!$J71="",INDEX(LISTA_EX,134),INDEX(LISTA_EX,MATCH('T1'!$J71&amp;"|"&amp;134,LISTA_KLUCZ,0))),"")</f>
        <v>Reverse Nordic</v>
      </c>
      <c r="EG71" s="5" t="str">
        <f t="array" ref="EG71">IFERROR(IF('T1'!$J71="",INDEX(LISTA_EX,135),INDEX(LISTA_EX,MATCH('T1'!$J71&amp;"|"&amp;135,LISTA_KLUCZ,0))),"")</f>
        <v>Rope pushdown</v>
      </c>
      <c r="EH71" s="5" t="str">
        <f t="array" ref="EH71">IFERROR(IF('T1'!$J71="",INDEX(LISTA_EX,136),INDEX(LISTA_EX,MATCH('T1'!$J71&amp;"|"&amp;136,LISTA_KLUCZ,0))),"")</f>
        <v>Rope pushdown OH</v>
      </c>
      <c r="EI71" s="5" t="str">
        <f t="array" ref="EI71">IFERROR(IF('T1'!$J71="",INDEX(LISTA_EX,137),INDEX(LISTA_EX,MATCH('T1'!$J71&amp;"|"&amp;137,LISTA_KLUCZ,0))),"")</f>
        <v>S/a cable pulldown incline bench</v>
      </c>
      <c r="EJ71" s="5" t="str">
        <f t="array" ref="EJ71">IFERROR(IF('T1'!$J71="",INDEX(LISTA_EX,138),INDEX(LISTA_EX,MATCH('T1'!$J71&amp;"|"&amp;138,LISTA_KLUCZ,0))),"")</f>
        <v>S/a lat pulldown incline bench</v>
      </c>
      <c r="EK71" s="5" t="str">
        <f t="array" ref="EK71">IFERROR(IF('T1'!$J71="",INDEX(LISTA_EX,139),INDEX(LISTA_EX,MATCH('T1'!$J71&amp;"|"&amp;139,LISTA_KLUCZ,0))),"")</f>
        <v>S/l dragonflag eccentric</v>
      </c>
      <c r="EL71" s="5" t="str">
        <f t="array" ref="EL71">IFERROR(IF('T1'!$J71="",INDEX(LISTA_EX,140),INDEX(LISTA_EX,MATCH('T1'!$J71&amp;"|"&amp;140,LISTA_KLUCZ,0))),"")</f>
        <v>S/l hip thrust</v>
      </c>
      <c r="EM71" s="5" t="str">
        <f t="array" ref="EM71">IFERROR(IF('T1'!$J71="",INDEX(LISTA_EX,141),INDEX(LISTA_EX,MATCH('T1'!$J71&amp;"|"&amp;141,LISTA_KLUCZ,0))),"")</f>
        <v>Seated broad jump</v>
      </c>
      <c r="EN71" s="5" t="str">
        <f t="array" ref="EN71">IFERROR(IF('T1'!$J71="",INDEX(LISTA_EX,142),INDEX(LISTA_EX,MATCH('T1'!$J71&amp;"|"&amp;142,LISTA_KLUCZ,0))),"")</f>
        <v>Seated cable facepull</v>
      </c>
      <c r="EO71" s="5" t="str">
        <f t="array" ref="EO71">IFERROR(IF('T1'!$J71="",INDEX(LISTA_EX,143),INDEX(LISTA_EX,MATCH('T1'!$J71&amp;"|"&amp;143,LISTA_KLUCZ,0))),"")</f>
        <v>Seated seesaw press (nogi proste)</v>
      </c>
      <c r="EP71" s="5" t="str">
        <f t="array" ref="EP71">IFERROR(IF('T1'!$J71="",INDEX(LISTA_EX,144),INDEX(LISTA_EX,MATCH('T1'!$J71&amp;"|"&amp;144,LISTA_KLUCZ,0))),"")</f>
        <v>Seesaw press</v>
      </c>
      <c r="EQ71" s="5" t="str">
        <f t="array" ref="EQ71">IFERROR(IF('T1'!$J71="",INDEX(LISTA_EX,145),INDEX(LISTA_EX,MATCH('T1'!$J71&amp;"|"&amp;145,LISTA_KLUCZ,0))),"")</f>
        <v>Side crunches</v>
      </c>
      <c r="ER71" s="5" t="str">
        <f t="array" ref="ER71">IFERROR(IF('T1'!$J71="",INDEX(LISTA_EX,146),INDEX(LISTA_EX,MATCH('T1'!$J71&amp;"|"&amp;146,LISTA_KLUCZ,0))),"")</f>
        <v>Side plank hip drop</v>
      </c>
      <c r="ES71" s="5" t="str">
        <f t="array" ref="ES71">IFERROR(IF('T1'!$J71="",INDEX(LISTA_EX,147),INDEX(LISTA_EX,MATCH('T1'!$J71&amp;"|"&amp;147,LISTA_KLUCZ,0))),"")</f>
        <v>Side plank rotations</v>
      </c>
      <c r="ET71" s="5" t="str">
        <f t="array" ref="ET71">IFERROR(IF('T1'!$J71="",INDEX(LISTA_EX,148),INDEX(LISTA_EX,MATCH('T1'!$J71&amp;"|"&amp;148,LISTA_KLUCZ,0))),"")</f>
        <v>SLDL balance</v>
      </c>
      <c r="EU71" s="5" t="str">
        <f t="array" ref="EU71">IFERROR(IF('T1'!$J71="",INDEX(LISTA_EX,149),INDEX(LISTA_EX,MATCH('T1'!$J71&amp;"|"&amp;149,LISTA_KLUCZ,0))),"")</f>
        <v>Split squat</v>
      </c>
      <c r="EV71" s="5" t="str">
        <f t="array" ref="EV71">IFERROR(IF('T1'!$J71="",INDEX(LISTA_EX,150),INDEX(LISTA_EX,MATCH('T1'!$J71&amp;"|"&amp;150,LISTA_KLUCZ,0))),"")</f>
        <v>Split stance SLDL</v>
      </c>
      <c r="EW71" s="5" t="str">
        <f t="array" ref="EW71">IFERROR(IF('T1'!$J71="",INDEX(LISTA_EX,151),INDEX(LISTA_EX,MATCH('T1'!$J71&amp;"|"&amp;151,LISTA_KLUCZ,0))),"")</f>
        <v>Squat izo (15 sek)</v>
      </c>
      <c r="EX71" s="5" t="str">
        <f t="array" ref="EX71">IFERROR(IF('T1'!$J71="",INDEX(LISTA_EX,152),INDEX(LISTA_EX,MATCH('T1'!$J71&amp;"|"&amp;152,LISTA_KLUCZ,0))),"")</f>
        <v>Standing landmine press</v>
      </c>
      <c r="EY71" s="5" t="str">
        <f t="array" ref="EY71">IFERROR(IF('T1'!$J71="",INDEX(LISTA_EX,153),INDEX(LISTA_EX,MATCH('T1'!$J71&amp;"|"&amp;153,LISTA_KLUCZ,0))),"")</f>
        <v>Suitcase carry</v>
      </c>
      <c r="EZ71" s="5" t="str">
        <f t="array" ref="EZ71">IFERROR(IF('T1'!$J71="",INDEX(LISTA_EX,154),INDEX(LISTA_EX,MATCH('T1'!$J71&amp;"|"&amp;154,LISTA_KLUCZ,0))),"")</f>
        <v>Supine pigeon abs</v>
      </c>
      <c r="FA71" s="5" t="str">
        <f t="array" ref="FA71">IFERROR(IF('T1'!$J71="",INDEX(LISTA_EX,155),INDEX(LISTA_EX,MATCH('T1'!$J71&amp;"|"&amp;155,LISTA_KLUCZ,0))),"")</f>
        <v>Swiss ball leg curl</v>
      </c>
      <c r="FB71" s="5" t="str">
        <f t="array" ref="FB71">IFERROR(IF('T1'!$J71="",INDEX(LISTA_EX,156),INDEX(LISTA_EX,MATCH('T1'!$J71&amp;"|"&amp;156,LISTA_KLUCZ,0))),"")</f>
        <v>Toes to bar</v>
      </c>
      <c r="FC71" s="5" t="str">
        <f t="array" ref="FC71">IFERROR(IF('T1'!$J71="",INDEX(LISTA_EX,157),INDEX(LISTA_EX,MATCH('T1'!$J71&amp;"|"&amp;157,LISTA_KLUCZ,0))),"")</f>
        <v>Trap bar deadlift</v>
      </c>
      <c r="FD71" s="5" t="str">
        <f t="array" ref="FD71">IFERROR(IF('T1'!$J71="",INDEX(LISTA_EX,158),INDEX(LISTA_EX,MATCH('T1'!$J71&amp;"|"&amp;158,LISTA_KLUCZ,0))),"")</f>
        <v>Tricep cable pushdown</v>
      </c>
      <c r="FE71" s="5" t="str">
        <f t="array" ref="FE71">IFERROR(IF('T1'!$J71="",INDEX(LISTA_EX,159),INDEX(LISTA_EX,MATCH('T1'!$J71&amp;"|"&amp;159,LISTA_KLUCZ,0))),"")</f>
        <v>Tricep JM press</v>
      </c>
      <c r="FF71" s="5" t="str">
        <f t="array" ref="FF71">IFERROR(IF('T1'!$J71="",INDEX(LISTA_EX,160),INDEX(LISTA_EX,MATCH('T1'!$J71&amp;"|"&amp;160,LISTA_KLUCZ,0))),"")</f>
        <v>Tricep OH cable</v>
      </c>
      <c r="FG71" s="5" t="str">
        <f t="array" ref="FG71">IFERROR(IF('T1'!$J71="",INDEX(LISTA_EX,161),INDEX(LISTA_EX,MATCH('T1'!$J71&amp;"|"&amp;161,LISTA_KLUCZ,0))),"")</f>
        <v>Tricep OH ez bar</v>
      </c>
      <c r="FH71" s="5" t="str">
        <f t="array" ref="FH71">IFERROR(IF('T1'!$J71="",INDEX(LISTA_EX,162),INDEX(LISTA_EX,MATCH('T1'!$J71&amp;"|"&amp;162,LISTA_KLUCZ,0))),"")</f>
        <v>Walking lunges</v>
      </c>
      <c r="FI71" s="5" t="str">
        <f t="array" ref="FI71">IFERROR(IF('T1'!$J71="",INDEX(LISTA_EX,163),INDEX(LISTA_EX,MATCH('T1'!$J71&amp;"|"&amp;163,LISTA_KLUCZ,0))),"")</f>
        <v>Wipers kettle</v>
      </c>
      <c r="FJ71" s="5" t="str">
        <f t="array" ref="FJ71">IFERROR(IF('T1'!$J71="",INDEX(LISTA_EX,164),INDEX(LISTA_EX,MATCH('T1'!$J71&amp;"|"&amp;164,LISTA_KLUCZ,0))),"")</f>
        <v>Zercher jumps</v>
      </c>
      <c r="FK71" s="5" t="str">
        <f t="array" ref="FK71">IFERROR(IF('T1'!$J71="",INDEX(LISTA_EX,165),INDEX(LISTA_EX,MATCH('T1'!$J71&amp;"|"&amp;165,LISTA_KLUCZ,0))),"")</f>
        <v/>
      </c>
      <c r="FL71" s="5" t="str">
        <f t="array" ref="FL71">IFERROR(IF('T1'!$J71="",INDEX(LISTA_EX,166),INDEX(LISTA_EX,MATCH('T1'!$J71&amp;"|"&amp;166,LISTA_KLUCZ,0))),"")</f>
        <v/>
      </c>
      <c r="FM71" s="5" t="str">
        <f t="array" ref="FM71">IFERROR(IF('T1'!$J71="",INDEX(LISTA_EX,167),INDEX(LISTA_EX,MATCH('T1'!$J71&amp;"|"&amp;167,LISTA_KLUCZ,0))),"")</f>
        <v/>
      </c>
      <c r="FN71" s="5" t="str">
        <f t="array" ref="FN71">IFERROR(IF('T1'!$J71="",INDEX(LISTA_EX,168),INDEX(LISTA_EX,MATCH('T1'!$J71&amp;"|"&amp;168,LISTA_KLUCZ,0))),"")</f>
        <v/>
      </c>
      <c r="FO71" s="5" t="str">
        <f t="array" ref="FO71">IFERROR(IF('T1'!$J71="",INDEX(LISTA_EX,169),INDEX(LISTA_EX,MATCH('T1'!$J71&amp;"|"&amp;169,LISTA_KLUCZ,0))),"")</f>
        <v/>
      </c>
      <c r="FP71" s="5" t="str">
        <f t="array" ref="FP71">IFERROR(IF('T1'!$J71="",INDEX(LISTA_EX,170),INDEX(LISTA_EX,MATCH('T1'!$J71&amp;"|"&amp;170,LISTA_KLUCZ,0))),"")</f>
        <v/>
      </c>
      <c r="FQ71" s="5" t="str">
        <f t="array" ref="FQ71">IFERROR(IF('T1'!$J71="",INDEX(LISTA_EX,171),INDEX(LISTA_EX,MATCH('T1'!$J71&amp;"|"&amp;171,LISTA_KLUCZ,0))),"")</f>
        <v/>
      </c>
      <c r="FR71" s="5" t="str">
        <f t="array" ref="FR71">IFERROR(IF('T1'!$J71="",INDEX(LISTA_EX,172),INDEX(LISTA_EX,MATCH('T1'!$J71&amp;"|"&amp;172,LISTA_KLUCZ,0))),"")</f>
        <v/>
      </c>
      <c r="FS71" s="5" t="str">
        <f t="array" ref="FS71">IFERROR(IF('T1'!$J71="",INDEX(LISTA_EX,173),INDEX(LISTA_EX,MATCH('T1'!$J71&amp;"|"&amp;173,LISTA_KLUCZ,0))),"")</f>
        <v/>
      </c>
      <c r="FT71" s="5" t="str">
        <f t="array" ref="FT71">IFERROR(IF('T1'!$J71="",INDEX(LISTA_EX,174),INDEX(LISTA_EX,MATCH('T1'!$J71&amp;"|"&amp;174,LISTA_KLUCZ,0))),"")</f>
        <v/>
      </c>
      <c r="FU71" s="5" t="str">
        <f t="array" ref="FU71">IFERROR(IF('T1'!$J71="",INDEX(LISTA_EX,175),INDEX(LISTA_EX,MATCH('T1'!$J71&amp;"|"&amp;175,LISTA_KLUCZ,0))),"")</f>
        <v/>
      </c>
      <c r="FV71" s="5" t="str">
        <f t="array" ref="FV71">IFERROR(IF('T1'!$J71="",INDEX(LISTA_EX,176),INDEX(LISTA_EX,MATCH('T1'!$J71&amp;"|"&amp;176,LISTA_KLUCZ,0))),"")</f>
        <v/>
      </c>
      <c r="FW71" s="5" t="str">
        <f t="array" ref="FW71">IFERROR(IF('T1'!$J71="",INDEX(LISTA_EX,177),INDEX(LISTA_EX,MATCH('T1'!$J71&amp;"|"&amp;177,LISTA_KLUCZ,0))),"")</f>
        <v/>
      </c>
      <c r="FX71" s="5" t="str">
        <f t="array" ref="FX71">IFERROR(IF('T1'!$J71="",INDEX(LISTA_EX,178),INDEX(LISTA_EX,MATCH('T1'!$J71&amp;"|"&amp;178,LISTA_KLUCZ,0))),"")</f>
        <v/>
      </c>
      <c r="FY71" s="5" t="str">
        <f t="array" ref="FY71">IFERROR(IF('T1'!$J71="",INDEX(LISTA_EX,179),INDEX(LISTA_EX,MATCH('T1'!$J71&amp;"|"&amp;179,LISTA_KLUCZ,0))),"")</f>
        <v/>
      </c>
      <c r="FZ71" s="5" t="str">
        <f t="array" ref="FZ71">IFERROR(IF('T1'!$J71="",INDEX(LISTA_EX,180),INDEX(LISTA_EX,MATCH('T1'!$J71&amp;"|"&amp;180,LISTA_KLUCZ,0))),"")</f>
        <v/>
      </c>
      <c r="GA71" s="5" t="str">
        <f t="array" ref="GA71">IFERROR(IF('T1'!$J71="",INDEX(LISTA_EX,181),INDEX(LISTA_EX,MATCH('T1'!$J71&amp;"|"&amp;181,LISTA_KLUCZ,0))),"")</f>
        <v/>
      </c>
      <c r="GB71" s="5" t="str">
        <f t="array" ref="GB71">IFERROR(IF('T1'!$J71="",INDEX(LISTA_EX,182),INDEX(LISTA_EX,MATCH('T1'!$J71&amp;"|"&amp;182,LISTA_KLUCZ,0))),"")</f>
        <v/>
      </c>
      <c r="GC71" s="5" t="str">
        <f t="array" ref="GC71">IFERROR(IF('T1'!$J71="",INDEX(LISTA_EX,183),INDEX(LISTA_EX,MATCH('T1'!$J71&amp;"|"&amp;183,LISTA_KLUCZ,0))),"")</f>
        <v/>
      </c>
      <c r="GD71" s="5" t="str">
        <f t="array" ref="GD71">IFERROR(IF('T1'!$J71="",INDEX(LISTA_EX,184),INDEX(LISTA_EX,MATCH('T1'!$J71&amp;"|"&amp;184,LISTA_KLUCZ,0))),"")</f>
        <v/>
      </c>
      <c r="GE71" s="5" t="str">
        <f t="array" ref="GE71">IFERROR(IF('T1'!$J71="",INDEX(LISTA_EX,185),INDEX(LISTA_EX,MATCH('T1'!$J71&amp;"|"&amp;185,LISTA_KLUCZ,0))),"")</f>
        <v/>
      </c>
      <c r="GF71" s="5" t="str">
        <f t="array" ref="GF71">IFERROR(IF('T1'!$J71="",INDEX(LISTA_EX,186),INDEX(LISTA_EX,MATCH('T1'!$J71&amp;"|"&amp;186,LISTA_KLUCZ,0))),"")</f>
        <v/>
      </c>
      <c r="GG71" s="5" t="str">
        <f t="array" ref="GG71">IFERROR(IF('T1'!$J71="",INDEX(LISTA_EX,187),INDEX(LISTA_EX,MATCH('T1'!$J71&amp;"|"&amp;187,LISTA_KLUCZ,0))),"")</f>
        <v/>
      </c>
      <c r="GH71" s="5" t="str">
        <f t="array" ref="GH71">IFERROR(IF('T1'!$J71="",INDEX(LISTA_EX,188),INDEX(LISTA_EX,MATCH('T1'!$J71&amp;"|"&amp;188,LISTA_KLUCZ,0))),"")</f>
        <v/>
      </c>
      <c r="GI71" s="5" t="str">
        <f t="array" ref="GI71">IFERROR(IF('T1'!$J71="",INDEX(LISTA_EX,189),INDEX(LISTA_EX,MATCH('T1'!$J71&amp;"|"&amp;189,LISTA_KLUCZ,0))),"")</f>
        <v/>
      </c>
      <c r="GJ71" s="5" t="str">
        <f t="array" ref="GJ71">IFERROR(IF('T1'!$J71="",INDEX(LISTA_EX,190),INDEX(LISTA_EX,MATCH('T1'!$J71&amp;"|"&amp;190,LISTA_KLUCZ,0))),"")</f>
        <v/>
      </c>
      <c r="GK71" s="5" t="str">
        <f t="array" ref="GK71">IFERROR(IF('T1'!$J71="",INDEX(LISTA_EX,191),INDEX(LISTA_EX,MATCH('T1'!$J71&amp;"|"&amp;191,LISTA_KLUCZ,0))),"")</f>
        <v/>
      </c>
      <c r="GL71" s="5" t="str">
        <f t="array" ref="GL71">IFERROR(IF('T1'!$J71="",INDEX(LISTA_EX,192),INDEX(LISTA_EX,MATCH('T1'!$J71&amp;"|"&amp;192,LISTA_KLUCZ,0))),"")</f>
        <v/>
      </c>
      <c r="GM71" s="5" t="str">
        <f t="array" ref="GM71">IFERROR(IF('T1'!$J71="",INDEX(LISTA_EX,193),INDEX(LISTA_EX,MATCH('T1'!$J71&amp;"|"&amp;193,LISTA_KLUCZ,0))),"")</f>
        <v/>
      </c>
      <c r="GN71" s="5" t="str">
        <f t="array" ref="GN71">IFERROR(IF('T1'!$J71="",INDEX(LISTA_EX,194),INDEX(LISTA_EX,MATCH('T1'!$J71&amp;"|"&amp;194,LISTA_KLUCZ,0))),"")</f>
        <v/>
      </c>
      <c r="GO71" s="5" t="str">
        <f t="array" ref="GO71">IFERROR(IF('T1'!$J71="",INDEX(LISTA_EX,195),INDEX(LISTA_EX,MATCH('T1'!$J71&amp;"|"&amp;195,LISTA_KLUCZ,0))),"")</f>
        <v/>
      </c>
      <c r="GP71" s="5" t="str">
        <f t="array" ref="GP71">IFERROR(IF('T1'!$J71="",INDEX(LISTA_EX,196),INDEX(LISTA_EX,MATCH('T1'!$J71&amp;"|"&amp;196,LISTA_KLUCZ,0))),"")</f>
        <v/>
      </c>
      <c r="GQ71" s="5" t="str">
        <f t="array" ref="GQ71">IFERROR(IF('T1'!$J71="",INDEX(LISTA_EX,197),INDEX(LISTA_EX,MATCH('T1'!$J71&amp;"|"&amp;197,LISTA_KLUCZ,0))),"")</f>
        <v/>
      </c>
      <c r="GR71" s="5" t="str">
        <f t="array" ref="GR71">IFERROR(IF('T1'!$J71="",INDEX(LISTA_EX,198),INDEX(LISTA_EX,MATCH('T1'!$J71&amp;"|"&amp;198,LISTA_KLUCZ,0))),"")</f>
        <v/>
      </c>
      <c r="GS71" s="5" t="str">
        <f t="array" ref="GS71">IFERROR(IF('T1'!$J71="",INDEX(LISTA_EX,199),INDEX(LISTA_EX,MATCH('T1'!$J71&amp;"|"&amp;199,LISTA_KLUCZ,0))),"")</f>
        <v/>
      </c>
      <c r="GT71" s="5" t="str">
        <f t="array" ref="GT71">IFERROR(IF('T1'!$J71="",INDEX(LISTA_EX,200),INDEX(LISTA_EX,MATCH('T1'!$J71&amp;"|"&amp;200,LISTA_KLUCZ,0))),"")</f>
        <v/>
      </c>
      <c r="GV71" s="5" t="str">
        <f>IF(BAZA!$A71="","",BAZA!$A71)</f>
        <v>Front foot elevated split squat</v>
      </c>
      <c r="GW71" s="5" t="str">
        <f>IF(BAZA!$B71="","",BAZA!$B71&amp;"|"&amp;COUNTIF(BAZA!$B$3:$B71,BAZA!$B71))</f>
        <v>Lower push|12</v>
      </c>
    </row>
    <row r="72" ht="15.0" customHeight="1">
      <c r="A72" s="5" t="str">
        <f>IF('T1'!$K72="","",'T1'!$K72)</f>
        <v>D5-S02</v>
      </c>
      <c r="B72" s="5" t="str">
        <f>IF('T1'!$J72="","(wszystkie)",'T1'!$J72)</f>
        <v>(wszystkie)</v>
      </c>
      <c r="C72" s="5" t="str">
        <f t="array" ref="C72">IFERROR(IF('T1'!$J72="",INDEX(LISTA_EX,1),INDEX(LISTA_EX,MATCH('T1'!$J72&amp;"|"&amp;1,LISTA_KLUCZ,0))),"")</f>
        <v>Abduction machine</v>
      </c>
      <c r="D72" s="5" t="str">
        <f t="array" ref="D72">IFERROR(IF('T1'!$J72="",INDEX(LISTA_EX,2),INDEX(LISTA_EX,MATCH('T1'!$J72&amp;"|"&amp;2,LISTA_KLUCZ,0))),"")</f>
        <v>Adduction machine</v>
      </c>
      <c r="E72" s="5" t="str">
        <f t="array" ref="E72">IFERROR(IF('T1'!$J72="",INDEX(LISTA_EX,3),INDEX(LISTA_EX,MATCH('T1'!$J72&amp;"|"&amp;3,LISTA_KLUCZ,0))),"")</f>
        <v>Allah</v>
      </c>
      <c r="F72" s="5" t="str">
        <f t="array" ref="F72">IFERROR(IF('T1'!$J72="",INDEX(LISTA_EX,4),INDEX(LISTA_EX,MATCH('T1'!$J72&amp;"|"&amp;4,LISTA_KLUCZ,0))),"")</f>
        <v>Arnold press</v>
      </c>
      <c r="G72" s="5" t="str">
        <f t="array" ref="G72">IFERROR(IF('T1'!$J72="",INDEX(LISTA_EX,5),INDEX(LISTA_EX,MATCH('T1'!$J72&amp;"|"&amp;5,LISTA_KLUCZ,0))),"")</f>
        <v>Arnold press alternating</v>
      </c>
      <c r="H72" s="5" t="str">
        <f t="array" ref="H72">IFERROR(IF('T1'!$J72="",INDEX(LISTA_EX,6),INDEX(LISTA_EX,MATCH('T1'!$J72&amp;"|"&amp;6,LISTA_KLUCZ,0))),"")</f>
        <v>B/l dragonflag eccentric</v>
      </c>
      <c r="I72" s="5" t="str">
        <f t="array" ref="I72">IFERROR(IF('T1'!$J72="",INDEX(LISTA_EX,7),INDEX(LISTA_EX,MATCH('T1'!$J72&amp;"|"&amp;7,LISTA_KLUCZ,0))),"")</f>
        <v>Back extension</v>
      </c>
      <c r="J72" s="5" t="str">
        <f t="array" ref="J72">IFERROR(IF('T1'!$J72="",INDEX(LISTA_EX,8),INDEX(LISTA_EX,MATCH('T1'!$J72&amp;"|"&amp;8,LISTA_KLUCZ,0))),"")</f>
        <v>Banded pistol squat</v>
      </c>
      <c r="K72" s="5" t="str">
        <f t="array" ref="K72">IFERROR(IF('T1'!$J72="",INDEX(LISTA_EX,9),INDEX(LISTA_EX,MATCH('T1'!$J72&amp;"|"&amp;9,LISTA_KLUCZ,0))),"")</f>
        <v>Banded pull ups</v>
      </c>
      <c r="L72" s="5" t="str">
        <f t="array" ref="L72">IFERROR(IF('T1'!$J72="",INDEX(LISTA_EX,10),INDEX(LISTA_EX,MATCH('T1'!$J72&amp;"|"&amp;10,LISTA_KLUCZ,0))),"")</f>
        <v>Barbell back squat</v>
      </c>
      <c r="M72" s="5" t="str">
        <f t="array" ref="M72">IFERROR(IF('T1'!$J72="",INDEX(LISTA_EX,11),INDEX(LISTA_EX,MATCH('T1'!$J72&amp;"|"&amp;11,LISTA_KLUCZ,0))),"")</f>
        <v>Barbell bench press</v>
      </c>
      <c r="N72" s="5" t="str">
        <f t="array" ref="N72">IFERROR(IF('T1'!$J72="",INDEX(LISTA_EX,12),INDEX(LISTA_EX,MATCH('T1'!$J72&amp;"|"&amp;12,LISTA_KLUCZ,0))),"")</f>
        <v>Barbell curl</v>
      </c>
      <c r="O72" s="5" t="str">
        <f t="array" ref="O72">IFERROR(IF('T1'!$J72="",INDEX(LISTA_EX,13),INDEX(LISTA_EX,MATCH('T1'!$J72&amp;"|"&amp;13,LISTA_KLUCZ,0))),"")</f>
        <v>Barbell low bar squat</v>
      </c>
      <c r="P72" s="5" t="str">
        <f t="array" ref="P72">IFERROR(IF('T1'!$J72="",INDEX(LISTA_EX,14),INDEX(LISTA_EX,MATCH('T1'!$J72&amp;"|"&amp;14,LISTA_KLUCZ,0))),"")</f>
        <v>Barbell OHP</v>
      </c>
      <c r="Q72" s="5" t="str">
        <f t="array" ref="Q72">IFERROR(IF('T1'!$J72="",INDEX(LISTA_EX,15),INDEX(LISTA_EX,MATCH('T1'!$J72&amp;"|"&amp;15,LISTA_KLUCZ,0))),"")</f>
        <v>Barbell oscilation</v>
      </c>
      <c r="R72" s="5" t="str">
        <f t="array" ref="R72">IFERROR(IF('T1'!$J72="",INDEX(LISTA_EX,16),INDEX(LISTA_EX,MATCH('T1'!$J72&amp;"|"&amp;16,LISTA_KLUCZ,0))),"")</f>
        <v>Barbell row</v>
      </c>
      <c r="S72" s="5" t="str">
        <f t="array" ref="S72">IFERROR(IF('T1'!$J72="",INDEX(LISTA_EX,17),INDEX(LISTA_EX,MATCH('T1'!$J72&amp;"|"&amp;17,LISTA_KLUCZ,0))),"")</f>
        <v>Barbell row dead stop pins</v>
      </c>
      <c r="T72" s="5" t="str">
        <f t="array" ref="T72">IFERROR(IF('T1'!$J72="",INDEX(LISTA_EX,18),INDEX(LISTA_EX,MATCH('T1'!$J72&amp;"|"&amp;18,LISTA_KLUCZ,0))),"")</f>
        <v>Barbell SLDL</v>
      </c>
      <c r="U72" s="5" t="str">
        <f t="array" ref="U72">IFERROR(IF('T1'!$J72="",INDEX(LISTA_EX,19),INDEX(LISTA_EX,MATCH('T1'!$J72&amp;"|"&amp;19,LISTA_KLUCZ,0))),"")</f>
        <v>Bayesian curl</v>
      </c>
      <c r="V72" s="5" t="str">
        <f t="array" ref="V72">IFERROR(IF('T1'!$J72="",INDEX(LISTA_EX,20),INDEX(LISTA_EX,MATCH('T1'!$J72&amp;"|"&amp;20,LISTA_KLUCZ,0))),"")</f>
        <v>Bear renegade row</v>
      </c>
      <c r="W72" s="5" t="str">
        <f t="array" ref="W72">IFERROR(IF('T1'!$J72="",INDEX(LISTA_EX,21),INDEX(LISTA_EX,MATCH('T1'!$J72&amp;"|"&amp;21,LISTA_KLUCZ,0))),"")</f>
        <v>Bench press paused 3sec</v>
      </c>
      <c r="X72" s="5" t="str">
        <f t="array" ref="X72">IFERROR(IF('T1'!$J72="",INDEX(LISTA_EX,22),INDEX(LISTA_EX,MATCH('T1'!$J72&amp;"|"&amp;22,LISTA_KLUCZ,0))),"")</f>
        <v>Bicep hammer curl</v>
      </c>
      <c r="Y72" s="5" t="str">
        <f t="array" ref="Y72">IFERROR(IF('T1'!$J72="",INDEX(LISTA_EX,23),INDEX(LISTA_EX,MATCH('T1'!$J72&amp;"|"&amp;23,LISTA_KLUCZ,0))),"")</f>
        <v>Bicep squat cable curl</v>
      </c>
      <c r="Z72" s="5" t="str">
        <f t="array" ref="Z72">IFERROR(IF('T1'!$J72="",INDEX(LISTA_EX,24),INDEX(LISTA_EX,MATCH('T1'!$J72&amp;"|"&amp;24,LISTA_KLUCZ,0))),"")</f>
        <v>Bird dog row</v>
      </c>
      <c r="AA72" s="5" t="str">
        <f t="array" ref="AA72">IFERROR(IF('T1'!$J72="",INDEX(LISTA_EX,25),INDEX(LISTA_EX,MATCH('T1'!$J72&amp;"|"&amp;25,LISTA_KLUCZ,0))),"")</f>
        <v>Box jump</v>
      </c>
      <c r="AB72" s="5" t="str">
        <f t="array" ref="AB72">IFERROR(IF('T1'!$J72="",INDEX(LISTA_EX,26),INDEX(LISTA_EX,MATCH('T1'!$J72&amp;"|"&amp;26,LISTA_KLUCZ,0))),"")</f>
        <v>Bulgarian clean plyo</v>
      </c>
      <c r="AC72" s="5" t="str">
        <f t="array" ref="AC72">IFERROR(IF('T1'!$J72="",INDEX(LISTA_EX,27),INDEX(LISTA_EX,MATCH('T1'!$J72&amp;"|"&amp;27,LISTA_KLUCZ,0))),"")</f>
        <v>Bulgarian squat assisted</v>
      </c>
      <c r="AD72" s="5" t="str">
        <f t="array" ref="AD72">IFERROR(IF('T1'!$J72="",INDEX(LISTA_EX,28),INDEX(LISTA_EX,MATCH('T1'!$J72&amp;"|"&amp;28,LISTA_KLUCZ,0))),"")</f>
        <v>Cable biceps curl</v>
      </c>
      <c r="AE72" s="5" t="str">
        <f t="array" ref="AE72">IFERROR(IF('T1'!$J72="",INDEX(LISTA_EX,29),INDEX(LISTA_EX,MATCH('T1'!$J72&amp;"|"&amp;29,LISTA_KLUCZ,0))),"")</f>
        <v>Cable fly</v>
      </c>
      <c r="AF72" s="5" t="str">
        <f t="array" ref="AF72">IFERROR(IF('T1'!$J72="",INDEX(LISTA_EX,30),INDEX(LISTA_EX,MATCH('T1'!$J72&amp;"|"&amp;30,LISTA_KLUCZ,0))),"")</f>
        <v>Cable lateral raise s/a</v>
      </c>
      <c r="AG72" s="5" t="str">
        <f t="array" ref="AG72">IFERROR(IF('T1'!$J72="",INDEX(LISTA_EX,31),INDEX(LISTA_EX,MATCH('T1'!$J72&amp;"|"&amp;31,LISTA_KLUCZ,0))),"")</f>
        <v>Cable row</v>
      </c>
      <c r="AH72" s="5" t="str">
        <f t="array" ref="AH72">IFERROR(IF('T1'!$J72="",INDEX(LISTA_EX,32),INDEX(LISTA_EX,MATCH('T1'!$J72&amp;"|"&amp;32,LISTA_KLUCZ,0))),"")</f>
        <v>Cable row s/a</v>
      </c>
      <c r="AI72" s="5" t="str">
        <f t="array" ref="AI72">IFERROR(IF('T1'!$J72="",INDEX(LISTA_EX,33),INDEX(LISTA_EX,MATCH('T1'!$J72&amp;"|"&amp;33,LISTA_KLUCZ,0))),"")</f>
        <v>Calf raises</v>
      </c>
      <c r="AJ72" s="5" t="str">
        <f t="array" ref="AJ72">IFERROR(IF('T1'!$J72="",INDEX(LISTA_EX,34),INDEX(LISTA_EX,MATCH('T1'!$J72&amp;"|"&amp;34,LISTA_KLUCZ,0))),"")</f>
        <v>Chest fly machine</v>
      </c>
      <c r="AK72" s="5" t="str">
        <f t="array" ref="AK72">IFERROR(IF('T1'!$J72="",INDEX(LISTA_EX,35),INDEX(LISTA_EX,MATCH('T1'!$J72&amp;"|"&amp;35,LISTA_KLUCZ,0))),"")</f>
        <v>Clean</v>
      </c>
      <c r="AL72" s="5" t="str">
        <f t="array" ref="AL72">IFERROR(IF('T1'!$J72="",INDEX(LISTA_EX,36),INDEX(LISTA_EX,MATCH('T1'!$J72&amp;"|"&amp;36,LISTA_KLUCZ,0))),"")</f>
        <v>Clean pins</v>
      </c>
      <c r="AM72" s="5" t="str">
        <f t="array" ref="AM72">IFERROR(IF('T1'!$J72="",INDEX(LISTA_EX,37),INDEX(LISTA_EX,MATCH('T1'!$J72&amp;"|"&amp;37,LISTA_KLUCZ,0))),"")</f>
        <v>Copenhagen plank</v>
      </c>
      <c r="AN72" s="5" t="str">
        <f t="array" ref="AN72">IFERROR(IF('T1'!$J72="",INDEX(LISTA_EX,38),INDEX(LISTA_EX,MATCH('T1'!$J72&amp;"|"&amp;38,LISTA_KLUCZ,0))),"")</f>
        <v>Dead bug izo + OH</v>
      </c>
      <c r="AO72" s="5" t="str">
        <f t="array" ref="AO72">IFERROR(IF('T1'!$J72="",INDEX(LISTA_EX,39),INDEX(LISTA_EX,MATCH('T1'!$J72&amp;"|"&amp;39,LISTA_KLUCZ,0))),"")</f>
        <v>Dead bug straight legs</v>
      </c>
      <c r="AP72" s="5" t="str">
        <f t="array" ref="AP72">IFERROR(IF('T1'!$J72="",INDEX(LISTA_EX,40),INDEX(LISTA_EX,MATCH('T1'!$J72&amp;"|"&amp;40,LISTA_KLUCZ,0))),"")</f>
        <v>Dead stop barbell row</v>
      </c>
      <c r="AQ72" s="5" t="str">
        <f t="array" ref="AQ72">IFERROR(IF('T1'!$J72="",INDEX(LISTA_EX,41),INDEX(LISTA_EX,MATCH('T1'!$J72&amp;"|"&amp;41,LISTA_KLUCZ,0))),"")</f>
        <v>Deadbug OH</v>
      </c>
      <c r="AR72" s="5" t="str">
        <f t="array" ref="AR72">IFERROR(IF('T1'!$J72="",INDEX(LISTA_EX,42),INDEX(LISTA_EX,MATCH('T1'!$J72&amp;"|"&amp;42,LISTA_KLUCZ,0))),"")</f>
        <v>Deadlift</v>
      </c>
      <c r="AS72" s="5" t="str">
        <f t="array" ref="AS72">IFERROR(IF('T1'!$J72="",INDEX(LISTA_EX,43),INDEX(LISTA_EX,MATCH('T1'!$J72&amp;"|"&amp;43,LISTA_KLUCZ,0))),"")</f>
        <v>Deficit push up</v>
      </c>
      <c r="AT72" s="5" t="str">
        <f t="array" ref="AT72">IFERROR(IF('T1'!$J72="",INDEX(LISTA_EX,44),INDEX(LISTA_EX,MATCH('T1'!$J72&amp;"|"&amp;44,LISTA_KLUCZ,0))),"")</f>
        <v>Deficit reverse lunge</v>
      </c>
      <c r="AU72" s="5" t="str">
        <f t="array" ref="AU72">IFERROR(IF('T1'!$J72="",INDEX(LISTA_EX,45),INDEX(LISTA_EX,MATCH('T1'!$J72&amp;"|"&amp;45,LISTA_KLUCZ,0))),"")</f>
        <v>Dips</v>
      </c>
      <c r="AV72" s="5" t="str">
        <f t="array" ref="AV72">IFERROR(IF('T1'!$J72="",INDEX(LISTA_EX,46),INDEX(LISTA_EX,MATCH('T1'!$J72&amp;"|"&amp;46,LISTA_KLUCZ,0))),"")</f>
        <v>Dips weighted</v>
      </c>
      <c r="AW72" s="5" t="str">
        <f t="array" ref="AW72">IFERROR(IF('T1'!$J72="",INDEX(LISTA_EX,47),INDEX(LISTA_EX,MATCH('T1'!$J72&amp;"|"&amp;47,LISTA_KLUCZ,0))),"")</f>
        <v>Dumbbell bench press</v>
      </c>
      <c r="AX72" s="5" t="str">
        <f t="array" ref="AX72">IFERROR(IF('T1'!$J72="",INDEX(LISTA_EX,48),INDEX(LISTA_EX,MATCH('T1'!$J72&amp;"|"&amp;48,LISTA_KLUCZ,0))),"")</f>
        <v>Dumbbell bench press alternating</v>
      </c>
      <c r="AY72" s="5" t="str">
        <f t="array" ref="AY72">IFERROR(IF('T1'!$J72="",INDEX(LISTA_EX,49),INDEX(LISTA_EX,MATCH('T1'!$J72&amp;"|"&amp;49,LISTA_KLUCZ,0))),"")</f>
        <v>Dumbbell curl</v>
      </c>
      <c r="AZ72" s="5" t="str">
        <f t="array" ref="AZ72">IFERROR(IF('T1'!$J72="",INDEX(LISTA_EX,50),INDEX(LISTA_EX,MATCH('T1'!$J72&amp;"|"&amp;50,LISTA_KLUCZ,0))),"")</f>
        <v>Dumbbell external rotation</v>
      </c>
      <c r="BA72" s="5" t="str">
        <f t="array" ref="BA72">IFERROR(IF('T1'!$J72="",INDEX(LISTA_EX,51),INDEX(LISTA_EX,MATCH('T1'!$J72&amp;"|"&amp;51,LISTA_KLUCZ,0))),"")</f>
        <v>Dumbbell face down curl</v>
      </c>
      <c r="BB72" s="5" t="str">
        <f t="array" ref="BB72">IFERROR(IF('T1'!$J72="",INDEX(LISTA_EX,52),INDEX(LISTA_EX,MATCH('T1'!$J72&amp;"|"&amp;52,LISTA_KLUCZ,0))),"")</f>
        <v>Dumbbell fly</v>
      </c>
      <c r="BC72" s="5" t="str">
        <f t="array" ref="BC72">IFERROR(IF('T1'!$J72="",INDEX(LISTA_EX,53),INDEX(LISTA_EX,MATCH('T1'!$J72&amp;"|"&amp;53,LISTA_KLUCZ,0))),"")</f>
        <v>Dumbbell french press</v>
      </c>
      <c r="BD72" s="5" t="str">
        <f t="array" ref="BD72">IFERROR(IF('T1'!$J72="",INDEX(LISTA_EX,54),INDEX(LISTA_EX,MATCH('T1'!$J72&amp;"|"&amp;54,LISTA_KLUCZ,0))),"")</f>
        <v>Dumbbell lateral raise</v>
      </c>
      <c r="BE72" s="5" t="str">
        <f t="array" ref="BE72">IFERROR(IF('T1'!$J72="",INDEX(LISTA_EX,55),INDEX(LISTA_EX,MATCH('T1'!$J72&amp;"|"&amp;55,LISTA_KLUCZ,0))),"")</f>
        <v>Dumbbell lunges</v>
      </c>
      <c r="BF72" s="5" t="str">
        <f t="array" ref="BF72">IFERROR(IF('T1'!$J72="",INDEX(LISTA_EX,56),INDEX(LISTA_EX,MATCH('T1'!$J72&amp;"|"&amp;56,LISTA_KLUCZ,0))),"")</f>
        <v>Dumbbell OH press</v>
      </c>
      <c r="BG72" s="5" t="str">
        <f t="array" ref="BG72">IFERROR(IF('T1'!$J72="",INDEX(LISTA_EX,57),INDEX(LISTA_EX,MATCH('T1'!$J72&amp;"|"&amp;57,LISTA_KLUCZ,0))),"")</f>
        <v>Dumbbell over head press</v>
      </c>
      <c r="BH72" s="5" t="str">
        <f t="array" ref="BH72">IFERROR(IF('T1'!$J72="",INDEX(LISTA_EX,58),INDEX(LISTA_EX,MATCH('T1'!$J72&amp;"|"&amp;58,LISTA_KLUCZ,0))),"")</f>
        <v>Dumbbell over head press alternating</v>
      </c>
      <c r="BI72" s="5" t="str">
        <f t="array" ref="BI72">IFERROR(IF('T1'!$J72="",INDEX(LISTA_EX,59),INDEX(LISTA_EX,MATCH('T1'!$J72&amp;"|"&amp;59,LISTA_KLUCZ,0))),"")</f>
        <v>Dumbbell row</v>
      </c>
      <c r="BJ72" s="5" t="str">
        <f t="array" ref="BJ72">IFERROR(IF('T1'!$J72="",INDEX(LISTA_EX,60),INDEX(LISTA_EX,MATCH('T1'!$J72&amp;"|"&amp;60,LISTA_KLUCZ,0))),"")</f>
        <v>Dumbbell s/a Arnold press</v>
      </c>
      <c r="BK72" s="5" t="str">
        <f t="array" ref="BK72">IFERROR(IF('T1'!$J72="",INDEX(LISTA_EX,61),INDEX(LISTA_EX,MATCH('T1'!$J72&amp;"|"&amp;61,LISTA_KLUCZ,0))),"")</f>
        <v>Dumbbell s/a row</v>
      </c>
      <c r="BL72" s="5" t="str">
        <f t="array" ref="BL72">IFERROR(IF('T1'!$J72="",INDEX(LISTA_EX,62),INDEX(LISTA_EX,MATCH('T1'!$J72&amp;"|"&amp;62,LISTA_KLUCZ,0))),"")</f>
        <v>Dumbbell seal row</v>
      </c>
      <c r="BM72" s="5" t="str">
        <f t="array" ref="BM72">IFERROR(IF('T1'!$J72="",INDEX(LISTA_EX,63),INDEX(LISTA_EX,MATCH('T1'!$J72&amp;"|"&amp;63,LISTA_KLUCZ,0))),"")</f>
        <v>Dumbbells jumps</v>
      </c>
      <c r="BN72" s="5" t="str">
        <f t="array" ref="BN72">IFERROR(IF('T1'!$J72="",INDEX(LISTA_EX,64),INDEX(LISTA_EX,MATCH('T1'!$J72&amp;"|"&amp;64,LISTA_KLUCZ,0))),"")</f>
        <v>Eccentric pull up</v>
      </c>
      <c r="BO72" s="5" t="str">
        <f t="array" ref="BO72">IFERROR(IF('T1'!$J72="",INDEX(LISTA_EX,65),INDEX(LISTA_EX,MATCH('T1'!$J72&amp;"|"&amp;65,LISTA_KLUCZ,0))),"")</f>
        <v>Eccentric push up (5 sek w dół)</v>
      </c>
      <c r="BP72" s="5" t="str">
        <f t="array" ref="BP72">IFERROR(IF('T1'!$J72="",INDEX(LISTA_EX,66),INDEX(LISTA_EX,MATCH('T1'!$J72&amp;"|"&amp;66,LISTA_KLUCZ,0))),"")</f>
        <v>Extensive plyo jumps s/l</v>
      </c>
      <c r="BQ72" s="5" t="str">
        <f t="array" ref="BQ72">IFERROR(IF('T1'!$J72="",INDEX(LISTA_EX,67),INDEX(LISTA_EX,MATCH('T1'!$J72&amp;"|"&amp;67,LISTA_KLUCZ,0))),"")</f>
        <v>Ez bar curl</v>
      </c>
      <c r="BR72" s="5" t="str">
        <f t="array" ref="BR72">IFERROR(IF('T1'!$J72="",INDEX(LISTA_EX,68),INDEX(LISTA_EX,MATCH('T1'!$J72&amp;"|"&amp;68,LISTA_KLUCZ,0))),"")</f>
        <v>Facepull chest supported</v>
      </c>
      <c r="BS72" s="5" t="str">
        <f t="array" ref="BS72">IFERROR(IF('T1'!$J72="",INDEX(LISTA_EX,69),INDEX(LISTA_EX,MATCH('T1'!$J72&amp;"|"&amp;69,LISTA_KLUCZ,0))),"")</f>
        <v>Front foot elevated split squat</v>
      </c>
      <c r="BT72" s="5" t="str">
        <f t="array" ref="BT72">IFERROR(IF('T1'!$J72="",INDEX(LISTA_EX,70),INDEX(LISTA_EX,MATCH('T1'!$J72&amp;"|"&amp;70,LISTA_KLUCZ,0))),"")</f>
        <v>Front squat</v>
      </c>
      <c r="BU72" s="5" t="str">
        <f t="array" ref="BU72">IFERROR(IF('T1'!$J72="",INDEX(LISTA_EX,71),INDEX(LISTA_EX,MATCH('T1'!$J72&amp;"|"&amp;71,LISTA_KLUCZ,0))),"")</f>
        <v>GHD flexion</v>
      </c>
      <c r="BV72" s="5" t="str">
        <f t="array" ref="BV72">IFERROR(IF('T1'!$J72="",INDEX(LISTA_EX,72),INDEX(LISTA_EX,MATCH('T1'!$J72&amp;"|"&amp;72,LISTA_KLUCZ,0))),"")</f>
        <v>Glute bridge hamstrings izo + OH</v>
      </c>
      <c r="BW72" s="5" t="str">
        <f t="array" ref="BW72">IFERROR(IF('T1'!$J72="",INDEX(LISTA_EX,73),INDEX(LISTA_EX,MATCH('T1'!$J72&amp;"|"&amp;73,LISTA_KLUCZ,0))),"")</f>
        <v>Glute crusher</v>
      </c>
      <c r="BX72" s="5" t="str">
        <f t="array" ref="BX72">IFERROR(IF('T1'!$J72="",INDEX(LISTA_EX,74),INDEX(LISTA_EX,MATCH('T1'!$J72&amp;"|"&amp;74,LISTA_KLUCZ,0))),"")</f>
        <v>Gorilla row</v>
      </c>
      <c r="BY72" s="5" t="str">
        <f t="array" ref="BY72">IFERROR(IF('T1'!$J72="",INDEX(LISTA_EX,75),INDEX(LISTA_EX,MATCH('T1'!$J72&amp;"|"&amp;75,LISTA_KLUCZ,0))),"")</f>
        <v>Halfkneeling s/a cable pull</v>
      </c>
      <c r="BZ72" s="5" t="str">
        <f t="array" ref="BZ72">IFERROR(IF('T1'!$J72="",INDEX(LISTA_EX,76),INDEX(LISTA_EX,MATCH('T1'!$J72&amp;"|"&amp;76,LISTA_KLUCZ,0))),"")</f>
        <v>Halfkneeling wood chopper</v>
      </c>
      <c r="CA72" s="5" t="str">
        <f t="array" ref="CA72">IFERROR(IF('T1'!$J72="",INDEX(LISTA_EX,77),INDEX(LISTA_EX,MATCH('T1'!$J72&amp;"|"&amp;77,LISTA_KLUCZ,0))),"")</f>
        <v>Hinged dumbbell row</v>
      </c>
      <c r="CB72" s="5" t="str">
        <f t="array" ref="CB72">IFERROR(IF('T1'!$J72="",INDEX(LISTA_EX,78),INDEX(LISTA_EX,MATCH('T1'!$J72&amp;"|"&amp;78,LISTA_KLUCZ,0))),"")</f>
        <v>Hip aeroplane</v>
      </c>
      <c r="CC72" s="5" t="str">
        <f t="array" ref="CC72">IFERROR(IF('T1'!$J72="",INDEX(LISTA_EX,79),INDEX(LISTA_EX,MATCH('T1'!$J72&amp;"|"&amp;79,LISTA_KLUCZ,0))),"")</f>
        <v>Hip flexors cable</v>
      </c>
      <c r="CD72" s="5" t="str">
        <f t="array" ref="CD72">IFERROR(IF('T1'!$J72="",INDEX(LISTA_EX,80),INDEX(LISTA_EX,MATCH('T1'!$J72&amp;"|"&amp;80,LISTA_KLUCZ,0))),"")</f>
        <v>Hip thrust barbell</v>
      </c>
      <c r="CE72" s="5" t="str">
        <f t="array" ref="CE72">IFERROR(IF('T1'!$J72="",INDEX(LISTA_EX,81),INDEX(LISTA_EX,MATCH('T1'!$J72&amp;"|"&amp;81,LISTA_KLUCZ,0))),"")</f>
        <v>Hollow body + OH</v>
      </c>
      <c r="CF72" s="5" t="str">
        <f t="array" ref="CF72">IFERROR(IF('T1'!$J72="",INDEX(LISTA_EX,82),INDEX(LISTA_EX,MATCH('T1'!$J72&amp;"|"&amp;82,LISTA_KLUCZ,0))),"")</f>
        <v>Horizontal jump</v>
      </c>
      <c r="CG72" s="5" t="str">
        <f t="array" ref="CG72">IFERROR(IF('T1'!$J72="",INDEX(LISTA_EX,83),INDEX(LISTA_EX,MATCH('T1'!$J72&amp;"|"&amp;83,LISTA_KLUCZ,0))),"")</f>
        <v>Incline bench lateral raise s/a</v>
      </c>
      <c r="CH72" s="5" t="str">
        <f t="array" ref="CH72">IFERROR(IF('T1'!$J72="",INDEX(LISTA_EX,84),INDEX(LISTA_EX,MATCH('T1'!$J72&amp;"|"&amp;84,LISTA_KLUCZ,0))),"")</f>
        <v>Incline curl + OHP</v>
      </c>
      <c r="CI72" s="5" t="str">
        <f t="array" ref="CI72">IFERROR(IF('T1'!$J72="",INDEX(LISTA_EX,85),INDEX(LISTA_EX,MATCH('T1'!$J72&amp;"|"&amp;85,LISTA_KLUCZ,0))),"")</f>
        <v>Incline dumbbell curl</v>
      </c>
      <c r="CJ72" s="5" t="str">
        <f t="array" ref="CJ72">IFERROR(IF('T1'!$J72="",INDEX(LISTA_EX,86),INDEX(LISTA_EX,MATCH('T1'!$J72&amp;"|"&amp;86,LISTA_KLUCZ,0))),"")</f>
        <v>Incline dumbbell curl (back)</v>
      </c>
      <c r="CK72" s="5" t="str">
        <f t="array" ref="CK72">IFERROR(IF('T1'!$J72="",INDEX(LISTA_EX,87),INDEX(LISTA_EX,MATCH('T1'!$J72&amp;"|"&amp;87,LISTA_KLUCZ,0))),"")</f>
        <v>Incline dumbbell curl (front)</v>
      </c>
      <c r="CL72" s="5" t="str">
        <f t="array" ref="CL72">IFERROR(IF('T1'!$J72="",INDEX(LISTA_EX,88),INDEX(LISTA_EX,MATCH('T1'!$J72&amp;"|"&amp;88,LISTA_KLUCZ,0))),"")</f>
        <v>Incline dumbbell fly</v>
      </c>
      <c r="CM72" s="5" t="str">
        <f t="array" ref="CM72">IFERROR(IF('T1'!$J72="",INDEX(LISTA_EX,89),INDEX(LISTA_EX,MATCH('T1'!$J72&amp;"|"&amp;89,LISTA_KLUCZ,0))),"")</f>
        <v>Incline dumbbell press</v>
      </c>
      <c r="CN72" s="5" t="str">
        <f t="array" ref="CN72">IFERROR(IF('T1'!$J72="",INDEX(LISTA_EX,90),INDEX(LISTA_EX,MATCH('T1'!$J72&amp;"|"&amp;90,LISTA_KLUCZ,0))),"")</f>
        <v>Incline dumbbell press alternating</v>
      </c>
      <c r="CO72" s="5" t="str">
        <f t="array" ref="CO72">IFERROR(IF('T1'!$J72="",INDEX(LISTA_EX,91),INDEX(LISTA_EX,MATCH('T1'!$J72&amp;"|"&amp;91,LISTA_KLUCZ,0))),"")</f>
        <v>Incline sit-ups</v>
      </c>
      <c r="CP72" s="5" t="str">
        <f t="array" ref="CP72">IFERROR(IF('T1'!$J72="",INDEX(LISTA_EX,92),INDEX(LISTA_EX,MATCH('T1'!$J72&amp;"|"&amp;92,LISTA_KLUCZ,0))),"")</f>
        <v>Jefferson cable</v>
      </c>
      <c r="CQ72" s="5" t="str">
        <f t="array" ref="CQ72">IFERROR(IF('T1'!$J72="",INDEX(LISTA_EX,93),INDEX(LISTA_EX,MATCH('T1'!$J72&amp;"|"&amp;93,LISTA_KLUCZ,0))),"")</f>
        <v>Kettlebell march</v>
      </c>
      <c r="CR72" s="5" t="str">
        <f t="array" ref="CR72">IFERROR(IF('T1'!$J72="",INDEX(LISTA_EX,94),INDEX(LISTA_EX,MATCH('T1'!$J72&amp;"|"&amp;94,LISTA_KLUCZ,0))),"")</f>
        <v>Kickbacks</v>
      </c>
      <c r="CS72" s="5" t="str">
        <f t="array" ref="CS72">IFERROR(IF('T1'!$J72="",INDEX(LISTA_EX,95),INDEX(LISTA_EX,MATCH('T1'!$J72&amp;"|"&amp;95,LISTA_KLUCZ,0))),"")</f>
        <v>Knee extension machine</v>
      </c>
      <c r="CT72" s="5" t="str">
        <f t="array" ref="CT72">IFERROR(IF('T1'!$J72="",INDEX(LISTA_EX,96),INDEX(LISTA_EX,MATCH('T1'!$J72&amp;"|"&amp;96,LISTA_KLUCZ,0))),"")</f>
        <v>Knee flexion machine</v>
      </c>
      <c r="CU72" s="5" t="str">
        <f t="array" ref="CU72">IFERROR(IF('T1'!$J72="",INDEX(LISTA_EX,97),INDEX(LISTA_EX,MATCH('T1'!$J72&amp;"|"&amp;97,LISTA_KLUCZ,0))),"")</f>
        <v>Knee raises</v>
      </c>
      <c r="CV72" s="5" t="str">
        <f t="array" ref="CV72">IFERROR(IF('T1'!$J72="",INDEX(LISTA_EX,98),INDEX(LISTA_EX,MATCH('T1'!$J72&amp;"|"&amp;98,LISTA_KLUCZ,0))),"")</f>
        <v>Landmine core</v>
      </c>
      <c r="CW72" s="5" t="str">
        <f t="array" ref="CW72">IFERROR(IF('T1'!$J72="",INDEX(LISTA_EX,99),INDEX(LISTA_EX,MATCH('T1'!$J72&amp;"|"&amp;99,LISTA_KLUCZ,0))),"")</f>
        <v>Landmine press</v>
      </c>
      <c r="CX72" s="5" t="str">
        <f t="array" ref="CX72">IFERROR(IF('T1'!$J72="",INDEX(LISTA_EX,100),INDEX(LISTA_EX,MATCH('T1'!$J72&amp;"|"&amp;100,LISTA_KLUCZ,0))),"")</f>
        <v>Landmine rotations (powtórzenia x2)</v>
      </c>
      <c r="CY72" s="5" t="str">
        <f t="array" ref="CY72">IFERROR(IF('T1'!$J72="",INDEX(LISTA_EX,101),INDEX(LISTA_EX,MATCH('T1'!$J72&amp;"|"&amp;101,LISTA_KLUCZ,0))),"")</f>
        <v>Landmine SLDL</v>
      </c>
      <c r="CZ72" s="5" t="str">
        <f t="array" ref="CZ72">IFERROR(IF('T1'!$J72="",INDEX(LISTA_EX,102),INDEX(LISTA_EX,MATCH('T1'!$J72&amp;"|"&amp;102,LISTA_KLUCZ,0))),"")</f>
        <v>Lat pulldown</v>
      </c>
      <c r="DA72" s="5" t="str">
        <f t="array" ref="DA72">IFERROR(IF('T1'!$J72="",INDEX(LISTA_EX,103),INDEX(LISTA_EX,MATCH('T1'!$J72&amp;"|"&amp;103,LISTA_KLUCZ,0))),"")</f>
        <v>Lat pulldown behind the head</v>
      </c>
      <c r="DB72" s="5" t="str">
        <f t="array" ref="DB72">IFERROR(IF('T1'!$J72="",INDEX(LISTA_EX,104),INDEX(LISTA_EX,MATCH('T1'!$J72&amp;"|"&amp;104,LISTA_KLUCZ,0))),"")</f>
        <v>Lat pulldown s/a</v>
      </c>
      <c r="DC72" s="5" t="str">
        <f t="array" ref="DC72">IFERROR(IF('T1'!$J72="",INDEX(LISTA_EX,105),INDEX(LISTA_EX,MATCH('T1'!$J72&amp;"|"&amp;105,LISTA_KLUCZ,0))),"")</f>
        <v>Lateral raise s/a</v>
      </c>
      <c r="DD72" s="5" t="str">
        <f t="array" ref="DD72">IFERROR(IF('T1'!$J72="",INDEX(LISTA_EX,106),INDEX(LISTA_EX,MATCH('T1'!$J72&amp;"|"&amp;106,LISTA_KLUCZ,0))),"")</f>
        <v>Lateral raises</v>
      </c>
      <c r="DE72" s="5" t="str">
        <f t="array" ref="DE72">IFERROR(IF('T1'!$J72="",INDEX(LISTA_EX,107),INDEX(LISTA_EX,MATCH('T1'!$J72&amp;"|"&amp;107,LISTA_KLUCZ,0))),"")</f>
        <v>Lateral raises 2</v>
      </c>
      <c r="DF72" s="5" t="str">
        <f t="array" ref="DF72">IFERROR(IF('T1'!$J72="",INDEX(LISTA_EX,108),INDEX(LISTA_EX,MATCH('T1'!$J72&amp;"|"&amp;108,LISTA_KLUCZ,0))),"")</f>
        <v>Lateral raises full ROM</v>
      </c>
      <c r="DG72" s="5" t="str">
        <f t="array" ref="DG72">IFERROR(IF('T1'!$J72="",INDEX(LISTA_EX,109),INDEX(LISTA_EX,MATCH('T1'!$J72&amp;"|"&amp;109,LISTA_KLUCZ,0))),"")</f>
        <v>Lateral raises hinged</v>
      </c>
      <c r="DH72" s="5" t="str">
        <f t="array" ref="DH72">IFERROR(IF('T1'!$J72="",INDEX(LISTA_EX,110),INDEX(LISTA_EX,MATCH('T1'!$J72&amp;"|"&amp;110,LISTA_KLUCZ,0))),"")</f>
        <v>Lateral raises incline s/a</v>
      </c>
      <c r="DI72" s="5" t="str">
        <f t="array" ref="DI72">IFERROR(IF('T1'!$J72="",INDEX(LISTA_EX,111),INDEX(LISTA_EX,MATCH('T1'!$J72&amp;"|"&amp;111,LISTA_KLUCZ,0))),"")</f>
        <v>Leg curl</v>
      </c>
      <c r="DJ72" s="5" t="str">
        <f t="array" ref="DJ72">IFERROR(IF('T1'!$J72="",INDEX(LISTA_EX,112),INDEX(LISTA_EX,MATCH('T1'!$J72&amp;"|"&amp;112,LISTA_KLUCZ,0))),"")</f>
        <v>Machine row</v>
      </c>
      <c r="DK72" s="5" t="str">
        <f t="array" ref="DK72">IFERROR(IF('T1'!$J72="",INDEX(LISTA_EX,113),INDEX(LISTA_EX,MATCH('T1'!$J72&amp;"|"&amp;113,LISTA_KLUCZ,0))),"")</f>
        <v>Machine row s/a</v>
      </c>
      <c r="DL72" s="5" t="str">
        <f t="array" ref="DL72">IFERROR(IF('T1'!$J72="",INDEX(LISTA_EX,114),INDEX(LISTA_EX,MATCH('T1'!$J72&amp;"|"&amp;114,LISTA_KLUCZ,0))),"")</f>
        <v>Meadows row</v>
      </c>
      <c r="DM72" s="5" t="str">
        <f t="array" ref="DM72">IFERROR(IF('T1'!$J72="",INDEX(LISTA_EX,115),INDEX(LISTA_EX,MATCH('T1'!$J72&amp;"|"&amp;115,LISTA_KLUCZ,0))),"")</f>
        <v>Med ball slam</v>
      </c>
      <c r="DN72" s="5" t="str">
        <f t="array" ref="DN72">IFERROR(IF('T1'!$J72="",INDEX(LISTA_EX,116),INDEX(LISTA_EX,MATCH('T1'!$J72&amp;"|"&amp;116,LISTA_KLUCZ,0))),"")</f>
        <v>OH skullcrushers</v>
      </c>
      <c r="DO72" s="5" t="str">
        <f t="array" ref="DO72">IFERROR(IF('T1'!$J72="",INDEX(LISTA_EX,117),INDEX(LISTA_EX,MATCH('T1'!$J72&amp;"|"&amp;117,LISTA_KLUCZ,0))),"")</f>
        <v>OHP barbell squat 15kg</v>
      </c>
      <c r="DP72" s="5" t="str">
        <f t="array" ref="DP72">IFERROR(IF('T1'!$J72="",INDEX(LISTA_EX,118),INDEX(LISTA_EX,MATCH('T1'!$J72&amp;"|"&amp;118,LISTA_KLUCZ,0))),"")</f>
        <v>Pistol squat eccentric</v>
      </c>
      <c r="DQ72" s="5" t="str">
        <f t="array" ref="DQ72">IFERROR(IF('T1'!$J72="",INDEX(LISTA_EX,119),INDEX(LISTA_EX,MATCH('T1'!$J72&amp;"|"&amp;119,LISTA_KLUCZ,0))),"")</f>
        <v>Plank contralateral</v>
      </c>
      <c r="DR72" s="5" t="str">
        <f t="array" ref="DR72">IFERROR(IF('T1'!$J72="",INDEX(LISTA_EX,120),INDEX(LISTA_EX,MATCH('T1'!$J72&amp;"|"&amp;120,LISTA_KLUCZ,0))),"")</f>
        <v>Plank dumbbell rotation</v>
      </c>
      <c r="DS72" s="5" t="str">
        <f t="array" ref="DS72">IFERROR(IF('T1'!$J72="",INDEX(LISTA_EX,121),INDEX(LISTA_EX,MATCH('T1'!$J72&amp;"|"&amp;121,LISTA_KLUCZ,0))),"")</f>
        <v>Plank leg raises</v>
      </c>
      <c r="DT72" s="5" t="str">
        <f t="array" ref="DT72">IFERROR(IF('T1'!$J72="",INDEX(LISTA_EX,122),INDEX(LISTA_EX,MATCH('T1'!$J72&amp;"|"&amp;122,LISTA_KLUCZ,0))),"")</f>
        <v>Poliquin step up</v>
      </c>
      <c r="DU72" s="5" t="str">
        <f t="array" ref="DU72">IFERROR(IF('T1'!$J72="",INDEX(LISTA_EX,123),INDEX(LISTA_EX,MATCH('T1'!$J72&amp;"|"&amp;123,LISTA_KLUCZ,0))),"")</f>
        <v>Poliquin step up paused 3sec</v>
      </c>
      <c r="DV72" s="5" t="str">
        <f t="array" ref="DV72">IFERROR(IF('T1'!$J72="",INDEX(LISTA_EX,124),INDEX(LISTA_EX,MATCH('T1'!$J72&amp;"|"&amp;124,LISTA_KLUCZ,0))),"")</f>
        <v>Pronation/Supination</v>
      </c>
      <c r="DW72" s="5" t="str">
        <f t="array" ref="DW72">IFERROR(IF('T1'!$J72="",INDEX(LISTA_EX,125),INDEX(LISTA_EX,MATCH('T1'!$J72&amp;"|"&amp;125,LISTA_KLUCZ,0))),"")</f>
        <v>Pull up</v>
      </c>
      <c r="DX72" s="5" t="str">
        <f t="array" ref="DX72">IFERROR(IF('T1'!$J72="",INDEX(LISTA_EX,126),INDEX(LISTA_EX,MATCH('T1'!$J72&amp;"|"&amp;126,LISTA_KLUCZ,0))),"")</f>
        <v>Pull up eccentric weighted</v>
      </c>
      <c r="DY72" s="5" t="str">
        <f t="array" ref="DY72">IFERROR(IF('T1'!$J72="",INDEX(LISTA_EX,127),INDEX(LISTA_EX,MATCH('T1'!$J72&amp;"|"&amp;127,LISTA_KLUCZ,0))),"")</f>
        <v>Pull up eccentric weighted (5 sek w dół)</v>
      </c>
      <c r="DZ72" s="5" t="str">
        <f t="array" ref="DZ72">IFERROR(IF('T1'!$J72="",INDEX(LISTA_EX,128),INDEX(LISTA_EX,MATCH('T1'!$J72&amp;"|"&amp;128,LISTA_KLUCZ,0))),"")</f>
        <v>Pull up weighted</v>
      </c>
      <c r="EA72" s="5" t="str">
        <f t="array" ref="EA72">IFERROR(IF('T1'!$J72="",INDEX(LISTA_EX,129),INDEX(LISTA_EX,MATCH('T1'!$J72&amp;"|"&amp;129,LISTA_KLUCZ,0))),"")</f>
        <v>Pull ups (paused)</v>
      </c>
      <c r="EB72" s="5" t="str">
        <f t="array" ref="EB72">IFERROR(IF('T1'!$J72="",INDEX(LISTA_EX,130),INDEX(LISTA_EX,MATCH('T1'!$J72&amp;"|"&amp;130,LISTA_KLUCZ,0))),"")</f>
        <v>Push press barbell</v>
      </c>
      <c r="EC72" s="5" t="str">
        <f t="array" ref="EC72">IFERROR(IF('T1'!$J72="",INDEX(LISTA_EX,131),INDEX(LISTA_EX,MATCH('T1'!$J72&amp;"|"&amp;131,LISTA_KLUCZ,0))),"")</f>
        <v>Push up</v>
      </c>
      <c r="ED72" s="5" t="str">
        <f t="array" ref="ED72">IFERROR(IF('T1'!$J72="",INDEX(LISTA_EX,132),INDEX(LISTA_EX,MATCH('T1'!$J72&amp;"|"&amp;132,LISTA_KLUCZ,0))),"")</f>
        <v>Raised bird dog</v>
      </c>
      <c r="EE72" s="5" t="str">
        <f t="array" ref="EE72">IFERROR(IF('T1'!$J72="",INDEX(LISTA_EX,133),INDEX(LISTA_EX,MATCH('T1'!$J72&amp;"|"&amp;133,LISTA_KLUCZ,0))),"")</f>
        <v>RDL</v>
      </c>
      <c r="EF72" s="5" t="str">
        <f t="array" ref="EF72">IFERROR(IF('T1'!$J72="",INDEX(LISTA_EX,134),INDEX(LISTA_EX,MATCH('T1'!$J72&amp;"|"&amp;134,LISTA_KLUCZ,0))),"")</f>
        <v>Reverse Nordic</v>
      </c>
      <c r="EG72" s="5" t="str">
        <f t="array" ref="EG72">IFERROR(IF('T1'!$J72="",INDEX(LISTA_EX,135),INDEX(LISTA_EX,MATCH('T1'!$J72&amp;"|"&amp;135,LISTA_KLUCZ,0))),"")</f>
        <v>Rope pushdown</v>
      </c>
      <c r="EH72" s="5" t="str">
        <f t="array" ref="EH72">IFERROR(IF('T1'!$J72="",INDEX(LISTA_EX,136),INDEX(LISTA_EX,MATCH('T1'!$J72&amp;"|"&amp;136,LISTA_KLUCZ,0))),"")</f>
        <v>Rope pushdown OH</v>
      </c>
      <c r="EI72" s="5" t="str">
        <f t="array" ref="EI72">IFERROR(IF('T1'!$J72="",INDEX(LISTA_EX,137),INDEX(LISTA_EX,MATCH('T1'!$J72&amp;"|"&amp;137,LISTA_KLUCZ,0))),"")</f>
        <v>S/a cable pulldown incline bench</v>
      </c>
      <c r="EJ72" s="5" t="str">
        <f t="array" ref="EJ72">IFERROR(IF('T1'!$J72="",INDEX(LISTA_EX,138),INDEX(LISTA_EX,MATCH('T1'!$J72&amp;"|"&amp;138,LISTA_KLUCZ,0))),"")</f>
        <v>S/a lat pulldown incline bench</v>
      </c>
      <c r="EK72" s="5" t="str">
        <f t="array" ref="EK72">IFERROR(IF('T1'!$J72="",INDEX(LISTA_EX,139),INDEX(LISTA_EX,MATCH('T1'!$J72&amp;"|"&amp;139,LISTA_KLUCZ,0))),"")</f>
        <v>S/l dragonflag eccentric</v>
      </c>
      <c r="EL72" s="5" t="str">
        <f t="array" ref="EL72">IFERROR(IF('T1'!$J72="",INDEX(LISTA_EX,140),INDEX(LISTA_EX,MATCH('T1'!$J72&amp;"|"&amp;140,LISTA_KLUCZ,0))),"")</f>
        <v>S/l hip thrust</v>
      </c>
      <c r="EM72" s="5" t="str">
        <f t="array" ref="EM72">IFERROR(IF('T1'!$J72="",INDEX(LISTA_EX,141),INDEX(LISTA_EX,MATCH('T1'!$J72&amp;"|"&amp;141,LISTA_KLUCZ,0))),"")</f>
        <v>Seated broad jump</v>
      </c>
      <c r="EN72" s="5" t="str">
        <f t="array" ref="EN72">IFERROR(IF('T1'!$J72="",INDEX(LISTA_EX,142),INDEX(LISTA_EX,MATCH('T1'!$J72&amp;"|"&amp;142,LISTA_KLUCZ,0))),"")</f>
        <v>Seated cable facepull</v>
      </c>
      <c r="EO72" s="5" t="str">
        <f t="array" ref="EO72">IFERROR(IF('T1'!$J72="",INDEX(LISTA_EX,143),INDEX(LISTA_EX,MATCH('T1'!$J72&amp;"|"&amp;143,LISTA_KLUCZ,0))),"")</f>
        <v>Seated seesaw press (nogi proste)</v>
      </c>
      <c r="EP72" s="5" t="str">
        <f t="array" ref="EP72">IFERROR(IF('T1'!$J72="",INDEX(LISTA_EX,144),INDEX(LISTA_EX,MATCH('T1'!$J72&amp;"|"&amp;144,LISTA_KLUCZ,0))),"")</f>
        <v>Seesaw press</v>
      </c>
      <c r="EQ72" s="5" t="str">
        <f t="array" ref="EQ72">IFERROR(IF('T1'!$J72="",INDEX(LISTA_EX,145),INDEX(LISTA_EX,MATCH('T1'!$J72&amp;"|"&amp;145,LISTA_KLUCZ,0))),"")</f>
        <v>Side crunches</v>
      </c>
      <c r="ER72" s="5" t="str">
        <f t="array" ref="ER72">IFERROR(IF('T1'!$J72="",INDEX(LISTA_EX,146),INDEX(LISTA_EX,MATCH('T1'!$J72&amp;"|"&amp;146,LISTA_KLUCZ,0))),"")</f>
        <v>Side plank hip drop</v>
      </c>
      <c r="ES72" s="5" t="str">
        <f t="array" ref="ES72">IFERROR(IF('T1'!$J72="",INDEX(LISTA_EX,147),INDEX(LISTA_EX,MATCH('T1'!$J72&amp;"|"&amp;147,LISTA_KLUCZ,0))),"")</f>
        <v>Side plank rotations</v>
      </c>
      <c r="ET72" s="5" t="str">
        <f t="array" ref="ET72">IFERROR(IF('T1'!$J72="",INDEX(LISTA_EX,148),INDEX(LISTA_EX,MATCH('T1'!$J72&amp;"|"&amp;148,LISTA_KLUCZ,0))),"")</f>
        <v>SLDL balance</v>
      </c>
      <c r="EU72" s="5" t="str">
        <f t="array" ref="EU72">IFERROR(IF('T1'!$J72="",INDEX(LISTA_EX,149),INDEX(LISTA_EX,MATCH('T1'!$J72&amp;"|"&amp;149,LISTA_KLUCZ,0))),"")</f>
        <v>Split squat</v>
      </c>
      <c r="EV72" s="5" t="str">
        <f t="array" ref="EV72">IFERROR(IF('T1'!$J72="",INDEX(LISTA_EX,150),INDEX(LISTA_EX,MATCH('T1'!$J72&amp;"|"&amp;150,LISTA_KLUCZ,0))),"")</f>
        <v>Split stance SLDL</v>
      </c>
      <c r="EW72" s="5" t="str">
        <f t="array" ref="EW72">IFERROR(IF('T1'!$J72="",INDEX(LISTA_EX,151),INDEX(LISTA_EX,MATCH('T1'!$J72&amp;"|"&amp;151,LISTA_KLUCZ,0))),"")</f>
        <v>Squat izo (15 sek)</v>
      </c>
      <c r="EX72" s="5" t="str">
        <f t="array" ref="EX72">IFERROR(IF('T1'!$J72="",INDEX(LISTA_EX,152),INDEX(LISTA_EX,MATCH('T1'!$J72&amp;"|"&amp;152,LISTA_KLUCZ,0))),"")</f>
        <v>Standing landmine press</v>
      </c>
      <c r="EY72" s="5" t="str">
        <f t="array" ref="EY72">IFERROR(IF('T1'!$J72="",INDEX(LISTA_EX,153),INDEX(LISTA_EX,MATCH('T1'!$J72&amp;"|"&amp;153,LISTA_KLUCZ,0))),"")</f>
        <v>Suitcase carry</v>
      </c>
      <c r="EZ72" s="5" t="str">
        <f t="array" ref="EZ72">IFERROR(IF('T1'!$J72="",INDEX(LISTA_EX,154),INDEX(LISTA_EX,MATCH('T1'!$J72&amp;"|"&amp;154,LISTA_KLUCZ,0))),"")</f>
        <v>Supine pigeon abs</v>
      </c>
      <c r="FA72" s="5" t="str">
        <f t="array" ref="FA72">IFERROR(IF('T1'!$J72="",INDEX(LISTA_EX,155),INDEX(LISTA_EX,MATCH('T1'!$J72&amp;"|"&amp;155,LISTA_KLUCZ,0))),"")</f>
        <v>Swiss ball leg curl</v>
      </c>
      <c r="FB72" s="5" t="str">
        <f t="array" ref="FB72">IFERROR(IF('T1'!$J72="",INDEX(LISTA_EX,156),INDEX(LISTA_EX,MATCH('T1'!$J72&amp;"|"&amp;156,LISTA_KLUCZ,0))),"")</f>
        <v>Toes to bar</v>
      </c>
      <c r="FC72" s="5" t="str">
        <f t="array" ref="FC72">IFERROR(IF('T1'!$J72="",INDEX(LISTA_EX,157),INDEX(LISTA_EX,MATCH('T1'!$J72&amp;"|"&amp;157,LISTA_KLUCZ,0))),"")</f>
        <v>Trap bar deadlift</v>
      </c>
      <c r="FD72" s="5" t="str">
        <f t="array" ref="FD72">IFERROR(IF('T1'!$J72="",INDEX(LISTA_EX,158),INDEX(LISTA_EX,MATCH('T1'!$J72&amp;"|"&amp;158,LISTA_KLUCZ,0))),"")</f>
        <v>Tricep cable pushdown</v>
      </c>
      <c r="FE72" s="5" t="str">
        <f t="array" ref="FE72">IFERROR(IF('T1'!$J72="",INDEX(LISTA_EX,159),INDEX(LISTA_EX,MATCH('T1'!$J72&amp;"|"&amp;159,LISTA_KLUCZ,0))),"")</f>
        <v>Tricep JM press</v>
      </c>
      <c r="FF72" s="5" t="str">
        <f t="array" ref="FF72">IFERROR(IF('T1'!$J72="",INDEX(LISTA_EX,160),INDEX(LISTA_EX,MATCH('T1'!$J72&amp;"|"&amp;160,LISTA_KLUCZ,0))),"")</f>
        <v>Tricep OH cable</v>
      </c>
      <c r="FG72" s="5" t="str">
        <f t="array" ref="FG72">IFERROR(IF('T1'!$J72="",INDEX(LISTA_EX,161),INDEX(LISTA_EX,MATCH('T1'!$J72&amp;"|"&amp;161,LISTA_KLUCZ,0))),"")</f>
        <v>Tricep OH ez bar</v>
      </c>
      <c r="FH72" s="5" t="str">
        <f t="array" ref="FH72">IFERROR(IF('T1'!$J72="",INDEX(LISTA_EX,162),INDEX(LISTA_EX,MATCH('T1'!$J72&amp;"|"&amp;162,LISTA_KLUCZ,0))),"")</f>
        <v>Walking lunges</v>
      </c>
      <c r="FI72" s="5" t="str">
        <f t="array" ref="FI72">IFERROR(IF('T1'!$J72="",INDEX(LISTA_EX,163),INDEX(LISTA_EX,MATCH('T1'!$J72&amp;"|"&amp;163,LISTA_KLUCZ,0))),"")</f>
        <v>Wipers kettle</v>
      </c>
      <c r="FJ72" s="5" t="str">
        <f t="array" ref="FJ72">IFERROR(IF('T1'!$J72="",INDEX(LISTA_EX,164),INDEX(LISTA_EX,MATCH('T1'!$J72&amp;"|"&amp;164,LISTA_KLUCZ,0))),"")</f>
        <v>Zercher jumps</v>
      </c>
      <c r="FK72" s="5" t="str">
        <f t="array" ref="FK72">IFERROR(IF('T1'!$J72="",INDEX(LISTA_EX,165),INDEX(LISTA_EX,MATCH('T1'!$J72&amp;"|"&amp;165,LISTA_KLUCZ,0))),"")</f>
        <v/>
      </c>
      <c r="FL72" s="5" t="str">
        <f t="array" ref="FL72">IFERROR(IF('T1'!$J72="",INDEX(LISTA_EX,166),INDEX(LISTA_EX,MATCH('T1'!$J72&amp;"|"&amp;166,LISTA_KLUCZ,0))),"")</f>
        <v/>
      </c>
      <c r="FM72" s="5" t="str">
        <f t="array" ref="FM72">IFERROR(IF('T1'!$J72="",INDEX(LISTA_EX,167),INDEX(LISTA_EX,MATCH('T1'!$J72&amp;"|"&amp;167,LISTA_KLUCZ,0))),"")</f>
        <v/>
      </c>
      <c r="FN72" s="5" t="str">
        <f t="array" ref="FN72">IFERROR(IF('T1'!$J72="",INDEX(LISTA_EX,168),INDEX(LISTA_EX,MATCH('T1'!$J72&amp;"|"&amp;168,LISTA_KLUCZ,0))),"")</f>
        <v/>
      </c>
      <c r="FO72" s="5" t="str">
        <f t="array" ref="FO72">IFERROR(IF('T1'!$J72="",INDEX(LISTA_EX,169),INDEX(LISTA_EX,MATCH('T1'!$J72&amp;"|"&amp;169,LISTA_KLUCZ,0))),"")</f>
        <v/>
      </c>
      <c r="FP72" s="5" t="str">
        <f t="array" ref="FP72">IFERROR(IF('T1'!$J72="",INDEX(LISTA_EX,170),INDEX(LISTA_EX,MATCH('T1'!$J72&amp;"|"&amp;170,LISTA_KLUCZ,0))),"")</f>
        <v/>
      </c>
      <c r="FQ72" s="5" t="str">
        <f t="array" ref="FQ72">IFERROR(IF('T1'!$J72="",INDEX(LISTA_EX,171),INDEX(LISTA_EX,MATCH('T1'!$J72&amp;"|"&amp;171,LISTA_KLUCZ,0))),"")</f>
        <v/>
      </c>
      <c r="FR72" s="5" t="str">
        <f t="array" ref="FR72">IFERROR(IF('T1'!$J72="",INDEX(LISTA_EX,172),INDEX(LISTA_EX,MATCH('T1'!$J72&amp;"|"&amp;172,LISTA_KLUCZ,0))),"")</f>
        <v/>
      </c>
      <c r="FS72" s="5" t="str">
        <f t="array" ref="FS72">IFERROR(IF('T1'!$J72="",INDEX(LISTA_EX,173),INDEX(LISTA_EX,MATCH('T1'!$J72&amp;"|"&amp;173,LISTA_KLUCZ,0))),"")</f>
        <v/>
      </c>
      <c r="FT72" s="5" t="str">
        <f t="array" ref="FT72">IFERROR(IF('T1'!$J72="",INDEX(LISTA_EX,174),INDEX(LISTA_EX,MATCH('T1'!$J72&amp;"|"&amp;174,LISTA_KLUCZ,0))),"")</f>
        <v/>
      </c>
      <c r="FU72" s="5" t="str">
        <f t="array" ref="FU72">IFERROR(IF('T1'!$J72="",INDEX(LISTA_EX,175),INDEX(LISTA_EX,MATCH('T1'!$J72&amp;"|"&amp;175,LISTA_KLUCZ,0))),"")</f>
        <v/>
      </c>
      <c r="FV72" s="5" t="str">
        <f t="array" ref="FV72">IFERROR(IF('T1'!$J72="",INDEX(LISTA_EX,176),INDEX(LISTA_EX,MATCH('T1'!$J72&amp;"|"&amp;176,LISTA_KLUCZ,0))),"")</f>
        <v/>
      </c>
      <c r="FW72" s="5" t="str">
        <f t="array" ref="FW72">IFERROR(IF('T1'!$J72="",INDEX(LISTA_EX,177),INDEX(LISTA_EX,MATCH('T1'!$J72&amp;"|"&amp;177,LISTA_KLUCZ,0))),"")</f>
        <v/>
      </c>
      <c r="FX72" s="5" t="str">
        <f t="array" ref="FX72">IFERROR(IF('T1'!$J72="",INDEX(LISTA_EX,178),INDEX(LISTA_EX,MATCH('T1'!$J72&amp;"|"&amp;178,LISTA_KLUCZ,0))),"")</f>
        <v/>
      </c>
      <c r="FY72" s="5" t="str">
        <f t="array" ref="FY72">IFERROR(IF('T1'!$J72="",INDEX(LISTA_EX,179),INDEX(LISTA_EX,MATCH('T1'!$J72&amp;"|"&amp;179,LISTA_KLUCZ,0))),"")</f>
        <v/>
      </c>
      <c r="FZ72" s="5" t="str">
        <f t="array" ref="FZ72">IFERROR(IF('T1'!$J72="",INDEX(LISTA_EX,180),INDEX(LISTA_EX,MATCH('T1'!$J72&amp;"|"&amp;180,LISTA_KLUCZ,0))),"")</f>
        <v/>
      </c>
      <c r="GA72" s="5" t="str">
        <f t="array" ref="GA72">IFERROR(IF('T1'!$J72="",INDEX(LISTA_EX,181),INDEX(LISTA_EX,MATCH('T1'!$J72&amp;"|"&amp;181,LISTA_KLUCZ,0))),"")</f>
        <v/>
      </c>
      <c r="GB72" s="5" t="str">
        <f t="array" ref="GB72">IFERROR(IF('T1'!$J72="",INDEX(LISTA_EX,182),INDEX(LISTA_EX,MATCH('T1'!$J72&amp;"|"&amp;182,LISTA_KLUCZ,0))),"")</f>
        <v/>
      </c>
      <c r="GC72" s="5" t="str">
        <f t="array" ref="GC72">IFERROR(IF('T1'!$J72="",INDEX(LISTA_EX,183),INDEX(LISTA_EX,MATCH('T1'!$J72&amp;"|"&amp;183,LISTA_KLUCZ,0))),"")</f>
        <v/>
      </c>
      <c r="GD72" s="5" t="str">
        <f t="array" ref="GD72">IFERROR(IF('T1'!$J72="",INDEX(LISTA_EX,184),INDEX(LISTA_EX,MATCH('T1'!$J72&amp;"|"&amp;184,LISTA_KLUCZ,0))),"")</f>
        <v/>
      </c>
      <c r="GE72" s="5" t="str">
        <f t="array" ref="GE72">IFERROR(IF('T1'!$J72="",INDEX(LISTA_EX,185),INDEX(LISTA_EX,MATCH('T1'!$J72&amp;"|"&amp;185,LISTA_KLUCZ,0))),"")</f>
        <v/>
      </c>
      <c r="GF72" s="5" t="str">
        <f t="array" ref="GF72">IFERROR(IF('T1'!$J72="",INDEX(LISTA_EX,186),INDEX(LISTA_EX,MATCH('T1'!$J72&amp;"|"&amp;186,LISTA_KLUCZ,0))),"")</f>
        <v/>
      </c>
      <c r="GG72" s="5" t="str">
        <f t="array" ref="GG72">IFERROR(IF('T1'!$J72="",INDEX(LISTA_EX,187),INDEX(LISTA_EX,MATCH('T1'!$J72&amp;"|"&amp;187,LISTA_KLUCZ,0))),"")</f>
        <v/>
      </c>
      <c r="GH72" s="5" t="str">
        <f t="array" ref="GH72">IFERROR(IF('T1'!$J72="",INDEX(LISTA_EX,188),INDEX(LISTA_EX,MATCH('T1'!$J72&amp;"|"&amp;188,LISTA_KLUCZ,0))),"")</f>
        <v/>
      </c>
      <c r="GI72" s="5" t="str">
        <f t="array" ref="GI72">IFERROR(IF('T1'!$J72="",INDEX(LISTA_EX,189),INDEX(LISTA_EX,MATCH('T1'!$J72&amp;"|"&amp;189,LISTA_KLUCZ,0))),"")</f>
        <v/>
      </c>
      <c r="GJ72" s="5" t="str">
        <f t="array" ref="GJ72">IFERROR(IF('T1'!$J72="",INDEX(LISTA_EX,190),INDEX(LISTA_EX,MATCH('T1'!$J72&amp;"|"&amp;190,LISTA_KLUCZ,0))),"")</f>
        <v/>
      </c>
      <c r="GK72" s="5" t="str">
        <f t="array" ref="GK72">IFERROR(IF('T1'!$J72="",INDEX(LISTA_EX,191),INDEX(LISTA_EX,MATCH('T1'!$J72&amp;"|"&amp;191,LISTA_KLUCZ,0))),"")</f>
        <v/>
      </c>
      <c r="GL72" s="5" t="str">
        <f t="array" ref="GL72">IFERROR(IF('T1'!$J72="",INDEX(LISTA_EX,192),INDEX(LISTA_EX,MATCH('T1'!$J72&amp;"|"&amp;192,LISTA_KLUCZ,0))),"")</f>
        <v/>
      </c>
      <c r="GM72" s="5" t="str">
        <f t="array" ref="GM72">IFERROR(IF('T1'!$J72="",INDEX(LISTA_EX,193),INDEX(LISTA_EX,MATCH('T1'!$J72&amp;"|"&amp;193,LISTA_KLUCZ,0))),"")</f>
        <v/>
      </c>
      <c r="GN72" s="5" t="str">
        <f t="array" ref="GN72">IFERROR(IF('T1'!$J72="",INDEX(LISTA_EX,194),INDEX(LISTA_EX,MATCH('T1'!$J72&amp;"|"&amp;194,LISTA_KLUCZ,0))),"")</f>
        <v/>
      </c>
      <c r="GO72" s="5" t="str">
        <f t="array" ref="GO72">IFERROR(IF('T1'!$J72="",INDEX(LISTA_EX,195),INDEX(LISTA_EX,MATCH('T1'!$J72&amp;"|"&amp;195,LISTA_KLUCZ,0))),"")</f>
        <v/>
      </c>
      <c r="GP72" s="5" t="str">
        <f t="array" ref="GP72">IFERROR(IF('T1'!$J72="",INDEX(LISTA_EX,196),INDEX(LISTA_EX,MATCH('T1'!$J72&amp;"|"&amp;196,LISTA_KLUCZ,0))),"")</f>
        <v/>
      </c>
      <c r="GQ72" s="5" t="str">
        <f t="array" ref="GQ72">IFERROR(IF('T1'!$J72="",INDEX(LISTA_EX,197),INDEX(LISTA_EX,MATCH('T1'!$J72&amp;"|"&amp;197,LISTA_KLUCZ,0))),"")</f>
        <v/>
      </c>
      <c r="GR72" s="5" t="str">
        <f t="array" ref="GR72">IFERROR(IF('T1'!$J72="",INDEX(LISTA_EX,198),INDEX(LISTA_EX,MATCH('T1'!$J72&amp;"|"&amp;198,LISTA_KLUCZ,0))),"")</f>
        <v/>
      </c>
      <c r="GS72" s="5" t="str">
        <f t="array" ref="GS72">IFERROR(IF('T1'!$J72="",INDEX(LISTA_EX,199),INDEX(LISTA_EX,MATCH('T1'!$J72&amp;"|"&amp;199,LISTA_KLUCZ,0))),"")</f>
        <v/>
      </c>
      <c r="GT72" s="5" t="str">
        <f t="array" ref="GT72">IFERROR(IF('T1'!$J72="",INDEX(LISTA_EX,200),INDEX(LISTA_EX,MATCH('T1'!$J72&amp;"|"&amp;200,LISTA_KLUCZ,0))),"")</f>
        <v/>
      </c>
      <c r="GV72" s="5" t="str">
        <f>IF(BAZA!$A72="","",BAZA!$A72)</f>
        <v>Front squat</v>
      </c>
      <c r="GW72" s="5" t="str">
        <f>IF(BAZA!$B72="","",BAZA!$B72&amp;"|"&amp;COUNTIF(BAZA!$B$3:$B72,BAZA!$B72))</f>
        <v>Lower push|13</v>
      </c>
    </row>
    <row r="73" ht="15.0" customHeight="1">
      <c r="A73" s="5" t="str">
        <f>IF('T1'!$K73="","",'T1'!$K73)</f>
        <v>D5-S03</v>
      </c>
      <c r="B73" s="5" t="str">
        <f>IF('T1'!$J73="","(wszystkie)",'T1'!$J73)</f>
        <v>(wszystkie)</v>
      </c>
      <c r="C73" s="5" t="str">
        <f t="array" ref="C73">IFERROR(IF('T1'!$J73="",INDEX(LISTA_EX,1),INDEX(LISTA_EX,MATCH('T1'!$J73&amp;"|"&amp;1,LISTA_KLUCZ,0))),"")</f>
        <v>Abduction machine</v>
      </c>
      <c r="D73" s="5" t="str">
        <f t="array" ref="D73">IFERROR(IF('T1'!$J73="",INDEX(LISTA_EX,2),INDEX(LISTA_EX,MATCH('T1'!$J73&amp;"|"&amp;2,LISTA_KLUCZ,0))),"")</f>
        <v>Adduction machine</v>
      </c>
      <c r="E73" s="5" t="str">
        <f t="array" ref="E73">IFERROR(IF('T1'!$J73="",INDEX(LISTA_EX,3),INDEX(LISTA_EX,MATCH('T1'!$J73&amp;"|"&amp;3,LISTA_KLUCZ,0))),"")</f>
        <v>Allah</v>
      </c>
      <c r="F73" s="5" t="str">
        <f t="array" ref="F73">IFERROR(IF('T1'!$J73="",INDEX(LISTA_EX,4),INDEX(LISTA_EX,MATCH('T1'!$J73&amp;"|"&amp;4,LISTA_KLUCZ,0))),"")</f>
        <v>Arnold press</v>
      </c>
      <c r="G73" s="5" t="str">
        <f t="array" ref="G73">IFERROR(IF('T1'!$J73="",INDEX(LISTA_EX,5),INDEX(LISTA_EX,MATCH('T1'!$J73&amp;"|"&amp;5,LISTA_KLUCZ,0))),"")</f>
        <v>Arnold press alternating</v>
      </c>
      <c r="H73" s="5" t="str">
        <f t="array" ref="H73">IFERROR(IF('T1'!$J73="",INDEX(LISTA_EX,6),INDEX(LISTA_EX,MATCH('T1'!$J73&amp;"|"&amp;6,LISTA_KLUCZ,0))),"")</f>
        <v>B/l dragonflag eccentric</v>
      </c>
      <c r="I73" s="5" t="str">
        <f t="array" ref="I73">IFERROR(IF('T1'!$J73="",INDEX(LISTA_EX,7),INDEX(LISTA_EX,MATCH('T1'!$J73&amp;"|"&amp;7,LISTA_KLUCZ,0))),"")</f>
        <v>Back extension</v>
      </c>
      <c r="J73" s="5" t="str">
        <f t="array" ref="J73">IFERROR(IF('T1'!$J73="",INDEX(LISTA_EX,8),INDEX(LISTA_EX,MATCH('T1'!$J73&amp;"|"&amp;8,LISTA_KLUCZ,0))),"")</f>
        <v>Banded pistol squat</v>
      </c>
      <c r="K73" s="5" t="str">
        <f t="array" ref="K73">IFERROR(IF('T1'!$J73="",INDEX(LISTA_EX,9),INDEX(LISTA_EX,MATCH('T1'!$J73&amp;"|"&amp;9,LISTA_KLUCZ,0))),"")</f>
        <v>Banded pull ups</v>
      </c>
      <c r="L73" s="5" t="str">
        <f t="array" ref="L73">IFERROR(IF('T1'!$J73="",INDEX(LISTA_EX,10),INDEX(LISTA_EX,MATCH('T1'!$J73&amp;"|"&amp;10,LISTA_KLUCZ,0))),"")</f>
        <v>Barbell back squat</v>
      </c>
      <c r="M73" s="5" t="str">
        <f t="array" ref="M73">IFERROR(IF('T1'!$J73="",INDEX(LISTA_EX,11),INDEX(LISTA_EX,MATCH('T1'!$J73&amp;"|"&amp;11,LISTA_KLUCZ,0))),"")</f>
        <v>Barbell bench press</v>
      </c>
      <c r="N73" s="5" t="str">
        <f t="array" ref="N73">IFERROR(IF('T1'!$J73="",INDEX(LISTA_EX,12),INDEX(LISTA_EX,MATCH('T1'!$J73&amp;"|"&amp;12,LISTA_KLUCZ,0))),"")</f>
        <v>Barbell curl</v>
      </c>
      <c r="O73" s="5" t="str">
        <f t="array" ref="O73">IFERROR(IF('T1'!$J73="",INDEX(LISTA_EX,13),INDEX(LISTA_EX,MATCH('T1'!$J73&amp;"|"&amp;13,LISTA_KLUCZ,0))),"")</f>
        <v>Barbell low bar squat</v>
      </c>
      <c r="P73" s="5" t="str">
        <f t="array" ref="P73">IFERROR(IF('T1'!$J73="",INDEX(LISTA_EX,14),INDEX(LISTA_EX,MATCH('T1'!$J73&amp;"|"&amp;14,LISTA_KLUCZ,0))),"")</f>
        <v>Barbell OHP</v>
      </c>
      <c r="Q73" s="5" t="str">
        <f t="array" ref="Q73">IFERROR(IF('T1'!$J73="",INDEX(LISTA_EX,15),INDEX(LISTA_EX,MATCH('T1'!$J73&amp;"|"&amp;15,LISTA_KLUCZ,0))),"")</f>
        <v>Barbell oscilation</v>
      </c>
      <c r="R73" s="5" t="str">
        <f t="array" ref="R73">IFERROR(IF('T1'!$J73="",INDEX(LISTA_EX,16),INDEX(LISTA_EX,MATCH('T1'!$J73&amp;"|"&amp;16,LISTA_KLUCZ,0))),"")</f>
        <v>Barbell row</v>
      </c>
      <c r="S73" s="5" t="str">
        <f t="array" ref="S73">IFERROR(IF('T1'!$J73="",INDEX(LISTA_EX,17),INDEX(LISTA_EX,MATCH('T1'!$J73&amp;"|"&amp;17,LISTA_KLUCZ,0))),"")</f>
        <v>Barbell row dead stop pins</v>
      </c>
      <c r="T73" s="5" t="str">
        <f t="array" ref="T73">IFERROR(IF('T1'!$J73="",INDEX(LISTA_EX,18),INDEX(LISTA_EX,MATCH('T1'!$J73&amp;"|"&amp;18,LISTA_KLUCZ,0))),"")</f>
        <v>Barbell SLDL</v>
      </c>
      <c r="U73" s="5" t="str">
        <f t="array" ref="U73">IFERROR(IF('T1'!$J73="",INDEX(LISTA_EX,19),INDEX(LISTA_EX,MATCH('T1'!$J73&amp;"|"&amp;19,LISTA_KLUCZ,0))),"")</f>
        <v>Bayesian curl</v>
      </c>
      <c r="V73" s="5" t="str">
        <f t="array" ref="V73">IFERROR(IF('T1'!$J73="",INDEX(LISTA_EX,20),INDEX(LISTA_EX,MATCH('T1'!$J73&amp;"|"&amp;20,LISTA_KLUCZ,0))),"")</f>
        <v>Bear renegade row</v>
      </c>
      <c r="W73" s="5" t="str">
        <f t="array" ref="W73">IFERROR(IF('T1'!$J73="",INDEX(LISTA_EX,21),INDEX(LISTA_EX,MATCH('T1'!$J73&amp;"|"&amp;21,LISTA_KLUCZ,0))),"")</f>
        <v>Bench press paused 3sec</v>
      </c>
      <c r="X73" s="5" t="str">
        <f t="array" ref="X73">IFERROR(IF('T1'!$J73="",INDEX(LISTA_EX,22),INDEX(LISTA_EX,MATCH('T1'!$J73&amp;"|"&amp;22,LISTA_KLUCZ,0))),"")</f>
        <v>Bicep hammer curl</v>
      </c>
      <c r="Y73" s="5" t="str">
        <f t="array" ref="Y73">IFERROR(IF('T1'!$J73="",INDEX(LISTA_EX,23),INDEX(LISTA_EX,MATCH('T1'!$J73&amp;"|"&amp;23,LISTA_KLUCZ,0))),"")</f>
        <v>Bicep squat cable curl</v>
      </c>
      <c r="Z73" s="5" t="str">
        <f t="array" ref="Z73">IFERROR(IF('T1'!$J73="",INDEX(LISTA_EX,24),INDEX(LISTA_EX,MATCH('T1'!$J73&amp;"|"&amp;24,LISTA_KLUCZ,0))),"")</f>
        <v>Bird dog row</v>
      </c>
      <c r="AA73" s="5" t="str">
        <f t="array" ref="AA73">IFERROR(IF('T1'!$J73="",INDEX(LISTA_EX,25),INDEX(LISTA_EX,MATCH('T1'!$J73&amp;"|"&amp;25,LISTA_KLUCZ,0))),"")</f>
        <v>Box jump</v>
      </c>
      <c r="AB73" s="5" t="str">
        <f t="array" ref="AB73">IFERROR(IF('T1'!$J73="",INDEX(LISTA_EX,26),INDEX(LISTA_EX,MATCH('T1'!$J73&amp;"|"&amp;26,LISTA_KLUCZ,0))),"")</f>
        <v>Bulgarian clean plyo</v>
      </c>
      <c r="AC73" s="5" t="str">
        <f t="array" ref="AC73">IFERROR(IF('T1'!$J73="",INDEX(LISTA_EX,27),INDEX(LISTA_EX,MATCH('T1'!$J73&amp;"|"&amp;27,LISTA_KLUCZ,0))),"")</f>
        <v>Bulgarian squat assisted</v>
      </c>
      <c r="AD73" s="5" t="str">
        <f t="array" ref="AD73">IFERROR(IF('T1'!$J73="",INDEX(LISTA_EX,28),INDEX(LISTA_EX,MATCH('T1'!$J73&amp;"|"&amp;28,LISTA_KLUCZ,0))),"")</f>
        <v>Cable biceps curl</v>
      </c>
      <c r="AE73" s="5" t="str">
        <f t="array" ref="AE73">IFERROR(IF('T1'!$J73="",INDEX(LISTA_EX,29),INDEX(LISTA_EX,MATCH('T1'!$J73&amp;"|"&amp;29,LISTA_KLUCZ,0))),"")</f>
        <v>Cable fly</v>
      </c>
      <c r="AF73" s="5" t="str">
        <f t="array" ref="AF73">IFERROR(IF('T1'!$J73="",INDEX(LISTA_EX,30),INDEX(LISTA_EX,MATCH('T1'!$J73&amp;"|"&amp;30,LISTA_KLUCZ,0))),"")</f>
        <v>Cable lateral raise s/a</v>
      </c>
      <c r="AG73" s="5" t="str">
        <f t="array" ref="AG73">IFERROR(IF('T1'!$J73="",INDEX(LISTA_EX,31),INDEX(LISTA_EX,MATCH('T1'!$J73&amp;"|"&amp;31,LISTA_KLUCZ,0))),"")</f>
        <v>Cable row</v>
      </c>
      <c r="AH73" s="5" t="str">
        <f t="array" ref="AH73">IFERROR(IF('T1'!$J73="",INDEX(LISTA_EX,32),INDEX(LISTA_EX,MATCH('T1'!$J73&amp;"|"&amp;32,LISTA_KLUCZ,0))),"")</f>
        <v>Cable row s/a</v>
      </c>
      <c r="AI73" s="5" t="str">
        <f t="array" ref="AI73">IFERROR(IF('T1'!$J73="",INDEX(LISTA_EX,33),INDEX(LISTA_EX,MATCH('T1'!$J73&amp;"|"&amp;33,LISTA_KLUCZ,0))),"")</f>
        <v>Calf raises</v>
      </c>
      <c r="AJ73" s="5" t="str">
        <f t="array" ref="AJ73">IFERROR(IF('T1'!$J73="",INDEX(LISTA_EX,34),INDEX(LISTA_EX,MATCH('T1'!$J73&amp;"|"&amp;34,LISTA_KLUCZ,0))),"")</f>
        <v>Chest fly machine</v>
      </c>
      <c r="AK73" s="5" t="str">
        <f t="array" ref="AK73">IFERROR(IF('T1'!$J73="",INDEX(LISTA_EX,35),INDEX(LISTA_EX,MATCH('T1'!$J73&amp;"|"&amp;35,LISTA_KLUCZ,0))),"")</f>
        <v>Clean</v>
      </c>
      <c r="AL73" s="5" t="str">
        <f t="array" ref="AL73">IFERROR(IF('T1'!$J73="",INDEX(LISTA_EX,36),INDEX(LISTA_EX,MATCH('T1'!$J73&amp;"|"&amp;36,LISTA_KLUCZ,0))),"")</f>
        <v>Clean pins</v>
      </c>
      <c r="AM73" s="5" t="str">
        <f t="array" ref="AM73">IFERROR(IF('T1'!$J73="",INDEX(LISTA_EX,37),INDEX(LISTA_EX,MATCH('T1'!$J73&amp;"|"&amp;37,LISTA_KLUCZ,0))),"")</f>
        <v>Copenhagen plank</v>
      </c>
      <c r="AN73" s="5" t="str">
        <f t="array" ref="AN73">IFERROR(IF('T1'!$J73="",INDEX(LISTA_EX,38),INDEX(LISTA_EX,MATCH('T1'!$J73&amp;"|"&amp;38,LISTA_KLUCZ,0))),"")</f>
        <v>Dead bug izo + OH</v>
      </c>
      <c r="AO73" s="5" t="str">
        <f t="array" ref="AO73">IFERROR(IF('T1'!$J73="",INDEX(LISTA_EX,39),INDEX(LISTA_EX,MATCH('T1'!$J73&amp;"|"&amp;39,LISTA_KLUCZ,0))),"")</f>
        <v>Dead bug straight legs</v>
      </c>
      <c r="AP73" s="5" t="str">
        <f t="array" ref="AP73">IFERROR(IF('T1'!$J73="",INDEX(LISTA_EX,40),INDEX(LISTA_EX,MATCH('T1'!$J73&amp;"|"&amp;40,LISTA_KLUCZ,0))),"")</f>
        <v>Dead stop barbell row</v>
      </c>
      <c r="AQ73" s="5" t="str">
        <f t="array" ref="AQ73">IFERROR(IF('T1'!$J73="",INDEX(LISTA_EX,41),INDEX(LISTA_EX,MATCH('T1'!$J73&amp;"|"&amp;41,LISTA_KLUCZ,0))),"")</f>
        <v>Deadbug OH</v>
      </c>
      <c r="AR73" s="5" t="str">
        <f t="array" ref="AR73">IFERROR(IF('T1'!$J73="",INDEX(LISTA_EX,42),INDEX(LISTA_EX,MATCH('T1'!$J73&amp;"|"&amp;42,LISTA_KLUCZ,0))),"")</f>
        <v>Deadlift</v>
      </c>
      <c r="AS73" s="5" t="str">
        <f t="array" ref="AS73">IFERROR(IF('T1'!$J73="",INDEX(LISTA_EX,43),INDEX(LISTA_EX,MATCH('T1'!$J73&amp;"|"&amp;43,LISTA_KLUCZ,0))),"")</f>
        <v>Deficit push up</v>
      </c>
      <c r="AT73" s="5" t="str">
        <f t="array" ref="AT73">IFERROR(IF('T1'!$J73="",INDEX(LISTA_EX,44),INDEX(LISTA_EX,MATCH('T1'!$J73&amp;"|"&amp;44,LISTA_KLUCZ,0))),"")</f>
        <v>Deficit reverse lunge</v>
      </c>
      <c r="AU73" s="5" t="str">
        <f t="array" ref="AU73">IFERROR(IF('T1'!$J73="",INDEX(LISTA_EX,45),INDEX(LISTA_EX,MATCH('T1'!$J73&amp;"|"&amp;45,LISTA_KLUCZ,0))),"")</f>
        <v>Dips</v>
      </c>
      <c r="AV73" s="5" t="str">
        <f t="array" ref="AV73">IFERROR(IF('T1'!$J73="",INDEX(LISTA_EX,46),INDEX(LISTA_EX,MATCH('T1'!$J73&amp;"|"&amp;46,LISTA_KLUCZ,0))),"")</f>
        <v>Dips weighted</v>
      </c>
      <c r="AW73" s="5" t="str">
        <f t="array" ref="AW73">IFERROR(IF('T1'!$J73="",INDEX(LISTA_EX,47),INDEX(LISTA_EX,MATCH('T1'!$J73&amp;"|"&amp;47,LISTA_KLUCZ,0))),"")</f>
        <v>Dumbbell bench press</v>
      </c>
      <c r="AX73" s="5" t="str">
        <f t="array" ref="AX73">IFERROR(IF('T1'!$J73="",INDEX(LISTA_EX,48),INDEX(LISTA_EX,MATCH('T1'!$J73&amp;"|"&amp;48,LISTA_KLUCZ,0))),"")</f>
        <v>Dumbbell bench press alternating</v>
      </c>
      <c r="AY73" s="5" t="str">
        <f t="array" ref="AY73">IFERROR(IF('T1'!$J73="",INDEX(LISTA_EX,49),INDEX(LISTA_EX,MATCH('T1'!$J73&amp;"|"&amp;49,LISTA_KLUCZ,0))),"")</f>
        <v>Dumbbell curl</v>
      </c>
      <c r="AZ73" s="5" t="str">
        <f t="array" ref="AZ73">IFERROR(IF('T1'!$J73="",INDEX(LISTA_EX,50),INDEX(LISTA_EX,MATCH('T1'!$J73&amp;"|"&amp;50,LISTA_KLUCZ,0))),"")</f>
        <v>Dumbbell external rotation</v>
      </c>
      <c r="BA73" s="5" t="str">
        <f t="array" ref="BA73">IFERROR(IF('T1'!$J73="",INDEX(LISTA_EX,51),INDEX(LISTA_EX,MATCH('T1'!$J73&amp;"|"&amp;51,LISTA_KLUCZ,0))),"")</f>
        <v>Dumbbell face down curl</v>
      </c>
      <c r="BB73" s="5" t="str">
        <f t="array" ref="BB73">IFERROR(IF('T1'!$J73="",INDEX(LISTA_EX,52),INDEX(LISTA_EX,MATCH('T1'!$J73&amp;"|"&amp;52,LISTA_KLUCZ,0))),"")</f>
        <v>Dumbbell fly</v>
      </c>
      <c r="BC73" s="5" t="str">
        <f t="array" ref="BC73">IFERROR(IF('T1'!$J73="",INDEX(LISTA_EX,53),INDEX(LISTA_EX,MATCH('T1'!$J73&amp;"|"&amp;53,LISTA_KLUCZ,0))),"")</f>
        <v>Dumbbell french press</v>
      </c>
      <c r="BD73" s="5" t="str">
        <f t="array" ref="BD73">IFERROR(IF('T1'!$J73="",INDEX(LISTA_EX,54),INDEX(LISTA_EX,MATCH('T1'!$J73&amp;"|"&amp;54,LISTA_KLUCZ,0))),"")</f>
        <v>Dumbbell lateral raise</v>
      </c>
      <c r="BE73" s="5" t="str">
        <f t="array" ref="BE73">IFERROR(IF('T1'!$J73="",INDEX(LISTA_EX,55),INDEX(LISTA_EX,MATCH('T1'!$J73&amp;"|"&amp;55,LISTA_KLUCZ,0))),"")</f>
        <v>Dumbbell lunges</v>
      </c>
      <c r="BF73" s="5" t="str">
        <f t="array" ref="BF73">IFERROR(IF('T1'!$J73="",INDEX(LISTA_EX,56),INDEX(LISTA_EX,MATCH('T1'!$J73&amp;"|"&amp;56,LISTA_KLUCZ,0))),"")</f>
        <v>Dumbbell OH press</v>
      </c>
      <c r="BG73" s="5" t="str">
        <f t="array" ref="BG73">IFERROR(IF('T1'!$J73="",INDEX(LISTA_EX,57),INDEX(LISTA_EX,MATCH('T1'!$J73&amp;"|"&amp;57,LISTA_KLUCZ,0))),"")</f>
        <v>Dumbbell over head press</v>
      </c>
      <c r="BH73" s="5" t="str">
        <f t="array" ref="BH73">IFERROR(IF('T1'!$J73="",INDEX(LISTA_EX,58),INDEX(LISTA_EX,MATCH('T1'!$J73&amp;"|"&amp;58,LISTA_KLUCZ,0))),"")</f>
        <v>Dumbbell over head press alternating</v>
      </c>
      <c r="BI73" s="5" t="str">
        <f t="array" ref="BI73">IFERROR(IF('T1'!$J73="",INDEX(LISTA_EX,59),INDEX(LISTA_EX,MATCH('T1'!$J73&amp;"|"&amp;59,LISTA_KLUCZ,0))),"")</f>
        <v>Dumbbell row</v>
      </c>
      <c r="BJ73" s="5" t="str">
        <f t="array" ref="BJ73">IFERROR(IF('T1'!$J73="",INDEX(LISTA_EX,60),INDEX(LISTA_EX,MATCH('T1'!$J73&amp;"|"&amp;60,LISTA_KLUCZ,0))),"")</f>
        <v>Dumbbell s/a Arnold press</v>
      </c>
      <c r="BK73" s="5" t="str">
        <f t="array" ref="BK73">IFERROR(IF('T1'!$J73="",INDEX(LISTA_EX,61),INDEX(LISTA_EX,MATCH('T1'!$J73&amp;"|"&amp;61,LISTA_KLUCZ,0))),"")</f>
        <v>Dumbbell s/a row</v>
      </c>
      <c r="BL73" s="5" t="str">
        <f t="array" ref="BL73">IFERROR(IF('T1'!$J73="",INDEX(LISTA_EX,62),INDEX(LISTA_EX,MATCH('T1'!$J73&amp;"|"&amp;62,LISTA_KLUCZ,0))),"")</f>
        <v>Dumbbell seal row</v>
      </c>
      <c r="BM73" s="5" t="str">
        <f t="array" ref="BM73">IFERROR(IF('T1'!$J73="",INDEX(LISTA_EX,63),INDEX(LISTA_EX,MATCH('T1'!$J73&amp;"|"&amp;63,LISTA_KLUCZ,0))),"")</f>
        <v>Dumbbells jumps</v>
      </c>
      <c r="BN73" s="5" t="str">
        <f t="array" ref="BN73">IFERROR(IF('T1'!$J73="",INDEX(LISTA_EX,64),INDEX(LISTA_EX,MATCH('T1'!$J73&amp;"|"&amp;64,LISTA_KLUCZ,0))),"")</f>
        <v>Eccentric pull up</v>
      </c>
      <c r="BO73" s="5" t="str">
        <f t="array" ref="BO73">IFERROR(IF('T1'!$J73="",INDEX(LISTA_EX,65),INDEX(LISTA_EX,MATCH('T1'!$J73&amp;"|"&amp;65,LISTA_KLUCZ,0))),"")</f>
        <v>Eccentric push up (5 sek w dół)</v>
      </c>
      <c r="BP73" s="5" t="str">
        <f t="array" ref="BP73">IFERROR(IF('T1'!$J73="",INDEX(LISTA_EX,66),INDEX(LISTA_EX,MATCH('T1'!$J73&amp;"|"&amp;66,LISTA_KLUCZ,0))),"")</f>
        <v>Extensive plyo jumps s/l</v>
      </c>
      <c r="BQ73" s="5" t="str">
        <f t="array" ref="BQ73">IFERROR(IF('T1'!$J73="",INDEX(LISTA_EX,67),INDEX(LISTA_EX,MATCH('T1'!$J73&amp;"|"&amp;67,LISTA_KLUCZ,0))),"")</f>
        <v>Ez bar curl</v>
      </c>
      <c r="BR73" s="5" t="str">
        <f t="array" ref="BR73">IFERROR(IF('T1'!$J73="",INDEX(LISTA_EX,68),INDEX(LISTA_EX,MATCH('T1'!$J73&amp;"|"&amp;68,LISTA_KLUCZ,0))),"")</f>
        <v>Facepull chest supported</v>
      </c>
      <c r="BS73" s="5" t="str">
        <f t="array" ref="BS73">IFERROR(IF('T1'!$J73="",INDEX(LISTA_EX,69),INDEX(LISTA_EX,MATCH('T1'!$J73&amp;"|"&amp;69,LISTA_KLUCZ,0))),"")</f>
        <v>Front foot elevated split squat</v>
      </c>
      <c r="BT73" s="5" t="str">
        <f t="array" ref="BT73">IFERROR(IF('T1'!$J73="",INDEX(LISTA_EX,70),INDEX(LISTA_EX,MATCH('T1'!$J73&amp;"|"&amp;70,LISTA_KLUCZ,0))),"")</f>
        <v>Front squat</v>
      </c>
      <c r="BU73" s="5" t="str">
        <f t="array" ref="BU73">IFERROR(IF('T1'!$J73="",INDEX(LISTA_EX,71),INDEX(LISTA_EX,MATCH('T1'!$J73&amp;"|"&amp;71,LISTA_KLUCZ,0))),"")</f>
        <v>GHD flexion</v>
      </c>
      <c r="BV73" s="5" t="str">
        <f t="array" ref="BV73">IFERROR(IF('T1'!$J73="",INDEX(LISTA_EX,72),INDEX(LISTA_EX,MATCH('T1'!$J73&amp;"|"&amp;72,LISTA_KLUCZ,0))),"")</f>
        <v>Glute bridge hamstrings izo + OH</v>
      </c>
      <c r="BW73" s="5" t="str">
        <f t="array" ref="BW73">IFERROR(IF('T1'!$J73="",INDEX(LISTA_EX,73),INDEX(LISTA_EX,MATCH('T1'!$J73&amp;"|"&amp;73,LISTA_KLUCZ,0))),"")</f>
        <v>Glute crusher</v>
      </c>
      <c r="BX73" s="5" t="str">
        <f t="array" ref="BX73">IFERROR(IF('T1'!$J73="",INDEX(LISTA_EX,74),INDEX(LISTA_EX,MATCH('T1'!$J73&amp;"|"&amp;74,LISTA_KLUCZ,0))),"")</f>
        <v>Gorilla row</v>
      </c>
      <c r="BY73" s="5" t="str">
        <f t="array" ref="BY73">IFERROR(IF('T1'!$J73="",INDEX(LISTA_EX,75),INDEX(LISTA_EX,MATCH('T1'!$J73&amp;"|"&amp;75,LISTA_KLUCZ,0))),"")</f>
        <v>Halfkneeling s/a cable pull</v>
      </c>
      <c r="BZ73" s="5" t="str">
        <f t="array" ref="BZ73">IFERROR(IF('T1'!$J73="",INDEX(LISTA_EX,76),INDEX(LISTA_EX,MATCH('T1'!$J73&amp;"|"&amp;76,LISTA_KLUCZ,0))),"")</f>
        <v>Halfkneeling wood chopper</v>
      </c>
      <c r="CA73" s="5" t="str">
        <f t="array" ref="CA73">IFERROR(IF('T1'!$J73="",INDEX(LISTA_EX,77),INDEX(LISTA_EX,MATCH('T1'!$J73&amp;"|"&amp;77,LISTA_KLUCZ,0))),"")</f>
        <v>Hinged dumbbell row</v>
      </c>
      <c r="CB73" s="5" t="str">
        <f t="array" ref="CB73">IFERROR(IF('T1'!$J73="",INDEX(LISTA_EX,78),INDEX(LISTA_EX,MATCH('T1'!$J73&amp;"|"&amp;78,LISTA_KLUCZ,0))),"")</f>
        <v>Hip aeroplane</v>
      </c>
      <c r="CC73" s="5" t="str">
        <f t="array" ref="CC73">IFERROR(IF('T1'!$J73="",INDEX(LISTA_EX,79),INDEX(LISTA_EX,MATCH('T1'!$J73&amp;"|"&amp;79,LISTA_KLUCZ,0))),"")</f>
        <v>Hip flexors cable</v>
      </c>
      <c r="CD73" s="5" t="str">
        <f t="array" ref="CD73">IFERROR(IF('T1'!$J73="",INDEX(LISTA_EX,80),INDEX(LISTA_EX,MATCH('T1'!$J73&amp;"|"&amp;80,LISTA_KLUCZ,0))),"")</f>
        <v>Hip thrust barbell</v>
      </c>
      <c r="CE73" s="5" t="str">
        <f t="array" ref="CE73">IFERROR(IF('T1'!$J73="",INDEX(LISTA_EX,81),INDEX(LISTA_EX,MATCH('T1'!$J73&amp;"|"&amp;81,LISTA_KLUCZ,0))),"")</f>
        <v>Hollow body + OH</v>
      </c>
      <c r="CF73" s="5" t="str">
        <f t="array" ref="CF73">IFERROR(IF('T1'!$J73="",INDEX(LISTA_EX,82),INDEX(LISTA_EX,MATCH('T1'!$J73&amp;"|"&amp;82,LISTA_KLUCZ,0))),"")</f>
        <v>Horizontal jump</v>
      </c>
      <c r="CG73" s="5" t="str">
        <f t="array" ref="CG73">IFERROR(IF('T1'!$J73="",INDEX(LISTA_EX,83),INDEX(LISTA_EX,MATCH('T1'!$J73&amp;"|"&amp;83,LISTA_KLUCZ,0))),"")</f>
        <v>Incline bench lateral raise s/a</v>
      </c>
      <c r="CH73" s="5" t="str">
        <f t="array" ref="CH73">IFERROR(IF('T1'!$J73="",INDEX(LISTA_EX,84),INDEX(LISTA_EX,MATCH('T1'!$J73&amp;"|"&amp;84,LISTA_KLUCZ,0))),"")</f>
        <v>Incline curl + OHP</v>
      </c>
      <c r="CI73" s="5" t="str">
        <f t="array" ref="CI73">IFERROR(IF('T1'!$J73="",INDEX(LISTA_EX,85),INDEX(LISTA_EX,MATCH('T1'!$J73&amp;"|"&amp;85,LISTA_KLUCZ,0))),"")</f>
        <v>Incline dumbbell curl</v>
      </c>
      <c r="CJ73" s="5" t="str">
        <f t="array" ref="CJ73">IFERROR(IF('T1'!$J73="",INDEX(LISTA_EX,86),INDEX(LISTA_EX,MATCH('T1'!$J73&amp;"|"&amp;86,LISTA_KLUCZ,0))),"")</f>
        <v>Incline dumbbell curl (back)</v>
      </c>
      <c r="CK73" s="5" t="str">
        <f t="array" ref="CK73">IFERROR(IF('T1'!$J73="",INDEX(LISTA_EX,87),INDEX(LISTA_EX,MATCH('T1'!$J73&amp;"|"&amp;87,LISTA_KLUCZ,0))),"")</f>
        <v>Incline dumbbell curl (front)</v>
      </c>
      <c r="CL73" s="5" t="str">
        <f t="array" ref="CL73">IFERROR(IF('T1'!$J73="",INDEX(LISTA_EX,88),INDEX(LISTA_EX,MATCH('T1'!$J73&amp;"|"&amp;88,LISTA_KLUCZ,0))),"")</f>
        <v>Incline dumbbell fly</v>
      </c>
      <c r="CM73" s="5" t="str">
        <f t="array" ref="CM73">IFERROR(IF('T1'!$J73="",INDEX(LISTA_EX,89),INDEX(LISTA_EX,MATCH('T1'!$J73&amp;"|"&amp;89,LISTA_KLUCZ,0))),"")</f>
        <v>Incline dumbbell press</v>
      </c>
      <c r="CN73" s="5" t="str">
        <f t="array" ref="CN73">IFERROR(IF('T1'!$J73="",INDEX(LISTA_EX,90),INDEX(LISTA_EX,MATCH('T1'!$J73&amp;"|"&amp;90,LISTA_KLUCZ,0))),"")</f>
        <v>Incline dumbbell press alternating</v>
      </c>
      <c r="CO73" s="5" t="str">
        <f t="array" ref="CO73">IFERROR(IF('T1'!$J73="",INDEX(LISTA_EX,91),INDEX(LISTA_EX,MATCH('T1'!$J73&amp;"|"&amp;91,LISTA_KLUCZ,0))),"")</f>
        <v>Incline sit-ups</v>
      </c>
      <c r="CP73" s="5" t="str">
        <f t="array" ref="CP73">IFERROR(IF('T1'!$J73="",INDEX(LISTA_EX,92),INDEX(LISTA_EX,MATCH('T1'!$J73&amp;"|"&amp;92,LISTA_KLUCZ,0))),"")</f>
        <v>Jefferson cable</v>
      </c>
      <c r="CQ73" s="5" t="str">
        <f t="array" ref="CQ73">IFERROR(IF('T1'!$J73="",INDEX(LISTA_EX,93),INDEX(LISTA_EX,MATCH('T1'!$J73&amp;"|"&amp;93,LISTA_KLUCZ,0))),"")</f>
        <v>Kettlebell march</v>
      </c>
      <c r="CR73" s="5" t="str">
        <f t="array" ref="CR73">IFERROR(IF('T1'!$J73="",INDEX(LISTA_EX,94),INDEX(LISTA_EX,MATCH('T1'!$J73&amp;"|"&amp;94,LISTA_KLUCZ,0))),"")</f>
        <v>Kickbacks</v>
      </c>
      <c r="CS73" s="5" t="str">
        <f t="array" ref="CS73">IFERROR(IF('T1'!$J73="",INDEX(LISTA_EX,95),INDEX(LISTA_EX,MATCH('T1'!$J73&amp;"|"&amp;95,LISTA_KLUCZ,0))),"")</f>
        <v>Knee extension machine</v>
      </c>
      <c r="CT73" s="5" t="str">
        <f t="array" ref="CT73">IFERROR(IF('T1'!$J73="",INDEX(LISTA_EX,96),INDEX(LISTA_EX,MATCH('T1'!$J73&amp;"|"&amp;96,LISTA_KLUCZ,0))),"")</f>
        <v>Knee flexion machine</v>
      </c>
      <c r="CU73" s="5" t="str">
        <f t="array" ref="CU73">IFERROR(IF('T1'!$J73="",INDEX(LISTA_EX,97),INDEX(LISTA_EX,MATCH('T1'!$J73&amp;"|"&amp;97,LISTA_KLUCZ,0))),"")</f>
        <v>Knee raises</v>
      </c>
      <c r="CV73" s="5" t="str">
        <f t="array" ref="CV73">IFERROR(IF('T1'!$J73="",INDEX(LISTA_EX,98),INDEX(LISTA_EX,MATCH('T1'!$J73&amp;"|"&amp;98,LISTA_KLUCZ,0))),"")</f>
        <v>Landmine core</v>
      </c>
      <c r="CW73" s="5" t="str">
        <f t="array" ref="CW73">IFERROR(IF('T1'!$J73="",INDEX(LISTA_EX,99),INDEX(LISTA_EX,MATCH('T1'!$J73&amp;"|"&amp;99,LISTA_KLUCZ,0))),"")</f>
        <v>Landmine press</v>
      </c>
      <c r="CX73" s="5" t="str">
        <f t="array" ref="CX73">IFERROR(IF('T1'!$J73="",INDEX(LISTA_EX,100),INDEX(LISTA_EX,MATCH('T1'!$J73&amp;"|"&amp;100,LISTA_KLUCZ,0))),"")</f>
        <v>Landmine rotations (powtórzenia x2)</v>
      </c>
      <c r="CY73" s="5" t="str">
        <f t="array" ref="CY73">IFERROR(IF('T1'!$J73="",INDEX(LISTA_EX,101),INDEX(LISTA_EX,MATCH('T1'!$J73&amp;"|"&amp;101,LISTA_KLUCZ,0))),"")</f>
        <v>Landmine SLDL</v>
      </c>
      <c r="CZ73" s="5" t="str">
        <f t="array" ref="CZ73">IFERROR(IF('T1'!$J73="",INDEX(LISTA_EX,102),INDEX(LISTA_EX,MATCH('T1'!$J73&amp;"|"&amp;102,LISTA_KLUCZ,0))),"")</f>
        <v>Lat pulldown</v>
      </c>
      <c r="DA73" s="5" t="str">
        <f t="array" ref="DA73">IFERROR(IF('T1'!$J73="",INDEX(LISTA_EX,103),INDEX(LISTA_EX,MATCH('T1'!$J73&amp;"|"&amp;103,LISTA_KLUCZ,0))),"")</f>
        <v>Lat pulldown behind the head</v>
      </c>
      <c r="DB73" s="5" t="str">
        <f t="array" ref="DB73">IFERROR(IF('T1'!$J73="",INDEX(LISTA_EX,104),INDEX(LISTA_EX,MATCH('T1'!$J73&amp;"|"&amp;104,LISTA_KLUCZ,0))),"")</f>
        <v>Lat pulldown s/a</v>
      </c>
      <c r="DC73" s="5" t="str">
        <f t="array" ref="DC73">IFERROR(IF('T1'!$J73="",INDEX(LISTA_EX,105),INDEX(LISTA_EX,MATCH('T1'!$J73&amp;"|"&amp;105,LISTA_KLUCZ,0))),"")</f>
        <v>Lateral raise s/a</v>
      </c>
      <c r="DD73" s="5" t="str">
        <f t="array" ref="DD73">IFERROR(IF('T1'!$J73="",INDEX(LISTA_EX,106),INDEX(LISTA_EX,MATCH('T1'!$J73&amp;"|"&amp;106,LISTA_KLUCZ,0))),"")</f>
        <v>Lateral raises</v>
      </c>
      <c r="DE73" s="5" t="str">
        <f t="array" ref="DE73">IFERROR(IF('T1'!$J73="",INDEX(LISTA_EX,107),INDEX(LISTA_EX,MATCH('T1'!$J73&amp;"|"&amp;107,LISTA_KLUCZ,0))),"")</f>
        <v>Lateral raises 2</v>
      </c>
      <c r="DF73" s="5" t="str">
        <f t="array" ref="DF73">IFERROR(IF('T1'!$J73="",INDEX(LISTA_EX,108),INDEX(LISTA_EX,MATCH('T1'!$J73&amp;"|"&amp;108,LISTA_KLUCZ,0))),"")</f>
        <v>Lateral raises full ROM</v>
      </c>
      <c r="DG73" s="5" t="str">
        <f t="array" ref="DG73">IFERROR(IF('T1'!$J73="",INDEX(LISTA_EX,109),INDEX(LISTA_EX,MATCH('T1'!$J73&amp;"|"&amp;109,LISTA_KLUCZ,0))),"")</f>
        <v>Lateral raises hinged</v>
      </c>
      <c r="DH73" s="5" t="str">
        <f t="array" ref="DH73">IFERROR(IF('T1'!$J73="",INDEX(LISTA_EX,110),INDEX(LISTA_EX,MATCH('T1'!$J73&amp;"|"&amp;110,LISTA_KLUCZ,0))),"")</f>
        <v>Lateral raises incline s/a</v>
      </c>
      <c r="DI73" s="5" t="str">
        <f t="array" ref="DI73">IFERROR(IF('T1'!$J73="",INDEX(LISTA_EX,111),INDEX(LISTA_EX,MATCH('T1'!$J73&amp;"|"&amp;111,LISTA_KLUCZ,0))),"")</f>
        <v>Leg curl</v>
      </c>
      <c r="DJ73" s="5" t="str">
        <f t="array" ref="DJ73">IFERROR(IF('T1'!$J73="",INDEX(LISTA_EX,112),INDEX(LISTA_EX,MATCH('T1'!$J73&amp;"|"&amp;112,LISTA_KLUCZ,0))),"")</f>
        <v>Machine row</v>
      </c>
      <c r="DK73" s="5" t="str">
        <f t="array" ref="DK73">IFERROR(IF('T1'!$J73="",INDEX(LISTA_EX,113),INDEX(LISTA_EX,MATCH('T1'!$J73&amp;"|"&amp;113,LISTA_KLUCZ,0))),"")</f>
        <v>Machine row s/a</v>
      </c>
      <c r="DL73" s="5" t="str">
        <f t="array" ref="DL73">IFERROR(IF('T1'!$J73="",INDEX(LISTA_EX,114),INDEX(LISTA_EX,MATCH('T1'!$J73&amp;"|"&amp;114,LISTA_KLUCZ,0))),"")</f>
        <v>Meadows row</v>
      </c>
      <c r="DM73" s="5" t="str">
        <f t="array" ref="DM73">IFERROR(IF('T1'!$J73="",INDEX(LISTA_EX,115),INDEX(LISTA_EX,MATCH('T1'!$J73&amp;"|"&amp;115,LISTA_KLUCZ,0))),"")</f>
        <v>Med ball slam</v>
      </c>
      <c r="DN73" s="5" t="str">
        <f t="array" ref="DN73">IFERROR(IF('T1'!$J73="",INDEX(LISTA_EX,116),INDEX(LISTA_EX,MATCH('T1'!$J73&amp;"|"&amp;116,LISTA_KLUCZ,0))),"")</f>
        <v>OH skullcrushers</v>
      </c>
      <c r="DO73" s="5" t="str">
        <f t="array" ref="DO73">IFERROR(IF('T1'!$J73="",INDEX(LISTA_EX,117),INDEX(LISTA_EX,MATCH('T1'!$J73&amp;"|"&amp;117,LISTA_KLUCZ,0))),"")</f>
        <v>OHP barbell squat 15kg</v>
      </c>
      <c r="DP73" s="5" t="str">
        <f t="array" ref="DP73">IFERROR(IF('T1'!$J73="",INDEX(LISTA_EX,118),INDEX(LISTA_EX,MATCH('T1'!$J73&amp;"|"&amp;118,LISTA_KLUCZ,0))),"")</f>
        <v>Pistol squat eccentric</v>
      </c>
      <c r="DQ73" s="5" t="str">
        <f t="array" ref="DQ73">IFERROR(IF('T1'!$J73="",INDEX(LISTA_EX,119),INDEX(LISTA_EX,MATCH('T1'!$J73&amp;"|"&amp;119,LISTA_KLUCZ,0))),"")</f>
        <v>Plank contralateral</v>
      </c>
      <c r="DR73" s="5" t="str">
        <f t="array" ref="DR73">IFERROR(IF('T1'!$J73="",INDEX(LISTA_EX,120),INDEX(LISTA_EX,MATCH('T1'!$J73&amp;"|"&amp;120,LISTA_KLUCZ,0))),"")</f>
        <v>Plank dumbbell rotation</v>
      </c>
      <c r="DS73" s="5" t="str">
        <f t="array" ref="DS73">IFERROR(IF('T1'!$J73="",INDEX(LISTA_EX,121),INDEX(LISTA_EX,MATCH('T1'!$J73&amp;"|"&amp;121,LISTA_KLUCZ,0))),"")</f>
        <v>Plank leg raises</v>
      </c>
      <c r="DT73" s="5" t="str">
        <f t="array" ref="DT73">IFERROR(IF('T1'!$J73="",INDEX(LISTA_EX,122),INDEX(LISTA_EX,MATCH('T1'!$J73&amp;"|"&amp;122,LISTA_KLUCZ,0))),"")</f>
        <v>Poliquin step up</v>
      </c>
      <c r="DU73" s="5" t="str">
        <f t="array" ref="DU73">IFERROR(IF('T1'!$J73="",INDEX(LISTA_EX,123),INDEX(LISTA_EX,MATCH('T1'!$J73&amp;"|"&amp;123,LISTA_KLUCZ,0))),"")</f>
        <v>Poliquin step up paused 3sec</v>
      </c>
      <c r="DV73" s="5" t="str">
        <f t="array" ref="DV73">IFERROR(IF('T1'!$J73="",INDEX(LISTA_EX,124),INDEX(LISTA_EX,MATCH('T1'!$J73&amp;"|"&amp;124,LISTA_KLUCZ,0))),"")</f>
        <v>Pronation/Supination</v>
      </c>
      <c r="DW73" s="5" t="str">
        <f t="array" ref="DW73">IFERROR(IF('T1'!$J73="",INDEX(LISTA_EX,125),INDEX(LISTA_EX,MATCH('T1'!$J73&amp;"|"&amp;125,LISTA_KLUCZ,0))),"")</f>
        <v>Pull up</v>
      </c>
      <c r="DX73" s="5" t="str">
        <f t="array" ref="DX73">IFERROR(IF('T1'!$J73="",INDEX(LISTA_EX,126),INDEX(LISTA_EX,MATCH('T1'!$J73&amp;"|"&amp;126,LISTA_KLUCZ,0))),"")</f>
        <v>Pull up eccentric weighted</v>
      </c>
      <c r="DY73" s="5" t="str">
        <f t="array" ref="DY73">IFERROR(IF('T1'!$J73="",INDEX(LISTA_EX,127),INDEX(LISTA_EX,MATCH('T1'!$J73&amp;"|"&amp;127,LISTA_KLUCZ,0))),"")</f>
        <v>Pull up eccentric weighted (5 sek w dół)</v>
      </c>
      <c r="DZ73" s="5" t="str">
        <f t="array" ref="DZ73">IFERROR(IF('T1'!$J73="",INDEX(LISTA_EX,128),INDEX(LISTA_EX,MATCH('T1'!$J73&amp;"|"&amp;128,LISTA_KLUCZ,0))),"")</f>
        <v>Pull up weighted</v>
      </c>
      <c r="EA73" s="5" t="str">
        <f t="array" ref="EA73">IFERROR(IF('T1'!$J73="",INDEX(LISTA_EX,129),INDEX(LISTA_EX,MATCH('T1'!$J73&amp;"|"&amp;129,LISTA_KLUCZ,0))),"")</f>
        <v>Pull ups (paused)</v>
      </c>
      <c r="EB73" s="5" t="str">
        <f t="array" ref="EB73">IFERROR(IF('T1'!$J73="",INDEX(LISTA_EX,130),INDEX(LISTA_EX,MATCH('T1'!$J73&amp;"|"&amp;130,LISTA_KLUCZ,0))),"")</f>
        <v>Push press barbell</v>
      </c>
      <c r="EC73" s="5" t="str">
        <f t="array" ref="EC73">IFERROR(IF('T1'!$J73="",INDEX(LISTA_EX,131),INDEX(LISTA_EX,MATCH('T1'!$J73&amp;"|"&amp;131,LISTA_KLUCZ,0))),"")</f>
        <v>Push up</v>
      </c>
      <c r="ED73" s="5" t="str">
        <f t="array" ref="ED73">IFERROR(IF('T1'!$J73="",INDEX(LISTA_EX,132),INDEX(LISTA_EX,MATCH('T1'!$J73&amp;"|"&amp;132,LISTA_KLUCZ,0))),"")</f>
        <v>Raised bird dog</v>
      </c>
      <c r="EE73" s="5" t="str">
        <f t="array" ref="EE73">IFERROR(IF('T1'!$J73="",INDEX(LISTA_EX,133),INDEX(LISTA_EX,MATCH('T1'!$J73&amp;"|"&amp;133,LISTA_KLUCZ,0))),"")</f>
        <v>RDL</v>
      </c>
      <c r="EF73" s="5" t="str">
        <f t="array" ref="EF73">IFERROR(IF('T1'!$J73="",INDEX(LISTA_EX,134),INDEX(LISTA_EX,MATCH('T1'!$J73&amp;"|"&amp;134,LISTA_KLUCZ,0))),"")</f>
        <v>Reverse Nordic</v>
      </c>
      <c r="EG73" s="5" t="str">
        <f t="array" ref="EG73">IFERROR(IF('T1'!$J73="",INDEX(LISTA_EX,135),INDEX(LISTA_EX,MATCH('T1'!$J73&amp;"|"&amp;135,LISTA_KLUCZ,0))),"")</f>
        <v>Rope pushdown</v>
      </c>
      <c r="EH73" s="5" t="str">
        <f t="array" ref="EH73">IFERROR(IF('T1'!$J73="",INDEX(LISTA_EX,136),INDEX(LISTA_EX,MATCH('T1'!$J73&amp;"|"&amp;136,LISTA_KLUCZ,0))),"")</f>
        <v>Rope pushdown OH</v>
      </c>
      <c r="EI73" s="5" t="str">
        <f t="array" ref="EI73">IFERROR(IF('T1'!$J73="",INDEX(LISTA_EX,137),INDEX(LISTA_EX,MATCH('T1'!$J73&amp;"|"&amp;137,LISTA_KLUCZ,0))),"")</f>
        <v>S/a cable pulldown incline bench</v>
      </c>
      <c r="EJ73" s="5" t="str">
        <f t="array" ref="EJ73">IFERROR(IF('T1'!$J73="",INDEX(LISTA_EX,138),INDEX(LISTA_EX,MATCH('T1'!$J73&amp;"|"&amp;138,LISTA_KLUCZ,0))),"")</f>
        <v>S/a lat pulldown incline bench</v>
      </c>
      <c r="EK73" s="5" t="str">
        <f t="array" ref="EK73">IFERROR(IF('T1'!$J73="",INDEX(LISTA_EX,139),INDEX(LISTA_EX,MATCH('T1'!$J73&amp;"|"&amp;139,LISTA_KLUCZ,0))),"")</f>
        <v>S/l dragonflag eccentric</v>
      </c>
      <c r="EL73" s="5" t="str">
        <f t="array" ref="EL73">IFERROR(IF('T1'!$J73="",INDEX(LISTA_EX,140),INDEX(LISTA_EX,MATCH('T1'!$J73&amp;"|"&amp;140,LISTA_KLUCZ,0))),"")</f>
        <v>S/l hip thrust</v>
      </c>
      <c r="EM73" s="5" t="str">
        <f t="array" ref="EM73">IFERROR(IF('T1'!$J73="",INDEX(LISTA_EX,141),INDEX(LISTA_EX,MATCH('T1'!$J73&amp;"|"&amp;141,LISTA_KLUCZ,0))),"")</f>
        <v>Seated broad jump</v>
      </c>
      <c r="EN73" s="5" t="str">
        <f t="array" ref="EN73">IFERROR(IF('T1'!$J73="",INDEX(LISTA_EX,142),INDEX(LISTA_EX,MATCH('T1'!$J73&amp;"|"&amp;142,LISTA_KLUCZ,0))),"")</f>
        <v>Seated cable facepull</v>
      </c>
      <c r="EO73" s="5" t="str">
        <f t="array" ref="EO73">IFERROR(IF('T1'!$J73="",INDEX(LISTA_EX,143),INDEX(LISTA_EX,MATCH('T1'!$J73&amp;"|"&amp;143,LISTA_KLUCZ,0))),"")</f>
        <v>Seated seesaw press (nogi proste)</v>
      </c>
      <c r="EP73" s="5" t="str">
        <f t="array" ref="EP73">IFERROR(IF('T1'!$J73="",INDEX(LISTA_EX,144),INDEX(LISTA_EX,MATCH('T1'!$J73&amp;"|"&amp;144,LISTA_KLUCZ,0))),"")</f>
        <v>Seesaw press</v>
      </c>
      <c r="EQ73" s="5" t="str">
        <f t="array" ref="EQ73">IFERROR(IF('T1'!$J73="",INDEX(LISTA_EX,145),INDEX(LISTA_EX,MATCH('T1'!$J73&amp;"|"&amp;145,LISTA_KLUCZ,0))),"")</f>
        <v>Side crunches</v>
      </c>
      <c r="ER73" s="5" t="str">
        <f t="array" ref="ER73">IFERROR(IF('T1'!$J73="",INDEX(LISTA_EX,146),INDEX(LISTA_EX,MATCH('T1'!$J73&amp;"|"&amp;146,LISTA_KLUCZ,0))),"")</f>
        <v>Side plank hip drop</v>
      </c>
      <c r="ES73" s="5" t="str">
        <f t="array" ref="ES73">IFERROR(IF('T1'!$J73="",INDEX(LISTA_EX,147),INDEX(LISTA_EX,MATCH('T1'!$J73&amp;"|"&amp;147,LISTA_KLUCZ,0))),"")</f>
        <v>Side plank rotations</v>
      </c>
      <c r="ET73" s="5" t="str">
        <f t="array" ref="ET73">IFERROR(IF('T1'!$J73="",INDEX(LISTA_EX,148),INDEX(LISTA_EX,MATCH('T1'!$J73&amp;"|"&amp;148,LISTA_KLUCZ,0))),"")</f>
        <v>SLDL balance</v>
      </c>
      <c r="EU73" s="5" t="str">
        <f t="array" ref="EU73">IFERROR(IF('T1'!$J73="",INDEX(LISTA_EX,149),INDEX(LISTA_EX,MATCH('T1'!$J73&amp;"|"&amp;149,LISTA_KLUCZ,0))),"")</f>
        <v>Split squat</v>
      </c>
      <c r="EV73" s="5" t="str">
        <f t="array" ref="EV73">IFERROR(IF('T1'!$J73="",INDEX(LISTA_EX,150),INDEX(LISTA_EX,MATCH('T1'!$J73&amp;"|"&amp;150,LISTA_KLUCZ,0))),"")</f>
        <v>Split stance SLDL</v>
      </c>
      <c r="EW73" s="5" t="str">
        <f t="array" ref="EW73">IFERROR(IF('T1'!$J73="",INDEX(LISTA_EX,151),INDEX(LISTA_EX,MATCH('T1'!$J73&amp;"|"&amp;151,LISTA_KLUCZ,0))),"")</f>
        <v>Squat izo (15 sek)</v>
      </c>
      <c r="EX73" s="5" t="str">
        <f t="array" ref="EX73">IFERROR(IF('T1'!$J73="",INDEX(LISTA_EX,152),INDEX(LISTA_EX,MATCH('T1'!$J73&amp;"|"&amp;152,LISTA_KLUCZ,0))),"")</f>
        <v>Standing landmine press</v>
      </c>
      <c r="EY73" s="5" t="str">
        <f t="array" ref="EY73">IFERROR(IF('T1'!$J73="",INDEX(LISTA_EX,153),INDEX(LISTA_EX,MATCH('T1'!$J73&amp;"|"&amp;153,LISTA_KLUCZ,0))),"")</f>
        <v>Suitcase carry</v>
      </c>
      <c r="EZ73" s="5" t="str">
        <f t="array" ref="EZ73">IFERROR(IF('T1'!$J73="",INDEX(LISTA_EX,154),INDEX(LISTA_EX,MATCH('T1'!$J73&amp;"|"&amp;154,LISTA_KLUCZ,0))),"")</f>
        <v>Supine pigeon abs</v>
      </c>
      <c r="FA73" s="5" t="str">
        <f t="array" ref="FA73">IFERROR(IF('T1'!$J73="",INDEX(LISTA_EX,155),INDEX(LISTA_EX,MATCH('T1'!$J73&amp;"|"&amp;155,LISTA_KLUCZ,0))),"")</f>
        <v>Swiss ball leg curl</v>
      </c>
      <c r="FB73" s="5" t="str">
        <f t="array" ref="FB73">IFERROR(IF('T1'!$J73="",INDEX(LISTA_EX,156),INDEX(LISTA_EX,MATCH('T1'!$J73&amp;"|"&amp;156,LISTA_KLUCZ,0))),"")</f>
        <v>Toes to bar</v>
      </c>
      <c r="FC73" s="5" t="str">
        <f t="array" ref="FC73">IFERROR(IF('T1'!$J73="",INDEX(LISTA_EX,157),INDEX(LISTA_EX,MATCH('T1'!$J73&amp;"|"&amp;157,LISTA_KLUCZ,0))),"")</f>
        <v>Trap bar deadlift</v>
      </c>
      <c r="FD73" s="5" t="str">
        <f t="array" ref="FD73">IFERROR(IF('T1'!$J73="",INDEX(LISTA_EX,158),INDEX(LISTA_EX,MATCH('T1'!$J73&amp;"|"&amp;158,LISTA_KLUCZ,0))),"")</f>
        <v>Tricep cable pushdown</v>
      </c>
      <c r="FE73" s="5" t="str">
        <f t="array" ref="FE73">IFERROR(IF('T1'!$J73="",INDEX(LISTA_EX,159),INDEX(LISTA_EX,MATCH('T1'!$J73&amp;"|"&amp;159,LISTA_KLUCZ,0))),"")</f>
        <v>Tricep JM press</v>
      </c>
      <c r="FF73" s="5" t="str">
        <f t="array" ref="FF73">IFERROR(IF('T1'!$J73="",INDEX(LISTA_EX,160),INDEX(LISTA_EX,MATCH('T1'!$J73&amp;"|"&amp;160,LISTA_KLUCZ,0))),"")</f>
        <v>Tricep OH cable</v>
      </c>
      <c r="FG73" s="5" t="str">
        <f t="array" ref="FG73">IFERROR(IF('T1'!$J73="",INDEX(LISTA_EX,161),INDEX(LISTA_EX,MATCH('T1'!$J73&amp;"|"&amp;161,LISTA_KLUCZ,0))),"")</f>
        <v>Tricep OH ez bar</v>
      </c>
      <c r="FH73" s="5" t="str">
        <f t="array" ref="FH73">IFERROR(IF('T1'!$J73="",INDEX(LISTA_EX,162),INDEX(LISTA_EX,MATCH('T1'!$J73&amp;"|"&amp;162,LISTA_KLUCZ,0))),"")</f>
        <v>Walking lunges</v>
      </c>
      <c r="FI73" s="5" t="str">
        <f t="array" ref="FI73">IFERROR(IF('T1'!$J73="",INDEX(LISTA_EX,163),INDEX(LISTA_EX,MATCH('T1'!$J73&amp;"|"&amp;163,LISTA_KLUCZ,0))),"")</f>
        <v>Wipers kettle</v>
      </c>
      <c r="FJ73" s="5" t="str">
        <f t="array" ref="FJ73">IFERROR(IF('T1'!$J73="",INDEX(LISTA_EX,164),INDEX(LISTA_EX,MATCH('T1'!$J73&amp;"|"&amp;164,LISTA_KLUCZ,0))),"")</f>
        <v>Zercher jumps</v>
      </c>
      <c r="FK73" s="5" t="str">
        <f t="array" ref="FK73">IFERROR(IF('T1'!$J73="",INDEX(LISTA_EX,165),INDEX(LISTA_EX,MATCH('T1'!$J73&amp;"|"&amp;165,LISTA_KLUCZ,0))),"")</f>
        <v/>
      </c>
      <c r="FL73" s="5" t="str">
        <f t="array" ref="FL73">IFERROR(IF('T1'!$J73="",INDEX(LISTA_EX,166),INDEX(LISTA_EX,MATCH('T1'!$J73&amp;"|"&amp;166,LISTA_KLUCZ,0))),"")</f>
        <v/>
      </c>
      <c r="FM73" s="5" t="str">
        <f t="array" ref="FM73">IFERROR(IF('T1'!$J73="",INDEX(LISTA_EX,167),INDEX(LISTA_EX,MATCH('T1'!$J73&amp;"|"&amp;167,LISTA_KLUCZ,0))),"")</f>
        <v/>
      </c>
      <c r="FN73" s="5" t="str">
        <f t="array" ref="FN73">IFERROR(IF('T1'!$J73="",INDEX(LISTA_EX,168),INDEX(LISTA_EX,MATCH('T1'!$J73&amp;"|"&amp;168,LISTA_KLUCZ,0))),"")</f>
        <v/>
      </c>
      <c r="FO73" s="5" t="str">
        <f t="array" ref="FO73">IFERROR(IF('T1'!$J73="",INDEX(LISTA_EX,169),INDEX(LISTA_EX,MATCH('T1'!$J73&amp;"|"&amp;169,LISTA_KLUCZ,0))),"")</f>
        <v/>
      </c>
      <c r="FP73" s="5" t="str">
        <f t="array" ref="FP73">IFERROR(IF('T1'!$J73="",INDEX(LISTA_EX,170),INDEX(LISTA_EX,MATCH('T1'!$J73&amp;"|"&amp;170,LISTA_KLUCZ,0))),"")</f>
        <v/>
      </c>
      <c r="FQ73" s="5" t="str">
        <f t="array" ref="FQ73">IFERROR(IF('T1'!$J73="",INDEX(LISTA_EX,171),INDEX(LISTA_EX,MATCH('T1'!$J73&amp;"|"&amp;171,LISTA_KLUCZ,0))),"")</f>
        <v/>
      </c>
      <c r="FR73" s="5" t="str">
        <f t="array" ref="FR73">IFERROR(IF('T1'!$J73="",INDEX(LISTA_EX,172),INDEX(LISTA_EX,MATCH('T1'!$J73&amp;"|"&amp;172,LISTA_KLUCZ,0))),"")</f>
        <v/>
      </c>
      <c r="FS73" s="5" t="str">
        <f t="array" ref="FS73">IFERROR(IF('T1'!$J73="",INDEX(LISTA_EX,173),INDEX(LISTA_EX,MATCH('T1'!$J73&amp;"|"&amp;173,LISTA_KLUCZ,0))),"")</f>
        <v/>
      </c>
      <c r="FT73" s="5" t="str">
        <f t="array" ref="FT73">IFERROR(IF('T1'!$J73="",INDEX(LISTA_EX,174),INDEX(LISTA_EX,MATCH('T1'!$J73&amp;"|"&amp;174,LISTA_KLUCZ,0))),"")</f>
        <v/>
      </c>
      <c r="FU73" s="5" t="str">
        <f t="array" ref="FU73">IFERROR(IF('T1'!$J73="",INDEX(LISTA_EX,175),INDEX(LISTA_EX,MATCH('T1'!$J73&amp;"|"&amp;175,LISTA_KLUCZ,0))),"")</f>
        <v/>
      </c>
      <c r="FV73" s="5" t="str">
        <f t="array" ref="FV73">IFERROR(IF('T1'!$J73="",INDEX(LISTA_EX,176),INDEX(LISTA_EX,MATCH('T1'!$J73&amp;"|"&amp;176,LISTA_KLUCZ,0))),"")</f>
        <v/>
      </c>
      <c r="FW73" s="5" t="str">
        <f t="array" ref="FW73">IFERROR(IF('T1'!$J73="",INDEX(LISTA_EX,177),INDEX(LISTA_EX,MATCH('T1'!$J73&amp;"|"&amp;177,LISTA_KLUCZ,0))),"")</f>
        <v/>
      </c>
      <c r="FX73" s="5" t="str">
        <f t="array" ref="FX73">IFERROR(IF('T1'!$J73="",INDEX(LISTA_EX,178),INDEX(LISTA_EX,MATCH('T1'!$J73&amp;"|"&amp;178,LISTA_KLUCZ,0))),"")</f>
        <v/>
      </c>
      <c r="FY73" s="5" t="str">
        <f t="array" ref="FY73">IFERROR(IF('T1'!$J73="",INDEX(LISTA_EX,179),INDEX(LISTA_EX,MATCH('T1'!$J73&amp;"|"&amp;179,LISTA_KLUCZ,0))),"")</f>
        <v/>
      </c>
      <c r="FZ73" s="5" t="str">
        <f t="array" ref="FZ73">IFERROR(IF('T1'!$J73="",INDEX(LISTA_EX,180),INDEX(LISTA_EX,MATCH('T1'!$J73&amp;"|"&amp;180,LISTA_KLUCZ,0))),"")</f>
        <v/>
      </c>
      <c r="GA73" s="5" t="str">
        <f t="array" ref="GA73">IFERROR(IF('T1'!$J73="",INDEX(LISTA_EX,181),INDEX(LISTA_EX,MATCH('T1'!$J73&amp;"|"&amp;181,LISTA_KLUCZ,0))),"")</f>
        <v/>
      </c>
      <c r="GB73" s="5" t="str">
        <f t="array" ref="GB73">IFERROR(IF('T1'!$J73="",INDEX(LISTA_EX,182),INDEX(LISTA_EX,MATCH('T1'!$J73&amp;"|"&amp;182,LISTA_KLUCZ,0))),"")</f>
        <v/>
      </c>
      <c r="GC73" s="5" t="str">
        <f t="array" ref="GC73">IFERROR(IF('T1'!$J73="",INDEX(LISTA_EX,183),INDEX(LISTA_EX,MATCH('T1'!$J73&amp;"|"&amp;183,LISTA_KLUCZ,0))),"")</f>
        <v/>
      </c>
      <c r="GD73" s="5" t="str">
        <f t="array" ref="GD73">IFERROR(IF('T1'!$J73="",INDEX(LISTA_EX,184),INDEX(LISTA_EX,MATCH('T1'!$J73&amp;"|"&amp;184,LISTA_KLUCZ,0))),"")</f>
        <v/>
      </c>
      <c r="GE73" s="5" t="str">
        <f t="array" ref="GE73">IFERROR(IF('T1'!$J73="",INDEX(LISTA_EX,185),INDEX(LISTA_EX,MATCH('T1'!$J73&amp;"|"&amp;185,LISTA_KLUCZ,0))),"")</f>
        <v/>
      </c>
      <c r="GF73" s="5" t="str">
        <f t="array" ref="GF73">IFERROR(IF('T1'!$J73="",INDEX(LISTA_EX,186),INDEX(LISTA_EX,MATCH('T1'!$J73&amp;"|"&amp;186,LISTA_KLUCZ,0))),"")</f>
        <v/>
      </c>
      <c r="GG73" s="5" t="str">
        <f t="array" ref="GG73">IFERROR(IF('T1'!$J73="",INDEX(LISTA_EX,187),INDEX(LISTA_EX,MATCH('T1'!$J73&amp;"|"&amp;187,LISTA_KLUCZ,0))),"")</f>
        <v/>
      </c>
      <c r="GH73" s="5" t="str">
        <f t="array" ref="GH73">IFERROR(IF('T1'!$J73="",INDEX(LISTA_EX,188),INDEX(LISTA_EX,MATCH('T1'!$J73&amp;"|"&amp;188,LISTA_KLUCZ,0))),"")</f>
        <v/>
      </c>
      <c r="GI73" s="5" t="str">
        <f t="array" ref="GI73">IFERROR(IF('T1'!$J73="",INDEX(LISTA_EX,189),INDEX(LISTA_EX,MATCH('T1'!$J73&amp;"|"&amp;189,LISTA_KLUCZ,0))),"")</f>
        <v/>
      </c>
      <c r="GJ73" s="5" t="str">
        <f t="array" ref="GJ73">IFERROR(IF('T1'!$J73="",INDEX(LISTA_EX,190),INDEX(LISTA_EX,MATCH('T1'!$J73&amp;"|"&amp;190,LISTA_KLUCZ,0))),"")</f>
        <v/>
      </c>
      <c r="GK73" s="5" t="str">
        <f t="array" ref="GK73">IFERROR(IF('T1'!$J73="",INDEX(LISTA_EX,191),INDEX(LISTA_EX,MATCH('T1'!$J73&amp;"|"&amp;191,LISTA_KLUCZ,0))),"")</f>
        <v/>
      </c>
      <c r="GL73" s="5" t="str">
        <f t="array" ref="GL73">IFERROR(IF('T1'!$J73="",INDEX(LISTA_EX,192),INDEX(LISTA_EX,MATCH('T1'!$J73&amp;"|"&amp;192,LISTA_KLUCZ,0))),"")</f>
        <v/>
      </c>
      <c r="GM73" s="5" t="str">
        <f t="array" ref="GM73">IFERROR(IF('T1'!$J73="",INDEX(LISTA_EX,193),INDEX(LISTA_EX,MATCH('T1'!$J73&amp;"|"&amp;193,LISTA_KLUCZ,0))),"")</f>
        <v/>
      </c>
      <c r="GN73" s="5" t="str">
        <f t="array" ref="GN73">IFERROR(IF('T1'!$J73="",INDEX(LISTA_EX,194),INDEX(LISTA_EX,MATCH('T1'!$J73&amp;"|"&amp;194,LISTA_KLUCZ,0))),"")</f>
        <v/>
      </c>
      <c r="GO73" s="5" t="str">
        <f t="array" ref="GO73">IFERROR(IF('T1'!$J73="",INDEX(LISTA_EX,195),INDEX(LISTA_EX,MATCH('T1'!$J73&amp;"|"&amp;195,LISTA_KLUCZ,0))),"")</f>
        <v/>
      </c>
      <c r="GP73" s="5" t="str">
        <f t="array" ref="GP73">IFERROR(IF('T1'!$J73="",INDEX(LISTA_EX,196),INDEX(LISTA_EX,MATCH('T1'!$J73&amp;"|"&amp;196,LISTA_KLUCZ,0))),"")</f>
        <v/>
      </c>
      <c r="GQ73" s="5" t="str">
        <f t="array" ref="GQ73">IFERROR(IF('T1'!$J73="",INDEX(LISTA_EX,197),INDEX(LISTA_EX,MATCH('T1'!$J73&amp;"|"&amp;197,LISTA_KLUCZ,0))),"")</f>
        <v/>
      </c>
      <c r="GR73" s="5" t="str">
        <f t="array" ref="GR73">IFERROR(IF('T1'!$J73="",INDEX(LISTA_EX,198),INDEX(LISTA_EX,MATCH('T1'!$J73&amp;"|"&amp;198,LISTA_KLUCZ,0))),"")</f>
        <v/>
      </c>
      <c r="GS73" s="5" t="str">
        <f t="array" ref="GS73">IFERROR(IF('T1'!$J73="",INDEX(LISTA_EX,199),INDEX(LISTA_EX,MATCH('T1'!$J73&amp;"|"&amp;199,LISTA_KLUCZ,0))),"")</f>
        <v/>
      </c>
      <c r="GT73" s="5" t="str">
        <f t="array" ref="GT73">IFERROR(IF('T1'!$J73="",INDEX(LISTA_EX,200),INDEX(LISTA_EX,MATCH('T1'!$J73&amp;"|"&amp;200,LISTA_KLUCZ,0))),"")</f>
        <v/>
      </c>
      <c r="GV73" s="5" t="str">
        <f>IF(BAZA!$A73="","",BAZA!$A73)</f>
        <v>GHD flexion</v>
      </c>
      <c r="GW73" s="5" t="str">
        <f>IF(BAZA!$B73="","",BAZA!$B73&amp;"|"&amp;COUNTIF(BAZA!$B$3:$B73,BAZA!$B73))</f>
        <v>Core|9</v>
      </c>
    </row>
    <row r="74" ht="15.0" customHeight="1">
      <c r="A74" s="5" t="str">
        <f>IF('T1'!$K74="","",'T1'!$K74)</f>
        <v>D5-S04</v>
      </c>
      <c r="B74" s="5" t="str">
        <f>IF('T1'!$J74="","(wszystkie)",'T1'!$J74)</f>
        <v>(wszystkie)</v>
      </c>
      <c r="C74" s="5" t="str">
        <f t="array" ref="C74">IFERROR(IF('T1'!$J74="",INDEX(LISTA_EX,1),INDEX(LISTA_EX,MATCH('T1'!$J74&amp;"|"&amp;1,LISTA_KLUCZ,0))),"")</f>
        <v>Abduction machine</v>
      </c>
      <c r="D74" s="5" t="str">
        <f t="array" ref="D74">IFERROR(IF('T1'!$J74="",INDEX(LISTA_EX,2),INDEX(LISTA_EX,MATCH('T1'!$J74&amp;"|"&amp;2,LISTA_KLUCZ,0))),"")</f>
        <v>Adduction machine</v>
      </c>
      <c r="E74" s="5" t="str">
        <f t="array" ref="E74">IFERROR(IF('T1'!$J74="",INDEX(LISTA_EX,3),INDEX(LISTA_EX,MATCH('T1'!$J74&amp;"|"&amp;3,LISTA_KLUCZ,0))),"")</f>
        <v>Allah</v>
      </c>
      <c r="F74" s="5" t="str">
        <f t="array" ref="F74">IFERROR(IF('T1'!$J74="",INDEX(LISTA_EX,4),INDEX(LISTA_EX,MATCH('T1'!$J74&amp;"|"&amp;4,LISTA_KLUCZ,0))),"")</f>
        <v>Arnold press</v>
      </c>
      <c r="G74" s="5" t="str">
        <f t="array" ref="G74">IFERROR(IF('T1'!$J74="",INDEX(LISTA_EX,5),INDEX(LISTA_EX,MATCH('T1'!$J74&amp;"|"&amp;5,LISTA_KLUCZ,0))),"")</f>
        <v>Arnold press alternating</v>
      </c>
      <c r="H74" s="5" t="str">
        <f t="array" ref="H74">IFERROR(IF('T1'!$J74="",INDEX(LISTA_EX,6),INDEX(LISTA_EX,MATCH('T1'!$J74&amp;"|"&amp;6,LISTA_KLUCZ,0))),"")</f>
        <v>B/l dragonflag eccentric</v>
      </c>
      <c r="I74" s="5" t="str">
        <f t="array" ref="I74">IFERROR(IF('T1'!$J74="",INDEX(LISTA_EX,7),INDEX(LISTA_EX,MATCH('T1'!$J74&amp;"|"&amp;7,LISTA_KLUCZ,0))),"")</f>
        <v>Back extension</v>
      </c>
      <c r="J74" s="5" t="str">
        <f t="array" ref="J74">IFERROR(IF('T1'!$J74="",INDEX(LISTA_EX,8),INDEX(LISTA_EX,MATCH('T1'!$J74&amp;"|"&amp;8,LISTA_KLUCZ,0))),"")</f>
        <v>Banded pistol squat</v>
      </c>
      <c r="K74" s="5" t="str">
        <f t="array" ref="K74">IFERROR(IF('T1'!$J74="",INDEX(LISTA_EX,9),INDEX(LISTA_EX,MATCH('T1'!$J74&amp;"|"&amp;9,LISTA_KLUCZ,0))),"")</f>
        <v>Banded pull ups</v>
      </c>
      <c r="L74" s="5" t="str">
        <f t="array" ref="L74">IFERROR(IF('T1'!$J74="",INDEX(LISTA_EX,10),INDEX(LISTA_EX,MATCH('T1'!$J74&amp;"|"&amp;10,LISTA_KLUCZ,0))),"")</f>
        <v>Barbell back squat</v>
      </c>
      <c r="M74" s="5" t="str">
        <f t="array" ref="M74">IFERROR(IF('T1'!$J74="",INDEX(LISTA_EX,11),INDEX(LISTA_EX,MATCH('T1'!$J74&amp;"|"&amp;11,LISTA_KLUCZ,0))),"")</f>
        <v>Barbell bench press</v>
      </c>
      <c r="N74" s="5" t="str">
        <f t="array" ref="N74">IFERROR(IF('T1'!$J74="",INDEX(LISTA_EX,12),INDEX(LISTA_EX,MATCH('T1'!$J74&amp;"|"&amp;12,LISTA_KLUCZ,0))),"")</f>
        <v>Barbell curl</v>
      </c>
      <c r="O74" s="5" t="str">
        <f t="array" ref="O74">IFERROR(IF('T1'!$J74="",INDEX(LISTA_EX,13),INDEX(LISTA_EX,MATCH('T1'!$J74&amp;"|"&amp;13,LISTA_KLUCZ,0))),"")</f>
        <v>Barbell low bar squat</v>
      </c>
      <c r="P74" s="5" t="str">
        <f t="array" ref="P74">IFERROR(IF('T1'!$J74="",INDEX(LISTA_EX,14),INDEX(LISTA_EX,MATCH('T1'!$J74&amp;"|"&amp;14,LISTA_KLUCZ,0))),"")</f>
        <v>Barbell OHP</v>
      </c>
      <c r="Q74" s="5" t="str">
        <f t="array" ref="Q74">IFERROR(IF('T1'!$J74="",INDEX(LISTA_EX,15),INDEX(LISTA_EX,MATCH('T1'!$J74&amp;"|"&amp;15,LISTA_KLUCZ,0))),"")</f>
        <v>Barbell oscilation</v>
      </c>
      <c r="R74" s="5" t="str">
        <f t="array" ref="R74">IFERROR(IF('T1'!$J74="",INDEX(LISTA_EX,16),INDEX(LISTA_EX,MATCH('T1'!$J74&amp;"|"&amp;16,LISTA_KLUCZ,0))),"")</f>
        <v>Barbell row</v>
      </c>
      <c r="S74" s="5" t="str">
        <f t="array" ref="S74">IFERROR(IF('T1'!$J74="",INDEX(LISTA_EX,17),INDEX(LISTA_EX,MATCH('T1'!$J74&amp;"|"&amp;17,LISTA_KLUCZ,0))),"")</f>
        <v>Barbell row dead stop pins</v>
      </c>
      <c r="T74" s="5" t="str">
        <f t="array" ref="T74">IFERROR(IF('T1'!$J74="",INDEX(LISTA_EX,18),INDEX(LISTA_EX,MATCH('T1'!$J74&amp;"|"&amp;18,LISTA_KLUCZ,0))),"")</f>
        <v>Barbell SLDL</v>
      </c>
      <c r="U74" s="5" t="str">
        <f t="array" ref="U74">IFERROR(IF('T1'!$J74="",INDEX(LISTA_EX,19),INDEX(LISTA_EX,MATCH('T1'!$J74&amp;"|"&amp;19,LISTA_KLUCZ,0))),"")</f>
        <v>Bayesian curl</v>
      </c>
      <c r="V74" s="5" t="str">
        <f t="array" ref="V74">IFERROR(IF('T1'!$J74="",INDEX(LISTA_EX,20),INDEX(LISTA_EX,MATCH('T1'!$J74&amp;"|"&amp;20,LISTA_KLUCZ,0))),"")</f>
        <v>Bear renegade row</v>
      </c>
      <c r="W74" s="5" t="str">
        <f t="array" ref="W74">IFERROR(IF('T1'!$J74="",INDEX(LISTA_EX,21),INDEX(LISTA_EX,MATCH('T1'!$J74&amp;"|"&amp;21,LISTA_KLUCZ,0))),"")</f>
        <v>Bench press paused 3sec</v>
      </c>
      <c r="X74" s="5" t="str">
        <f t="array" ref="X74">IFERROR(IF('T1'!$J74="",INDEX(LISTA_EX,22),INDEX(LISTA_EX,MATCH('T1'!$J74&amp;"|"&amp;22,LISTA_KLUCZ,0))),"")</f>
        <v>Bicep hammer curl</v>
      </c>
      <c r="Y74" s="5" t="str">
        <f t="array" ref="Y74">IFERROR(IF('T1'!$J74="",INDEX(LISTA_EX,23),INDEX(LISTA_EX,MATCH('T1'!$J74&amp;"|"&amp;23,LISTA_KLUCZ,0))),"")</f>
        <v>Bicep squat cable curl</v>
      </c>
      <c r="Z74" s="5" t="str">
        <f t="array" ref="Z74">IFERROR(IF('T1'!$J74="",INDEX(LISTA_EX,24),INDEX(LISTA_EX,MATCH('T1'!$J74&amp;"|"&amp;24,LISTA_KLUCZ,0))),"")</f>
        <v>Bird dog row</v>
      </c>
      <c r="AA74" s="5" t="str">
        <f t="array" ref="AA74">IFERROR(IF('T1'!$J74="",INDEX(LISTA_EX,25),INDEX(LISTA_EX,MATCH('T1'!$J74&amp;"|"&amp;25,LISTA_KLUCZ,0))),"")</f>
        <v>Box jump</v>
      </c>
      <c r="AB74" s="5" t="str">
        <f t="array" ref="AB74">IFERROR(IF('T1'!$J74="",INDEX(LISTA_EX,26),INDEX(LISTA_EX,MATCH('T1'!$J74&amp;"|"&amp;26,LISTA_KLUCZ,0))),"")</f>
        <v>Bulgarian clean plyo</v>
      </c>
      <c r="AC74" s="5" t="str">
        <f t="array" ref="AC74">IFERROR(IF('T1'!$J74="",INDEX(LISTA_EX,27),INDEX(LISTA_EX,MATCH('T1'!$J74&amp;"|"&amp;27,LISTA_KLUCZ,0))),"")</f>
        <v>Bulgarian squat assisted</v>
      </c>
      <c r="AD74" s="5" t="str">
        <f t="array" ref="AD74">IFERROR(IF('T1'!$J74="",INDEX(LISTA_EX,28),INDEX(LISTA_EX,MATCH('T1'!$J74&amp;"|"&amp;28,LISTA_KLUCZ,0))),"")</f>
        <v>Cable biceps curl</v>
      </c>
      <c r="AE74" s="5" t="str">
        <f t="array" ref="AE74">IFERROR(IF('T1'!$J74="",INDEX(LISTA_EX,29),INDEX(LISTA_EX,MATCH('T1'!$J74&amp;"|"&amp;29,LISTA_KLUCZ,0))),"")</f>
        <v>Cable fly</v>
      </c>
      <c r="AF74" s="5" t="str">
        <f t="array" ref="AF74">IFERROR(IF('T1'!$J74="",INDEX(LISTA_EX,30),INDEX(LISTA_EX,MATCH('T1'!$J74&amp;"|"&amp;30,LISTA_KLUCZ,0))),"")</f>
        <v>Cable lateral raise s/a</v>
      </c>
      <c r="AG74" s="5" t="str">
        <f t="array" ref="AG74">IFERROR(IF('T1'!$J74="",INDEX(LISTA_EX,31),INDEX(LISTA_EX,MATCH('T1'!$J74&amp;"|"&amp;31,LISTA_KLUCZ,0))),"")</f>
        <v>Cable row</v>
      </c>
      <c r="AH74" s="5" t="str">
        <f t="array" ref="AH74">IFERROR(IF('T1'!$J74="",INDEX(LISTA_EX,32),INDEX(LISTA_EX,MATCH('T1'!$J74&amp;"|"&amp;32,LISTA_KLUCZ,0))),"")</f>
        <v>Cable row s/a</v>
      </c>
      <c r="AI74" s="5" t="str">
        <f t="array" ref="AI74">IFERROR(IF('T1'!$J74="",INDEX(LISTA_EX,33),INDEX(LISTA_EX,MATCH('T1'!$J74&amp;"|"&amp;33,LISTA_KLUCZ,0))),"")</f>
        <v>Calf raises</v>
      </c>
      <c r="AJ74" s="5" t="str">
        <f t="array" ref="AJ74">IFERROR(IF('T1'!$J74="",INDEX(LISTA_EX,34),INDEX(LISTA_EX,MATCH('T1'!$J74&amp;"|"&amp;34,LISTA_KLUCZ,0))),"")</f>
        <v>Chest fly machine</v>
      </c>
      <c r="AK74" s="5" t="str">
        <f t="array" ref="AK74">IFERROR(IF('T1'!$J74="",INDEX(LISTA_EX,35),INDEX(LISTA_EX,MATCH('T1'!$J74&amp;"|"&amp;35,LISTA_KLUCZ,0))),"")</f>
        <v>Clean</v>
      </c>
      <c r="AL74" s="5" t="str">
        <f t="array" ref="AL74">IFERROR(IF('T1'!$J74="",INDEX(LISTA_EX,36),INDEX(LISTA_EX,MATCH('T1'!$J74&amp;"|"&amp;36,LISTA_KLUCZ,0))),"")</f>
        <v>Clean pins</v>
      </c>
      <c r="AM74" s="5" t="str">
        <f t="array" ref="AM74">IFERROR(IF('T1'!$J74="",INDEX(LISTA_EX,37),INDEX(LISTA_EX,MATCH('T1'!$J74&amp;"|"&amp;37,LISTA_KLUCZ,0))),"")</f>
        <v>Copenhagen plank</v>
      </c>
      <c r="AN74" s="5" t="str">
        <f t="array" ref="AN74">IFERROR(IF('T1'!$J74="",INDEX(LISTA_EX,38),INDEX(LISTA_EX,MATCH('T1'!$J74&amp;"|"&amp;38,LISTA_KLUCZ,0))),"")</f>
        <v>Dead bug izo + OH</v>
      </c>
      <c r="AO74" s="5" t="str">
        <f t="array" ref="AO74">IFERROR(IF('T1'!$J74="",INDEX(LISTA_EX,39),INDEX(LISTA_EX,MATCH('T1'!$J74&amp;"|"&amp;39,LISTA_KLUCZ,0))),"")</f>
        <v>Dead bug straight legs</v>
      </c>
      <c r="AP74" s="5" t="str">
        <f t="array" ref="AP74">IFERROR(IF('T1'!$J74="",INDEX(LISTA_EX,40),INDEX(LISTA_EX,MATCH('T1'!$J74&amp;"|"&amp;40,LISTA_KLUCZ,0))),"")</f>
        <v>Dead stop barbell row</v>
      </c>
      <c r="AQ74" s="5" t="str">
        <f t="array" ref="AQ74">IFERROR(IF('T1'!$J74="",INDEX(LISTA_EX,41),INDEX(LISTA_EX,MATCH('T1'!$J74&amp;"|"&amp;41,LISTA_KLUCZ,0))),"")</f>
        <v>Deadbug OH</v>
      </c>
      <c r="AR74" s="5" t="str">
        <f t="array" ref="AR74">IFERROR(IF('T1'!$J74="",INDEX(LISTA_EX,42),INDEX(LISTA_EX,MATCH('T1'!$J74&amp;"|"&amp;42,LISTA_KLUCZ,0))),"")</f>
        <v>Deadlift</v>
      </c>
      <c r="AS74" s="5" t="str">
        <f t="array" ref="AS74">IFERROR(IF('T1'!$J74="",INDEX(LISTA_EX,43),INDEX(LISTA_EX,MATCH('T1'!$J74&amp;"|"&amp;43,LISTA_KLUCZ,0))),"")</f>
        <v>Deficit push up</v>
      </c>
      <c r="AT74" s="5" t="str">
        <f t="array" ref="AT74">IFERROR(IF('T1'!$J74="",INDEX(LISTA_EX,44),INDEX(LISTA_EX,MATCH('T1'!$J74&amp;"|"&amp;44,LISTA_KLUCZ,0))),"")</f>
        <v>Deficit reverse lunge</v>
      </c>
      <c r="AU74" s="5" t="str">
        <f t="array" ref="AU74">IFERROR(IF('T1'!$J74="",INDEX(LISTA_EX,45),INDEX(LISTA_EX,MATCH('T1'!$J74&amp;"|"&amp;45,LISTA_KLUCZ,0))),"")</f>
        <v>Dips</v>
      </c>
      <c r="AV74" s="5" t="str">
        <f t="array" ref="AV74">IFERROR(IF('T1'!$J74="",INDEX(LISTA_EX,46),INDEX(LISTA_EX,MATCH('T1'!$J74&amp;"|"&amp;46,LISTA_KLUCZ,0))),"")</f>
        <v>Dips weighted</v>
      </c>
      <c r="AW74" s="5" t="str">
        <f t="array" ref="AW74">IFERROR(IF('T1'!$J74="",INDEX(LISTA_EX,47),INDEX(LISTA_EX,MATCH('T1'!$J74&amp;"|"&amp;47,LISTA_KLUCZ,0))),"")</f>
        <v>Dumbbell bench press</v>
      </c>
      <c r="AX74" s="5" t="str">
        <f t="array" ref="AX74">IFERROR(IF('T1'!$J74="",INDEX(LISTA_EX,48),INDEX(LISTA_EX,MATCH('T1'!$J74&amp;"|"&amp;48,LISTA_KLUCZ,0))),"")</f>
        <v>Dumbbell bench press alternating</v>
      </c>
      <c r="AY74" s="5" t="str">
        <f t="array" ref="AY74">IFERROR(IF('T1'!$J74="",INDEX(LISTA_EX,49),INDEX(LISTA_EX,MATCH('T1'!$J74&amp;"|"&amp;49,LISTA_KLUCZ,0))),"")</f>
        <v>Dumbbell curl</v>
      </c>
      <c r="AZ74" s="5" t="str">
        <f t="array" ref="AZ74">IFERROR(IF('T1'!$J74="",INDEX(LISTA_EX,50),INDEX(LISTA_EX,MATCH('T1'!$J74&amp;"|"&amp;50,LISTA_KLUCZ,0))),"")</f>
        <v>Dumbbell external rotation</v>
      </c>
      <c r="BA74" s="5" t="str">
        <f t="array" ref="BA74">IFERROR(IF('T1'!$J74="",INDEX(LISTA_EX,51),INDEX(LISTA_EX,MATCH('T1'!$J74&amp;"|"&amp;51,LISTA_KLUCZ,0))),"")</f>
        <v>Dumbbell face down curl</v>
      </c>
      <c r="BB74" s="5" t="str">
        <f t="array" ref="BB74">IFERROR(IF('T1'!$J74="",INDEX(LISTA_EX,52),INDEX(LISTA_EX,MATCH('T1'!$J74&amp;"|"&amp;52,LISTA_KLUCZ,0))),"")</f>
        <v>Dumbbell fly</v>
      </c>
      <c r="BC74" s="5" t="str">
        <f t="array" ref="BC74">IFERROR(IF('T1'!$J74="",INDEX(LISTA_EX,53),INDEX(LISTA_EX,MATCH('T1'!$J74&amp;"|"&amp;53,LISTA_KLUCZ,0))),"")</f>
        <v>Dumbbell french press</v>
      </c>
      <c r="BD74" s="5" t="str">
        <f t="array" ref="BD74">IFERROR(IF('T1'!$J74="",INDEX(LISTA_EX,54),INDEX(LISTA_EX,MATCH('T1'!$J74&amp;"|"&amp;54,LISTA_KLUCZ,0))),"")</f>
        <v>Dumbbell lateral raise</v>
      </c>
      <c r="BE74" s="5" t="str">
        <f t="array" ref="BE74">IFERROR(IF('T1'!$J74="",INDEX(LISTA_EX,55),INDEX(LISTA_EX,MATCH('T1'!$J74&amp;"|"&amp;55,LISTA_KLUCZ,0))),"")</f>
        <v>Dumbbell lunges</v>
      </c>
      <c r="BF74" s="5" t="str">
        <f t="array" ref="BF74">IFERROR(IF('T1'!$J74="",INDEX(LISTA_EX,56),INDEX(LISTA_EX,MATCH('T1'!$J74&amp;"|"&amp;56,LISTA_KLUCZ,0))),"")</f>
        <v>Dumbbell OH press</v>
      </c>
      <c r="BG74" s="5" t="str">
        <f t="array" ref="BG74">IFERROR(IF('T1'!$J74="",INDEX(LISTA_EX,57),INDEX(LISTA_EX,MATCH('T1'!$J74&amp;"|"&amp;57,LISTA_KLUCZ,0))),"")</f>
        <v>Dumbbell over head press</v>
      </c>
      <c r="BH74" s="5" t="str">
        <f t="array" ref="BH74">IFERROR(IF('T1'!$J74="",INDEX(LISTA_EX,58),INDEX(LISTA_EX,MATCH('T1'!$J74&amp;"|"&amp;58,LISTA_KLUCZ,0))),"")</f>
        <v>Dumbbell over head press alternating</v>
      </c>
      <c r="BI74" s="5" t="str">
        <f t="array" ref="BI74">IFERROR(IF('T1'!$J74="",INDEX(LISTA_EX,59),INDEX(LISTA_EX,MATCH('T1'!$J74&amp;"|"&amp;59,LISTA_KLUCZ,0))),"")</f>
        <v>Dumbbell row</v>
      </c>
      <c r="BJ74" s="5" t="str">
        <f t="array" ref="BJ74">IFERROR(IF('T1'!$J74="",INDEX(LISTA_EX,60),INDEX(LISTA_EX,MATCH('T1'!$J74&amp;"|"&amp;60,LISTA_KLUCZ,0))),"")</f>
        <v>Dumbbell s/a Arnold press</v>
      </c>
      <c r="BK74" s="5" t="str">
        <f t="array" ref="BK74">IFERROR(IF('T1'!$J74="",INDEX(LISTA_EX,61),INDEX(LISTA_EX,MATCH('T1'!$J74&amp;"|"&amp;61,LISTA_KLUCZ,0))),"")</f>
        <v>Dumbbell s/a row</v>
      </c>
      <c r="BL74" s="5" t="str">
        <f t="array" ref="BL74">IFERROR(IF('T1'!$J74="",INDEX(LISTA_EX,62),INDEX(LISTA_EX,MATCH('T1'!$J74&amp;"|"&amp;62,LISTA_KLUCZ,0))),"")</f>
        <v>Dumbbell seal row</v>
      </c>
      <c r="BM74" s="5" t="str">
        <f t="array" ref="BM74">IFERROR(IF('T1'!$J74="",INDEX(LISTA_EX,63),INDEX(LISTA_EX,MATCH('T1'!$J74&amp;"|"&amp;63,LISTA_KLUCZ,0))),"")</f>
        <v>Dumbbells jumps</v>
      </c>
      <c r="BN74" s="5" t="str">
        <f t="array" ref="BN74">IFERROR(IF('T1'!$J74="",INDEX(LISTA_EX,64),INDEX(LISTA_EX,MATCH('T1'!$J74&amp;"|"&amp;64,LISTA_KLUCZ,0))),"")</f>
        <v>Eccentric pull up</v>
      </c>
      <c r="BO74" s="5" t="str">
        <f t="array" ref="BO74">IFERROR(IF('T1'!$J74="",INDEX(LISTA_EX,65),INDEX(LISTA_EX,MATCH('T1'!$J74&amp;"|"&amp;65,LISTA_KLUCZ,0))),"")</f>
        <v>Eccentric push up (5 sek w dół)</v>
      </c>
      <c r="BP74" s="5" t="str">
        <f t="array" ref="BP74">IFERROR(IF('T1'!$J74="",INDEX(LISTA_EX,66),INDEX(LISTA_EX,MATCH('T1'!$J74&amp;"|"&amp;66,LISTA_KLUCZ,0))),"")</f>
        <v>Extensive plyo jumps s/l</v>
      </c>
      <c r="BQ74" s="5" t="str">
        <f t="array" ref="BQ74">IFERROR(IF('T1'!$J74="",INDEX(LISTA_EX,67),INDEX(LISTA_EX,MATCH('T1'!$J74&amp;"|"&amp;67,LISTA_KLUCZ,0))),"")</f>
        <v>Ez bar curl</v>
      </c>
      <c r="BR74" s="5" t="str">
        <f t="array" ref="BR74">IFERROR(IF('T1'!$J74="",INDEX(LISTA_EX,68),INDEX(LISTA_EX,MATCH('T1'!$J74&amp;"|"&amp;68,LISTA_KLUCZ,0))),"")</f>
        <v>Facepull chest supported</v>
      </c>
      <c r="BS74" s="5" t="str">
        <f t="array" ref="BS74">IFERROR(IF('T1'!$J74="",INDEX(LISTA_EX,69),INDEX(LISTA_EX,MATCH('T1'!$J74&amp;"|"&amp;69,LISTA_KLUCZ,0))),"")</f>
        <v>Front foot elevated split squat</v>
      </c>
      <c r="BT74" s="5" t="str">
        <f t="array" ref="BT74">IFERROR(IF('T1'!$J74="",INDEX(LISTA_EX,70),INDEX(LISTA_EX,MATCH('T1'!$J74&amp;"|"&amp;70,LISTA_KLUCZ,0))),"")</f>
        <v>Front squat</v>
      </c>
      <c r="BU74" s="5" t="str">
        <f t="array" ref="BU74">IFERROR(IF('T1'!$J74="",INDEX(LISTA_EX,71),INDEX(LISTA_EX,MATCH('T1'!$J74&amp;"|"&amp;71,LISTA_KLUCZ,0))),"")</f>
        <v>GHD flexion</v>
      </c>
      <c r="BV74" s="5" t="str">
        <f t="array" ref="BV74">IFERROR(IF('T1'!$J74="",INDEX(LISTA_EX,72),INDEX(LISTA_EX,MATCH('T1'!$J74&amp;"|"&amp;72,LISTA_KLUCZ,0))),"")</f>
        <v>Glute bridge hamstrings izo + OH</v>
      </c>
      <c r="BW74" s="5" t="str">
        <f t="array" ref="BW74">IFERROR(IF('T1'!$J74="",INDEX(LISTA_EX,73),INDEX(LISTA_EX,MATCH('T1'!$J74&amp;"|"&amp;73,LISTA_KLUCZ,0))),"")</f>
        <v>Glute crusher</v>
      </c>
      <c r="BX74" s="5" t="str">
        <f t="array" ref="BX74">IFERROR(IF('T1'!$J74="",INDEX(LISTA_EX,74),INDEX(LISTA_EX,MATCH('T1'!$J74&amp;"|"&amp;74,LISTA_KLUCZ,0))),"")</f>
        <v>Gorilla row</v>
      </c>
      <c r="BY74" s="5" t="str">
        <f t="array" ref="BY74">IFERROR(IF('T1'!$J74="",INDEX(LISTA_EX,75),INDEX(LISTA_EX,MATCH('T1'!$J74&amp;"|"&amp;75,LISTA_KLUCZ,0))),"")</f>
        <v>Halfkneeling s/a cable pull</v>
      </c>
      <c r="BZ74" s="5" t="str">
        <f t="array" ref="BZ74">IFERROR(IF('T1'!$J74="",INDEX(LISTA_EX,76),INDEX(LISTA_EX,MATCH('T1'!$J74&amp;"|"&amp;76,LISTA_KLUCZ,0))),"")</f>
        <v>Halfkneeling wood chopper</v>
      </c>
      <c r="CA74" s="5" t="str">
        <f t="array" ref="CA74">IFERROR(IF('T1'!$J74="",INDEX(LISTA_EX,77),INDEX(LISTA_EX,MATCH('T1'!$J74&amp;"|"&amp;77,LISTA_KLUCZ,0))),"")</f>
        <v>Hinged dumbbell row</v>
      </c>
      <c r="CB74" s="5" t="str">
        <f t="array" ref="CB74">IFERROR(IF('T1'!$J74="",INDEX(LISTA_EX,78),INDEX(LISTA_EX,MATCH('T1'!$J74&amp;"|"&amp;78,LISTA_KLUCZ,0))),"")</f>
        <v>Hip aeroplane</v>
      </c>
      <c r="CC74" s="5" t="str">
        <f t="array" ref="CC74">IFERROR(IF('T1'!$J74="",INDEX(LISTA_EX,79),INDEX(LISTA_EX,MATCH('T1'!$J74&amp;"|"&amp;79,LISTA_KLUCZ,0))),"")</f>
        <v>Hip flexors cable</v>
      </c>
      <c r="CD74" s="5" t="str">
        <f t="array" ref="CD74">IFERROR(IF('T1'!$J74="",INDEX(LISTA_EX,80),INDEX(LISTA_EX,MATCH('T1'!$J74&amp;"|"&amp;80,LISTA_KLUCZ,0))),"")</f>
        <v>Hip thrust barbell</v>
      </c>
      <c r="CE74" s="5" t="str">
        <f t="array" ref="CE74">IFERROR(IF('T1'!$J74="",INDEX(LISTA_EX,81),INDEX(LISTA_EX,MATCH('T1'!$J74&amp;"|"&amp;81,LISTA_KLUCZ,0))),"")</f>
        <v>Hollow body + OH</v>
      </c>
      <c r="CF74" s="5" t="str">
        <f t="array" ref="CF74">IFERROR(IF('T1'!$J74="",INDEX(LISTA_EX,82),INDEX(LISTA_EX,MATCH('T1'!$J74&amp;"|"&amp;82,LISTA_KLUCZ,0))),"")</f>
        <v>Horizontal jump</v>
      </c>
      <c r="CG74" s="5" t="str">
        <f t="array" ref="CG74">IFERROR(IF('T1'!$J74="",INDEX(LISTA_EX,83),INDEX(LISTA_EX,MATCH('T1'!$J74&amp;"|"&amp;83,LISTA_KLUCZ,0))),"")</f>
        <v>Incline bench lateral raise s/a</v>
      </c>
      <c r="CH74" s="5" t="str">
        <f t="array" ref="CH74">IFERROR(IF('T1'!$J74="",INDEX(LISTA_EX,84),INDEX(LISTA_EX,MATCH('T1'!$J74&amp;"|"&amp;84,LISTA_KLUCZ,0))),"")</f>
        <v>Incline curl + OHP</v>
      </c>
      <c r="CI74" s="5" t="str">
        <f t="array" ref="CI74">IFERROR(IF('T1'!$J74="",INDEX(LISTA_EX,85),INDEX(LISTA_EX,MATCH('T1'!$J74&amp;"|"&amp;85,LISTA_KLUCZ,0))),"")</f>
        <v>Incline dumbbell curl</v>
      </c>
      <c r="CJ74" s="5" t="str">
        <f t="array" ref="CJ74">IFERROR(IF('T1'!$J74="",INDEX(LISTA_EX,86),INDEX(LISTA_EX,MATCH('T1'!$J74&amp;"|"&amp;86,LISTA_KLUCZ,0))),"")</f>
        <v>Incline dumbbell curl (back)</v>
      </c>
      <c r="CK74" s="5" t="str">
        <f t="array" ref="CK74">IFERROR(IF('T1'!$J74="",INDEX(LISTA_EX,87),INDEX(LISTA_EX,MATCH('T1'!$J74&amp;"|"&amp;87,LISTA_KLUCZ,0))),"")</f>
        <v>Incline dumbbell curl (front)</v>
      </c>
      <c r="CL74" s="5" t="str">
        <f t="array" ref="CL74">IFERROR(IF('T1'!$J74="",INDEX(LISTA_EX,88),INDEX(LISTA_EX,MATCH('T1'!$J74&amp;"|"&amp;88,LISTA_KLUCZ,0))),"")</f>
        <v>Incline dumbbell fly</v>
      </c>
      <c r="CM74" s="5" t="str">
        <f t="array" ref="CM74">IFERROR(IF('T1'!$J74="",INDEX(LISTA_EX,89),INDEX(LISTA_EX,MATCH('T1'!$J74&amp;"|"&amp;89,LISTA_KLUCZ,0))),"")</f>
        <v>Incline dumbbell press</v>
      </c>
      <c r="CN74" s="5" t="str">
        <f t="array" ref="CN74">IFERROR(IF('T1'!$J74="",INDEX(LISTA_EX,90),INDEX(LISTA_EX,MATCH('T1'!$J74&amp;"|"&amp;90,LISTA_KLUCZ,0))),"")</f>
        <v>Incline dumbbell press alternating</v>
      </c>
      <c r="CO74" s="5" t="str">
        <f t="array" ref="CO74">IFERROR(IF('T1'!$J74="",INDEX(LISTA_EX,91),INDEX(LISTA_EX,MATCH('T1'!$J74&amp;"|"&amp;91,LISTA_KLUCZ,0))),"")</f>
        <v>Incline sit-ups</v>
      </c>
      <c r="CP74" s="5" t="str">
        <f t="array" ref="CP74">IFERROR(IF('T1'!$J74="",INDEX(LISTA_EX,92),INDEX(LISTA_EX,MATCH('T1'!$J74&amp;"|"&amp;92,LISTA_KLUCZ,0))),"")</f>
        <v>Jefferson cable</v>
      </c>
      <c r="CQ74" s="5" t="str">
        <f t="array" ref="CQ74">IFERROR(IF('T1'!$J74="",INDEX(LISTA_EX,93),INDEX(LISTA_EX,MATCH('T1'!$J74&amp;"|"&amp;93,LISTA_KLUCZ,0))),"")</f>
        <v>Kettlebell march</v>
      </c>
      <c r="CR74" s="5" t="str">
        <f t="array" ref="CR74">IFERROR(IF('T1'!$J74="",INDEX(LISTA_EX,94),INDEX(LISTA_EX,MATCH('T1'!$J74&amp;"|"&amp;94,LISTA_KLUCZ,0))),"")</f>
        <v>Kickbacks</v>
      </c>
      <c r="CS74" s="5" t="str">
        <f t="array" ref="CS74">IFERROR(IF('T1'!$J74="",INDEX(LISTA_EX,95),INDEX(LISTA_EX,MATCH('T1'!$J74&amp;"|"&amp;95,LISTA_KLUCZ,0))),"")</f>
        <v>Knee extension machine</v>
      </c>
      <c r="CT74" s="5" t="str">
        <f t="array" ref="CT74">IFERROR(IF('T1'!$J74="",INDEX(LISTA_EX,96),INDEX(LISTA_EX,MATCH('T1'!$J74&amp;"|"&amp;96,LISTA_KLUCZ,0))),"")</f>
        <v>Knee flexion machine</v>
      </c>
      <c r="CU74" s="5" t="str">
        <f t="array" ref="CU74">IFERROR(IF('T1'!$J74="",INDEX(LISTA_EX,97),INDEX(LISTA_EX,MATCH('T1'!$J74&amp;"|"&amp;97,LISTA_KLUCZ,0))),"")</f>
        <v>Knee raises</v>
      </c>
      <c r="CV74" s="5" t="str">
        <f t="array" ref="CV74">IFERROR(IF('T1'!$J74="",INDEX(LISTA_EX,98),INDEX(LISTA_EX,MATCH('T1'!$J74&amp;"|"&amp;98,LISTA_KLUCZ,0))),"")</f>
        <v>Landmine core</v>
      </c>
      <c r="CW74" s="5" t="str">
        <f t="array" ref="CW74">IFERROR(IF('T1'!$J74="",INDEX(LISTA_EX,99),INDEX(LISTA_EX,MATCH('T1'!$J74&amp;"|"&amp;99,LISTA_KLUCZ,0))),"")</f>
        <v>Landmine press</v>
      </c>
      <c r="CX74" s="5" t="str">
        <f t="array" ref="CX74">IFERROR(IF('T1'!$J74="",INDEX(LISTA_EX,100),INDEX(LISTA_EX,MATCH('T1'!$J74&amp;"|"&amp;100,LISTA_KLUCZ,0))),"")</f>
        <v>Landmine rotations (powtórzenia x2)</v>
      </c>
      <c r="CY74" s="5" t="str">
        <f t="array" ref="CY74">IFERROR(IF('T1'!$J74="",INDEX(LISTA_EX,101),INDEX(LISTA_EX,MATCH('T1'!$J74&amp;"|"&amp;101,LISTA_KLUCZ,0))),"")</f>
        <v>Landmine SLDL</v>
      </c>
      <c r="CZ74" s="5" t="str">
        <f t="array" ref="CZ74">IFERROR(IF('T1'!$J74="",INDEX(LISTA_EX,102),INDEX(LISTA_EX,MATCH('T1'!$J74&amp;"|"&amp;102,LISTA_KLUCZ,0))),"")</f>
        <v>Lat pulldown</v>
      </c>
      <c r="DA74" s="5" t="str">
        <f t="array" ref="DA74">IFERROR(IF('T1'!$J74="",INDEX(LISTA_EX,103),INDEX(LISTA_EX,MATCH('T1'!$J74&amp;"|"&amp;103,LISTA_KLUCZ,0))),"")</f>
        <v>Lat pulldown behind the head</v>
      </c>
      <c r="DB74" s="5" t="str">
        <f t="array" ref="DB74">IFERROR(IF('T1'!$J74="",INDEX(LISTA_EX,104),INDEX(LISTA_EX,MATCH('T1'!$J74&amp;"|"&amp;104,LISTA_KLUCZ,0))),"")</f>
        <v>Lat pulldown s/a</v>
      </c>
      <c r="DC74" s="5" t="str">
        <f t="array" ref="DC74">IFERROR(IF('T1'!$J74="",INDEX(LISTA_EX,105),INDEX(LISTA_EX,MATCH('T1'!$J74&amp;"|"&amp;105,LISTA_KLUCZ,0))),"")</f>
        <v>Lateral raise s/a</v>
      </c>
      <c r="DD74" s="5" t="str">
        <f t="array" ref="DD74">IFERROR(IF('T1'!$J74="",INDEX(LISTA_EX,106),INDEX(LISTA_EX,MATCH('T1'!$J74&amp;"|"&amp;106,LISTA_KLUCZ,0))),"")</f>
        <v>Lateral raises</v>
      </c>
      <c r="DE74" s="5" t="str">
        <f t="array" ref="DE74">IFERROR(IF('T1'!$J74="",INDEX(LISTA_EX,107),INDEX(LISTA_EX,MATCH('T1'!$J74&amp;"|"&amp;107,LISTA_KLUCZ,0))),"")</f>
        <v>Lateral raises 2</v>
      </c>
      <c r="DF74" s="5" t="str">
        <f t="array" ref="DF74">IFERROR(IF('T1'!$J74="",INDEX(LISTA_EX,108),INDEX(LISTA_EX,MATCH('T1'!$J74&amp;"|"&amp;108,LISTA_KLUCZ,0))),"")</f>
        <v>Lateral raises full ROM</v>
      </c>
      <c r="DG74" s="5" t="str">
        <f t="array" ref="DG74">IFERROR(IF('T1'!$J74="",INDEX(LISTA_EX,109),INDEX(LISTA_EX,MATCH('T1'!$J74&amp;"|"&amp;109,LISTA_KLUCZ,0))),"")</f>
        <v>Lateral raises hinged</v>
      </c>
      <c r="DH74" s="5" t="str">
        <f t="array" ref="DH74">IFERROR(IF('T1'!$J74="",INDEX(LISTA_EX,110),INDEX(LISTA_EX,MATCH('T1'!$J74&amp;"|"&amp;110,LISTA_KLUCZ,0))),"")</f>
        <v>Lateral raises incline s/a</v>
      </c>
      <c r="DI74" s="5" t="str">
        <f t="array" ref="DI74">IFERROR(IF('T1'!$J74="",INDEX(LISTA_EX,111),INDEX(LISTA_EX,MATCH('T1'!$J74&amp;"|"&amp;111,LISTA_KLUCZ,0))),"")</f>
        <v>Leg curl</v>
      </c>
      <c r="DJ74" s="5" t="str">
        <f t="array" ref="DJ74">IFERROR(IF('T1'!$J74="",INDEX(LISTA_EX,112),INDEX(LISTA_EX,MATCH('T1'!$J74&amp;"|"&amp;112,LISTA_KLUCZ,0))),"")</f>
        <v>Machine row</v>
      </c>
      <c r="DK74" s="5" t="str">
        <f t="array" ref="DK74">IFERROR(IF('T1'!$J74="",INDEX(LISTA_EX,113),INDEX(LISTA_EX,MATCH('T1'!$J74&amp;"|"&amp;113,LISTA_KLUCZ,0))),"")</f>
        <v>Machine row s/a</v>
      </c>
      <c r="DL74" s="5" t="str">
        <f t="array" ref="DL74">IFERROR(IF('T1'!$J74="",INDEX(LISTA_EX,114),INDEX(LISTA_EX,MATCH('T1'!$J74&amp;"|"&amp;114,LISTA_KLUCZ,0))),"")</f>
        <v>Meadows row</v>
      </c>
      <c r="DM74" s="5" t="str">
        <f t="array" ref="DM74">IFERROR(IF('T1'!$J74="",INDEX(LISTA_EX,115),INDEX(LISTA_EX,MATCH('T1'!$J74&amp;"|"&amp;115,LISTA_KLUCZ,0))),"")</f>
        <v>Med ball slam</v>
      </c>
      <c r="DN74" s="5" t="str">
        <f t="array" ref="DN74">IFERROR(IF('T1'!$J74="",INDEX(LISTA_EX,116),INDEX(LISTA_EX,MATCH('T1'!$J74&amp;"|"&amp;116,LISTA_KLUCZ,0))),"")</f>
        <v>OH skullcrushers</v>
      </c>
      <c r="DO74" s="5" t="str">
        <f t="array" ref="DO74">IFERROR(IF('T1'!$J74="",INDEX(LISTA_EX,117),INDEX(LISTA_EX,MATCH('T1'!$J74&amp;"|"&amp;117,LISTA_KLUCZ,0))),"")</f>
        <v>OHP barbell squat 15kg</v>
      </c>
      <c r="DP74" s="5" t="str">
        <f t="array" ref="DP74">IFERROR(IF('T1'!$J74="",INDEX(LISTA_EX,118),INDEX(LISTA_EX,MATCH('T1'!$J74&amp;"|"&amp;118,LISTA_KLUCZ,0))),"")</f>
        <v>Pistol squat eccentric</v>
      </c>
      <c r="DQ74" s="5" t="str">
        <f t="array" ref="DQ74">IFERROR(IF('T1'!$J74="",INDEX(LISTA_EX,119),INDEX(LISTA_EX,MATCH('T1'!$J74&amp;"|"&amp;119,LISTA_KLUCZ,0))),"")</f>
        <v>Plank contralateral</v>
      </c>
      <c r="DR74" s="5" t="str">
        <f t="array" ref="DR74">IFERROR(IF('T1'!$J74="",INDEX(LISTA_EX,120),INDEX(LISTA_EX,MATCH('T1'!$J74&amp;"|"&amp;120,LISTA_KLUCZ,0))),"")</f>
        <v>Plank dumbbell rotation</v>
      </c>
      <c r="DS74" s="5" t="str">
        <f t="array" ref="DS74">IFERROR(IF('T1'!$J74="",INDEX(LISTA_EX,121),INDEX(LISTA_EX,MATCH('T1'!$J74&amp;"|"&amp;121,LISTA_KLUCZ,0))),"")</f>
        <v>Plank leg raises</v>
      </c>
      <c r="DT74" s="5" t="str">
        <f t="array" ref="DT74">IFERROR(IF('T1'!$J74="",INDEX(LISTA_EX,122),INDEX(LISTA_EX,MATCH('T1'!$J74&amp;"|"&amp;122,LISTA_KLUCZ,0))),"")</f>
        <v>Poliquin step up</v>
      </c>
      <c r="DU74" s="5" t="str">
        <f t="array" ref="DU74">IFERROR(IF('T1'!$J74="",INDEX(LISTA_EX,123),INDEX(LISTA_EX,MATCH('T1'!$J74&amp;"|"&amp;123,LISTA_KLUCZ,0))),"")</f>
        <v>Poliquin step up paused 3sec</v>
      </c>
      <c r="DV74" s="5" t="str">
        <f t="array" ref="DV74">IFERROR(IF('T1'!$J74="",INDEX(LISTA_EX,124),INDEX(LISTA_EX,MATCH('T1'!$J74&amp;"|"&amp;124,LISTA_KLUCZ,0))),"")</f>
        <v>Pronation/Supination</v>
      </c>
      <c r="DW74" s="5" t="str">
        <f t="array" ref="DW74">IFERROR(IF('T1'!$J74="",INDEX(LISTA_EX,125),INDEX(LISTA_EX,MATCH('T1'!$J74&amp;"|"&amp;125,LISTA_KLUCZ,0))),"")</f>
        <v>Pull up</v>
      </c>
      <c r="DX74" s="5" t="str">
        <f t="array" ref="DX74">IFERROR(IF('T1'!$J74="",INDEX(LISTA_EX,126),INDEX(LISTA_EX,MATCH('T1'!$J74&amp;"|"&amp;126,LISTA_KLUCZ,0))),"")</f>
        <v>Pull up eccentric weighted</v>
      </c>
      <c r="DY74" s="5" t="str">
        <f t="array" ref="DY74">IFERROR(IF('T1'!$J74="",INDEX(LISTA_EX,127),INDEX(LISTA_EX,MATCH('T1'!$J74&amp;"|"&amp;127,LISTA_KLUCZ,0))),"")</f>
        <v>Pull up eccentric weighted (5 sek w dół)</v>
      </c>
      <c r="DZ74" s="5" t="str">
        <f t="array" ref="DZ74">IFERROR(IF('T1'!$J74="",INDEX(LISTA_EX,128),INDEX(LISTA_EX,MATCH('T1'!$J74&amp;"|"&amp;128,LISTA_KLUCZ,0))),"")</f>
        <v>Pull up weighted</v>
      </c>
      <c r="EA74" s="5" t="str">
        <f t="array" ref="EA74">IFERROR(IF('T1'!$J74="",INDEX(LISTA_EX,129),INDEX(LISTA_EX,MATCH('T1'!$J74&amp;"|"&amp;129,LISTA_KLUCZ,0))),"")</f>
        <v>Pull ups (paused)</v>
      </c>
      <c r="EB74" s="5" t="str">
        <f t="array" ref="EB74">IFERROR(IF('T1'!$J74="",INDEX(LISTA_EX,130),INDEX(LISTA_EX,MATCH('T1'!$J74&amp;"|"&amp;130,LISTA_KLUCZ,0))),"")</f>
        <v>Push press barbell</v>
      </c>
      <c r="EC74" s="5" t="str">
        <f t="array" ref="EC74">IFERROR(IF('T1'!$J74="",INDEX(LISTA_EX,131),INDEX(LISTA_EX,MATCH('T1'!$J74&amp;"|"&amp;131,LISTA_KLUCZ,0))),"")</f>
        <v>Push up</v>
      </c>
      <c r="ED74" s="5" t="str">
        <f t="array" ref="ED74">IFERROR(IF('T1'!$J74="",INDEX(LISTA_EX,132),INDEX(LISTA_EX,MATCH('T1'!$J74&amp;"|"&amp;132,LISTA_KLUCZ,0))),"")</f>
        <v>Raised bird dog</v>
      </c>
      <c r="EE74" s="5" t="str">
        <f t="array" ref="EE74">IFERROR(IF('T1'!$J74="",INDEX(LISTA_EX,133),INDEX(LISTA_EX,MATCH('T1'!$J74&amp;"|"&amp;133,LISTA_KLUCZ,0))),"")</f>
        <v>RDL</v>
      </c>
      <c r="EF74" s="5" t="str">
        <f t="array" ref="EF74">IFERROR(IF('T1'!$J74="",INDEX(LISTA_EX,134),INDEX(LISTA_EX,MATCH('T1'!$J74&amp;"|"&amp;134,LISTA_KLUCZ,0))),"")</f>
        <v>Reverse Nordic</v>
      </c>
      <c r="EG74" s="5" t="str">
        <f t="array" ref="EG74">IFERROR(IF('T1'!$J74="",INDEX(LISTA_EX,135),INDEX(LISTA_EX,MATCH('T1'!$J74&amp;"|"&amp;135,LISTA_KLUCZ,0))),"")</f>
        <v>Rope pushdown</v>
      </c>
      <c r="EH74" s="5" t="str">
        <f t="array" ref="EH74">IFERROR(IF('T1'!$J74="",INDEX(LISTA_EX,136),INDEX(LISTA_EX,MATCH('T1'!$J74&amp;"|"&amp;136,LISTA_KLUCZ,0))),"")</f>
        <v>Rope pushdown OH</v>
      </c>
      <c r="EI74" s="5" t="str">
        <f t="array" ref="EI74">IFERROR(IF('T1'!$J74="",INDEX(LISTA_EX,137),INDEX(LISTA_EX,MATCH('T1'!$J74&amp;"|"&amp;137,LISTA_KLUCZ,0))),"")</f>
        <v>S/a cable pulldown incline bench</v>
      </c>
      <c r="EJ74" s="5" t="str">
        <f t="array" ref="EJ74">IFERROR(IF('T1'!$J74="",INDEX(LISTA_EX,138),INDEX(LISTA_EX,MATCH('T1'!$J74&amp;"|"&amp;138,LISTA_KLUCZ,0))),"")</f>
        <v>S/a lat pulldown incline bench</v>
      </c>
      <c r="EK74" s="5" t="str">
        <f t="array" ref="EK74">IFERROR(IF('T1'!$J74="",INDEX(LISTA_EX,139),INDEX(LISTA_EX,MATCH('T1'!$J74&amp;"|"&amp;139,LISTA_KLUCZ,0))),"")</f>
        <v>S/l dragonflag eccentric</v>
      </c>
      <c r="EL74" s="5" t="str">
        <f t="array" ref="EL74">IFERROR(IF('T1'!$J74="",INDEX(LISTA_EX,140),INDEX(LISTA_EX,MATCH('T1'!$J74&amp;"|"&amp;140,LISTA_KLUCZ,0))),"")</f>
        <v>S/l hip thrust</v>
      </c>
      <c r="EM74" s="5" t="str">
        <f t="array" ref="EM74">IFERROR(IF('T1'!$J74="",INDEX(LISTA_EX,141),INDEX(LISTA_EX,MATCH('T1'!$J74&amp;"|"&amp;141,LISTA_KLUCZ,0))),"")</f>
        <v>Seated broad jump</v>
      </c>
      <c r="EN74" s="5" t="str">
        <f t="array" ref="EN74">IFERROR(IF('T1'!$J74="",INDEX(LISTA_EX,142),INDEX(LISTA_EX,MATCH('T1'!$J74&amp;"|"&amp;142,LISTA_KLUCZ,0))),"")</f>
        <v>Seated cable facepull</v>
      </c>
      <c r="EO74" s="5" t="str">
        <f t="array" ref="EO74">IFERROR(IF('T1'!$J74="",INDEX(LISTA_EX,143),INDEX(LISTA_EX,MATCH('T1'!$J74&amp;"|"&amp;143,LISTA_KLUCZ,0))),"")</f>
        <v>Seated seesaw press (nogi proste)</v>
      </c>
      <c r="EP74" s="5" t="str">
        <f t="array" ref="EP74">IFERROR(IF('T1'!$J74="",INDEX(LISTA_EX,144),INDEX(LISTA_EX,MATCH('T1'!$J74&amp;"|"&amp;144,LISTA_KLUCZ,0))),"")</f>
        <v>Seesaw press</v>
      </c>
      <c r="EQ74" s="5" t="str">
        <f t="array" ref="EQ74">IFERROR(IF('T1'!$J74="",INDEX(LISTA_EX,145),INDEX(LISTA_EX,MATCH('T1'!$J74&amp;"|"&amp;145,LISTA_KLUCZ,0))),"")</f>
        <v>Side crunches</v>
      </c>
      <c r="ER74" s="5" t="str">
        <f t="array" ref="ER74">IFERROR(IF('T1'!$J74="",INDEX(LISTA_EX,146),INDEX(LISTA_EX,MATCH('T1'!$J74&amp;"|"&amp;146,LISTA_KLUCZ,0))),"")</f>
        <v>Side plank hip drop</v>
      </c>
      <c r="ES74" s="5" t="str">
        <f t="array" ref="ES74">IFERROR(IF('T1'!$J74="",INDEX(LISTA_EX,147),INDEX(LISTA_EX,MATCH('T1'!$J74&amp;"|"&amp;147,LISTA_KLUCZ,0))),"")</f>
        <v>Side plank rotations</v>
      </c>
      <c r="ET74" s="5" t="str">
        <f t="array" ref="ET74">IFERROR(IF('T1'!$J74="",INDEX(LISTA_EX,148),INDEX(LISTA_EX,MATCH('T1'!$J74&amp;"|"&amp;148,LISTA_KLUCZ,0))),"")</f>
        <v>SLDL balance</v>
      </c>
      <c r="EU74" s="5" t="str">
        <f t="array" ref="EU74">IFERROR(IF('T1'!$J74="",INDEX(LISTA_EX,149),INDEX(LISTA_EX,MATCH('T1'!$J74&amp;"|"&amp;149,LISTA_KLUCZ,0))),"")</f>
        <v>Split squat</v>
      </c>
      <c r="EV74" s="5" t="str">
        <f t="array" ref="EV74">IFERROR(IF('T1'!$J74="",INDEX(LISTA_EX,150),INDEX(LISTA_EX,MATCH('T1'!$J74&amp;"|"&amp;150,LISTA_KLUCZ,0))),"")</f>
        <v>Split stance SLDL</v>
      </c>
      <c r="EW74" s="5" t="str">
        <f t="array" ref="EW74">IFERROR(IF('T1'!$J74="",INDEX(LISTA_EX,151),INDEX(LISTA_EX,MATCH('T1'!$J74&amp;"|"&amp;151,LISTA_KLUCZ,0))),"")</f>
        <v>Squat izo (15 sek)</v>
      </c>
      <c r="EX74" s="5" t="str">
        <f t="array" ref="EX74">IFERROR(IF('T1'!$J74="",INDEX(LISTA_EX,152),INDEX(LISTA_EX,MATCH('T1'!$J74&amp;"|"&amp;152,LISTA_KLUCZ,0))),"")</f>
        <v>Standing landmine press</v>
      </c>
      <c r="EY74" s="5" t="str">
        <f t="array" ref="EY74">IFERROR(IF('T1'!$J74="",INDEX(LISTA_EX,153),INDEX(LISTA_EX,MATCH('T1'!$J74&amp;"|"&amp;153,LISTA_KLUCZ,0))),"")</f>
        <v>Suitcase carry</v>
      </c>
      <c r="EZ74" s="5" t="str">
        <f t="array" ref="EZ74">IFERROR(IF('T1'!$J74="",INDEX(LISTA_EX,154),INDEX(LISTA_EX,MATCH('T1'!$J74&amp;"|"&amp;154,LISTA_KLUCZ,0))),"")</f>
        <v>Supine pigeon abs</v>
      </c>
      <c r="FA74" s="5" t="str">
        <f t="array" ref="FA74">IFERROR(IF('T1'!$J74="",INDEX(LISTA_EX,155),INDEX(LISTA_EX,MATCH('T1'!$J74&amp;"|"&amp;155,LISTA_KLUCZ,0))),"")</f>
        <v>Swiss ball leg curl</v>
      </c>
      <c r="FB74" s="5" t="str">
        <f t="array" ref="FB74">IFERROR(IF('T1'!$J74="",INDEX(LISTA_EX,156),INDEX(LISTA_EX,MATCH('T1'!$J74&amp;"|"&amp;156,LISTA_KLUCZ,0))),"")</f>
        <v>Toes to bar</v>
      </c>
      <c r="FC74" s="5" t="str">
        <f t="array" ref="FC74">IFERROR(IF('T1'!$J74="",INDEX(LISTA_EX,157),INDEX(LISTA_EX,MATCH('T1'!$J74&amp;"|"&amp;157,LISTA_KLUCZ,0))),"")</f>
        <v>Trap bar deadlift</v>
      </c>
      <c r="FD74" s="5" t="str">
        <f t="array" ref="FD74">IFERROR(IF('T1'!$J74="",INDEX(LISTA_EX,158),INDEX(LISTA_EX,MATCH('T1'!$J74&amp;"|"&amp;158,LISTA_KLUCZ,0))),"")</f>
        <v>Tricep cable pushdown</v>
      </c>
      <c r="FE74" s="5" t="str">
        <f t="array" ref="FE74">IFERROR(IF('T1'!$J74="",INDEX(LISTA_EX,159),INDEX(LISTA_EX,MATCH('T1'!$J74&amp;"|"&amp;159,LISTA_KLUCZ,0))),"")</f>
        <v>Tricep JM press</v>
      </c>
      <c r="FF74" s="5" t="str">
        <f t="array" ref="FF74">IFERROR(IF('T1'!$J74="",INDEX(LISTA_EX,160),INDEX(LISTA_EX,MATCH('T1'!$J74&amp;"|"&amp;160,LISTA_KLUCZ,0))),"")</f>
        <v>Tricep OH cable</v>
      </c>
      <c r="FG74" s="5" t="str">
        <f t="array" ref="FG74">IFERROR(IF('T1'!$J74="",INDEX(LISTA_EX,161),INDEX(LISTA_EX,MATCH('T1'!$J74&amp;"|"&amp;161,LISTA_KLUCZ,0))),"")</f>
        <v>Tricep OH ez bar</v>
      </c>
      <c r="FH74" s="5" t="str">
        <f t="array" ref="FH74">IFERROR(IF('T1'!$J74="",INDEX(LISTA_EX,162),INDEX(LISTA_EX,MATCH('T1'!$J74&amp;"|"&amp;162,LISTA_KLUCZ,0))),"")</f>
        <v>Walking lunges</v>
      </c>
      <c r="FI74" s="5" t="str">
        <f t="array" ref="FI74">IFERROR(IF('T1'!$J74="",INDEX(LISTA_EX,163),INDEX(LISTA_EX,MATCH('T1'!$J74&amp;"|"&amp;163,LISTA_KLUCZ,0))),"")</f>
        <v>Wipers kettle</v>
      </c>
      <c r="FJ74" s="5" t="str">
        <f t="array" ref="FJ74">IFERROR(IF('T1'!$J74="",INDEX(LISTA_EX,164),INDEX(LISTA_EX,MATCH('T1'!$J74&amp;"|"&amp;164,LISTA_KLUCZ,0))),"")</f>
        <v>Zercher jumps</v>
      </c>
      <c r="FK74" s="5" t="str">
        <f t="array" ref="FK74">IFERROR(IF('T1'!$J74="",INDEX(LISTA_EX,165),INDEX(LISTA_EX,MATCH('T1'!$J74&amp;"|"&amp;165,LISTA_KLUCZ,0))),"")</f>
        <v/>
      </c>
      <c r="FL74" s="5" t="str">
        <f t="array" ref="FL74">IFERROR(IF('T1'!$J74="",INDEX(LISTA_EX,166),INDEX(LISTA_EX,MATCH('T1'!$J74&amp;"|"&amp;166,LISTA_KLUCZ,0))),"")</f>
        <v/>
      </c>
      <c r="FM74" s="5" t="str">
        <f t="array" ref="FM74">IFERROR(IF('T1'!$J74="",INDEX(LISTA_EX,167),INDEX(LISTA_EX,MATCH('T1'!$J74&amp;"|"&amp;167,LISTA_KLUCZ,0))),"")</f>
        <v/>
      </c>
      <c r="FN74" s="5" t="str">
        <f t="array" ref="FN74">IFERROR(IF('T1'!$J74="",INDEX(LISTA_EX,168),INDEX(LISTA_EX,MATCH('T1'!$J74&amp;"|"&amp;168,LISTA_KLUCZ,0))),"")</f>
        <v/>
      </c>
      <c r="FO74" s="5" t="str">
        <f t="array" ref="FO74">IFERROR(IF('T1'!$J74="",INDEX(LISTA_EX,169),INDEX(LISTA_EX,MATCH('T1'!$J74&amp;"|"&amp;169,LISTA_KLUCZ,0))),"")</f>
        <v/>
      </c>
      <c r="FP74" s="5" t="str">
        <f t="array" ref="FP74">IFERROR(IF('T1'!$J74="",INDEX(LISTA_EX,170),INDEX(LISTA_EX,MATCH('T1'!$J74&amp;"|"&amp;170,LISTA_KLUCZ,0))),"")</f>
        <v/>
      </c>
      <c r="FQ74" s="5" t="str">
        <f t="array" ref="FQ74">IFERROR(IF('T1'!$J74="",INDEX(LISTA_EX,171),INDEX(LISTA_EX,MATCH('T1'!$J74&amp;"|"&amp;171,LISTA_KLUCZ,0))),"")</f>
        <v/>
      </c>
      <c r="FR74" s="5" t="str">
        <f t="array" ref="FR74">IFERROR(IF('T1'!$J74="",INDEX(LISTA_EX,172),INDEX(LISTA_EX,MATCH('T1'!$J74&amp;"|"&amp;172,LISTA_KLUCZ,0))),"")</f>
        <v/>
      </c>
      <c r="FS74" s="5" t="str">
        <f t="array" ref="FS74">IFERROR(IF('T1'!$J74="",INDEX(LISTA_EX,173),INDEX(LISTA_EX,MATCH('T1'!$J74&amp;"|"&amp;173,LISTA_KLUCZ,0))),"")</f>
        <v/>
      </c>
      <c r="FT74" s="5" t="str">
        <f t="array" ref="FT74">IFERROR(IF('T1'!$J74="",INDEX(LISTA_EX,174),INDEX(LISTA_EX,MATCH('T1'!$J74&amp;"|"&amp;174,LISTA_KLUCZ,0))),"")</f>
        <v/>
      </c>
      <c r="FU74" s="5" t="str">
        <f t="array" ref="FU74">IFERROR(IF('T1'!$J74="",INDEX(LISTA_EX,175),INDEX(LISTA_EX,MATCH('T1'!$J74&amp;"|"&amp;175,LISTA_KLUCZ,0))),"")</f>
        <v/>
      </c>
      <c r="FV74" s="5" t="str">
        <f t="array" ref="FV74">IFERROR(IF('T1'!$J74="",INDEX(LISTA_EX,176),INDEX(LISTA_EX,MATCH('T1'!$J74&amp;"|"&amp;176,LISTA_KLUCZ,0))),"")</f>
        <v/>
      </c>
      <c r="FW74" s="5" t="str">
        <f t="array" ref="FW74">IFERROR(IF('T1'!$J74="",INDEX(LISTA_EX,177),INDEX(LISTA_EX,MATCH('T1'!$J74&amp;"|"&amp;177,LISTA_KLUCZ,0))),"")</f>
        <v/>
      </c>
      <c r="FX74" s="5" t="str">
        <f t="array" ref="FX74">IFERROR(IF('T1'!$J74="",INDEX(LISTA_EX,178),INDEX(LISTA_EX,MATCH('T1'!$J74&amp;"|"&amp;178,LISTA_KLUCZ,0))),"")</f>
        <v/>
      </c>
      <c r="FY74" s="5" t="str">
        <f t="array" ref="FY74">IFERROR(IF('T1'!$J74="",INDEX(LISTA_EX,179),INDEX(LISTA_EX,MATCH('T1'!$J74&amp;"|"&amp;179,LISTA_KLUCZ,0))),"")</f>
        <v/>
      </c>
      <c r="FZ74" s="5" t="str">
        <f t="array" ref="FZ74">IFERROR(IF('T1'!$J74="",INDEX(LISTA_EX,180),INDEX(LISTA_EX,MATCH('T1'!$J74&amp;"|"&amp;180,LISTA_KLUCZ,0))),"")</f>
        <v/>
      </c>
      <c r="GA74" s="5" t="str">
        <f t="array" ref="GA74">IFERROR(IF('T1'!$J74="",INDEX(LISTA_EX,181),INDEX(LISTA_EX,MATCH('T1'!$J74&amp;"|"&amp;181,LISTA_KLUCZ,0))),"")</f>
        <v/>
      </c>
      <c r="GB74" s="5" t="str">
        <f t="array" ref="GB74">IFERROR(IF('T1'!$J74="",INDEX(LISTA_EX,182),INDEX(LISTA_EX,MATCH('T1'!$J74&amp;"|"&amp;182,LISTA_KLUCZ,0))),"")</f>
        <v/>
      </c>
      <c r="GC74" s="5" t="str">
        <f t="array" ref="GC74">IFERROR(IF('T1'!$J74="",INDEX(LISTA_EX,183),INDEX(LISTA_EX,MATCH('T1'!$J74&amp;"|"&amp;183,LISTA_KLUCZ,0))),"")</f>
        <v/>
      </c>
      <c r="GD74" s="5" t="str">
        <f t="array" ref="GD74">IFERROR(IF('T1'!$J74="",INDEX(LISTA_EX,184),INDEX(LISTA_EX,MATCH('T1'!$J74&amp;"|"&amp;184,LISTA_KLUCZ,0))),"")</f>
        <v/>
      </c>
      <c r="GE74" s="5" t="str">
        <f t="array" ref="GE74">IFERROR(IF('T1'!$J74="",INDEX(LISTA_EX,185),INDEX(LISTA_EX,MATCH('T1'!$J74&amp;"|"&amp;185,LISTA_KLUCZ,0))),"")</f>
        <v/>
      </c>
      <c r="GF74" s="5" t="str">
        <f t="array" ref="GF74">IFERROR(IF('T1'!$J74="",INDEX(LISTA_EX,186),INDEX(LISTA_EX,MATCH('T1'!$J74&amp;"|"&amp;186,LISTA_KLUCZ,0))),"")</f>
        <v/>
      </c>
      <c r="GG74" s="5" t="str">
        <f t="array" ref="GG74">IFERROR(IF('T1'!$J74="",INDEX(LISTA_EX,187),INDEX(LISTA_EX,MATCH('T1'!$J74&amp;"|"&amp;187,LISTA_KLUCZ,0))),"")</f>
        <v/>
      </c>
      <c r="GH74" s="5" t="str">
        <f t="array" ref="GH74">IFERROR(IF('T1'!$J74="",INDEX(LISTA_EX,188),INDEX(LISTA_EX,MATCH('T1'!$J74&amp;"|"&amp;188,LISTA_KLUCZ,0))),"")</f>
        <v/>
      </c>
      <c r="GI74" s="5" t="str">
        <f t="array" ref="GI74">IFERROR(IF('T1'!$J74="",INDEX(LISTA_EX,189),INDEX(LISTA_EX,MATCH('T1'!$J74&amp;"|"&amp;189,LISTA_KLUCZ,0))),"")</f>
        <v/>
      </c>
      <c r="GJ74" s="5" t="str">
        <f t="array" ref="GJ74">IFERROR(IF('T1'!$J74="",INDEX(LISTA_EX,190),INDEX(LISTA_EX,MATCH('T1'!$J74&amp;"|"&amp;190,LISTA_KLUCZ,0))),"")</f>
        <v/>
      </c>
      <c r="GK74" s="5" t="str">
        <f t="array" ref="GK74">IFERROR(IF('T1'!$J74="",INDEX(LISTA_EX,191),INDEX(LISTA_EX,MATCH('T1'!$J74&amp;"|"&amp;191,LISTA_KLUCZ,0))),"")</f>
        <v/>
      </c>
      <c r="GL74" s="5" t="str">
        <f t="array" ref="GL74">IFERROR(IF('T1'!$J74="",INDEX(LISTA_EX,192),INDEX(LISTA_EX,MATCH('T1'!$J74&amp;"|"&amp;192,LISTA_KLUCZ,0))),"")</f>
        <v/>
      </c>
      <c r="GM74" s="5" t="str">
        <f t="array" ref="GM74">IFERROR(IF('T1'!$J74="",INDEX(LISTA_EX,193),INDEX(LISTA_EX,MATCH('T1'!$J74&amp;"|"&amp;193,LISTA_KLUCZ,0))),"")</f>
        <v/>
      </c>
      <c r="GN74" s="5" t="str">
        <f t="array" ref="GN74">IFERROR(IF('T1'!$J74="",INDEX(LISTA_EX,194),INDEX(LISTA_EX,MATCH('T1'!$J74&amp;"|"&amp;194,LISTA_KLUCZ,0))),"")</f>
        <v/>
      </c>
      <c r="GO74" s="5" t="str">
        <f t="array" ref="GO74">IFERROR(IF('T1'!$J74="",INDEX(LISTA_EX,195),INDEX(LISTA_EX,MATCH('T1'!$J74&amp;"|"&amp;195,LISTA_KLUCZ,0))),"")</f>
        <v/>
      </c>
      <c r="GP74" s="5" t="str">
        <f t="array" ref="GP74">IFERROR(IF('T1'!$J74="",INDEX(LISTA_EX,196),INDEX(LISTA_EX,MATCH('T1'!$J74&amp;"|"&amp;196,LISTA_KLUCZ,0))),"")</f>
        <v/>
      </c>
      <c r="GQ74" s="5" t="str">
        <f t="array" ref="GQ74">IFERROR(IF('T1'!$J74="",INDEX(LISTA_EX,197),INDEX(LISTA_EX,MATCH('T1'!$J74&amp;"|"&amp;197,LISTA_KLUCZ,0))),"")</f>
        <v/>
      </c>
      <c r="GR74" s="5" t="str">
        <f t="array" ref="GR74">IFERROR(IF('T1'!$J74="",INDEX(LISTA_EX,198),INDEX(LISTA_EX,MATCH('T1'!$J74&amp;"|"&amp;198,LISTA_KLUCZ,0))),"")</f>
        <v/>
      </c>
      <c r="GS74" s="5" t="str">
        <f t="array" ref="GS74">IFERROR(IF('T1'!$J74="",INDEX(LISTA_EX,199),INDEX(LISTA_EX,MATCH('T1'!$J74&amp;"|"&amp;199,LISTA_KLUCZ,0))),"")</f>
        <v/>
      </c>
      <c r="GT74" s="5" t="str">
        <f t="array" ref="GT74">IFERROR(IF('T1'!$J74="",INDEX(LISTA_EX,200),INDEX(LISTA_EX,MATCH('T1'!$J74&amp;"|"&amp;200,LISTA_KLUCZ,0))),"")</f>
        <v/>
      </c>
      <c r="GV74" s="5" t="str">
        <f>IF(BAZA!$A74="","",BAZA!$A74)</f>
        <v>Glute bridge hamstrings izo + OH</v>
      </c>
      <c r="GW74" s="5" t="str">
        <f>IF(BAZA!$B74="","",BAZA!$B74&amp;"|"&amp;COUNTIF(BAZA!$B$3:$B74,BAZA!$B74))</f>
        <v>Lower pull|8</v>
      </c>
    </row>
    <row r="75" ht="15.0" customHeight="1">
      <c r="A75" s="5" t="str">
        <f>IF('T1'!$K75="","",'T1'!$K75)</f>
        <v>D5-S05</v>
      </c>
      <c r="B75" s="5" t="str">
        <f>IF('T1'!$J75="","(wszystkie)",'T1'!$J75)</f>
        <v>(wszystkie)</v>
      </c>
      <c r="C75" s="5" t="str">
        <f t="array" ref="C75">IFERROR(IF('T1'!$J75="",INDEX(LISTA_EX,1),INDEX(LISTA_EX,MATCH('T1'!$J75&amp;"|"&amp;1,LISTA_KLUCZ,0))),"")</f>
        <v>Abduction machine</v>
      </c>
      <c r="D75" s="5" t="str">
        <f t="array" ref="D75">IFERROR(IF('T1'!$J75="",INDEX(LISTA_EX,2),INDEX(LISTA_EX,MATCH('T1'!$J75&amp;"|"&amp;2,LISTA_KLUCZ,0))),"")</f>
        <v>Adduction machine</v>
      </c>
      <c r="E75" s="5" t="str">
        <f t="array" ref="E75">IFERROR(IF('T1'!$J75="",INDEX(LISTA_EX,3),INDEX(LISTA_EX,MATCH('T1'!$J75&amp;"|"&amp;3,LISTA_KLUCZ,0))),"")</f>
        <v>Allah</v>
      </c>
      <c r="F75" s="5" t="str">
        <f t="array" ref="F75">IFERROR(IF('T1'!$J75="",INDEX(LISTA_EX,4),INDEX(LISTA_EX,MATCH('T1'!$J75&amp;"|"&amp;4,LISTA_KLUCZ,0))),"")</f>
        <v>Arnold press</v>
      </c>
      <c r="G75" s="5" t="str">
        <f t="array" ref="G75">IFERROR(IF('T1'!$J75="",INDEX(LISTA_EX,5),INDEX(LISTA_EX,MATCH('T1'!$J75&amp;"|"&amp;5,LISTA_KLUCZ,0))),"")</f>
        <v>Arnold press alternating</v>
      </c>
      <c r="H75" s="5" t="str">
        <f t="array" ref="H75">IFERROR(IF('T1'!$J75="",INDEX(LISTA_EX,6),INDEX(LISTA_EX,MATCH('T1'!$J75&amp;"|"&amp;6,LISTA_KLUCZ,0))),"")</f>
        <v>B/l dragonflag eccentric</v>
      </c>
      <c r="I75" s="5" t="str">
        <f t="array" ref="I75">IFERROR(IF('T1'!$J75="",INDEX(LISTA_EX,7),INDEX(LISTA_EX,MATCH('T1'!$J75&amp;"|"&amp;7,LISTA_KLUCZ,0))),"")</f>
        <v>Back extension</v>
      </c>
      <c r="J75" s="5" t="str">
        <f t="array" ref="J75">IFERROR(IF('T1'!$J75="",INDEX(LISTA_EX,8),INDEX(LISTA_EX,MATCH('T1'!$J75&amp;"|"&amp;8,LISTA_KLUCZ,0))),"")</f>
        <v>Banded pistol squat</v>
      </c>
      <c r="K75" s="5" t="str">
        <f t="array" ref="K75">IFERROR(IF('T1'!$J75="",INDEX(LISTA_EX,9),INDEX(LISTA_EX,MATCH('T1'!$J75&amp;"|"&amp;9,LISTA_KLUCZ,0))),"")</f>
        <v>Banded pull ups</v>
      </c>
      <c r="L75" s="5" t="str">
        <f t="array" ref="L75">IFERROR(IF('T1'!$J75="",INDEX(LISTA_EX,10),INDEX(LISTA_EX,MATCH('T1'!$J75&amp;"|"&amp;10,LISTA_KLUCZ,0))),"")</f>
        <v>Barbell back squat</v>
      </c>
      <c r="M75" s="5" t="str">
        <f t="array" ref="M75">IFERROR(IF('T1'!$J75="",INDEX(LISTA_EX,11),INDEX(LISTA_EX,MATCH('T1'!$J75&amp;"|"&amp;11,LISTA_KLUCZ,0))),"")</f>
        <v>Barbell bench press</v>
      </c>
      <c r="N75" s="5" t="str">
        <f t="array" ref="N75">IFERROR(IF('T1'!$J75="",INDEX(LISTA_EX,12),INDEX(LISTA_EX,MATCH('T1'!$J75&amp;"|"&amp;12,LISTA_KLUCZ,0))),"")</f>
        <v>Barbell curl</v>
      </c>
      <c r="O75" s="5" t="str">
        <f t="array" ref="O75">IFERROR(IF('T1'!$J75="",INDEX(LISTA_EX,13),INDEX(LISTA_EX,MATCH('T1'!$J75&amp;"|"&amp;13,LISTA_KLUCZ,0))),"")</f>
        <v>Barbell low bar squat</v>
      </c>
      <c r="P75" s="5" t="str">
        <f t="array" ref="P75">IFERROR(IF('T1'!$J75="",INDEX(LISTA_EX,14),INDEX(LISTA_EX,MATCH('T1'!$J75&amp;"|"&amp;14,LISTA_KLUCZ,0))),"")</f>
        <v>Barbell OHP</v>
      </c>
      <c r="Q75" s="5" t="str">
        <f t="array" ref="Q75">IFERROR(IF('T1'!$J75="",INDEX(LISTA_EX,15),INDEX(LISTA_EX,MATCH('T1'!$J75&amp;"|"&amp;15,LISTA_KLUCZ,0))),"")</f>
        <v>Barbell oscilation</v>
      </c>
      <c r="R75" s="5" t="str">
        <f t="array" ref="R75">IFERROR(IF('T1'!$J75="",INDEX(LISTA_EX,16),INDEX(LISTA_EX,MATCH('T1'!$J75&amp;"|"&amp;16,LISTA_KLUCZ,0))),"")</f>
        <v>Barbell row</v>
      </c>
      <c r="S75" s="5" t="str">
        <f t="array" ref="S75">IFERROR(IF('T1'!$J75="",INDEX(LISTA_EX,17),INDEX(LISTA_EX,MATCH('T1'!$J75&amp;"|"&amp;17,LISTA_KLUCZ,0))),"")</f>
        <v>Barbell row dead stop pins</v>
      </c>
      <c r="T75" s="5" t="str">
        <f t="array" ref="T75">IFERROR(IF('T1'!$J75="",INDEX(LISTA_EX,18),INDEX(LISTA_EX,MATCH('T1'!$J75&amp;"|"&amp;18,LISTA_KLUCZ,0))),"")</f>
        <v>Barbell SLDL</v>
      </c>
      <c r="U75" s="5" t="str">
        <f t="array" ref="U75">IFERROR(IF('T1'!$J75="",INDEX(LISTA_EX,19),INDEX(LISTA_EX,MATCH('T1'!$J75&amp;"|"&amp;19,LISTA_KLUCZ,0))),"")</f>
        <v>Bayesian curl</v>
      </c>
      <c r="V75" s="5" t="str">
        <f t="array" ref="V75">IFERROR(IF('T1'!$J75="",INDEX(LISTA_EX,20),INDEX(LISTA_EX,MATCH('T1'!$J75&amp;"|"&amp;20,LISTA_KLUCZ,0))),"")</f>
        <v>Bear renegade row</v>
      </c>
      <c r="W75" s="5" t="str">
        <f t="array" ref="W75">IFERROR(IF('T1'!$J75="",INDEX(LISTA_EX,21),INDEX(LISTA_EX,MATCH('T1'!$J75&amp;"|"&amp;21,LISTA_KLUCZ,0))),"")</f>
        <v>Bench press paused 3sec</v>
      </c>
      <c r="X75" s="5" t="str">
        <f t="array" ref="X75">IFERROR(IF('T1'!$J75="",INDEX(LISTA_EX,22),INDEX(LISTA_EX,MATCH('T1'!$J75&amp;"|"&amp;22,LISTA_KLUCZ,0))),"")</f>
        <v>Bicep hammer curl</v>
      </c>
      <c r="Y75" s="5" t="str">
        <f t="array" ref="Y75">IFERROR(IF('T1'!$J75="",INDEX(LISTA_EX,23),INDEX(LISTA_EX,MATCH('T1'!$J75&amp;"|"&amp;23,LISTA_KLUCZ,0))),"")</f>
        <v>Bicep squat cable curl</v>
      </c>
      <c r="Z75" s="5" t="str">
        <f t="array" ref="Z75">IFERROR(IF('T1'!$J75="",INDEX(LISTA_EX,24),INDEX(LISTA_EX,MATCH('T1'!$J75&amp;"|"&amp;24,LISTA_KLUCZ,0))),"")</f>
        <v>Bird dog row</v>
      </c>
      <c r="AA75" s="5" t="str">
        <f t="array" ref="AA75">IFERROR(IF('T1'!$J75="",INDEX(LISTA_EX,25),INDEX(LISTA_EX,MATCH('T1'!$J75&amp;"|"&amp;25,LISTA_KLUCZ,0))),"")</f>
        <v>Box jump</v>
      </c>
      <c r="AB75" s="5" t="str">
        <f t="array" ref="AB75">IFERROR(IF('T1'!$J75="",INDEX(LISTA_EX,26),INDEX(LISTA_EX,MATCH('T1'!$J75&amp;"|"&amp;26,LISTA_KLUCZ,0))),"")</f>
        <v>Bulgarian clean plyo</v>
      </c>
      <c r="AC75" s="5" t="str">
        <f t="array" ref="AC75">IFERROR(IF('T1'!$J75="",INDEX(LISTA_EX,27),INDEX(LISTA_EX,MATCH('T1'!$J75&amp;"|"&amp;27,LISTA_KLUCZ,0))),"")</f>
        <v>Bulgarian squat assisted</v>
      </c>
      <c r="AD75" s="5" t="str">
        <f t="array" ref="AD75">IFERROR(IF('T1'!$J75="",INDEX(LISTA_EX,28),INDEX(LISTA_EX,MATCH('T1'!$J75&amp;"|"&amp;28,LISTA_KLUCZ,0))),"")</f>
        <v>Cable biceps curl</v>
      </c>
      <c r="AE75" s="5" t="str">
        <f t="array" ref="AE75">IFERROR(IF('T1'!$J75="",INDEX(LISTA_EX,29),INDEX(LISTA_EX,MATCH('T1'!$J75&amp;"|"&amp;29,LISTA_KLUCZ,0))),"")</f>
        <v>Cable fly</v>
      </c>
      <c r="AF75" s="5" t="str">
        <f t="array" ref="AF75">IFERROR(IF('T1'!$J75="",INDEX(LISTA_EX,30),INDEX(LISTA_EX,MATCH('T1'!$J75&amp;"|"&amp;30,LISTA_KLUCZ,0))),"")</f>
        <v>Cable lateral raise s/a</v>
      </c>
      <c r="AG75" s="5" t="str">
        <f t="array" ref="AG75">IFERROR(IF('T1'!$J75="",INDEX(LISTA_EX,31),INDEX(LISTA_EX,MATCH('T1'!$J75&amp;"|"&amp;31,LISTA_KLUCZ,0))),"")</f>
        <v>Cable row</v>
      </c>
      <c r="AH75" s="5" t="str">
        <f t="array" ref="AH75">IFERROR(IF('T1'!$J75="",INDEX(LISTA_EX,32),INDEX(LISTA_EX,MATCH('T1'!$J75&amp;"|"&amp;32,LISTA_KLUCZ,0))),"")</f>
        <v>Cable row s/a</v>
      </c>
      <c r="AI75" s="5" t="str">
        <f t="array" ref="AI75">IFERROR(IF('T1'!$J75="",INDEX(LISTA_EX,33),INDEX(LISTA_EX,MATCH('T1'!$J75&amp;"|"&amp;33,LISTA_KLUCZ,0))),"")</f>
        <v>Calf raises</v>
      </c>
      <c r="AJ75" s="5" t="str">
        <f t="array" ref="AJ75">IFERROR(IF('T1'!$J75="",INDEX(LISTA_EX,34),INDEX(LISTA_EX,MATCH('T1'!$J75&amp;"|"&amp;34,LISTA_KLUCZ,0))),"")</f>
        <v>Chest fly machine</v>
      </c>
      <c r="AK75" s="5" t="str">
        <f t="array" ref="AK75">IFERROR(IF('T1'!$J75="",INDEX(LISTA_EX,35),INDEX(LISTA_EX,MATCH('T1'!$J75&amp;"|"&amp;35,LISTA_KLUCZ,0))),"")</f>
        <v>Clean</v>
      </c>
      <c r="AL75" s="5" t="str">
        <f t="array" ref="AL75">IFERROR(IF('T1'!$J75="",INDEX(LISTA_EX,36),INDEX(LISTA_EX,MATCH('T1'!$J75&amp;"|"&amp;36,LISTA_KLUCZ,0))),"")</f>
        <v>Clean pins</v>
      </c>
      <c r="AM75" s="5" t="str">
        <f t="array" ref="AM75">IFERROR(IF('T1'!$J75="",INDEX(LISTA_EX,37),INDEX(LISTA_EX,MATCH('T1'!$J75&amp;"|"&amp;37,LISTA_KLUCZ,0))),"")</f>
        <v>Copenhagen plank</v>
      </c>
      <c r="AN75" s="5" t="str">
        <f t="array" ref="AN75">IFERROR(IF('T1'!$J75="",INDEX(LISTA_EX,38),INDEX(LISTA_EX,MATCH('T1'!$J75&amp;"|"&amp;38,LISTA_KLUCZ,0))),"")</f>
        <v>Dead bug izo + OH</v>
      </c>
      <c r="AO75" s="5" t="str">
        <f t="array" ref="AO75">IFERROR(IF('T1'!$J75="",INDEX(LISTA_EX,39),INDEX(LISTA_EX,MATCH('T1'!$J75&amp;"|"&amp;39,LISTA_KLUCZ,0))),"")</f>
        <v>Dead bug straight legs</v>
      </c>
      <c r="AP75" s="5" t="str">
        <f t="array" ref="AP75">IFERROR(IF('T1'!$J75="",INDEX(LISTA_EX,40),INDEX(LISTA_EX,MATCH('T1'!$J75&amp;"|"&amp;40,LISTA_KLUCZ,0))),"")</f>
        <v>Dead stop barbell row</v>
      </c>
      <c r="AQ75" s="5" t="str">
        <f t="array" ref="AQ75">IFERROR(IF('T1'!$J75="",INDEX(LISTA_EX,41),INDEX(LISTA_EX,MATCH('T1'!$J75&amp;"|"&amp;41,LISTA_KLUCZ,0))),"")</f>
        <v>Deadbug OH</v>
      </c>
      <c r="AR75" s="5" t="str">
        <f t="array" ref="AR75">IFERROR(IF('T1'!$J75="",INDEX(LISTA_EX,42),INDEX(LISTA_EX,MATCH('T1'!$J75&amp;"|"&amp;42,LISTA_KLUCZ,0))),"")</f>
        <v>Deadlift</v>
      </c>
      <c r="AS75" s="5" t="str">
        <f t="array" ref="AS75">IFERROR(IF('T1'!$J75="",INDEX(LISTA_EX,43),INDEX(LISTA_EX,MATCH('T1'!$J75&amp;"|"&amp;43,LISTA_KLUCZ,0))),"")</f>
        <v>Deficit push up</v>
      </c>
      <c r="AT75" s="5" t="str">
        <f t="array" ref="AT75">IFERROR(IF('T1'!$J75="",INDEX(LISTA_EX,44),INDEX(LISTA_EX,MATCH('T1'!$J75&amp;"|"&amp;44,LISTA_KLUCZ,0))),"")</f>
        <v>Deficit reverse lunge</v>
      </c>
      <c r="AU75" s="5" t="str">
        <f t="array" ref="AU75">IFERROR(IF('T1'!$J75="",INDEX(LISTA_EX,45),INDEX(LISTA_EX,MATCH('T1'!$J75&amp;"|"&amp;45,LISTA_KLUCZ,0))),"")</f>
        <v>Dips</v>
      </c>
      <c r="AV75" s="5" t="str">
        <f t="array" ref="AV75">IFERROR(IF('T1'!$J75="",INDEX(LISTA_EX,46),INDEX(LISTA_EX,MATCH('T1'!$J75&amp;"|"&amp;46,LISTA_KLUCZ,0))),"")</f>
        <v>Dips weighted</v>
      </c>
      <c r="AW75" s="5" t="str">
        <f t="array" ref="AW75">IFERROR(IF('T1'!$J75="",INDEX(LISTA_EX,47),INDEX(LISTA_EX,MATCH('T1'!$J75&amp;"|"&amp;47,LISTA_KLUCZ,0))),"")</f>
        <v>Dumbbell bench press</v>
      </c>
      <c r="AX75" s="5" t="str">
        <f t="array" ref="AX75">IFERROR(IF('T1'!$J75="",INDEX(LISTA_EX,48),INDEX(LISTA_EX,MATCH('T1'!$J75&amp;"|"&amp;48,LISTA_KLUCZ,0))),"")</f>
        <v>Dumbbell bench press alternating</v>
      </c>
      <c r="AY75" s="5" t="str">
        <f t="array" ref="AY75">IFERROR(IF('T1'!$J75="",INDEX(LISTA_EX,49),INDEX(LISTA_EX,MATCH('T1'!$J75&amp;"|"&amp;49,LISTA_KLUCZ,0))),"")</f>
        <v>Dumbbell curl</v>
      </c>
      <c r="AZ75" s="5" t="str">
        <f t="array" ref="AZ75">IFERROR(IF('T1'!$J75="",INDEX(LISTA_EX,50),INDEX(LISTA_EX,MATCH('T1'!$J75&amp;"|"&amp;50,LISTA_KLUCZ,0))),"")</f>
        <v>Dumbbell external rotation</v>
      </c>
      <c r="BA75" s="5" t="str">
        <f t="array" ref="BA75">IFERROR(IF('T1'!$J75="",INDEX(LISTA_EX,51),INDEX(LISTA_EX,MATCH('T1'!$J75&amp;"|"&amp;51,LISTA_KLUCZ,0))),"")</f>
        <v>Dumbbell face down curl</v>
      </c>
      <c r="BB75" s="5" t="str">
        <f t="array" ref="BB75">IFERROR(IF('T1'!$J75="",INDEX(LISTA_EX,52),INDEX(LISTA_EX,MATCH('T1'!$J75&amp;"|"&amp;52,LISTA_KLUCZ,0))),"")</f>
        <v>Dumbbell fly</v>
      </c>
      <c r="BC75" s="5" t="str">
        <f t="array" ref="BC75">IFERROR(IF('T1'!$J75="",INDEX(LISTA_EX,53),INDEX(LISTA_EX,MATCH('T1'!$J75&amp;"|"&amp;53,LISTA_KLUCZ,0))),"")</f>
        <v>Dumbbell french press</v>
      </c>
      <c r="BD75" s="5" t="str">
        <f t="array" ref="BD75">IFERROR(IF('T1'!$J75="",INDEX(LISTA_EX,54),INDEX(LISTA_EX,MATCH('T1'!$J75&amp;"|"&amp;54,LISTA_KLUCZ,0))),"")</f>
        <v>Dumbbell lateral raise</v>
      </c>
      <c r="BE75" s="5" t="str">
        <f t="array" ref="BE75">IFERROR(IF('T1'!$J75="",INDEX(LISTA_EX,55),INDEX(LISTA_EX,MATCH('T1'!$J75&amp;"|"&amp;55,LISTA_KLUCZ,0))),"")</f>
        <v>Dumbbell lunges</v>
      </c>
      <c r="BF75" s="5" t="str">
        <f t="array" ref="BF75">IFERROR(IF('T1'!$J75="",INDEX(LISTA_EX,56),INDEX(LISTA_EX,MATCH('T1'!$J75&amp;"|"&amp;56,LISTA_KLUCZ,0))),"")</f>
        <v>Dumbbell OH press</v>
      </c>
      <c r="BG75" s="5" t="str">
        <f t="array" ref="BG75">IFERROR(IF('T1'!$J75="",INDEX(LISTA_EX,57),INDEX(LISTA_EX,MATCH('T1'!$J75&amp;"|"&amp;57,LISTA_KLUCZ,0))),"")</f>
        <v>Dumbbell over head press</v>
      </c>
      <c r="BH75" s="5" t="str">
        <f t="array" ref="BH75">IFERROR(IF('T1'!$J75="",INDEX(LISTA_EX,58),INDEX(LISTA_EX,MATCH('T1'!$J75&amp;"|"&amp;58,LISTA_KLUCZ,0))),"")</f>
        <v>Dumbbell over head press alternating</v>
      </c>
      <c r="BI75" s="5" t="str">
        <f t="array" ref="BI75">IFERROR(IF('T1'!$J75="",INDEX(LISTA_EX,59),INDEX(LISTA_EX,MATCH('T1'!$J75&amp;"|"&amp;59,LISTA_KLUCZ,0))),"")</f>
        <v>Dumbbell row</v>
      </c>
      <c r="BJ75" s="5" t="str">
        <f t="array" ref="BJ75">IFERROR(IF('T1'!$J75="",INDEX(LISTA_EX,60),INDEX(LISTA_EX,MATCH('T1'!$J75&amp;"|"&amp;60,LISTA_KLUCZ,0))),"")</f>
        <v>Dumbbell s/a Arnold press</v>
      </c>
      <c r="BK75" s="5" t="str">
        <f t="array" ref="BK75">IFERROR(IF('T1'!$J75="",INDEX(LISTA_EX,61),INDEX(LISTA_EX,MATCH('T1'!$J75&amp;"|"&amp;61,LISTA_KLUCZ,0))),"")</f>
        <v>Dumbbell s/a row</v>
      </c>
      <c r="BL75" s="5" t="str">
        <f t="array" ref="BL75">IFERROR(IF('T1'!$J75="",INDEX(LISTA_EX,62),INDEX(LISTA_EX,MATCH('T1'!$J75&amp;"|"&amp;62,LISTA_KLUCZ,0))),"")</f>
        <v>Dumbbell seal row</v>
      </c>
      <c r="BM75" s="5" t="str">
        <f t="array" ref="BM75">IFERROR(IF('T1'!$J75="",INDEX(LISTA_EX,63),INDEX(LISTA_EX,MATCH('T1'!$J75&amp;"|"&amp;63,LISTA_KLUCZ,0))),"")</f>
        <v>Dumbbells jumps</v>
      </c>
      <c r="BN75" s="5" t="str">
        <f t="array" ref="BN75">IFERROR(IF('T1'!$J75="",INDEX(LISTA_EX,64),INDEX(LISTA_EX,MATCH('T1'!$J75&amp;"|"&amp;64,LISTA_KLUCZ,0))),"")</f>
        <v>Eccentric pull up</v>
      </c>
      <c r="BO75" s="5" t="str">
        <f t="array" ref="BO75">IFERROR(IF('T1'!$J75="",INDEX(LISTA_EX,65),INDEX(LISTA_EX,MATCH('T1'!$J75&amp;"|"&amp;65,LISTA_KLUCZ,0))),"")</f>
        <v>Eccentric push up (5 sek w dół)</v>
      </c>
      <c r="BP75" s="5" t="str">
        <f t="array" ref="BP75">IFERROR(IF('T1'!$J75="",INDEX(LISTA_EX,66),INDEX(LISTA_EX,MATCH('T1'!$J75&amp;"|"&amp;66,LISTA_KLUCZ,0))),"")</f>
        <v>Extensive plyo jumps s/l</v>
      </c>
      <c r="BQ75" s="5" t="str">
        <f t="array" ref="BQ75">IFERROR(IF('T1'!$J75="",INDEX(LISTA_EX,67),INDEX(LISTA_EX,MATCH('T1'!$J75&amp;"|"&amp;67,LISTA_KLUCZ,0))),"")</f>
        <v>Ez bar curl</v>
      </c>
      <c r="BR75" s="5" t="str">
        <f t="array" ref="BR75">IFERROR(IF('T1'!$J75="",INDEX(LISTA_EX,68),INDEX(LISTA_EX,MATCH('T1'!$J75&amp;"|"&amp;68,LISTA_KLUCZ,0))),"")</f>
        <v>Facepull chest supported</v>
      </c>
      <c r="BS75" s="5" t="str">
        <f t="array" ref="BS75">IFERROR(IF('T1'!$J75="",INDEX(LISTA_EX,69),INDEX(LISTA_EX,MATCH('T1'!$J75&amp;"|"&amp;69,LISTA_KLUCZ,0))),"")</f>
        <v>Front foot elevated split squat</v>
      </c>
      <c r="BT75" s="5" t="str">
        <f t="array" ref="BT75">IFERROR(IF('T1'!$J75="",INDEX(LISTA_EX,70),INDEX(LISTA_EX,MATCH('T1'!$J75&amp;"|"&amp;70,LISTA_KLUCZ,0))),"")</f>
        <v>Front squat</v>
      </c>
      <c r="BU75" s="5" t="str">
        <f t="array" ref="BU75">IFERROR(IF('T1'!$J75="",INDEX(LISTA_EX,71),INDEX(LISTA_EX,MATCH('T1'!$J75&amp;"|"&amp;71,LISTA_KLUCZ,0))),"")</f>
        <v>GHD flexion</v>
      </c>
      <c r="BV75" s="5" t="str">
        <f t="array" ref="BV75">IFERROR(IF('T1'!$J75="",INDEX(LISTA_EX,72),INDEX(LISTA_EX,MATCH('T1'!$J75&amp;"|"&amp;72,LISTA_KLUCZ,0))),"")</f>
        <v>Glute bridge hamstrings izo + OH</v>
      </c>
      <c r="BW75" s="5" t="str">
        <f t="array" ref="BW75">IFERROR(IF('T1'!$J75="",INDEX(LISTA_EX,73),INDEX(LISTA_EX,MATCH('T1'!$J75&amp;"|"&amp;73,LISTA_KLUCZ,0))),"")</f>
        <v>Glute crusher</v>
      </c>
      <c r="BX75" s="5" t="str">
        <f t="array" ref="BX75">IFERROR(IF('T1'!$J75="",INDEX(LISTA_EX,74),INDEX(LISTA_EX,MATCH('T1'!$J75&amp;"|"&amp;74,LISTA_KLUCZ,0))),"")</f>
        <v>Gorilla row</v>
      </c>
      <c r="BY75" s="5" t="str">
        <f t="array" ref="BY75">IFERROR(IF('T1'!$J75="",INDEX(LISTA_EX,75),INDEX(LISTA_EX,MATCH('T1'!$J75&amp;"|"&amp;75,LISTA_KLUCZ,0))),"")</f>
        <v>Halfkneeling s/a cable pull</v>
      </c>
      <c r="BZ75" s="5" t="str">
        <f t="array" ref="BZ75">IFERROR(IF('T1'!$J75="",INDEX(LISTA_EX,76),INDEX(LISTA_EX,MATCH('T1'!$J75&amp;"|"&amp;76,LISTA_KLUCZ,0))),"")</f>
        <v>Halfkneeling wood chopper</v>
      </c>
      <c r="CA75" s="5" t="str">
        <f t="array" ref="CA75">IFERROR(IF('T1'!$J75="",INDEX(LISTA_EX,77),INDEX(LISTA_EX,MATCH('T1'!$J75&amp;"|"&amp;77,LISTA_KLUCZ,0))),"")</f>
        <v>Hinged dumbbell row</v>
      </c>
      <c r="CB75" s="5" t="str">
        <f t="array" ref="CB75">IFERROR(IF('T1'!$J75="",INDEX(LISTA_EX,78),INDEX(LISTA_EX,MATCH('T1'!$J75&amp;"|"&amp;78,LISTA_KLUCZ,0))),"")</f>
        <v>Hip aeroplane</v>
      </c>
      <c r="CC75" s="5" t="str">
        <f t="array" ref="CC75">IFERROR(IF('T1'!$J75="",INDEX(LISTA_EX,79),INDEX(LISTA_EX,MATCH('T1'!$J75&amp;"|"&amp;79,LISTA_KLUCZ,0))),"")</f>
        <v>Hip flexors cable</v>
      </c>
      <c r="CD75" s="5" t="str">
        <f t="array" ref="CD75">IFERROR(IF('T1'!$J75="",INDEX(LISTA_EX,80),INDEX(LISTA_EX,MATCH('T1'!$J75&amp;"|"&amp;80,LISTA_KLUCZ,0))),"")</f>
        <v>Hip thrust barbell</v>
      </c>
      <c r="CE75" s="5" t="str">
        <f t="array" ref="CE75">IFERROR(IF('T1'!$J75="",INDEX(LISTA_EX,81),INDEX(LISTA_EX,MATCH('T1'!$J75&amp;"|"&amp;81,LISTA_KLUCZ,0))),"")</f>
        <v>Hollow body + OH</v>
      </c>
      <c r="CF75" s="5" t="str">
        <f t="array" ref="CF75">IFERROR(IF('T1'!$J75="",INDEX(LISTA_EX,82),INDEX(LISTA_EX,MATCH('T1'!$J75&amp;"|"&amp;82,LISTA_KLUCZ,0))),"")</f>
        <v>Horizontal jump</v>
      </c>
      <c r="CG75" s="5" t="str">
        <f t="array" ref="CG75">IFERROR(IF('T1'!$J75="",INDEX(LISTA_EX,83),INDEX(LISTA_EX,MATCH('T1'!$J75&amp;"|"&amp;83,LISTA_KLUCZ,0))),"")</f>
        <v>Incline bench lateral raise s/a</v>
      </c>
      <c r="CH75" s="5" t="str">
        <f t="array" ref="CH75">IFERROR(IF('T1'!$J75="",INDEX(LISTA_EX,84),INDEX(LISTA_EX,MATCH('T1'!$J75&amp;"|"&amp;84,LISTA_KLUCZ,0))),"")</f>
        <v>Incline curl + OHP</v>
      </c>
      <c r="CI75" s="5" t="str">
        <f t="array" ref="CI75">IFERROR(IF('T1'!$J75="",INDEX(LISTA_EX,85),INDEX(LISTA_EX,MATCH('T1'!$J75&amp;"|"&amp;85,LISTA_KLUCZ,0))),"")</f>
        <v>Incline dumbbell curl</v>
      </c>
      <c r="CJ75" s="5" t="str">
        <f t="array" ref="CJ75">IFERROR(IF('T1'!$J75="",INDEX(LISTA_EX,86),INDEX(LISTA_EX,MATCH('T1'!$J75&amp;"|"&amp;86,LISTA_KLUCZ,0))),"")</f>
        <v>Incline dumbbell curl (back)</v>
      </c>
      <c r="CK75" s="5" t="str">
        <f t="array" ref="CK75">IFERROR(IF('T1'!$J75="",INDEX(LISTA_EX,87),INDEX(LISTA_EX,MATCH('T1'!$J75&amp;"|"&amp;87,LISTA_KLUCZ,0))),"")</f>
        <v>Incline dumbbell curl (front)</v>
      </c>
      <c r="CL75" s="5" t="str">
        <f t="array" ref="CL75">IFERROR(IF('T1'!$J75="",INDEX(LISTA_EX,88),INDEX(LISTA_EX,MATCH('T1'!$J75&amp;"|"&amp;88,LISTA_KLUCZ,0))),"")</f>
        <v>Incline dumbbell fly</v>
      </c>
      <c r="CM75" s="5" t="str">
        <f t="array" ref="CM75">IFERROR(IF('T1'!$J75="",INDEX(LISTA_EX,89),INDEX(LISTA_EX,MATCH('T1'!$J75&amp;"|"&amp;89,LISTA_KLUCZ,0))),"")</f>
        <v>Incline dumbbell press</v>
      </c>
      <c r="CN75" s="5" t="str">
        <f t="array" ref="CN75">IFERROR(IF('T1'!$J75="",INDEX(LISTA_EX,90),INDEX(LISTA_EX,MATCH('T1'!$J75&amp;"|"&amp;90,LISTA_KLUCZ,0))),"")</f>
        <v>Incline dumbbell press alternating</v>
      </c>
      <c r="CO75" s="5" t="str">
        <f t="array" ref="CO75">IFERROR(IF('T1'!$J75="",INDEX(LISTA_EX,91),INDEX(LISTA_EX,MATCH('T1'!$J75&amp;"|"&amp;91,LISTA_KLUCZ,0))),"")</f>
        <v>Incline sit-ups</v>
      </c>
      <c r="CP75" s="5" t="str">
        <f t="array" ref="CP75">IFERROR(IF('T1'!$J75="",INDEX(LISTA_EX,92),INDEX(LISTA_EX,MATCH('T1'!$J75&amp;"|"&amp;92,LISTA_KLUCZ,0))),"")</f>
        <v>Jefferson cable</v>
      </c>
      <c r="CQ75" s="5" t="str">
        <f t="array" ref="CQ75">IFERROR(IF('T1'!$J75="",INDEX(LISTA_EX,93),INDEX(LISTA_EX,MATCH('T1'!$J75&amp;"|"&amp;93,LISTA_KLUCZ,0))),"")</f>
        <v>Kettlebell march</v>
      </c>
      <c r="CR75" s="5" t="str">
        <f t="array" ref="CR75">IFERROR(IF('T1'!$J75="",INDEX(LISTA_EX,94),INDEX(LISTA_EX,MATCH('T1'!$J75&amp;"|"&amp;94,LISTA_KLUCZ,0))),"")</f>
        <v>Kickbacks</v>
      </c>
      <c r="CS75" s="5" t="str">
        <f t="array" ref="CS75">IFERROR(IF('T1'!$J75="",INDEX(LISTA_EX,95),INDEX(LISTA_EX,MATCH('T1'!$J75&amp;"|"&amp;95,LISTA_KLUCZ,0))),"")</f>
        <v>Knee extension machine</v>
      </c>
      <c r="CT75" s="5" t="str">
        <f t="array" ref="CT75">IFERROR(IF('T1'!$J75="",INDEX(LISTA_EX,96),INDEX(LISTA_EX,MATCH('T1'!$J75&amp;"|"&amp;96,LISTA_KLUCZ,0))),"")</f>
        <v>Knee flexion machine</v>
      </c>
      <c r="CU75" s="5" t="str">
        <f t="array" ref="CU75">IFERROR(IF('T1'!$J75="",INDEX(LISTA_EX,97),INDEX(LISTA_EX,MATCH('T1'!$J75&amp;"|"&amp;97,LISTA_KLUCZ,0))),"")</f>
        <v>Knee raises</v>
      </c>
      <c r="CV75" s="5" t="str">
        <f t="array" ref="CV75">IFERROR(IF('T1'!$J75="",INDEX(LISTA_EX,98),INDEX(LISTA_EX,MATCH('T1'!$J75&amp;"|"&amp;98,LISTA_KLUCZ,0))),"")</f>
        <v>Landmine core</v>
      </c>
      <c r="CW75" s="5" t="str">
        <f t="array" ref="CW75">IFERROR(IF('T1'!$J75="",INDEX(LISTA_EX,99),INDEX(LISTA_EX,MATCH('T1'!$J75&amp;"|"&amp;99,LISTA_KLUCZ,0))),"")</f>
        <v>Landmine press</v>
      </c>
      <c r="CX75" s="5" t="str">
        <f t="array" ref="CX75">IFERROR(IF('T1'!$J75="",INDEX(LISTA_EX,100),INDEX(LISTA_EX,MATCH('T1'!$J75&amp;"|"&amp;100,LISTA_KLUCZ,0))),"")</f>
        <v>Landmine rotations (powtórzenia x2)</v>
      </c>
      <c r="CY75" s="5" t="str">
        <f t="array" ref="CY75">IFERROR(IF('T1'!$J75="",INDEX(LISTA_EX,101),INDEX(LISTA_EX,MATCH('T1'!$J75&amp;"|"&amp;101,LISTA_KLUCZ,0))),"")</f>
        <v>Landmine SLDL</v>
      </c>
      <c r="CZ75" s="5" t="str">
        <f t="array" ref="CZ75">IFERROR(IF('T1'!$J75="",INDEX(LISTA_EX,102),INDEX(LISTA_EX,MATCH('T1'!$J75&amp;"|"&amp;102,LISTA_KLUCZ,0))),"")</f>
        <v>Lat pulldown</v>
      </c>
      <c r="DA75" s="5" t="str">
        <f t="array" ref="DA75">IFERROR(IF('T1'!$J75="",INDEX(LISTA_EX,103),INDEX(LISTA_EX,MATCH('T1'!$J75&amp;"|"&amp;103,LISTA_KLUCZ,0))),"")</f>
        <v>Lat pulldown behind the head</v>
      </c>
      <c r="DB75" s="5" t="str">
        <f t="array" ref="DB75">IFERROR(IF('T1'!$J75="",INDEX(LISTA_EX,104),INDEX(LISTA_EX,MATCH('T1'!$J75&amp;"|"&amp;104,LISTA_KLUCZ,0))),"")</f>
        <v>Lat pulldown s/a</v>
      </c>
      <c r="DC75" s="5" t="str">
        <f t="array" ref="DC75">IFERROR(IF('T1'!$J75="",INDEX(LISTA_EX,105),INDEX(LISTA_EX,MATCH('T1'!$J75&amp;"|"&amp;105,LISTA_KLUCZ,0))),"")</f>
        <v>Lateral raise s/a</v>
      </c>
      <c r="DD75" s="5" t="str">
        <f t="array" ref="DD75">IFERROR(IF('T1'!$J75="",INDEX(LISTA_EX,106),INDEX(LISTA_EX,MATCH('T1'!$J75&amp;"|"&amp;106,LISTA_KLUCZ,0))),"")</f>
        <v>Lateral raises</v>
      </c>
      <c r="DE75" s="5" t="str">
        <f t="array" ref="DE75">IFERROR(IF('T1'!$J75="",INDEX(LISTA_EX,107),INDEX(LISTA_EX,MATCH('T1'!$J75&amp;"|"&amp;107,LISTA_KLUCZ,0))),"")</f>
        <v>Lateral raises 2</v>
      </c>
      <c r="DF75" s="5" t="str">
        <f t="array" ref="DF75">IFERROR(IF('T1'!$J75="",INDEX(LISTA_EX,108),INDEX(LISTA_EX,MATCH('T1'!$J75&amp;"|"&amp;108,LISTA_KLUCZ,0))),"")</f>
        <v>Lateral raises full ROM</v>
      </c>
      <c r="DG75" s="5" t="str">
        <f t="array" ref="DG75">IFERROR(IF('T1'!$J75="",INDEX(LISTA_EX,109),INDEX(LISTA_EX,MATCH('T1'!$J75&amp;"|"&amp;109,LISTA_KLUCZ,0))),"")</f>
        <v>Lateral raises hinged</v>
      </c>
      <c r="DH75" s="5" t="str">
        <f t="array" ref="DH75">IFERROR(IF('T1'!$J75="",INDEX(LISTA_EX,110),INDEX(LISTA_EX,MATCH('T1'!$J75&amp;"|"&amp;110,LISTA_KLUCZ,0))),"")</f>
        <v>Lateral raises incline s/a</v>
      </c>
      <c r="DI75" s="5" t="str">
        <f t="array" ref="DI75">IFERROR(IF('T1'!$J75="",INDEX(LISTA_EX,111),INDEX(LISTA_EX,MATCH('T1'!$J75&amp;"|"&amp;111,LISTA_KLUCZ,0))),"")</f>
        <v>Leg curl</v>
      </c>
      <c r="DJ75" s="5" t="str">
        <f t="array" ref="DJ75">IFERROR(IF('T1'!$J75="",INDEX(LISTA_EX,112),INDEX(LISTA_EX,MATCH('T1'!$J75&amp;"|"&amp;112,LISTA_KLUCZ,0))),"")</f>
        <v>Machine row</v>
      </c>
      <c r="DK75" s="5" t="str">
        <f t="array" ref="DK75">IFERROR(IF('T1'!$J75="",INDEX(LISTA_EX,113),INDEX(LISTA_EX,MATCH('T1'!$J75&amp;"|"&amp;113,LISTA_KLUCZ,0))),"")</f>
        <v>Machine row s/a</v>
      </c>
      <c r="DL75" s="5" t="str">
        <f t="array" ref="DL75">IFERROR(IF('T1'!$J75="",INDEX(LISTA_EX,114),INDEX(LISTA_EX,MATCH('T1'!$J75&amp;"|"&amp;114,LISTA_KLUCZ,0))),"")</f>
        <v>Meadows row</v>
      </c>
      <c r="DM75" s="5" t="str">
        <f t="array" ref="DM75">IFERROR(IF('T1'!$J75="",INDEX(LISTA_EX,115),INDEX(LISTA_EX,MATCH('T1'!$J75&amp;"|"&amp;115,LISTA_KLUCZ,0))),"")</f>
        <v>Med ball slam</v>
      </c>
      <c r="DN75" s="5" t="str">
        <f t="array" ref="DN75">IFERROR(IF('T1'!$J75="",INDEX(LISTA_EX,116),INDEX(LISTA_EX,MATCH('T1'!$J75&amp;"|"&amp;116,LISTA_KLUCZ,0))),"")</f>
        <v>OH skullcrushers</v>
      </c>
      <c r="DO75" s="5" t="str">
        <f t="array" ref="DO75">IFERROR(IF('T1'!$J75="",INDEX(LISTA_EX,117),INDEX(LISTA_EX,MATCH('T1'!$J75&amp;"|"&amp;117,LISTA_KLUCZ,0))),"")</f>
        <v>OHP barbell squat 15kg</v>
      </c>
      <c r="DP75" s="5" t="str">
        <f t="array" ref="DP75">IFERROR(IF('T1'!$J75="",INDEX(LISTA_EX,118),INDEX(LISTA_EX,MATCH('T1'!$J75&amp;"|"&amp;118,LISTA_KLUCZ,0))),"")</f>
        <v>Pistol squat eccentric</v>
      </c>
      <c r="DQ75" s="5" t="str">
        <f t="array" ref="DQ75">IFERROR(IF('T1'!$J75="",INDEX(LISTA_EX,119),INDEX(LISTA_EX,MATCH('T1'!$J75&amp;"|"&amp;119,LISTA_KLUCZ,0))),"")</f>
        <v>Plank contralateral</v>
      </c>
      <c r="DR75" s="5" t="str">
        <f t="array" ref="DR75">IFERROR(IF('T1'!$J75="",INDEX(LISTA_EX,120),INDEX(LISTA_EX,MATCH('T1'!$J75&amp;"|"&amp;120,LISTA_KLUCZ,0))),"")</f>
        <v>Plank dumbbell rotation</v>
      </c>
      <c r="DS75" s="5" t="str">
        <f t="array" ref="DS75">IFERROR(IF('T1'!$J75="",INDEX(LISTA_EX,121),INDEX(LISTA_EX,MATCH('T1'!$J75&amp;"|"&amp;121,LISTA_KLUCZ,0))),"")</f>
        <v>Plank leg raises</v>
      </c>
      <c r="DT75" s="5" t="str">
        <f t="array" ref="DT75">IFERROR(IF('T1'!$J75="",INDEX(LISTA_EX,122),INDEX(LISTA_EX,MATCH('T1'!$J75&amp;"|"&amp;122,LISTA_KLUCZ,0))),"")</f>
        <v>Poliquin step up</v>
      </c>
      <c r="DU75" s="5" t="str">
        <f t="array" ref="DU75">IFERROR(IF('T1'!$J75="",INDEX(LISTA_EX,123),INDEX(LISTA_EX,MATCH('T1'!$J75&amp;"|"&amp;123,LISTA_KLUCZ,0))),"")</f>
        <v>Poliquin step up paused 3sec</v>
      </c>
      <c r="DV75" s="5" t="str">
        <f t="array" ref="DV75">IFERROR(IF('T1'!$J75="",INDEX(LISTA_EX,124),INDEX(LISTA_EX,MATCH('T1'!$J75&amp;"|"&amp;124,LISTA_KLUCZ,0))),"")</f>
        <v>Pronation/Supination</v>
      </c>
      <c r="DW75" s="5" t="str">
        <f t="array" ref="DW75">IFERROR(IF('T1'!$J75="",INDEX(LISTA_EX,125),INDEX(LISTA_EX,MATCH('T1'!$J75&amp;"|"&amp;125,LISTA_KLUCZ,0))),"")</f>
        <v>Pull up</v>
      </c>
      <c r="DX75" s="5" t="str">
        <f t="array" ref="DX75">IFERROR(IF('T1'!$J75="",INDEX(LISTA_EX,126),INDEX(LISTA_EX,MATCH('T1'!$J75&amp;"|"&amp;126,LISTA_KLUCZ,0))),"")</f>
        <v>Pull up eccentric weighted</v>
      </c>
      <c r="DY75" s="5" t="str">
        <f t="array" ref="DY75">IFERROR(IF('T1'!$J75="",INDEX(LISTA_EX,127),INDEX(LISTA_EX,MATCH('T1'!$J75&amp;"|"&amp;127,LISTA_KLUCZ,0))),"")</f>
        <v>Pull up eccentric weighted (5 sek w dół)</v>
      </c>
      <c r="DZ75" s="5" t="str">
        <f t="array" ref="DZ75">IFERROR(IF('T1'!$J75="",INDEX(LISTA_EX,128),INDEX(LISTA_EX,MATCH('T1'!$J75&amp;"|"&amp;128,LISTA_KLUCZ,0))),"")</f>
        <v>Pull up weighted</v>
      </c>
      <c r="EA75" s="5" t="str">
        <f t="array" ref="EA75">IFERROR(IF('T1'!$J75="",INDEX(LISTA_EX,129),INDEX(LISTA_EX,MATCH('T1'!$J75&amp;"|"&amp;129,LISTA_KLUCZ,0))),"")</f>
        <v>Pull ups (paused)</v>
      </c>
      <c r="EB75" s="5" t="str">
        <f t="array" ref="EB75">IFERROR(IF('T1'!$J75="",INDEX(LISTA_EX,130),INDEX(LISTA_EX,MATCH('T1'!$J75&amp;"|"&amp;130,LISTA_KLUCZ,0))),"")</f>
        <v>Push press barbell</v>
      </c>
      <c r="EC75" s="5" t="str">
        <f t="array" ref="EC75">IFERROR(IF('T1'!$J75="",INDEX(LISTA_EX,131),INDEX(LISTA_EX,MATCH('T1'!$J75&amp;"|"&amp;131,LISTA_KLUCZ,0))),"")</f>
        <v>Push up</v>
      </c>
      <c r="ED75" s="5" t="str">
        <f t="array" ref="ED75">IFERROR(IF('T1'!$J75="",INDEX(LISTA_EX,132),INDEX(LISTA_EX,MATCH('T1'!$J75&amp;"|"&amp;132,LISTA_KLUCZ,0))),"")</f>
        <v>Raised bird dog</v>
      </c>
      <c r="EE75" s="5" t="str">
        <f t="array" ref="EE75">IFERROR(IF('T1'!$J75="",INDEX(LISTA_EX,133),INDEX(LISTA_EX,MATCH('T1'!$J75&amp;"|"&amp;133,LISTA_KLUCZ,0))),"")</f>
        <v>RDL</v>
      </c>
      <c r="EF75" s="5" t="str">
        <f t="array" ref="EF75">IFERROR(IF('T1'!$J75="",INDEX(LISTA_EX,134),INDEX(LISTA_EX,MATCH('T1'!$J75&amp;"|"&amp;134,LISTA_KLUCZ,0))),"")</f>
        <v>Reverse Nordic</v>
      </c>
      <c r="EG75" s="5" t="str">
        <f t="array" ref="EG75">IFERROR(IF('T1'!$J75="",INDEX(LISTA_EX,135),INDEX(LISTA_EX,MATCH('T1'!$J75&amp;"|"&amp;135,LISTA_KLUCZ,0))),"")</f>
        <v>Rope pushdown</v>
      </c>
      <c r="EH75" s="5" t="str">
        <f t="array" ref="EH75">IFERROR(IF('T1'!$J75="",INDEX(LISTA_EX,136),INDEX(LISTA_EX,MATCH('T1'!$J75&amp;"|"&amp;136,LISTA_KLUCZ,0))),"")</f>
        <v>Rope pushdown OH</v>
      </c>
      <c r="EI75" s="5" t="str">
        <f t="array" ref="EI75">IFERROR(IF('T1'!$J75="",INDEX(LISTA_EX,137),INDEX(LISTA_EX,MATCH('T1'!$J75&amp;"|"&amp;137,LISTA_KLUCZ,0))),"")</f>
        <v>S/a cable pulldown incline bench</v>
      </c>
      <c r="EJ75" s="5" t="str">
        <f t="array" ref="EJ75">IFERROR(IF('T1'!$J75="",INDEX(LISTA_EX,138),INDEX(LISTA_EX,MATCH('T1'!$J75&amp;"|"&amp;138,LISTA_KLUCZ,0))),"")</f>
        <v>S/a lat pulldown incline bench</v>
      </c>
      <c r="EK75" s="5" t="str">
        <f t="array" ref="EK75">IFERROR(IF('T1'!$J75="",INDEX(LISTA_EX,139),INDEX(LISTA_EX,MATCH('T1'!$J75&amp;"|"&amp;139,LISTA_KLUCZ,0))),"")</f>
        <v>S/l dragonflag eccentric</v>
      </c>
      <c r="EL75" s="5" t="str">
        <f t="array" ref="EL75">IFERROR(IF('T1'!$J75="",INDEX(LISTA_EX,140),INDEX(LISTA_EX,MATCH('T1'!$J75&amp;"|"&amp;140,LISTA_KLUCZ,0))),"")</f>
        <v>S/l hip thrust</v>
      </c>
      <c r="EM75" s="5" t="str">
        <f t="array" ref="EM75">IFERROR(IF('T1'!$J75="",INDEX(LISTA_EX,141),INDEX(LISTA_EX,MATCH('T1'!$J75&amp;"|"&amp;141,LISTA_KLUCZ,0))),"")</f>
        <v>Seated broad jump</v>
      </c>
      <c r="EN75" s="5" t="str">
        <f t="array" ref="EN75">IFERROR(IF('T1'!$J75="",INDEX(LISTA_EX,142),INDEX(LISTA_EX,MATCH('T1'!$J75&amp;"|"&amp;142,LISTA_KLUCZ,0))),"")</f>
        <v>Seated cable facepull</v>
      </c>
      <c r="EO75" s="5" t="str">
        <f t="array" ref="EO75">IFERROR(IF('T1'!$J75="",INDEX(LISTA_EX,143),INDEX(LISTA_EX,MATCH('T1'!$J75&amp;"|"&amp;143,LISTA_KLUCZ,0))),"")</f>
        <v>Seated seesaw press (nogi proste)</v>
      </c>
      <c r="EP75" s="5" t="str">
        <f t="array" ref="EP75">IFERROR(IF('T1'!$J75="",INDEX(LISTA_EX,144),INDEX(LISTA_EX,MATCH('T1'!$J75&amp;"|"&amp;144,LISTA_KLUCZ,0))),"")</f>
        <v>Seesaw press</v>
      </c>
      <c r="EQ75" s="5" t="str">
        <f t="array" ref="EQ75">IFERROR(IF('T1'!$J75="",INDEX(LISTA_EX,145),INDEX(LISTA_EX,MATCH('T1'!$J75&amp;"|"&amp;145,LISTA_KLUCZ,0))),"")</f>
        <v>Side crunches</v>
      </c>
      <c r="ER75" s="5" t="str">
        <f t="array" ref="ER75">IFERROR(IF('T1'!$J75="",INDEX(LISTA_EX,146),INDEX(LISTA_EX,MATCH('T1'!$J75&amp;"|"&amp;146,LISTA_KLUCZ,0))),"")</f>
        <v>Side plank hip drop</v>
      </c>
      <c r="ES75" s="5" t="str">
        <f t="array" ref="ES75">IFERROR(IF('T1'!$J75="",INDEX(LISTA_EX,147),INDEX(LISTA_EX,MATCH('T1'!$J75&amp;"|"&amp;147,LISTA_KLUCZ,0))),"")</f>
        <v>Side plank rotations</v>
      </c>
      <c r="ET75" s="5" t="str">
        <f t="array" ref="ET75">IFERROR(IF('T1'!$J75="",INDEX(LISTA_EX,148),INDEX(LISTA_EX,MATCH('T1'!$J75&amp;"|"&amp;148,LISTA_KLUCZ,0))),"")</f>
        <v>SLDL balance</v>
      </c>
      <c r="EU75" s="5" t="str">
        <f t="array" ref="EU75">IFERROR(IF('T1'!$J75="",INDEX(LISTA_EX,149),INDEX(LISTA_EX,MATCH('T1'!$J75&amp;"|"&amp;149,LISTA_KLUCZ,0))),"")</f>
        <v>Split squat</v>
      </c>
      <c r="EV75" s="5" t="str">
        <f t="array" ref="EV75">IFERROR(IF('T1'!$J75="",INDEX(LISTA_EX,150),INDEX(LISTA_EX,MATCH('T1'!$J75&amp;"|"&amp;150,LISTA_KLUCZ,0))),"")</f>
        <v>Split stance SLDL</v>
      </c>
      <c r="EW75" s="5" t="str">
        <f t="array" ref="EW75">IFERROR(IF('T1'!$J75="",INDEX(LISTA_EX,151),INDEX(LISTA_EX,MATCH('T1'!$J75&amp;"|"&amp;151,LISTA_KLUCZ,0))),"")</f>
        <v>Squat izo (15 sek)</v>
      </c>
      <c r="EX75" s="5" t="str">
        <f t="array" ref="EX75">IFERROR(IF('T1'!$J75="",INDEX(LISTA_EX,152),INDEX(LISTA_EX,MATCH('T1'!$J75&amp;"|"&amp;152,LISTA_KLUCZ,0))),"")</f>
        <v>Standing landmine press</v>
      </c>
      <c r="EY75" s="5" t="str">
        <f t="array" ref="EY75">IFERROR(IF('T1'!$J75="",INDEX(LISTA_EX,153),INDEX(LISTA_EX,MATCH('T1'!$J75&amp;"|"&amp;153,LISTA_KLUCZ,0))),"")</f>
        <v>Suitcase carry</v>
      </c>
      <c r="EZ75" s="5" t="str">
        <f t="array" ref="EZ75">IFERROR(IF('T1'!$J75="",INDEX(LISTA_EX,154),INDEX(LISTA_EX,MATCH('T1'!$J75&amp;"|"&amp;154,LISTA_KLUCZ,0))),"")</f>
        <v>Supine pigeon abs</v>
      </c>
      <c r="FA75" s="5" t="str">
        <f t="array" ref="FA75">IFERROR(IF('T1'!$J75="",INDEX(LISTA_EX,155),INDEX(LISTA_EX,MATCH('T1'!$J75&amp;"|"&amp;155,LISTA_KLUCZ,0))),"")</f>
        <v>Swiss ball leg curl</v>
      </c>
      <c r="FB75" s="5" t="str">
        <f t="array" ref="FB75">IFERROR(IF('T1'!$J75="",INDEX(LISTA_EX,156),INDEX(LISTA_EX,MATCH('T1'!$J75&amp;"|"&amp;156,LISTA_KLUCZ,0))),"")</f>
        <v>Toes to bar</v>
      </c>
      <c r="FC75" s="5" t="str">
        <f t="array" ref="FC75">IFERROR(IF('T1'!$J75="",INDEX(LISTA_EX,157),INDEX(LISTA_EX,MATCH('T1'!$J75&amp;"|"&amp;157,LISTA_KLUCZ,0))),"")</f>
        <v>Trap bar deadlift</v>
      </c>
      <c r="FD75" s="5" t="str">
        <f t="array" ref="FD75">IFERROR(IF('T1'!$J75="",INDEX(LISTA_EX,158),INDEX(LISTA_EX,MATCH('T1'!$J75&amp;"|"&amp;158,LISTA_KLUCZ,0))),"")</f>
        <v>Tricep cable pushdown</v>
      </c>
      <c r="FE75" s="5" t="str">
        <f t="array" ref="FE75">IFERROR(IF('T1'!$J75="",INDEX(LISTA_EX,159),INDEX(LISTA_EX,MATCH('T1'!$J75&amp;"|"&amp;159,LISTA_KLUCZ,0))),"")</f>
        <v>Tricep JM press</v>
      </c>
      <c r="FF75" s="5" t="str">
        <f t="array" ref="FF75">IFERROR(IF('T1'!$J75="",INDEX(LISTA_EX,160),INDEX(LISTA_EX,MATCH('T1'!$J75&amp;"|"&amp;160,LISTA_KLUCZ,0))),"")</f>
        <v>Tricep OH cable</v>
      </c>
      <c r="FG75" s="5" t="str">
        <f t="array" ref="FG75">IFERROR(IF('T1'!$J75="",INDEX(LISTA_EX,161),INDEX(LISTA_EX,MATCH('T1'!$J75&amp;"|"&amp;161,LISTA_KLUCZ,0))),"")</f>
        <v>Tricep OH ez bar</v>
      </c>
      <c r="FH75" s="5" t="str">
        <f t="array" ref="FH75">IFERROR(IF('T1'!$J75="",INDEX(LISTA_EX,162),INDEX(LISTA_EX,MATCH('T1'!$J75&amp;"|"&amp;162,LISTA_KLUCZ,0))),"")</f>
        <v>Walking lunges</v>
      </c>
      <c r="FI75" s="5" t="str">
        <f t="array" ref="FI75">IFERROR(IF('T1'!$J75="",INDEX(LISTA_EX,163),INDEX(LISTA_EX,MATCH('T1'!$J75&amp;"|"&amp;163,LISTA_KLUCZ,0))),"")</f>
        <v>Wipers kettle</v>
      </c>
      <c r="FJ75" s="5" t="str">
        <f t="array" ref="FJ75">IFERROR(IF('T1'!$J75="",INDEX(LISTA_EX,164),INDEX(LISTA_EX,MATCH('T1'!$J75&amp;"|"&amp;164,LISTA_KLUCZ,0))),"")</f>
        <v>Zercher jumps</v>
      </c>
      <c r="FK75" s="5" t="str">
        <f t="array" ref="FK75">IFERROR(IF('T1'!$J75="",INDEX(LISTA_EX,165),INDEX(LISTA_EX,MATCH('T1'!$J75&amp;"|"&amp;165,LISTA_KLUCZ,0))),"")</f>
        <v/>
      </c>
      <c r="FL75" s="5" t="str">
        <f t="array" ref="FL75">IFERROR(IF('T1'!$J75="",INDEX(LISTA_EX,166),INDEX(LISTA_EX,MATCH('T1'!$J75&amp;"|"&amp;166,LISTA_KLUCZ,0))),"")</f>
        <v/>
      </c>
      <c r="FM75" s="5" t="str">
        <f t="array" ref="FM75">IFERROR(IF('T1'!$J75="",INDEX(LISTA_EX,167),INDEX(LISTA_EX,MATCH('T1'!$J75&amp;"|"&amp;167,LISTA_KLUCZ,0))),"")</f>
        <v/>
      </c>
      <c r="FN75" s="5" t="str">
        <f t="array" ref="FN75">IFERROR(IF('T1'!$J75="",INDEX(LISTA_EX,168),INDEX(LISTA_EX,MATCH('T1'!$J75&amp;"|"&amp;168,LISTA_KLUCZ,0))),"")</f>
        <v/>
      </c>
      <c r="FO75" s="5" t="str">
        <f t="array" ref="FO75">IFERROR(IF('T1'!$J75="",INDEX(LISTA_EX,169),INDEX(LISTA_EX,MATCH('T1'!$J75&amp;"|"&amp;169,LISTA_KLUCZ,0))),"")</f>
        <v/>
      </c>
      <c r="FP75" s="5" t="str">
        <f t="array" ref="FP75">IFERROR(IF('T1'!$J75="",INDEX(LISTA_EX,170),INDEX(LISTA_EX,MATCH('T1'!$J75&amp;"|"&amp;170,LISTA_KLUCZ,0))),"")</f>
        <v/>
      </c>
      <c r="FQ75" s="5" t="str">
        <f t="array" ref="FQ75">IFERROR(IF('T1'!$J75="",INDEX(LISTA_EX,171),INDEX(LISTA_EX,MATCH('T1'!$J75&amp;"|"&amp;171,LISTA_KLUCZ,0))),"")</f>
        <v/>
      </c>
      <c r="FR75" s="5" t="str">
        <f t="array" ref="FR75">IFERROR(IF('T1'!$J75="",INDEX(LISTA_EX,172),INDEX(LISTA_EX,MATCH('T1'!$J75&amp;"|"&amp;172,LISTA_KLUCZ,0))),"")</f>
        <v/>
      </c>
      <c r="FS75" s="5" t="str">
        <f t="array" ref="FS75">IFERROR(IF('T1'!$J75="",INDEX(LISTA_EX,173),INDEX(LISTA_EX,MATCH('T1'!$J75&amp;"|"&amp;173,LISTA_KLUCZ,0))),"")</f>
        <v/>
      </c>
      <c r="FT75" s="5" t="str">
        <f t="array" ref="FT75">IFERROR(IF('T1'!$J75="",INDEX(LISTA_EX,174),INDEX(LISTA_EX,MATCH('T1'!$J75&amp;"|"&amp;174,LISTA_KLUCZ,0))),"")</f>
        <v/>
      </c>
      <c r="FU75" s="5" t="str">
        <f t="array" ref="FU75">IFERROR(IF('T1'!$J75="",INDEX(LISTA_EX,175),INDEX(LISTA_EX,MATCH('T1'!$J75&amp;"|"&amp;175,LISTA_KLUCZ,0))),"")</f>
        <v/>
      </c>
      <c r="FV75" s="5" t="str">
        <f t="array" ref="FV75">IFERROR(IF('T1'!$J75="",INDEX(LISTA_EX,176),INDEX(LISTA_EX,MATCH('T1'!$J75&amp;"|"&amp;176,LISTA_KLUCZ,0))),"")</f>
        <v/>
      </c>
      <c r="FW75" s="5" t="str">
        <f t="array" ref="FW75">IFERROR(IF('T1'!$J75="",INDEX(LISTA_EX,177),INDEX(LISTA_EX,MATCH('T1'!$J75&amp;"|"&amp;177,LISTA_KLUCZ,0))),"")</f>
        <v/>
      </c>
      <c r="FX75" s="5" t="str">
        <f t="array" ref="FX75">IFERROR(IF('T1'!$J75="",INDEX(LISTA_EX,178),INDEX(LISTA_EX,MATCH('T1'!$J75&amp;"|"&amp;178,LISTA_KLUCZ,0))),"")</f>
        <v/>
      </c>
      <c r="FY75" s="5" t="str">
        <f t="array" ref="FY75">IFERROR(IF('T1'!$J75="",INDEX(LISTA_EX,179),INDEX(LISTA_EX,MATCH('T1'!$J75&amp;"|"&amp;179,LISTA_KLUCZ,0))),"")</f>
        <v/>
      </c>
      <c r="FZ75" s="5" t="str">
        <f t="array" ref="FZ75">IFERROR(IF('T1'!$J75="",INDEX(LISTA_EX,180),INDEX(LISTA_EX,MATCH('T1'!$J75&amp;"|"&amp;180,LISTA_KLUCZ,0))),"")</f>
        <v/>
      </c>
      <c r="GA75" s="5" t="str">
        <f t="array" ref="GA75">IFERROR(IF('T1'!$J75="",INDEX(LISTA_EX,181),INDEX(LISTA_EX,MATCH('T1'!$J75&amp;"|"&amp;181,LISTA_KLUCZ,0))),"")</f>
        <v/>
      </c>
      <c r="GB75" s="5" t="str">
        <f t="array" ref="GB75">IFERROR(IF('T1'!$J75="",INDEX(LISTA_EX,182),INDEX(LISTA_EX,MATCH('T1'!$J75&amp;"|"&amp;182,LISTA_KLUCZ,0))),"")</f>
        <v/>
      </c>
      <c r="GC75" s="5" t="str">
        <f t="array" ref="GC75">IFERROR(IF('T1'!$J75="",INDEX(LISTA_EX,183),INDEX(LISTA_EX,MATCH('T1'!$J75&amp;"|"&amp;183,LISTA_KLUCZ,0))),"")</f>
        <v/>
      </c>
      <c r="GD75" s="5" t="str">
        <f t="array" ref="GD75">IFERROR(IF('T1'!$J75="",INDEX(LISTA_EX,184),INDEX(LISTA_EX,MATCH('T1'!$J75&amp;"|"&amp;184,LISTA_KLUCZ,0))),"")</f>
        <v/>
      </c>
      <c r="GE75" s="5" t="str">
        <f t="array" ref="GE75">IFERROR(IF('T1'!$J75="",INDEX(LISTA_EX,185),INDEX(LISTA_EX,MATCH('T1'!$J75&amp;"|"&amp;185,LISTA_KLUCZ,0))),"")</f>
        <v/>
      </c>
      <c r="GF75" s="5" t="str">
        <f t="array" ref="GF75">IFERROR(IF('T1'!$J75="",INDEX(LISTA_EX,186),INDEX(LISTA_EX,MATCH('T1'!$J75&amp;"|"&amp;186,LISTA_KLUCZ,0))),"")</f>
        <v/>
      </c>
      <c r="GG75" s="5" t="str">
        <f t="array" ref="GG75">IFERROR(IF('T1'!$J75="",INDEX(LISTA_EX,187),INDEX(LISTA_EX,MATCH('T1'!$J75&amp;"|"&amp;187,LISTA_KLUCZ,0))),"")</f>
        <v/>
      </c>
      <c r="GH75" s="5" t="str">
        <f t="array" ref="GH75">IFERROR(IF('T1'!$J75="",INDEX(LISTA_EX,188),INDEX(LISTA_EX,MATCH('T1'!$J75&amp;"|"&amp;188,LISTA_KLUCZ,0))),"")</f>
        <v/>
      </c>
      <c r="GI75" s="5" t="str">
        <f t="array" ref="GI75">IFERROR(IF('T1'!$J75="",INDEX(LISTA_EX,189),INDEX(LISTA_EX,MATCH('T1'!$J75&amp;"|"&amp;189,LISTA_KLUCZ,0))),"")</f>
        <v/>
      </c>
      <c r="GJ75" s="5" t="str">
        <f t="array" ref="GJ75">IFERROR(IF('T1'!$J75="",INDEX(LISTA_EX,190),INDEX(LISTA_EX,MATCH('T1'!$J75&amp;"|"&amp;190,LISTA_KLUCZ,0))),"")</f>
        <v/>
      </c>
      <c r="GK75" s="5" t="str">
        <f t="array" ref="GK75">IFERROR(IF('T1'!$J75="",INDEX(LISTA_EX,191),INDEX(LISTA_EX,MATCH('T1'!$J75&amp;"|"&amp;191,LISTA_KLUCZ,0))),"")</f>
        <v/>
      </c>
      <c r="GL75" s="5" t="str">
        <f t="array" ref="GL75">IFERROR(IF('T1'!$J75="",INDEX(LISTA_EX,192),INDEX(LISTA_EX,MATCH('T1'!$J75&amp;"|"&amp;192,LISTA_KLUCZ,0))),"")</f>
        <v/>
      </c>
      <c r="GM75" s="5" t="str">
        <f t="array" ref="GM75">IFERROR(IF('T1'!$J75="",INDEX(LISTA_EX,193),INDEX(LISTA_EX,MATCH('T1'!$J75&amp;"|"&amp;193,LISTA_KLUCZ,0))),"")</f>
        <v/>
      </c>
      <c r="GN75" s="5" t="str">
        <f t="array" ref="GN75">IFERROR(IF('T1'!$J75="",INDEX(LISTA_EX,194),INDEX(LISTA_EX,MATCH('T1'!$J75&amp;"|"&amp;194,LISTA_KLUCZ,0))),"")</f>
        <v/>
      </c>
      <c r="GO75" s="5" t="str">
        <f t="array" ref="GO75">IFERROR(IF('T1'!$J75="",INDEX(LISTA_EX,195),INDEX(LISTA_EX,MATCH('T1'!$J75&amp;"|"&amp;195,LISTA_KLUCZ,0))),"")</f>
        <v/>
      </c>
      <c r="GP75" s="5" t="str">
        <f t="array" ref="GP75">IFERROR(IF('T1'!$J75="",INDEX(LISTA_EX,196),INDEX(LISTA_EX,MATCH('T1'!$J75&amp;"|"&amp;196,LISTA_KLUCZ,0))),"")</f>
        <v/>
      </c>
      <c r="GQ75" s="5" t="str">
        <f t="array" ref="GQ75">IFERROR(IF('T1'!$J75="",INDEX(LISTA_EX,197),INDEX(LISTA_EX,MATCH('T1'!$J75&amp;"|"&amp;197,LISTA_KLUCZ,0))),"")</f>
        <v/>
      </c>
      <c r="GR75" s="5" t="str">
        <f t="array" ref="GR75">IFERROR(IF('T1'!$J75="",INDEX(LISTA_EX,198),INDEX(LISTA_EX,MATCH('T1'!$J75&amp;"|"&amp;198,LISTA_KLUCZ,0))),"")</f>
        <v/>
      </c>
      <c r="GS75" s="5" t="str">
        <f t="array" ref="GS75">IFERROR(IF('T1'!$J75="",INDEX(LISTA_EX,199),INDEX(LISTA_EX,MATCH('T1'!$J75&amp;"|"&amp;199,LISTA_KLUCZ,0))),"")</f>
        <v/>
      </c>
      <c r="GT75" s="5" t="str">
        <f t="array" ref="GT75">IFERROR(IF('T1'!$J75="",INDEX(LISTA_EX,200),INDEX(LISTA_EX,MATCH('T1'!$J75&amp;"|"&amp;200,LISTA_KLUCZ,0))),"")</f>
        <v/>
      </c>
      <c r="GV75" s="5" t="str">
        <f>IF(BAZA!$A75="","",BAZA!$A75)</f>
        <v>Glute crusher</v>
      </c>
      <c r="GW75" s="5" t="str">
        <f>IF(BAZA!$B75="","",BAZA!$B75&amp;"|"&amp;COUNTIF(BAZA!$B$3:$B75,BAZA!$B75))</f>
        <v>Lower pull|9</v>
      </c>
    </row>
    <row r="76" ht="15.0" customHeight="1">
      <c r="A76" s="5" t="str">
        <f>IF('T1'!$K76="","",'T1'!$K76)</f>
        <v>D5-S06</v>
      </c>
      <c r="B76" s="5" t="str">
        <f>IF('T1'!$J76="","(wszystkie)",'T1'!$J76)</f>
        <v>(wszystkie)</v>
      </c>
      <c r="C76" s="5" t="str">
        <f t="array" ref="C76">IFERROR(IF('T1'!$J76="",INDEX(LISTA_EX,1),INDEX(LISTA_EX,MATCH('T1'!$J76&amp;"|"&amp;1,LISTA_KLUCZ,0))),"")</f>
        <v>Abduction machine</v>
      </c>
      <c r="D76" s="5" t="str">
        <f t="array" ref="D76">IFERROR(IF('T1'!$J76="",INDEX(LISTA_EX,2),INDEX(LISTA_EX,MATCH('T1'!$J76&amp;"|"&amp;2,LISTA_KLUCZ,0))),"")</f>
        <v>Adduction machine</v>
      </c>
      <c r="E76" s="5" t="str">
        <f t="array" ref="E76">IFERROR(IF('T1'!$J76="",INDEX(LISTA_EX,3),INDEX(LISTA_EX,MATCH('T1'!$J76&amp;"|"&amp;3,LISTA_KLUCZ,0))),"")</f>
        <v>Allah</v>
      </c>
      <c r="F76" s="5" t="str">
        <f t="array" ref="F76">IFERROR(IF('T1'!$J76="",INDEX(LISTA_EX,4),INDEX(LISTA_EX,MATCH('T1'!$J76&amp;"|"&amp;4,LISTA_KLUCZ,0))),"")</f>
        <v>Arnold press</v>
      </c>
      <c r="G76" s="5" t="str">
        <f t="array" ref="G76">IFERROR(IF('T1'!$J76="",INDEX(LISTA_EX,5),INDEX(LISTA_EX,MATCH('T1'!$J76&amp;"|"&amp;5,LISTA_KLUCZ,0))),"")</f>
        <v>Arnold press alternating</v>
      </c>
      <c r="H76" s="5" t="str">
        <f t="array" ref="H76">IFERROR(IF('T1'!$J76="",INDEX(LISTA_EX,6),INDEX(LISTA_EX,MATCH('T1'!$J76&amp;"|"&amp;6,LISTA_KLUCZ,0))),"")</f>
        <v>B/l dragonflag eccentric</v>
      </c>
      <c r="I76" s="5" t="str">
        <f t="array" ref="I76">IFERROR(IF('T1'!$J76="",INDEX(LISTA_EX,7),INDEX(LISTA_EX,MATCH('T1'!$J76&amp;"|"&amp;7,LISTA_KLUCZ,0))),"")</f>
        <v>Back extension</v>
      </c>
      <c r="J76" s="5" t="str">
        <f t="array" ref="J76">IFERROR(IF('T1'!$J76="",INDEX(LISTA_EX,8),INDEX(LISTA_EX,MATCH('T1'!$J76&amp;"|"&amp;8,LISTA_KLUCZ,0))),"")</f>
        <v>Banded pistol squat</v>
      </c>
      <c r="K76" s="5" t="str">
        <f t="array" ref="K76">IFERROR(IF('T1'!$J76="",INDEX(LISTA_EX,9),INDEX(LISTA_EX,MATCH('T1'!$J76&amp;"|"&amp;9,LISTA_KLUCZ,0))),"")</f>
        <v>Banded pull ups</v>
      </c>
      <c r="L76" s="5" t="str">
        <f t="array" ref="L76">IFERROR(IF('T1'!$J76="",INDEX(LISTA_EX,10),INDEX(LISTA_EX,MATCH('T1'!$J76&amp;"|"&amp;10,LISTA_KLUCZ,0))),"")</f>
        <v>Barbell back squat</v>
      </c>
      <c r="M76" s="5" t="str">
        <f t="array" ref="M76">IFERROR(IF('T1'!$J76="",INDEX(LISTA_EX,11),INDEX(LISTA_EX,MATCH('T1'!$J76&amp;"|"&amp;11,LISTA_KLUCZ,0))),"")</f>
        <v>Barbell bench press</v>
      </c>
      <c r="N76" s="5" t="str">
        <f t="array" ref="N76">IFERROR(IF('T1'!$J76="",INDEX(LISTA_EX,12),INDEX(LISTA_EX,MATCH('T1'!$J76&amp;"|"&amp;12,LISTA_KLUCZ,0))),"")</f>
        <v>Barbell curl</v>
      </c>
      <c r="O76" s="5" t="str">
        <f t="array" ref="O76">IFERROR(IF('T1'!$J76="",INDEX(LISTA_EX,13),INDEX(LISTA_EX,MATCH('T1'!$J76&amp;"|"&amp;13,LISTA_KLUCZ,0))),"")</f>
        <v>Barbell low bar squat</v>
      </c>
      <c r="P76" s="5" t="str">
        <f t="array" ref="P76">IFERROR(IF('T1'!$J76="",INDEX(LISTA_EX,14),INDEX(LISTA_EX,MATCH('T1'!$J76&amp;"|"&amp;14,LISTA_KLUCZ,0))),"")</f>
        <v>Barbell OHP</v>
      </c>
      <c r="Q76" s="5" t="str">
        <f t="array" ref="Q76">IFERROR(IF('T1'!$J76="",INDEX(LISTA_EX,15),INDEX(LISTA_EX,MATCH('T1'!$J76&amp;"|"&amp;15,LISTA_KLUCZ,0))),"")</f>
        <v>Barbell oscilation</v>
      </c>
      <c r="R76" s="5" t="str">
        <f t="array" ref="R76">IFERROR(IF('T1'!$J76="",INDEX(LISTA_EX,16),INDEX(LISTA_EX,MATCH('T1'!$J76&amp;"|"&amp;16,LISTA_KLUCZ,0))),"")</f>
        <v>Barbell row</v>
      </c>
      <c r="S76" s="5" t="str">
        <f t="array" ref="S76">IFERROR(IF('T1'!$J76="",INDEX(LISTA_EX,17),INDEX(LISTA_EX,MATCH('T1'!$J76&amp;"|"&amp;17,LISTA_KLUCZ,0))),"")</f>
        <v>Barbell row dead stop pins</v>
      </c>
      <c r="T76" s="5" t="str">
        <f t="array" ref="T76">IFERROR(IF('T1'!$J76="",INDEX(LISTA_EX,18),INDEX(LISTA_EX,MATCH('T1'!$J76&amp;"|"&amp;18,LISTA_KLUCZ,0))),"")</f>
        <v>Barbell SLDL</v>
      </c>
      <c r="U76" s="5" t="str">
        <f t="array" ref="U76">IFERROR(IF('T1'!$J76="",INDEX(LISTA_EX,19),INDEX(LISTA_EX,MATCH('T1'!$J76&amp;"|"&amp;19,LISTA_KLUCZ,0))),"")</f>
        <v>Bayesian curl</v>
      </c>
      <c r="V76" s="5" t="str">
        <f t="array" ref="V76">IFERROR(IF('T1'!$J76="",INDEX(LISTA_EX,20),INDEX(LISTA_EX,MATCH('T1'!$J76&amp;"|"&amp;20,LISTA_KLUCZ,0))),"")</f>
        <v>Bear renegade row</v>
      </c>
      <c r="W76" s="5" t="str">
        <f t="array" ref="W76">IFERROR(IF('T1'!$J76="",INDEX(LISTA_EX,21),INDEX(LISTA_EX,MATCH('T1'!$J76&amp;"|"&amp;21,LISTA_KLUCZ,0))),"")</f>
        <v>Bench press paused 3sec</v>
      </c>
      <c r="X76" s="5" t="str">
        <f t="array" ref="X76">IFERROR(IF('T1'!$J76="",INDEX(LISTA_EX,22),INDEX(LISTA_EX,MATCH('T1'!$J76&amp;"|"&amp;22,LISTA_KLUCZ,0))),"")</f>
        <v>Bicep hammer curl</v>
      </c>
      <c r="Y76" s="5" t="str">
        <f t="array" ref="Y76">IFERROR(IF('T1'!$J76="",INDEX(LISTA_EX,23),INDEX(LISTA_EX,MATCH('T1'!$J76&amp;"|"&amp;23,LISTA_KLUCZ,0))),"")</f>
        <v>Bicep squat cable curl</v>
      </c>
      <c r="Z76" s="5" t="str">
        <f t="array" ref="Z76">IFERROR(IF('T1'!$J76="",INDEX(LISTA_EX,24),INDEX(LISTA_EX,MATCH('T1'!$J76&amp;"|"&amp;24,LISTA_KLUCZ,0))),"")</f>
        <v>Bird dog row</v>
      </c>
      <c r="AA76" s="5" t="str">
        <f t="array" ref="AA76">IFERROR(IF('T1'!$J76="",INDEX(LISTA_EX,25),INDEX(LISTA_EX,MATCH('T1'!$J76&amp;"|"&amp;25,LISTA_KLUCZ,0))),"")</f>
        <v>Box jump</v>
      </c>
      <c r="AB76" s="5" t="str">
        <f t="array" ref="AB76">IFERROR(IF('T1'!$J76="",INDEX(LISTA_EX,26),INDEX(LISTA_EX,MATCH('T1'!$J76&amp;"|"&amp;26,LISTA_KLUCZ,0))),"")</f>
        <v>Bulgarian clean plyo</v>
      </c>
      <c r="AC76" s="5" t="str">
        <f t="array" ref="AC76">IFERROR(IF('T1'!$J76="",INDEX(LISTA_EX,27),INDEX(LISTA_EX,MATCH('T1'!$J76&amp;"|"&amp;27,LISTA_KLUCZ,0))),"")</f>
        <v>Bulgarian squat assisted</v>
      </c>
      <c r="AD76" s="5" t="str">
        <f t="array" ref="AD76">IFERROR(IF('T1'!$J76="",INDEX(LISTA_EX,28),INDEX(LISTA_EX,MATCH('T1'!$J76&amp;"|"&amp;28,LISTA_KLUCZ,0))),"")</f>
        <v>Cable biceps curl</v>
      </c>
      <c r="AE76" s="5" t="str">
        <f t="array" ref="AE76">IFERROR(IF('T1'!$J76="",INDEX(LISTA_EX,29),INDEX(LISTA_EX,MATCH('T1'!$J76&amp;"|"&amp;29,LISTA_KLUCZ,0))),"")</f>
        <v>Cable fly</v>
      </c>
      <c r="AF76" s="5" t="str">
        <f t="array" ref="AF76">IFERROR(IF('T1'!$J76="",INDEX(LISTA_EX,30),INDEX(LISTA_EX,MATCH('T1'!$J76&amp;"|"&amp;30,LISTA_KLUCZ,0))),"")</f>
        <v>Cable lateral raise s/a</v>
      </c>
      <c r="AG76" s="5" t="str">
        <f t="array" ref="AG76">IFERROR(IF('T1'!$J76="",INDEX(LISTA_EX,31),INDEX(LISTA_EX,MATCH('T1'!$J76&amp;"|"&amp;31,LISTA_KLUCZ,0))),"")</f>
        <v>Cable row</v>
      </c>
      <c r="AH76" s="5" t="str">
        <f t="array" ref="AH76">IFERROR(IF('T1'!$J76="",INDEX(LISTA_EX,32),INDEX(LISTA_EX,MATCH('T1'!$J76&amp;"|"&amp;32,LISTA_KLUCZ,0))),"")</f>
        <v>Cable row s/a</v>
      </c>
      <c r="AI76" s="5" t="str">
        <f t="array" ref="AI76">IFERROR(IF('T1'!$J76="",INDEX(LISTA_EX,33),INDEX(LISTA_EX,MATCH('T1'!$J76&amp;"|"&amp;33,LISTA_KLUCZ,0))),"")</f>
        <v>Calf raises</v>
      </c>
      <c r="AJ76" s="5" t="str">
        <f t="array" ref="AJ76">IFERROR(IF('T1'!$J76="",INDEX(LISTA_EX,34),INDEX(LISTA_EX,MATCH('T1'!$J76&amp;"|"&amp;34,LISTA_KLUCZ,0))),"")</f>
        <v>Chest fly machine</v>
      </c>
      <c r="AK76" s="5" t="str">
        <f t="array" ref="AK76">IFERROR(IF('T1'!$J76="",INDEX(LISTA_EX,35),INDEX(LISTA_EX,MATCH('T1'!$J76&amp;"|"&amp;35,LISTA_KLUCZ,0))),"")</f>
        <v>Clean</v>
      </c>
      <c r="AL76" s="5" t="str">
        <f t="array" ref="AL76">IFERROR(IF('T1'!$J76="",INDEX(LISTA_EX,36),INDEX(LISTA_EX,MATCH('T1'!$J76&amp;"|"&amp;36,LISTA_KLUCZ,0))),"")</f>
        <v>Clean pins</v>
      </c>
      <c r="AM76" s="5" t="str">
        <f t="array" ref="AM76">IFERROR(IF('T1'!$J76="",INDEX(LISTA_EX,37),INDEX(LISTA_EX,MATCH('T1'!$J76&amp;"|"&amp;37,LISTA_KLUCZ,0))),"")</f>
        <v>Copenhagen plank</v>
      </c>
      <c r="AN76" s="5" t="str">
        <f t="array" ref="AN76">IFERROR(IF('T1'!$J76="",INDEX(LISTA_EX,38),INDEX(LISTA_EX,MATCH('T1'!$J76&amp;"|"&amp;38,LISTA_KLUCZ,0))),"")</f>
        <v>Dead bug izo + OH</v>
      </c>
      <c r="AO76" s="5" t="str">
        <f t="array" ref="AO76">IFERROR(IF('T1'!$J76="",INDEX(LISTA_EX,39),INDEX(LISTA_EX,MATCH('T1'!$J76&amp;"|"&amp;39,LISTA_KLUCZ,0))),"")</f>
        <v>Dead bug straight legs</v>
      </c>
      <c r="AP76" s="5" t="str">
        <f t="array" ref="AP76">IFERROR(IF('T1'!$J76="",INDEX(LISTA_EX,40),INDEX(LISTA_EX,MATCH('T1'!$J76&amp;"|"&amp;40,LISTA_KLUCZ,0))),"")</f>
        <v>Dead stop barbell row</v>
      </c>
      <c r="AQ76" s="5" t="str">
        <f t="array" ref="AQ76">IFERROR(IF('T1'!$J76="",INDEX(LISTA_EX,41),INDEX(LISTA_EX,MATCH('T1'!$J76&amp;"|"&amp;41,LISTA_KLUCZ,0))),"")</f>
        <v>Deadbug OH</v>
      </c>
      <c r="AR76" s="5" t="str">
        <f t="array" ref="AR76">IFERROR(IF('T1'!$J76="",INDEX(LISTA_EX,42),INDEX(LISTA_EX,MATCH('T1'!$J76&amp;"|"&amp;42,LISTA_KLUCZ,0))),"")</f>
        <v>Deadlift</v>
      </c>
      <c r="AS76" s="5" t="str">
        <f t="array" ref="AS76">IFERROR(IF('T1'!$J76="",INDEX(LISTA_EX,43),INDEX(LISTA_EX,MATCH('T1'!$J76&amp;"|"&amp;43,LISTA_KLUCZ,0))),"")</f>
        <v>Deficit push up</v>
      </c>
      <c r="AT76" s="5" t="str">
        <f t="array" ref="AT76">IFERROR(IF('T1'!$J76="",INDEX(LISTA_EX,44),INDEX(LISTA_EX,MATCH('T1'!$J76&amp;"|"&amp;44,LISTA_KLUCZ,0))),"")</f>
        <v>Deficit reverse lunge</v>
      </c>
      <c r="AU76" s="5" t="str">
        <f t="array" ref="AU76">IFERROR(IF('T1'!$J76="",INDEX(LISTA_EX,45),INDEX(LISTA_EX,MATCH('T1'!$J76&amp;"|"&amp;45,LISTA_KLUCZ,0))),"")</f>
        <v>Dips</v>
      </c>
      <c r="AV76" s="5" t="str">
        <f t="array" ref="AV76">IFERROR(IF('T1'!$J76="",INDEX(LISTA_EX,46),INDEX(LISTA_EX,MATCH('T1'!$J76&amp;"|"&amp;46,LISTA_KLUCZ,0))),"")</f>
        <v>Dips weighted</v>
      </c>
      <c r="AW76" s="5" t="str">
        <f t="array" ref="AW76">IFERROR(IF('T1'!$J76="",INDEX(LISTA_EX,47),INDEX(LISTA_EX,MATCH('T1'!$J76&amp;"|"&amp;47,LISTA_KLUCZ,0))),"")</f>
        <v>Dumbbell bench press</v>
      </c>
      <c r="AX76" s="5" t="str">
        <f t="array" ref="AX76">IFERROR(IF('T1'!$J76="",INDEX(LISTA_EX,48),INDEX(LISTA_EX,MATCH('T1'!$J76&amp;"|"&amp;48,LISTA_KLUCZ,0))),"")</f>
        <v>Dumbbell bench press alternating</v>
      </c>
      <c r="AY76" s="5" t="str">
        <f t="array" ref="AY76">IFERROR(IF('T1'!$J76="",INDEX(LISTA_EX,49),INDEX(LISTA_EX,MATCH('T1'!$J76&amp;"|"&amp;49,LISTA_KLUCZ,0))),"")</f>
        <v>Dumbbell curl</v>
      </c>
      <c r="AZ76" s="5" t="str">
        <f t="array" ref="AZ76">IFERROR(IF('T1'!$J76="",INDEX(LISTA_EX,50),INDEX(LISTA_EX,MATCH('T1'!$J76&amp;"|"&amp;50,LISTA_KLUCZ,0))),"")</f>
        <v>Dumbbell external rotation</v>
      </c>
      <c r="BA76" s="5" t="str">
        <f t="array" ref="BA76">IFERROR(IF('T1'!$J76="",INDEX(LISTA_EX,51),INDEX(LISTA_EX,MATCH('T1'!$J76&amp;"|"&amp;51,LISTA_KLUCZ,0))),"")</f>
        <v>Dumbbell face down curl</v>
      </c>
      <c r="BB76" s="5" t="str">
        <f t="array" ref="BB76">IFERROR(IF('T1'!$J76="",INDEX(LISTA_EX,52),INDEX(LISTA_EX,MATCH('T1'!$J76&amp;"|"&amp;52,LISTA_KLUCZ,0))),"")</f>
        <v>Dumbbell fly</v>
      </c>
      <c r="BC76" s="5" t="str">
        <f t="array" ref="BC76">IFERROR(IF('T1'!$J76="",INDEX(LISTA_EX,53),INDEX(LISTA_EX,MATCH('T1'!$J76&amp;"|"&amp;53,LISTA_KLUCZ,0))),"")</f>
        <v>Dumbbell french press</v>
      </c>
      <c r="BD76" s="5" t="str">
        <f t="array" ref="BD76">IFERROR(IF('T1'!$J76="",INDEX(LISTA_EX,54),INDEX(LISTA_EX,MATCH('T1'!$J76&amp;"|"&amp;54,LISTA_KLUCZ,0))),"")</f>
        <v>Dumbbell lateral raise</v>
      </c>
      <c r="BE76" s="5" t="str">
        <f t="array" ref="BE76">IFERROR(IF('T1'!$J76="",INDEX(LISTA_EX,55),INDEX(LISTA_EX,MATCH('T1'!$J76&amp;"|"&amp;55,LISTA_KLUCZ,0))),"")</f>
        <v>Dumbbell lunges</v>
      </c>
      <c r="BF76" s="5" t="str">
        <f t="array" ref="BF76">IFERROR(IF('T1'!$J76="",INDEX(LISTA_EX,56),INDEX(LISTA_EX,MATCH('T1'!$J76&amp;"|"&amp;56,LISTA_KLUCZ,0))),"")</f>
        <v>Dumbbell OH press</v>
      </c>
      <c r="BG76" s="5" t="str">
        <f t="array" ref="BG76">IFERROR(IF('T1'!$J76="",INDEX(LISTA_EX,57),INDEX(LISTA_EX,MATCH('T1'!$J76&amp;"|"&amp;57,LISTA_KLUCZ,0))),"")</f>
        <v>Dumbbell over head press</v>
      </c>
      <c r="BH76" s="5" t="str">
        <f t="array" ref="BH76">IFERROR(IF('T1'!$J76="",INDEX(LISTA_EX,58),INDEX(LISTA_EX,MATCH('T1'!$J76&amp;"|"&amp;58,LISTA_KLUCZ,0))),"")</f>
        <v>Dumbbell over head press alternating</v>
      </c>
      <c r="BI76" s="5" t="str">
        <f t="array" ref="BI76">IFERROR(IF('T1'!$J76="",INDEX(LISTA_EX,59),INDEX(LISTA_EX,MATCH('T1'!$J76&amp;"|"&amp;59,LISTA_KLUCZ,0))),"")</f>
        <v>Dumbbell row</v>
      </c>
      <c r="BJ76" s="5" t="str">
        <f t="array" ref="BJ76">IFERROR(IF('T1'!$J76="",INDEX(LISTA_EX,60),INDEX(LISTA_EX,MATCH('T1'!$J76&amp;"|"&amp;60,LISTA_KLUCZ,0))),"")</f>
        <v>Dumbbell s/a Arnold press</v>
      </c>
      <c r="BK76" s="5" t="str">
        <f t="array" ref="BK76">IFERROR(IF('T1'!$J76="",INDEX(LISTA_EX,61),INDEX(LISTA_EX,MATCH('T1'!$J76&amp;"|"&amp;61,LISTA_KLUCZ,0))),"")</f>
        <v>Dumbbell s/a row</v>
      </c>
      <c r="BL76" s="5" t="str">
        <f t="array" ref="BL76">IFERROR(IF('T1'!$J76="",INDEX(LISTA_EX,62),INDEX(LISTA_EX,MATCH('T1'!$J76&amp;"|"&amp;62,LISTA_KLUCZ,0))),"")</f>
        <v>Dumbbell seal row</v>
      </c>
      <c r="BM76" s="5" t="str">
        <f t="array" ref="BM76">IFERROR(IF('T1'!$J76="",INDEX(LISTA_EX,63),INDEX(LISTA_EX,MATCH('T1'!$J76&amp;"|"&amp;63,LISTA_KLUCZ,0))),"")</f>
        <v>Dumbbells jumps</v>
      </c>
      <c r="BN76" s="5" t="str">
        <f t="array" ref="BN76">IFERROR(IF('T1'!$J76="",INDEX(LISTA_EX,64),INDEX(LISTA_EX,MATCH('T1'!$J76&amp;"|"&amp;64,LISTA_KLUCZ,0))),"")</f>
        <v>Eccentric pull up</v>
      </c>
      <c r="BO76" s="5" t="str">
        <f t="array" ref="BO76">IFERROR(IF('T1'!$J76="",INDEX(LISTA_EX,65),INDEX(LISTA_EX,MATCH('T1'!$J76&amp;"|"&amp;65,LISTA_KLUCZ,0))),"")</f>
        <v>Eccentric push up (5 sek w dół)</v>
      </c>
      <c r="BP76" s="5" t="str">
        <f t="array" ref="BP76">IFERROR(IF('T1'!$J76="",INDEX(LISTA_EX,66),INDEX(LISTA_EX,MATCH('T1'!$J76&amp;"|"&amp;66,LISTA_KLUCZ,0))),"")</f>
        <v>Extensive plyo jumps s/l</v>
      </c>
      <c r="BQ76" s="5" t="str">
        <f t="array" ref="BQ76">IFERROR(IF('T1'!$J76="",INDEX(LISTA_EX,67),INDEX(LISTA_EX,MATCH('T1'!$J76&amp;"|"&amp;67,LISTA_KLUCZ,0))),"")</f>
        <v>Ez bar curl</v>
      </c>
      <c r="BR76" s="5" t="str">
        <f t="array" ref="BR76">IFERROR(IF('T1'!$J76="",INDEX(LISTA_EX,68),INDEX(LISTA_EX,MATCH('T1'!$J76&amp;"|"&amp;68,LISTA_KLUCZ,0))),"")</f>
        <v>Facepull chest supported</v>
      </c>
      <c r="BS76" s="5" t="str">
        <f t="array" ref="BS76">IFERROR(IF('T1'!$J76="",INDEX(LISTA_EX,69),INDEX(LISTA_EX,MATCH('T1'!$J76&amp;"|"&amp;69,LISTA_KLUCZ,0))),"")</f>
        <v>Front foot elevated split squat</v>
      </c>
      <c r="BT76" s="5" t="str">
        <f t="array" ref="BT76">IFERROR(IF('T1'!$J76="",INDEX(LISTA_EX,70),INDEX(LISTA_EX,MATCH('T1'!$J76&amp;"|"&amp;70,LISTA_KLUCZ,0))),"")</f>
        <v>Front squat</v>
      </c>
      <c r="BU76" s="5" t="str">
        <f t="array" ref="BU76">IFERROR(IF('T1'!$J76="",INDEX(LISTA_EX,71),INDEX(LISTA_EX,MATCH('T1'!$J76&amp;"|"&amp;71,LISTA_KLUCZ,0))),"")</f>
        <v>GHD flexion</v>
      </c>
      <c r="BV76" s="5" t="str">
        <f t="array" ref="BV76">IFERROR(IF('T1'!$J76="",INDEX(LISTA_EX,72),INDEX(LISTA_EX,MATCH('T1'!$J76&amp;"|"&amp;72,LISTA_KLUCZ,0))),"")</f>
        <v>Glute bridge hamstrings izo + OH</v>
      </c>
      <c r="BW76" s="5" t="str">
        <f t="array" ref="BW76">IFERROR(IF('T1'!$J76="",INDEX(LISTA_EX,73),INDEX(LISTA_EX,MATCH('T1'!$J76&amp;"|"&amp;73,LISTA_KLUCZ,0))),"")</f>
        <v>Glute crusher</v>
      </c>
      <c r="BX76" s="5" t="str">
        <f t="array" ref="BX76">IFERROR(IF('T1'!$J76="",INDEX(LISTA_EX,74),INDEX(LISTA_EX,MATCH('T1'!$J76&amp;"|"&amp;74,LISTA_KLUCZ,0))),"")</f>
        <v>Gorilla row</v>
      </c>
      <c r="BY76" s="5" t="str">
        <f t="array" ref="BY76">IFERROR(IF('T1'!$J76="",INDEX(LISTA_EX,75),INDEX(LISTA_EX,MATCH('T1'!$J76&amp;"|"&amp;75,LISTA_KLUCZ,0))),"")</f>
        <v>Halfkneeling s/a cable pull</v>
      </c>
      <c r="BZ76" s="5" t="str">
        <f t="array" ref="BZ76">IFERROR(IF('T1'!$J76="",INDEX(LISTA_EX,76),INDEX(LISTA_EX,MATCH('T1'!$J76&amp;"|"&amp;76,LISTA_KLUCZ,0))),"")</f>
        <v>Halfkneeling wood chopper</v>
      </c>
      <c r="CA76" s="5" t="str">
        <f t="array" ref="CA76">IFERROR(IF('T1'!$J76="",INDEX(LISTA_EX,77),INDEX(LISTA_EX,MATCH('T1'!$J76&amp;"|"&amp;77,LISTA_KLUCZ,0))),"")</f>
        <v>Hinged dumbbell row</v>
      </c>
      <c r="CB76" s="5" t="str">
        <f t="array" ref="CB76">IFERROR(IF('T1'!$J76="",INDEX(LISTA_EX,78),INDEX(LISTA_EX,MATCH('T1'!$J76&amp;"|"&amp;78,LISTA_KLUCZ,0))),"")</f>
        <v>Hip aeroplane</v>
      </c>
      <c r="CC76" s="5" t="str">
        <f t="array" ref="CC76">IFERROR(IF('T1'!$J76="",INDEX(LISTA_EX,79),INDEX(LISTA_EX,MATCH('T1'!$J76&amp;"|"&amp;79,LISTA_KLUCZ,0))),"")</f>
        <v>Hip flexors cable</v>
      </c>
      <c r="CD76" s="5" t="str">
        <f t="array" ref="CD76">IFERROR(IF('T1'!$J76="",INDEX(LISTA_EX,80),INDEX(LISTA_EX,MATCH('T1'!$J76&amp;"|"&amp;80,LISTA_KLUCZ,0))),"")</f>
        <v>Hip thrust barbell</v>
      </c>
      <c r="CE76" s="5" t="str">
        <f t="array" ref="CE76">IFERROR(IF('T1'!$J76="",INDEX(LISTA_EX,81),INDEX(LISTA_EX,MATCH('T1'!$J76&amp;"|"&amp;81,LISTA_KLUCZ,0))),"")</f>
        <v>Hollow body + OH</v>
      </c>
      <c r="CF76" s="5" t="str">
        <f t="array" ref="CF76">IFERROR(IF('T1'!$J76="",INDEX(LISTA_EX,82),INDEX(LISTA_EX,MATCH('T1'!$J76&amp;"|"&amp;82,LISTA_KLUCZ,0))),"")</f>
        <v>Horizontal jump</v>
      </c>
      <c r="CG76" s="5" t="str">
        <f t="array" ref="CG76">IFERROR(IF('T1'!$J76="",INDEX(LISTA_EX,83),INDEX(LISTA_EX,MATCH('T1'!$J76&amp;"|"&amp;83,LISTA_KLUCZ,0))),"")</f>
        <v>Incline bench lateral raise s/a</v>
      </c>
      <c r="CH76" s="5" t="str">
        <f t="array" ref="CH76">IFERROR(IF('T1'!$J76="",INDEX(LISTA_EX,84),INDEX(LISTA_EX,MATCH('T1'!$J76&amp;"|"&amp;84,LISTA_KLUCZ,0))),"")</f>
        <v>Incline curl + OHP</v>
      </c>
      <c r="CI76" s="5" t="str">
        <f t="array" ref="CI76">IFERROR(IF('T1'!$J76="",INDEX(LISTA_EX,85),INDEX(LISTA_EX,MATCH('T1'!$J76&amp;"|"&amp;85,LISTA_KLUCZ,0))),"")</f>
        <v>Incline dumbbell curl</v>
      </c>
      <c r="CJ76" s="5" t="str">
        <f t="array" ref="CJ76">IFERROR(IF('T1'!$J76="",INDEX(LISTA_EX,86),INDEX(LISTA_EX,MATCH('T1'!$J76&amp;"|"&amp;86,LISTA_KLUCZ,0))),"")</f>
        <v>Incline dumbbell curl (back)</v>
      </c>
      <c r="CK76" s="5" t="str">
        <f t="array" ref="CK76">IFERROR(IF('T1'!$J76="",INDEX(LISTA_EX,87),INDEX(LISTA_EX,MATCH('T1'!$J76&amp;"|"&amp;87,LISTA_KLUCZ,0))),"")</f>
        <v>Incline dumbbell curl (front)</v>
      </c>
      <c r="CL76" s="5" t="str">
        <f t="array" ref="CL76">IFERROR(IF('T1'!$J76="",INDEX(LISTA_EX,88),INDEX(LISTA_EX,MATCH('T1'!$J76&amp;"|"&amp;88,LISTA_KLUCZ,0))),"")</f>
        <v>Incline dumbbell fly</v>
      </c>
      <c r="CM76" s="5" t="str">
        <f t="array" ref="CM76">IFERROR(IF('T1'!$J76="",INDEX(LISTA_EX,89),INDEX(LISTA_EX,MATCH('T1'!$J76&amp;"|"&amp;89,LISTA_KLUCZ,0))),"")</f>
        <v>Incline dumbbell press</v>
      </c>
      <c r="CN76" s="5" t="str">
        <f t="array" ref="CN76">IFERROR(IF('T1'!$J76="",INDEX(LISTA_EX,90),INDEX(LISTA_EX,MATCH('T1'!$J76&amp;"|"&amp;90,LISTA_KLUCZ,0))),"")</f>
        <v>Incline dumbbell press alternating</v>
      </c>
      <c r="CO76" s="5" t="str">
        <f t="array" ref="CO76">IFERROR(IF('T1'!$J76="",INDEX(LISTA_EX,91),INDEX(LISTA_EX,MATCH('T1'!$J76&amp;"|"&amp;91,LISTA_KLUCZ,0))),"")</f>
        <v>Incline sit-ups</v>
      </c>
      <c r="CP76" s="5" t="str">
        <f t="array" ref="CP76">IFERROR(IF('T1'!$J76="",INDEX(LISTA_EX,92),INDEX(LISTA_EX,MATCH('T1'!$J76&amp;"|"&amp;92,LISTA_KLUCZ,0))),"")</f>
        <v>Jefferson cable</v>
      </c>
      <c r="CQ76" s="5" t="str">
        <f t="array" ref="CQ76">IFERROR(IF('T1'!$J76="",INDEX(LISTA_EX,93),INDEX(LISTA_EX,MATCH('T1'!$J76&amp;"|"&amp;93,LISTA_KLUCZ,0))),"")</f>
        <v>Kettlebell march</v>
      </c>
      <c r="CR76" s="5" t="str">
        <f t="array" ref="CR76">IFERROR(IF('T1'!$J76="",INDEX(LISTA_EX,94),INDEX(LISTA_EX,MATCH('T1'!$J76&amp;"|"&amp;94,LISTA_KLUCZ,0))),"")</f>
        <v>Kickbacks</v>
      </c>
      <c r="CS76" s="5" t="str">
        <f t="array" ref="CS76">IFERROR(IF('T1'!$J76="",INDEX(LISTA_EX,95),INDEX(LISTA_EX,MATCH('T1'!$J76&amp;"|"&amp;95,LISTA_KLUCZ,0))),"")</f>
        <v>Knee extension machine</v>
      </c>
      <c r="CT76" s="5" t="str">
        <f t="array" ref="CT76">IFERROR(IF('T1'!$J76="",INDEX(LISTA_EX,96),INDEX(LISTA_EX,MATCH('T1'!$J76&amp;"|"&amp;96,LISTA_KLUCZ,0))),"")</f>
        <v>Knee flexion machine</v>
      </c>
      <c r="CU76" s="5" t="str">
        <f t="array" ref="CU76">IFERROR(IF('T1'!$J76="",INDEX(LISTA_EX,97),INDEX(LISTA_EX,MATCH('T1'!$J76&amp;"|"&amp;97,LISTA_KLUCZ,0))),"")</f>
        <v>Knee raises</v>
      </c>
      <c r="CV76" s="5" t="str">
        <f t="array" ref="CV76">IFERROR(IF('T1'!$J76="",INDEX(LISTA_EX,98),INDEX(LISTA_EX,MATCH('T1'!$J76&amp;"|"&amp;98,LISTA_KLUCZ,0))),"")</f>
        <v>Landmine core</v>
      </c>
      <c r="CW76" s="5" t="str">
        <f t="array" ref="CW76">IFERROR(IF('T1'!$J76="",INDEX(LISTA_EX,99),INDEX(LISTA_EX,MATCH('T1'!$J76&amp;"|"&amp;99,LISTA_KLUCZ,0))),"")</f>
        <v>Landmine press</v>
      </c>
      <c r="CX76" s="5" t="str">
        <f t="array" ref="CX76">IFERROR(IF('T1'!$J76="",INDEX(LISTA_EX,100),INDEX(LISTA_EX,MATCH('T1'!$J76&amp;"|"&amp;100,LISTA_KLUCZ,0))),"")</f>
        <v>Landmine rotations (powtórzenia x2)</v>
      </c>
      <c r="CY76" s="5" t="str">
        <f t="array" ref="CY76">IFERROR(IF('T1'!$J76="",INDEX(LISTA_EX,101),INDEX(LISTA_EX,MATCH('T1'!$J76&amp;"|"&amp;101,LISTA_KLUCZ,0))),"")</f>
        <v>Landmine SLDL</v>
      </c>
      <c r="CZ76" s="5" t="str">
        <f t="array" ref="CZ76">IFERROR(IF('T1'!$J76="",INDEX(LISTA_EX,102),INDEX(LISTA_EX,MATCH('T1'!$J76&amp;"|"&amp;102,LISTA_KLUCZ,0))),"")</f>
        <v>Lat pulldown</v>
      </c>
      <c r="DA76" s="5" t="str">
        <f t="array" ref="DA76">IFERROR(IF('T1'!$J76="",INDEX(LISTA_EX,103),INDEX(LISTA_EX,MATCH('T1'!$J76&amp;"|"&amp;103,LISTA_KLUCZ,0))),"")</f>
        <v>Lat pulldown behind the head</v>
      </c>
      <c r="DB76" s="5" t="str">
        <f t="array" ref="DB76">IFERROR(IF('T1'!$J76="",INDEX(LISTA_EX,104),INDEX(LISTA_EX,MATCH('T1'!$J76&amp;"|"&amp;104,LISTA_KLUCZ,0))),"")</f>
        <v>Lat pulldown s/a</v>
      </c>
      <c r="DC76" s="5" t="str">
        <f t="array" ref="DC76">IFERROR(IF('T1'!$J76="",INDEX(LISTA_EX,105),INDEX(LISTA_EX,MATCH('T1'!$J76&amp;"|"&amp;105,LISTA_KLUCZ,0))),"")</f>
        <v>Lateral raise s/a</v>
      </c>
      <c r="DD76" s="5" t="str">
        <f t="array" ref="DD76">IFERROR(IF('T1'!$J76="",INDEX(LISTA_EX,106),INDEX(LISTA_EX,MATCH('T1'!$J76&amp;"|"&amp;106,LISTA_KLUCZ,0))),"")</f>
        <v>Lateral raises</v>
      </c>
      <c r="DE76" s="5" t="str">
        <f t="array" ref="DE76">IFERROR(IF('T1'!$J76="",INDEX(LISTA_EX,107),INDEX(LISTA_EX,MATCH('T1'!$J76&amp;"|"&amp;107,LISTA_KLUCZ,0))),"")</f>
        <v>Lateral raises 2</v>
      </c>
      <c r="DF76" s="5" t="str">
        <f t="array" ref="DF76">IFERROR(IF('T1'!$J76="",INDEX(LISTA_EX,108),INDEX(LISTA_EX,MATCH('T1'!$J76&amp;"|"&amp;108,LISTA_KLUCZ,0))),"")</f>
        <v>Lateral raises full ROM</v>
      </c>
      <c r="DG76" s="5" t="str">
        <f t="array" ref="DG76">IFERROR(IF('T1'!$J76="",INDEX(LISTA_EX,109),INDEX(LISTA_EX,MATCH('T1'!$J76&amp;"|"&amp;109,LISTA_KLUCZ,0))),"")</f>
        <v>Lateral raises hinged</v>
      </c>
      <c r="DH76" s="5" t="str">
        <f t="array" ref="DH76">IFERROR(IF('T1'!$J76="",INDEX(LISTA_EX,110),INDEX(LISTA_EX,MATCH('T1'!$J76&amp;"|"&amp;110,LISTA_KLUCZ,0))),"")</f>
        <v>Lateral raises incline s/a</v>
      </c>
      <c r="DI76" s="5" t="str">
        <f t="array" ref="DI76">IFERROR(IF('T1'!$J76="",INDEX(LISTA_EX,111),INDEX(LISTA_EX,MATCH('T1'!$J76&amp;"|"&amp;111,LISTA_KLUCZ,0))),"")</f>
        <v>Leg curl</v>
      </c>
      <c r="DJ76" s="5" t="str">
        <f t="array" ref="DJ76">IFERROR(IF('T1'!$J76="",INDEX(LISTA_EX,112),INDEX(LISTA_EX,MATCH('T1'!$J76&amp;"|"&amp;112,LISTA_KLUCZ,0))),"")</f>
        <v>Machine row</v>
      </c>
      <c r="DK76" s="5" t="str">
        <f t="array" ref="DK76">IFERROR(IF('T1'!$J76="",INDEX(LISTA_EX,113),INDEX(LISTA_EX,MATCH('T1'!$J76&amp;"|"&amp;113,LISTA_KLUCZ,0))),"")</f>
        <v>Machine row s/a</v>
      </c>
      <c r="DL76" s="5" t="str">
        <f t="array" ref="DL76">IFERROR(IF('T1'!$J76="",INDEX(LISTA_EX,114),INDEX(LISTA_EX,MATCH('T1'!$J76&amp;"|"&amp;114,LISTA_KLUCZ,0))),"")</f>
        <v>Meadows row</v>
      </c>
      <c r="DM76" s="5" t="str">
        <f t="array" ref="DM76">IFERROR(IF('T1'!$J76="",INDEX(LISTA_EX,115),INDEX(LISTA_EX,MATCH('T1'!$J76&amp;"|"&amp;115,LISTA_KLUCZ,0))),"")</f>
        <v>Med ball slam</v>
      </c>
      <c r="DN76" s="5" t="str">
        <f t="array" ref="DN76">IFERROR(IF('T1'!$J76="",INDEX(LISTA_EX,116),INDEX(LISTA_EX,MATCH('T1'!$J76&amp;"|"&amp;116,LISTA_KLUCZ,0))),"")</f>
        <v>OH skullcrushers</v>
      </c>
      <c r="DO76" s="5" t="str">
        <f t="array" ref="DO76">IFERROR(IF('T1'!$J76="",INDEX(LISTA_EX,117),INDEX(LISTA_EX,MATCH('T1'!$J76&amp;"|"&amp;117,LISTA_KLUCZ,0))),"")</f>
        <v>OHP barbell squat 15kg</v>
      </c>
      <c r="DP76" s="5" t="str">
        <f t="array" ref="DP76">IFERROR(IF('T1'!$J76="",INDEX(LISTA_EX,118),INDEX(LISTA_EX,MATCH('T1'!$J76&amp;"|"&amp;118,LISTA_KLUCZ,0))),"")</f>
        <v>Pistol squat eccentric</v>
      </c>
      <c r="DQ76" s="5" t="str">
        <f t="array" ref="DQ76">IFERROR(IF('T1'!$J76="",INDEX(LISTA_EX,119),INDEX(LISTA_EX,MATCH('T1'!$J76&amp;"|"&amp;119,LISTA_KLUCZ,0))),"")</f>
        <v>Plank contralateral</v>
      </c>
      <c r="DR76" s="5" t="str">
        <f t="array" ref="DR76">IFERROR(IF('T1'!$J76="",INDEX(LISTA_EX,120),INDEX(LISTA_EX,MATCH('T1'!$J76&amp;"|"&amp;120,LISTA_KLUCZ,0))),"")</f>
        <v>Plank dumbbell rotation</v>
      </c>
      <c r="DS76" s="5" t="str">
        <f t="array" ref="DS76">IFERROR(IF('T1'!$J76="",INDEX(LISTA_EX,121),INDEX(LISTA_EX,MATCH('T1'!$J76&amp;"|"&amp;121,LISTA_KLUCZ,0))),"")</f>
        <v>Plank leg raises</v>
      </c>
      <c r="DT76" s="5" t="str">
        <f t="array" ref="DT76">IFERROR(IF('T1'!$J76="",INDEX(LISTA_EX,122),INDEX(LISTA_EX,MATCH('T1'!$J76&amp;"|"&amp;122,LISTA_KLUCZ,0))),"")</f>
        <v>Poliquin step up</v>
      </c>
      <c r="DU76" s="5" t="str">
        <f t="array" ref="DU76">IFERROR(IF('T1'!$J76="",INDEX(LISTA_EX,123),INDEX(LISTA_EX,MATCH('T1'!$J76&amp;"|"&amp;123,LISTA_KLUCZ,0))),"")</f>
        <v>Poliquin step up paused 3sec</v>
      </c>
      <c r="DV76" s="5" t="str">
        <f t="array" ref="DV76">IFERROR(IF('T1'!$J76="",INDEX(LISTA_EX,124),INDEX(LISTA_EX,MATCH('T1'!$J76&amp;"|"&amp;124,LISTA_KLUCZ,0))),"")</f>
        <v>Pronation/Supination</v>
      </c>
      <c r="DW76" s="5" t="str">
        <f t="array" ref="DW76">IFERROR(IF('T1'!$J76="",INDEX(LISTA_EX,125),INDEX(LISTA_EX,MATCH('T1'!$J76&amp;"|"&amp;125,LISTA_KLUCZ,0))),"")</f>
        <v>Pull up</v>
      </c>
      <c r="DX76" s="5" t="str">
        <f t="array" ref="DX76">IFERROR(IF('T1'!$J76="",INDEX(LISTA_EX,126),INDEX(LISTA_EX,MATCH('T1'!$J76&amp;"|"&amp;126,LISTA_KLUCZ,0))),"")</f>
        <v>Pull up eccentric weighted</v>
      </c>
      <c r="DY76" s="5" t="str">
        <f t="array" ref="DY76">IFERROR(IF('T1'!$J76="",INDEX(LISTA_EX,127),INDEX(LISTA_EX,MATCH('T1'!$J76&amp;"|"&amp;127,LISTA_KLUCZ,0))),"")</f>
        <v>Pull up eccentric weighted (5 sek w dół)</v>
      </c>
      <c r="DZ76" s="5" t="str">
        <f t="array" ref="DZ76">IFERROR(IF('T1'!$J76="",INDEX(LISTA_EX,128),INDEX(LISTA_EX,MATCH('T1'!$J76&amp;"|"&amp;128,LISTA_KLUCZ,0))),"")</f>
        <v>Pull up weighted</v>
      </c>
      <c r="EA76" s="5" t="str">
        <f t="array" ref="EA76">IFERROR(IF('T1'!$J76="",INDEX(LISTA_EX,129),INDEX(LISTA_EX,MATCH('T1'!$J76&amp;"|"&amp;129,LISTA_KLUCZ,0))),"")</f>
        <v>Pull ups (paused)</v>
      </c>
      <c r="EB76" s="5" t="str">
        <f t="array" ref="EB76">IFERROR(IF('T1'!$J76="",INDEX(LISTA_EX,130),INDEX(LISTA_EX,MATCH('T1'!$J76&amp;"|"&amp;130,LISTA_KLUCZ,0))),"")</f>
        <v>Push press barbell</v>
      </c>
      <c r="EC76" s="5" t="str">
        <f t="array" ref="EC76">IFERROR(IF('T1'!$J76="",INDEX(LISTA_EX,131),INDEX(LISTA_EX,MATCH('T1'!$J76&amp;"|"&amp;131,LISTA_KLUCZ,0))),"")</f>
        <v>Push up</v>
      </c>
      <c r="ED76" s="5" t="str">
        <f t="array" ref="ED76">IFERROR(IF('T1'!$J76="",INDEX(LISTA_EX,132),INDEX(LISTA_EX,MATCH('T1'!$J76&amp;"|"&amp;132,LISTA_KLUCZ,0))),"")</f>
        <v>Raised bird dog</v>
      </c>
      <c r="EE76" s="5" t="str">
        <f t="array" ref="EE76">IFERROR(IF('T1'!$J76="",INDEX(LISTA_EX,133),INDEX(LISTA_EX,MATCH('T1'!$J76&amp;"|"&amp;133,LISTA_KLUCZ,0))),"")</f>
        <v>RDL</v>
      </c>
      <c r="EF76" s="5" t="str">
        <f t="array" ref="EF76">IFERROR(IF('T1'!$J76="",INDEX(LISTA_EX,134),INDEX(LISTA_EX,MATCH('T1'!$J76&amp;"|"&amp;134,LISTA_KLUCZ,0))),"")</f>
        <v>Reverse Nordic</v>
      </c>
      <c r="EG76" s="5" t="str">
        <f t="array" ref="EG76">IFERROR(IF('T1'!$J76="",INDEX(LISTA_EX,135),INDEX(LISTA_EX,MATCH('T1'!$J76&amp;"|"&amp;135,LISTA_KLUCZ,0))),"")</f>
        <v>Rope pushdown</v>
      </c>
      <c r="EH76" s="5" t="str">
        <f t="array" ref="EH76">IFERROR(IF('T1'!$J76="",INDEX(LISTA_EX,136),INDEX(LISTA_EX,MATCH('T1'!$J76&amp;"|"&amp;136,LISTA_KLUCZ,0))),"")</f>
        <v>Rope pushdown OH</v>
      </c>
      <c r="EI76" s="5" t="str">
        <f t="array" ref="EI76">IFERROR(IF('T1'!$J76="",INDEX(LISTA_EX,137),INDEX(LISTA_EX,MATCH('T1'!$J76&amp;"|"&amp;137,LISTA_KLUCZ,0))),"")</f>
        <v>S/a cable pulldown incline bench</v>
      </c>
      <c r="EJ76" s="5" t="str">
        <f t="array" ref="EJ76">IFERROR(IF('T1'!$J76="",INDEX(LISTA_EX,138),INDEX(LISTA_EX,MATCH('T1'!$J76&amp;"|"&amp;138,LISTA_KLUCZ,0))),"")</f>
        <v>S/a lat pulldown incline bench</v>
      </c>
      <c r="EK76" s="5" t="str">
        <f t="array" ref="EK76">IFERROR(IF('T1'!$J76="",INDEX(LISTA_EX,139),INDEX(LISTA_EX,MATCH('T1'!$J76&amp;"|"&amp;139,LISTA_KLUCZ,0))),"")</f>
        <v>S/l dragonflag eccentric</v>
      </c>
      <c r="EL76" s="5" t="str">
        <f t="array" ref="EL76">IFERROR(IF('T1'!$J76="",INDEX(LISTA_EX,140),INDEX(LISTA_EX,MATCH('T1'!$J76&amp;"|"&amp;140,LISTA_KLUCZ,0))),"")</f>
        <v>S/l hip thrust</v>
      </c>
      <c r="EM76" s="5" t="str">
        <f t="array" ref="EM76">IFERROR(IF('T1'!$J76="",INDEX(LISTA_EX,141),INDEX(LISTA_EX,MATCH('T1'!$J76&amp;"|"&amp;141,LISTA_KLUCZ,0))),"")</f>
        <v>Seated broad jump</v>
      </c>
      <c r="EN76" s="5" t="str">
        <f t="array" ref="EN76">IFERROR(IF('T1'!$J76="",INDEX(LISTA_EX,142),INDEX(LISTA_EX,MATCH('T1'!$J76&amp;"|"&amp;142,LISTA_KLUCZ,0))),"")</f>
        <v>Seated cable facepull</v>
      </c>
      <c r="EO76" s="5" t="str">
        <f t="array" ref="EO76">IFERROR(IF('T1'!$J76="",INDEX(LISTA_EX,143),INDEX(LISTA_EX,MATCH('T1'!$J76&amp;"|"&amp;143,LISTA_KLUCZ,0))),"")</f>
        <v>Seated seesaw press (nogi proste)</v>
      </c>
      <c r="EP76" s="5" t="str">
        <f t="array" ref="EP76">IFERROR(IF('T1'!$J76="",INDEX(LISTA_EX,144),INDEX(LISTA_EX,MATCH('T1'!$J76&amp;"|"&amp;144,LISTA_KLUCZ,0))),"")</f>
        <v>Seesaw press</v>
      </c>
      <c r="EQ76" s="5" t="str">
        <f t="array" ref="EQ76">IFERROR(IF('T1'!$J76="",INDEX(LISTA_EX,145),INDEX(LISTA_EX,MATCH('T1'!$J76&amp;"|"&amp;145,LISTA_KLUCZ,0))),"")</f>
        <v>Side crunches</v>
      </c>
      <c r="ER76" s="5" t="str">
        <f t="array" ref="ER76">IFERROR(IF('T1'!$J76="",INDEX(LISTA_EX,146),INDEX(LISTA_EX,MATCH('T1'!$J76&amp;"|"&amp;146,LISTA_KLUCZ,0))),"")</f>
        <v>Side plank hip drop</v>
      </c>
      <c r="ES76" s="5" t="str">
        <f t="array" ref="ES76">IFERROR(IF('T1'!$J76="",INDEX(LISTA_EX,147),INDEX(LISTA_EX,MATCH('T1'!$J76&amp;"|"&amp;147,LISTA_KLUCZ,0))),"")</f>
        <v>Side plank rotations</v>
      </c>
      <c r="ET76" s="5" t="str">
        <f t="array" ref="ET76">IFERROR(IF('T1'!$J76="",INDEX(LISTA_EX,148),INDEX(LISTA_EX,MATCH('T1'!$J76&amp;"|"&amp;148,LISTA_KLUCZ,0))),"")</f>
        <v>SLDL balance</v>
      </c>
      <c r="EU76" s="5" t="str">
        <f t="array" ref="EU76">IFERROR(IF('T1'!$J76="",INDEX(LISTA_EX,149),INDEX(LISTA_EX,MATCH('T1'!$J76&amp;"|"&amp;149,LISTA_KLUCZ,0))),"")</f>
        <v>Split squat</v>
      </c>
      <c r="EV76" s="5" t="str">
        <f t="array" ref="EV76">IFERROR(IF('T1'!$J76="",INDEX(LISTA_EX,150),INDEX(LISTA_EX,MATCH('T1'!$J76&amp;"|"&amp;150,LISTA_KLUCZ,0))),"")</f>
        <v>Split stance SLDL</v>
      </c>
      <c r="EW76" s="5" t="str">
        <f t="array" ref="EW76">IFERROR(IF('T1'!$J76="",INDEX(LISTA_EX,151),INDEX(LISTA_EX,MATCH('T1'!$J76&amp;"|"&amp;151,LISTA_KLUCZ,0))),"")</f>
        <v>Squat izo (15 sek)</v>
      </c>
      <c r="EX76" s="5" t="str">
        <f t="array" ref="EX76">IFERROR(IF('T1'!$J76="",INDEX(LISTA_EX,152),INDEX(LISTA_EX,MATCH('T1'!$J76&amp;"|"&amp;152,LISTA_KLUCZ,0))),"")</f>
        <v>Standing landmine press</v>
      </c>
      <c r="EY76" s="5" t="str">
        <f t="array" ref="EY76">IFERROR(IF('T1'!$J76="",INDEX(LISTA_EX,153),INDEX(LISTA_EX,MATCH('T1'!$J76&amp;"|"&amp;153,LISTA_KLUCZ,0))),"")</f>
        <v>Suitcase carry</v>
      </c>
      <c r="EZ76" s="5" t="str">
        <f t="array" ref="EZ76">IFERROR(IF('T1'!$J76="",INDEX(LISTA_EX,154),INDEX(LISTA_EX,MATCH('T1'!$J76&amp;"|"&amp;154,LISTA_KLUCZ,0))),"")</f>
        <v>Supine pigeon abs</v>
      </c>
      <c r="FA76" s="5" t="str">
        <f t="array" ref="FA76">IFERROR(IF('T1'!$J76="",INDEX(LISTA_EX,155),INDEX(LISTA_EX,MATCH('T1'!$J76&amp;"|"&amp;155,LISTA_KLUCZ,0))),"")</f>
        <v>Swiss ball leg curl</v>
      </c>
      <c r="FB76" s="5" t="str">
        <f t="array" ref="FB76">IFERROR(IF('T1'!$J76="",INDEX(LISTA_EX,156),INDEX(LISTA_EX,MATCH('T1'!$J76&amp;"|"&amp;156,LISTA_KLUCZ,0))),"")</f>
        <v>Toes to bar</v>
      </c>
      <c r="FC76" s="5" t="str">
        <f t="array" ref="FC76">IFERROR(IF('T1'!$J76="",INDEX(LISTA_EX,157),INDEX(LISTA_EX,MATCH('T1'!$J76&amp;"|"&amp;157,LISTA_KLUCZ,0))),"")</f>
        <v>Trap bar deadlift</v>
      </c>
      <c r="FD76" s="5" t="str">
        <f t="array" ref="FD76">IFERROR(IF('T1'!$J76="",INDEX(LISTA_EX,158),INDEX(LISTA_EX,MATCH('T1'!$J76&amp;"|"&amp;158,LISTA_KLUCZ,0))),"")</f>
        <v>Tricep cable pushdown</v>
      </c>
      <c r="FE76" s="5" t="str">
        <f t="array" ref="FE76">IFERROR(IF('T1'!$J76="",INDEX(LISTA_EX,159),INDEX(LISTA_EX,MATCH('T1'!$J76&amp;"|"&amp;159,LISTA_KLUCZ,0))),"")</f>
        <v>Tricep JM press</v>
      </c>
      <c r="FF76" s="5" t="str">
        <f t="array" ref="FF76">IFERROR(IF('T1'!$J76="",INDEX(LISTA_EX,160),INDEX(LISTA_EX,MATCH('T1'!$J76&amp;"|"&amp;160,LISTA_KLUCZ,0))),"")</f>
        <v>Tricep OH cable</v>
      </c>
      <c r="FG76" s="5" t="str">
        <f t="array" ref="FG76">IFERROR(IF('T1'!$J76="",INDEX(LISTA_EX,161),INDEX(LISTA_EX,MATCH('T1'!$J76&amp;"|"&amp;161,LISTA_KLUCZ,0))),"")</f>
        <v>Tricep OH ez bar</v>
      </c>
      <c r="FH76" s="5" t="str">
        <f t="array" ref="FH76">IFERROR(IF('T1'!$J76="",INDEX(LISTA_EX,162),INDEX(LISTA_EX,MATCH('T1'!$J76&amp;"|"&amp;162,LISTA_KLUCZ,0))),"")</f>
        <v>Walking lunges</v>
      </c>
      <c r="FI76" s="5" t="str">
        <f t="array" ref="FI76">IFERROR(IF('T1'!$J76="",INDEX(LISTA_EX,163),INDEX(LISTA_EX,MATCH('T1'!$J76&amp;"|"&amp;163,LISTA_KLUCZ,0))),"")</f>
        <v>Wipers kettle</v>
      </c>
      <c r="FJ76" s="5" t="str">
        <f t="array" ref="FJ76">IFERROR(IF('T1'!$J76="",INDEX(LISTA_EX,164),INDEX(LISTA_EX,MATCH('T1'!$J76&amp;"|"&amp;164,LISTA_KLUCZ,0))),"")</f>
        <v>Zercher jumps</v>
      </c>
      <c r="FK76" s="5" t="str">
        <f t="array" ref="FK76">IFERROR(IF('T1'!$J76="",INDEX(LISTA_EX,165),INDEX(LISTA_EX,MATCH('T1'!$J76&amp;"|"&amp;165,LISTA_KLUCZ,0))),"")</f>
        <v/>
      </c>
      <c r="FL76" s="5" t="str">
        <f t="array" ref="FL76">IFERROR(IF('T1'!$J76="",INDEX(LISTA_EX,166),INDEX(LISTA_EX,MATCH('T1'!$J76&amp;"|"&amp;166,LISTA_KLUCZ,0))),"")</f>
        <v/>
      </c>
      <c r="FM76" s="5" t="str">
        <f t="array" ref="FM76">IFERROR(IF('T1'!$J76="",INDEX(LISTA_EX,167),INDEX(LISTA_EX,MATCH('T1'!$J76&amp;"|"&amp;167,LISTA_KLUCZ,0))),"")</f>
        <v/>
      </c>
      <c r="FN76" s="5" t="str">
        <f t="array" ref="FN76">IFERROR(IF('T1'!$J76="",INDEX(LISTA_EX,168),INDEX(LISTA_EX,MATCH('T1'!$J76&amp;"|"&amp;168,LISTA_KLUCZ,0))),"")</f>
        <v/>
      </c>
      <c r="FO76" s="5" t="str">
        <f t="array" ref="FO76">IFERROR(IF('T1'!$J76="",INDEX(LISTA_EX,169),INDEX(LISTA_EX,MATCH('T1'!$J76&amp;"|"&amp;169,LISTA_KLUCZ,0))),"")</f>
        <v/>
      </c>
      <c r="FP76" s="5" t="str">
        <f t="array" ref="FP76">IFERROR(IF('T1'!$J76="",INDEX(LISTA_EX,170),INDEX(LISTA_EX,MATCH('T1'!$J76&amp;"|"&amp;170,LISTA_KLUCZ,0))),"")</f>
        <v/>
      </c>
      <c r="FQ76" s="5" t="str">
        <f t="array" ref="FQ76">IFERROR(IF('T1'!$J76="",INDEX(LISTA_EX,171),INDEX(LISTA_EX,MATCH('T1'!$J76&amp;"|"&amp;171,LISTA_KLUCZ,0))),"")</f>
        <v/>
      </c>
      <c r="FR76" s="5" t="str">
        <f t="array" ref="FR76">IFERROR(IF('T1'!$J76="",INDEX(LISTA_EX,172),INDEX(LISTA_EX,MATCH('T1'!$J76&amp;"|"&amp;172,LISTA_KLUCZ,0))),"")</f>
        <v/>
      </c>
      <c r="FS76" s="5" t="str">
        <f t="array" ref="FS76">IFERROR(IF('T1'!$J76="",INDEX(LISTA_EX,173),INDEX(LISTA_EX,MATCH('T1'!$J76&amp;"|"&amp;173,LISTA_KLUCZ,0))),"")</f>
        <v/>
      </c>
      <c r="FT76" s="5" t="str">
        <f t="array" ref="FT76">IFERROR(IF('T1'!$J76="",INDEX(LISTA_EX,174),INDEX(LISTA_EX,MATCH('T1'!$J76&amp;"|"&amp;174,LISTA_KLUCZ,0))),"")</f>
        <v/>
      </c>
      <c r="FU76" s="5" t="str">
        <f t="array" ref="FU76">IFERROR(IF('T1'!$J76="",INDEX(LISTA_EX,175),INDEX(LISTA_EX,MATCH('T1'!$J76&amp;"|"&amp;175,LISTA_KLUCZ,0))),"")</f>
        <v/>
      </c>
      <c r="FV76" s="5" t="str">
        <f t="array" ref="FV76">IFERROR(IF('T1'!$J76="",INDEX(LISTA_EX,176),INDEX(LISTA_EX,MATCH('T1'!$J76&amp;"|"&amp;176,LISTA_KLUCZ,0))),"")</f>
        <v/>
      </c>
      <c r="FW76" s="5" t="str">
        <f t="array" ref="FW76">IFERROR(IF('T1'!$J76="",INDEX(LISTA_EX,177),INDEX(LISTA_EX,MATCH('T1'!$J76&amp;"|"&amp;177,LISTA_KLUCZ,0))),"")</f>
        <v/>
      </c>
      <c r="FX76" s="5" t="str">
        <f t="array" ref="FX76">IFERROR(IF('T1'!$J76="",INDEX(LISTA_EX,178),INDEX(LISTA_EX,MATCH('T1'!$J76&amp;"|"&amp;178,LISTA_KLUCZ,0))),"")</f>
        <v/>
      </c>
      <c r="FY76" s="5" t="str">
        <f t="array" ref="FY76">IFERROR(IF('T1'!$J76="",INDEX(LISTA_EX,179),INDEX(LISTA_EX,MATCH('T1'!$J76&amp;"|"&amp;179,LISTA_KLUCZ,0))),"")</f>
        <v/>
      </c>
      <c r="FZ76" s="5" t="str">
        <f t="array" ref="FZ76">IFERROR(IF('T1'!$J76="",INDEX(LISTA_EX,180),INDEX(LISTA_EX,MATCH('T1'!$J76&amp;"|"&amp;180,LISTA_KLUCZ,0))),"")</f>
        <v/>
      </c>
      <c r="GA76" s="5" t="str">
        <f t="array" ref="GA76">IFERROR(IF('T1'!$J76="",INDEX(LISTA_EX,181),INDEX(LISTA_EX,MATCH('T1'!$J76&amp;"|"&amp;181,LISTA_KLUCZ,0))),"")</f>
        <v/>
      </c>
      <c r="GB76" s="5" t="str">
        <f t="array" ref="GB76">IFERROR(IF('T1'!$J76="",INDEX(LISTA_EX,182),INDEX(LISTA_EX,MATCH('T1'!$J76&amp;"|"&amp;182,LISTA_KLUCZ,0))),"")</f>
        <v/>
      </c>
      <c r="GC76" s="5" t="str">
        <f t="array" ref="GC76">IFERROR(IF('T1'!$J76="",INDEX(LISTA_EX,183),INDEX(LISTA_EX,MATCH('T1'!$J76&amp;"|"&amp;183,LISTA_KLUCZ,0))),"")</f>
        <v/>
      </c>
      <c r="GD76" s="5" t="str">
        <f t="array" ref="GD76">IFERROR(IF('T1'!$J76="",INDEX(LISTA_EX,184),INDEX(LISTA_EX,MATCH('T1'!$J76&amp;"|"&amp;184,LISTA_KLUCZ,0))),"")</f>
        <v/>
      </c>
      <c r="GE76" s="5" t="str">
        <f t="array" ref="GE76">IFERROR(IF('T1'!$J76="",INDEX(LISTA_EX,185),INDEX(LISTA_EX,MATCH('T1'!$J76&amp;"|"&amp;185,LISTA_KLUCZ,0))),"")</f>
        <v/>
      </c>
      <c r="GF76" s="5" t="str">
        <f t="array" ref="GF76">IFERROR(IF('T1'!$J76="",INDEX(LISTA_EX,186),INDEX(LISTA_EX,MATCH('T1'!$J76&amp;"|"&amp;186,LISTA_KLUCZ,0))),"")</f>
        <v/>
      </c>
      <c r="GG76" s="5" t="str">
        <f t="array" ref="GG76">IFERROR(IF('T1'!$J76="",INDEX(LISTA_EX,187),INDEX(LISTA_EX,MATCH('T1'!$J76&amp;"|"&amp;187,LISTA_KLUCZ,0))),"")</f>
        <v/>
      </c>
      <c r="GH76" s="5" t="str">
        <f t="array" ref="GH76">IFERROR(IF('T1'!$J76="",INDEX(LISTA_EX,188),INDEX(LISTA_EX,MATCH('T1'!$J76&amp;"|"&amp;188,LISTA_KLUCZ,0))),"")</f>
        <v/>
      </c>
      <c r="GI76" s="5" t="str">
        <f t="array" ref="GI76">IFERROR(IF('T1'!$J76="",INDEX(LISTA_EX,189),INDEX(LISTA_EX,MATCH('T1'!$J76&amp;"|"&amp;189,LISTA_KLUCZ,0))),"")</f>
        <v/>
      </c>
      <c r="GJ76" s="5" t="str">
        <f t="array" ref="GJ76">IFERROR(IF('T1'!$J76="",INDEX(LISTA_EX,190),INDEX(LISTA_EX,MATCH('T1'!$J76&amp;"|"&amp;190,LISTA_KLUCZ,0))),"")</f>
        <v/>
      </c>
      <c r="GK76" s="5" t="str">
        <f t="array" ref="GK76">IFERROR(IF('T1'!$J76="",INDEX(LISTA_EX,191),INDEX(LISTA_EX,MATCH('T1'!$J76&amp;"|"&amp;191,LISTA_KLUCZ,0))),"")</f>
        <v/>
      </c>
      <c r="GL76" s="5" t="str">
        <f t="array" ref="GL76">IFERROR(IF('T1'!$J76="",INDEX(LISTA_EX,192),INDEX(LISTA_EX,MATCH('T1'!$J76&amp;"|"&amp;192,LISTA_KLUCZ,0))),"")</f>
        <v/>
      </c>
      <c r="GM76" s="5" t="str">
        <f t="array" ref="GM76">IFERROR(IF('T1'!$J76="",INDEX(LISTA_EX,193),INDEX(LISTA_EX,MATCH('T1'!$J76&amp;"|"&amp;193,LISTA_KLUCZ,0))),"")</f>
        <v/>
      </c>
      <c r="GN76" s="5" t="str">
        <f t="array" ref="GN76">IFERROR(IF('T1'!$J76="",INDEX(LISTA_EX,194),INDEX(LISTA_EX,MATCH('T1'!$J76&amp;"|"&amp;194,LISTA_KLUCZ,0))),"")</f>
        <v/>
      </c>
      <c r="GO76" s="5" t="str">
        <f t="array" ref="GO76">IFERROR(IF('T1'!$J76="",INDEX(LISTA_EX,195),INDEX(LISTA_EX,MATCH('T1'!$J76&amp;"|"&amp;195,LISTA_KLUCZ,0))),"")</f>
        <v/>
      </c>
      <c r="GP76" s="5" t="str">
        <f t="array" ref="GP76">IFERROR(IF('T1'!$J76="",INDEX(LISTA_EX,196),INDEX(LISTA_EX,MATCH('T1'!$J76&amp;"|"&amp;196,LISTA_KLUCZ,0))),"")</f>
        <v/>
      </c>
      <c r="GQ76" s="5" t="str">
        <f t="array" ref="GQ76">IFERROR(IF('T1'!$J76="",INDEX(LISTA_EX,197),INDEX(LISTA_EX,MATCH('T1'!$J76&amp;"|"&amp;197,LISTA_KLUCZ,0))),"")</f>
        <v/>
      </c>
      <c r="GR76" s="5" t="str">
        <f t="array" ref="GR76">IFERROR(IF('T1'!$J76="",INDEX(LISTA_EX,198),INDEX(LISTA_EX,MATCH('T1'!$J76&amp;"|"&amp;198,LISTA_KLUCZ,0))),"")</f>
        <v/>
      </c>
      <c r="GS76" s="5" t="str">
        <f t="array" ref="GS76">IFERROR(IF('T1'!$J76="",INDEX(LISTA_EX,199),INDEX(LISTA_EX,MATCH('T1'!$J76&amp;"|"&amp;199,LISTA_KLUCZ,0))),"")</f>
        <v/>
      </c>
      <c r="GT76" s="5" t="str">
        <f t="array" ref="GT76">IFERROR(IF('T1'!$J76="",INDEX(LISTA_EX,200),INDEX(LISTA_EX,MATCH('T1'!$J76&amp;"|"&amp;200,LISTA_KLUCZ,0))),"")</f>
        <v/>
      </c>
      <c r="GV76" s="5" t="str">
        <f>IF(BAZA!$A76="","",BAZA!$A76)</f>
        <v>Gorilla row</v>
      </c>
      <c r="GW76" s="5" t="str">
        <f>IF(BAZA!$B76="","",BAZA!$B76&amp;"|"&amp;COUNTIF(BAZA!$B$3:$B76,BAZA!$B76))</f>
        <v>Upper pull horizontal|12</v>
      </c>
    </row>
    <row r="77" ht="15.0" customHeight="1">
      <c r="A77" s="5" t="str">
        <f>IF('T1'!$K77="","",'T1'!$K77)</f>
        <v>D5-S07</v>
      </c>
      <c r="B77" s="5" t="str">
        <f>IF('T1'!$J77="","(wszystkie)",'T1'!$J77)</f>
        <v>(wszystkie)</v>
      </c>
      <c r="C77" s="5" t="str">
        <f t="array" ref="C77">IFERROR(IF('T1'!$J77="",INDEX(LISTA_EX,1),INDEX(LISTA_EX,MATCH('T1'!$J77&amp;"|"&amp;1,LISTA_KLUCZ,0))),"")</f>
        <v>Abduction machine</v>
      </c>
      <c r="D77" s="5" t="str">
        <f t="array" ref="D77">IFERROR(IF('T1'!$J77="",INDEX(LISTA_EX,2),INDEX(LISTA_EX,MATCH('T1'!$J77&amp;"|"&amp;2,LISTA_KLUCZ,0))),"")</f>
        <v>Adduction machine</v>
      </c>
      <c r="E77" s="5" t="str">
        <f t="array" ref="E77">IFERROR(IF('T1'!$J77="",INDEX(LISTA_EX,3),INDEX(LISTA_EX,MATCH('T1'!$J77&amp;"|"&amp;3,LISTA_KLUCZ,0))),"")</f>
        <v>Allah</v>
      </c>
      <c r="F77" s="5" t="str">
        <f t="array" ref="F77">IFERROR(IF('T1'!$J77="",INDEX(LISTA_EX,4),INDEX(LISTA_EX,MATCH('T1'!$J77&amp;"|"&amp;4,LISTA_KLUCZ,0))),"")</f>
        <v>Arnold press</v>
      </c>
      <c r="G77" s="5" t="str">
        <f t="array" ref="G77">IFERROR(IF('T1'!$J77="",INDEX(LISTA_EX,5),INDEX(LISTA_EX,MATCH('T1'!$J77&amp;"|"&amp;5,LISTA_KLUCZ,0))),"")</f>
        <v>Arnold press alternating</v>
      </c>
      <c r="H77" s="5" t="str">
        <f t="array" ref="H77">IFERROR(IF('T1'!$J77="",INDEX(LISTA_EX,6),INDEX(LISTA_EX,MATCH('T1'!$J77&amp;"|"&amp;6,LISTA_KLUCZ,0))),"")</f>
        <v>B/l dragonflag eccentric</v>
      </c>
      <c r="I77" s="5" t="str">
        <f t="array" ref="I77">IFERROR(IF('T1'!$J77="",INDEX(LISTA_EX,7),INDEX(LISTA_EX,MATCH('T1'!$J77&amp;"|"&amp;7,LISTA_KLUCZ,0))),"")</f>
        <v>Back extension</v>
      </c>
      <c r="J77" s="5" t="str">
        <f t="array" ref="J77">IFERROR(IF('T1'!$J77="",INDEX(LISTA_EX,8),INDEX(LISTA_EX,MATCH('T1'!$J77&amp;"|"&amp;8,LISTA_KLUCZ,0))),"")</f>
        <v>Banded pistol squat</v>
      </c>
      <c r="K77" s="5" t="str">
        <f t="array" ref="K77">IFERROR(IF('T1'!$J77="",INDEX(LISTA_EX,9),INDEX(LISTA_EX,MATCH('T1'!$J77&amp;"|"&amp;9,LISTA_KLUCZ,0))),"")</f>
        <v>Banded pull ups</v>
      </c>
      <c r="L77" s="5" t="str">
        <f t="array" ref="L77">IFERROR(IF('T1'!$J77="",INDEX(LISTA_EX,10),INDEX(LISTA_EX,MATCH('T1'!$J77&amp;"|"&amp;10,LISTA_KLUCZ,0))),"")</f>
        <v>Barbell back squat</v>
      </c>
      <c r="M77" s="5" t="str">
        <f t="array" ref="M77">IFERROR(IF('T1'!$J77="",INDEX(LISTA_EX,11),INDEX(LISTA_EX,MATCH('T1'!$J77&amp;"|"&amp;11,LISTA_KLUCZ,0))),"")</f>
        <v>Barbell bench press</v>
      </c>
      <c r="N77" s="5" t="str">
        <f t="array" ref="N77">IFERROR(IF('T1'!$J77="",INDEX(LISTA_EX,12),INDEX(LISTA_EX,MATCH('T1'!$J77&amp;"|"&amp;12,LISTA_KLUCZ,0))),"")</f>
        <v>Barbell curl</v>
      </c>
      <c r="O77" s="5" t="str">
        <f t="array" ref="O77">IFERROR(IF('T1'!$J77="",INDEX(LISTA_EX,13),INDEX(LISTA_EX,MATCH('T1'!$J77&amp;"|"&amp;13,LISTA_KLUCZ,0))),"")</f>
        <v>Barbell low bar squat</v>
      </c>
      <c r="P77" s="5" t="str">
        <f t="array" ref="P77">IFERROR(IF('T1'!$J77="",INDEX(LISTA_EX,14),INDEX(LISTA_EX,MATCH('T1'!$J77&amp;"|"&amp;14,LISTA_KLUCZ,0))),"")</f>
        <v>Barbell OHP</v>
      </c>
      <c r="Q77" s="5" t="str">
        <f t="array" ref="Q77">IFERROR(IF('T1'!$J77="",INDEX(LISTA_EX,15),INDEX(LISTA_EX,MATCH('T1'!$J77&amp;"|"&amp;15,LISTA_KLUCZ,0))),"")</f>
        <v>Barbell oscilation</v>
      </c>
      <c r="R77" s="5" t="str">
        <f t="array" ref="R77">IFERROR(IF('T1'!$J77="",INDEX(LISTA_EX,16),INDEX(LISTA_EX,MATCH('T1'!$J77&amp;"|"&amp;16,LISTA_KLUCZ,0))),"")</f>
        <v>Barbell row</v>
      </c>
      <c r="S77" s="5" t="str">
        <f t="array" ref="S77">IFERROR(IF('T1'!$J77="",INDEX(LISTA_EX,17),INDEX(LISTA_EX,MATCH('T1'!$J77&amp;"|"&amp;17,LISTA_KLUCZ,0))),"")</f>
        <v>Barbell row dead stop pins</v>
      </c>
      <c r="T77" s="5" t="str">
        <f t="array" ref="T77">IFERROR(IF('T1'!$J77="",INDEX(LISTA_EX,18),INDEX(LISTA_EX,MATCH('T1'!$J77&amp;"|"&amp;18,LISTA_KLUCZ,0))),"")</f>
        <v>Barbell SLDL</v>
      </c>
      <c r="U77" s="5" t="str">
        <f t="array" ref="U77">IFERROR(IF('T1'!$J77="",INDEX(LISTA_EX,19),INDEX(LISTA_EX,MATCH('T1'!$J77&amp;"|"&amp;19,LISTA_KLUCZ,0))),"")</f>
        <v>Bayesian curl</v>
      </c>
      <c r="V77" s="5" t="str">
        <f t="array" ref="V77">IFERROR(IF('T1'!$J77="",INDEX(LISTA_EX,20),INDEX(LISTA_EX,MATCH('T1'!$J77&amp;"|"&amp;20,LISTA_KLUCZ,0))),"")</f>
        <v>Bear renegade row</v>
      </c>
      <c r="W77" s="5" t="str">
        <f t="array" ref="W77">IFERROR(IF('T1'!$J77="",INDEX(LISTA_EX,21),INDEX(LISTA_EX,MATCH('T1'!$J77&amp;"|"&amp;21,LISTA_KLUCZ,0))),"")</f>
        <v>Bench press paused 3sec</v>
      </c>
      <c r="X77" s="5" t="str">
        <f t="array" ref="X77">IFERROR(IF('T1'!$J77="",INDEX(LISTA_EX,22),INDEX(LISTA_EX,MATCH('T1'!$J77&amp;"|"&amp;22,LISTA_KLUCZ,0))),"")</f>
        <v>Bicep hammer curl</v>
      </c>
      <c r="Y77" s="5" t="str">
        <f t="array" ref="Y77">IFERROR(IF('T1'!$J77="",INDEX(LISTA_EX,23),INDEX(LISTA_EX,MATCH('T1'!$J77&amp;"|"&amp;23,LISTA_KLUCZ,0))),"")</f>
        <v>Bicep squat cable curl</v>
      </c>
      <c r="Z77" s="5" t="str">
        <f t="array" ref="Z77">IFERROR(IF('T1'!$J77="",INDEX(LISTA_EX,24),INDEX(LISTA_EX,MATCH('T1'!$J77&amp;"|"&amp;24,LISTA_KLUCZ,0))),"")</f>
        <v>Bird dog row</v>
      </c>
      <c r="AA77" s="5" t="str">
        <f t="array" ref="AA77">IFERROR(IF('T1'!$J77="",INDEX(LISTA_EX,25),INDEX(LISTA_EX,MATCH('T1'!$J77&amp;"|"&amp;25,LISTA_KLUCZ,0))),"")</f>
        <v>Box jump</v>
      </c>
      <c r="AB77" s="5" t="str">
        <f t="array" ref="AB77">IFERROR(IF('T1'!$J77="",INDEX(LISTA_EX,26),INDEX(LISTA_EX,MATCH('T1'!$J77&amp;"|"&amp;26,LISTA_KLUCZ,0))),"")</f>
        <v>Bulgarian clean plyo</v>
      </c>
      <c r="AC77" s="5" t="str">
        <f t="array" ref="AC77">IFERROR(IF('T1'!$J77="",INDEX(LISTA_EX,27),INDEX(LISTA_EX,MATCH('T1'!$J77&amp;"|"&amp;27,LISTA_KLUCZ,0))),"")</f>
        <v>Bulgarian squat assisted</v>
      </c>
      <c r="AD77" s="5" t="str">
        <f t="array" ref="AD77">IFERROR(IF('T1'!$J77="",INDEX(LISTA_EX,28),INDEX(LISTA_EX,MATCH('T1'!$J77&amp;"|"&amp;28,LISTA_KLUCZ,0))),"")</f>
        <v>Cable biceps curl</v>
      </c>
      <c r="AE77" s="5" t="str">
        <f t="array" ref="AE77">IFERROR(IF('T1'!$J77="",INDEX(LISTA_EX,29),INDEX(LISTA_EX,MATCH('T1'!$J77&amp;"|"&amp;29,LISTA_KLUCZ,0))),"")</f>
        <v>Cable fly</v>
      </c>
      <c r="AF77" s="5" t="str">
        <f t="array" ref="AF77">IFERROR(IF('T1'!$J77="",INDEX(LISTA_EX,30),INDEX(LISTA_EX,MATCH('T1'!$J77&amp;"|"&amp;30,LISTA_KLUCZ,0))),"")</f>
        <v>Cable lateral raise s/a</v>
      </c>
      <c r="AG77" s="5" t="str">
        <f t="array" ref="AG77">IFERROR(IF('T1'!$J77="",INDEX(LISTA_EX,31),INDEX(LISTA_EX,MATCH('T1'!$J77&amp;"|"&amp;31,LISTA_KLUCZ,0))),"")</f>
        <v>Cable row</v>
      </c>
      <c r="AH77" s="5" t="str">
        <f t="array" ref="AH77">IFERROR(IF('T1'!$J77="",INDEX(LISTA_EX,32),INDEX(LISTA_EX,MATCH('T1'!$J77&amp;"|"&amp;32,LISTA_KLUCZ,0))),"")</f>
        <v>Cable row s/a</v>
      </c>
      <c r="AI77" s="5" t="str">
        <f t="array" ref="AI77">IFERROR(IF('T1'!$J77="",INDEX(LISTA_EX,33),INDEX(LISTA_EX,MATCH('T1'!$J77&amp;"|"&amp;33,LISTA_KLUCZ,0))),"")</f>
        <v>Calf raises</v>
      </c>
      <c r="AJ77" s="5" t="str">
        <f t="array" ref="AJ77">IFERROR(IF('T1'!$J77="",INDEX(LISTA_EX,34),INDEX(LISTA_EX,MATCH('T1'!$J77&amp;"|"&amp;34,LISTA_KLUCZ,0))),"")</f>
        <v>Chest fly machine</v>
      </c>
      <c r="AK77" s="5" t="str">
        <f t="array" ref="AK77">IFERROR(IF('T1'!$J77="",INDEX(LISTA_EX,35),INDEX(LISTA_EX,MATCH('T1'!$J77&amp;"|"&amp;35,LISTA_KLUCZ,0))),"")</f>
        <v>Clean</v>
      </c>
      <c r="AL77" s="5" t="str">
        <f t="array" ref="AL77">IFERROR(IF('T1'!$J77="",INDEX(LISTA_EX,36),INDEX(LISTA_EX,MATCH('T1'!$J77&amp;"|"&amp;36,LISTA_KLUCZ,0))),"")</f>
        <v>Clean pins</v>
      </c>
      <c r="AM77" s="5" t="str">
        <f t="array" ref="AM77">IFERROR(IF('T1'!$J77="",INDEX(LISTA_EX,37),INDEX(LISTA_EX,MATCH('T1'!$J77&amp;"|"&amp;37,LISTA_KLUCZ,0))),"")</f>
        <v>Copenhagen plank</v>
      </c>
      <c r="AN77" s="5" t="str">
        <f t="array" ref="AN77">IFERROR(IF('T1'!$J77="",INDEX(LISTA_EX,38),INDEX(LISTA_EX,MATCH('T1'!$J77&amp;"|"&amp;38,LISTA_KLUCZ,0))),"")</f>
        <v>Dead bug izo + OH</v>
      </c>
      <c r="AO77" s="5" t="str">
        <f t="array" ref="AO77">IFERROR(IF('T1'!$J77="",INDEX(LISTA_EX,39),INDEX(LISTA_EX,MATCH('T1'!$J77&amp;"|"&amp;39,LISTA_KLUCZ,0))),"")</f>
        <v>Dead bug straight legs</v>
      </c>
      <c r="AP77" s="5" t="str">
        <f t="array" ref="AP77">IFERROR(IF('T1'!$J77="",INDEX(LISTA_EX,40),INDEX(LISTA_EX,MATCH('T1'!$J77&amp;"|"&amp;40,LISTA_KLUCZ,0))),"")</f>
        <v>Dead stop barbell row</v>
      </c>
      <c r="AQ77" s="5" t="str">
        <f t="array" ref="AQ77">IFERROR(IF('T1'!$J77="",INDEX(LISTA_EX,41),INDEX(LISTA_EX,MATCH('T1'!$J77&amp;"|"&amp;41,LISTA_KLUCZ,0))),"")</f>
        <v>Deadbug OH</v>
      </c>
      <c r="AR77" s="5" t="str">
        <f t="array" ref="AR77">IFERROR(IF('T1'!$J77="",INDEX(LISTA_EX,42),INDEX(LISTA_EX,MATCH('T1'!$J77&amp;"|"&amp;42,LISTA_KLUCZ,0))),"")</f>
        <v>Deadlift</v>
      </c>
      <c r="AS77" s="5" t="str">
        <f t="array" ref="AS77">IFERROR(IF('T1'!$J77="",INDEX(LISTA_EX,43),INDEX(LISTA_EX,MATCH('T1'!$J77&amp;"|"&amp;43,LISTA_KLUCZ,0))),"")</f>
        <v>Deficit push up</v>
      </c>
      <c r="AT77" s="5" t="str">
        <f t="array" ref="AT77">IFERROR(IF('T1'!$J77="",INDEX(LISTA_EX,44),INDEX(LISTA_EX,MATCH('T1'!$J77&amp;"|"&amp;44,LISTA_KLUCZ,0))),"")</f>
        <v>Deficit reverse lunge</v>
      </c>
      <c r="AU77" s="5" t="str">
        <f t="array" ref="AU77">IFERROR(IF('T1'!$J77="",INDEX(LISTA_EX,45),INDEX(LISTA_EX,MATCH('T1'!$J77&amp;"|"&amp;45,LISTA_KLUCZ,0))),"")</f>
        <v>Dips</v>
      </c>
      <c r="AV77" s="5" t="str">
        <f t="array" ref="AV77">IFERROR(IF('T1'!$J77="",INDEX(LISTA_EX,46),INDEX(LISTA_EX,MATCH('T1'!$J77&amp;"|"&amp;46,LISTA_KLUCZ,0))),"")</f>
        <v>Dips weighted</v>
      </c>
      <c r="AW77" s="5" t="str">
        <f t="array" ref="AW77">IFERROR(IF('T1'!$J77="",INDEX(LISTA_EX,47),INDEX(LISTA_EX,MATCH('T1'!$J77&amp;"|"&amp;47,LISTA_KLUCZ,0))),"")</f>
        <v>Dumbbell bench press</v>
      </c>
      <c r="AX77" s="5" t="str">
        <f t="array" ref="AX77">IFERROR(IF('T1'!$J77="",INDEX(LISTA_EX,48),INDEX(LISTA_EX,MATCH('T1'!$J77&amp;"|"&amp;48,LISTA_KLUCZ,0))),"")</f>
        <v>Dumbbell bench press alternating</v>
      </c>
      <c r="AY77" s="5" t="str">
        <f t="array" ref="AY77">IFERROR(IF('T1'!$J77="",INDEX(LISTA_EX,49),INDEX(LISTA_EX,MATCH('T1'!$J77&amp;"|"&amp;49,LISTA_KLUCZ,0))),"")</f>
        <v>Dumbbell curl</v>
      </c>
      <c r="AZ77" s="5" t="str">
        <f t="array" ref="AZ77">IFERROR(IF('T1'!$J77="",INDEX(LISTA_EX,50),INDEX(LISTA_EX,MATCH('T1'!$J77&amp;"|"&amp;50,LISTA_KLUCZ,0))),"")</f>
        <v>Dumbbell external rotation</v>
      </c>
      <c r="BA77" s="5" t="str">
        <f t="array" ref="BA77">IFERROR(IF('T1'!$J77="",INDEX(LISTA_EX,51),INDEX(LISTA_EX,MATCH('T1'!$J77&amp;"|"&amp;51,LISTA_KLUCZ,0))),"")</f>
        <v>Dumbbell face down curl</v>
      </c>
      <c r="BB77" s="5" t="str">
        <f t="array" ref="BB77">IFERROR(IF('T1'!$J77="",INDEX(LISTA_EX,52),INDEX(LISTA_EX,MATCH('T1'!$J77&amp;"|"&amp;52,LISTA_KLUCZ,0))),"")</f>
        <v>Dumbbell fly</v>
      </c>
      <c r="BC77" s="5" t="str">
        <f t="array" ref="BC77">IFERROR(IF('T1'!$J77="",INDEX(LISTA_EX,53),INDEX(LISTA_EX,MATCH('T1'!$J77&amp;"|"&amp;53,LISTA_KLUCZ,0))),"")</f>
        <v>Dumbbell french press</v>
      </c>
      <c r="BD77" s="5" t="str">
        <f t="array" ref="BD77">IFERROR(IF('T1'!$J77="",INDEX(LISTA_EX,54),INDEX(LISTA_EX,MATCH('T1'!$J77&amp;"|"&amp;54,LISTA_KLUCZ,0))),"")</f>
        <v>Dumbbell lateral raise</v>
      </c>
      <c r="BE77" s="5" t="str">
        <f t="array" ref="BE77">IFERROR(IF('T1'!$J77="",INDEX(LISTA_EX,55),INDEX(LISTA_EX,MATCH('T1'!$J77&amp;"|"&amp;55,LISTA_KLUCZ,0))),"")</f>
        <v>Dumbbell lunges</v>
      </c>
      <c r="BF77" s="5" t="str">
        <f t="array" ref="BF77">IFERROR(IF('T1'!$J77="",INDEX(LISTA_EX,56),INDEX(LISTA_EX,MATCH('T1'!$J77&amp;"|"&amp;56,LISTA_KLUCZ,0))),"")</f>
        <v>Dumbbell OH press</v>
      </c>
      <c r="BG77" s="5" t="str">
        <f t="array" ref="BG77">IFERROR(IF('T1'!$J77="",INDEX(LISTA_EX,57),INDEX(LISTA_EX,MATCH('T1'!$J77&amp;"|"&amp;57,LISTA_KLUCZ,0))),"")</f>
        <v>Dumbbell over head press</v>
      </c>
      <c r="BH77" s="5" t="str">
        <f t="array" ref="BH77">IFERROR(IF('T1'!$J77="",INDEX(LISTA_EX,58),INDEX(LISTA_EX,MATCH('T1'!$J77&amp;"|"&amp;58,LISTA_KLUCZ,0))),"")</f>
        <v>Dumbbell over head press alternating</v>
      </c>
      <c r="BI77" s="5" t="str">
        <f t="array" ref="BI77">IFERROR(IF('T1'!$J77="",INDEX(LISTA_EX,59),INDEX(LISTA_EX,MATCH('T1'!$J77&amp;"|"&amp;59,LISTA_KLUCZ,0))),"")</f>
        <v>Dumbbell row</v>
      </c>
      <c r="BJ77" s="5" t="str">
        <f t="array" ref="BJ77">IFERROR(IF('T1'!$J77="",INDEX(LISTA_EX,60),INDEX(LISTA_EX,MATCH('T1'!$J77&amp;"|"&amp;60,LISTA_KLUCZ,0))),"")</f>
        <v>Dumbbell s/a Arnold press</v>
      </c>
      <c r="BK77" s="5" t="str">
        <f t="array" ref="BK77">IFERROR(IF('T1'!$J77="",INDEX(LISTA_EX,61),INDEX(LISTA_EX,MATCH('T1'!$J77&amp;"|"&amp;61,LISTA_KLUCZ,0))),"")</f>
        <v>Dumbbell s/a row</v>
      </c>
      <c r="BL77" s="5" t="str">
        <f t="array" ref="BL77">IFERROR(IF('T1'!$J77="",INDEX(LISTA_EX,62),INDEX(LISTA_EX,MATCH('T1'!$J77&amp;"|"&amp;62,LISTA_KLUCZ,0))),"")</f>
        <v>Dumbbell seal row</v>
      </c>
      <c r="BM77" s="5" t="str">
        <f t="array" ref="BM77">IFERROR(IF('T1'!$J77="",INDEX(LISTA_EX,63),INDEX(LISTA_EX,MATCH('T1'!$J77&amp;"|"&amp;63,LISTA_KLUCZ,0))),"")</f>
        <v>Dumbbells jumps</v>
      </c>
      <c r="BN77" s="5" t="str">
        <f t="array" ref="BN77">IFERROR(IF('T1'!$J77="",INDEX(LISTA_EX,64),INDEX(LISTA_EX,MATCH('T1'!$J77&amp;"|"&amp;64,LISTA_KLUCZ,0))),"")</f>
        <v>Eccentric pull up</v>
      </c>
      <c r="BO77" s="5" t="str">
        <f t="array" ref="BO77">IFERROR(IF('T1'!$J77="",INDEX(LISTA_EX,65),INDEX(LISTA_EX,MATCH('T1'!$J77&amp;"|"&amp;65,LISTA_KLUCZ,0))),"")</f>
        <v>Eccentric push up (5 sek w dół)</v>
      </c>
      <c r="BP77" s="5" t="str">
        <f t="array" ref="BP77">IFERROR(IF('T1'!$J77="",INDEX(LISTA_EX,66),INDEX(LISTA_EX,MATCH('T1'!$J77&amp;"|"&amp;66,LISTA_KLUCZ,0))),"")</f>
        <v>Extensive plyo jumps s/l</v>
      </c>
      <c r="BQ77" s="5" t="str">
        <f t="array" ref="BQ77">IFERROR(IF('T1'!$J77="",INDEX(LISTA_EX,67),INDEX(LISTA_EX,MATCH('T1'!$J77&amp;"|"&amp;67,LISTA_KLUCZ,0))),"")</f>
        <v>Ez bar curl</v>
      </c>
      <c r="BR77" s="5" t="str">
        <f t="array" ref="BR77">IFERROR(IF('T1'!$J77="",INDEX(LISTA_EX,68),INDEX(LISTA_EX,MATCH('T1'!$J77&amp;"|"&amp;68,LISTA_KLUCZ,0))),"")</f>
        <v>Facepull chest supported</v>
      </c>
      <c r="BS77" s="5" t="str">
        <f t="array" ref="BS77">IFERROR(IF('T1'!$J77="",INDEX(LISTA_EX,69),INDEX(LISTA_EX,MATCH('T1'!$J77&amp;"|"&amp;69,LISTA_KLUCZ,0))),"")</f>
        <v>Front foot elevated split squat</v>
      </c>
      <c r="BT77" s="5" t="str">
        <f t="array" ref="BT77">IFERROR(IF('T1'!$J77="",INDEX(LISTA_EX,70),INDEX(LISTA_EX,MATCH('T1'!$J77&amp;"|"&amp;70,LISTA_KLUCZ,0))),"")</f>
        <v>Front squat</v>
      </c>
      <c r="BU77" s="5" t="str">
        <f t="array" ref="BU77">IFERROR(IF('T1'!$J77="",INDEX(LISTA_EX,71),INDEX(LISTA_EX,MATCH('T1'!$J77&amp;"|"&amp;71,LISTA_KLUCZ,0))),"")</f>
        <v>GHD flexion</v>
      </c>
      <c r="BV77" s="5" t="str">
        <f t="array" ref="BV77">IFERROR(IF('T1'!$J77="",INDEX(LISTA_EX,72),INDEX(LISTA_EX,MATCH('T1'!$J77&amp;"|"&amp;72,LISTA_KLUCZ,0))),"")</f>
        <v>Glute bridge hamstrings izo + OH</v>
      </c>
      <c r="BW77" s="5" t="str">
        <f t="array" ref="BW77">IFERROR(IF('T1'!$J77="",INDEX(LISTA_EX,73),INDEX(LISTA_EX,MATCH('T1'!$J77&amp;"|"&amp;73,LISTA_KLUCZ,0))),"")</f>
        <v>Glute crusher</v>
      </c>
      <c r="BX77" s="5" t="str">
        <f t="array" ref="BX77">IFERROR(IF('T1'!$J77="",INDEX(LISTA_EX,74),INDEX(LISTA_EX,MATCH('T1'!$J77&amp;"|"&amp;74,LISTA_KLUCZ,0))),"")</f>
        <v>Gorilla row</v>
      </c>
      <c r="BY77" s="5" t="str">
        <f t="array" ref="BY77">IFERROR(IF('T1'!$J77="",INDEX(LISTA_EX,75),INDEX(LISTA_EX,MATCH('T1'!$J77&amp;"|"&amp;75,LISTA_KLUCZ,0))),"")</f>
        <v>Halfkneeling s/a cable pull</v>
      </c>
      <c r="BZ77" s="5" t="str">
        <f t="array" ref="BZ77">IFERROR(IF('T1'!$J77="",INDEX(LISTA_EX,76),INDEX(LISTA_EX,MATCH('T1'!$J77&amp;"|"&amp;76,LISTA_KLUCZ,0))),"")</f>
        <v>Halfkneeling wood chopper</v>
      </c>
      <c r="CA77" s="5" t="str">
        <f t="array" ref="CA77">IFERROR(IF('T1'!$J77="",INDEX(LISTA_EX,77),INDEX(LISTA_EX,MATCH('T1'!$J77&amp;"|"&amp;77,LISTA_KLUCZ,0))),"")</f>
        <v>Hinged dumbbell row</v>
      </c>
      <c r="CB77" s="5" t="str">
        <f t="array" ref="CB77">IFERROR(IF('T1'!$J77="",INDEX(LISTA_EX,78),INDEX(LISTA_EX,MATCH('T1'!$J77&amp;"|"&amp;78,LISTA_KLUCZ,0))),"")</f>
        <v>Hip aeroplane</v>
      </c>
      <c r="CC77" s="5" t="str">
        <f t="array" ref="CC77">IFERROR(IF('T1'!$J77="",INDEX(LISTA_EX,79),INDEX(LISTA_EX,MATCH('T1'!$J77&amp;"|"&amp;79,LISTA_KLUCZ,0))),"")</f>
        <v>Hip flexors cable</v>
      </c>
      <c r="CD77" s="5" t="str">
        <f t="array" ref="CD77">IFERROR(IF('T1'!$J77="",INDEX(LISTA_EX,80),INDEX(LISTA_EX,MATCH('T1'!$J77&amp;"|"&amp;80,LISTA_KLUCZ,0))),"")</f>
        <v>Hip thrust barbell</v>
      </c>
      <c r="CE77" s="5" t="str">
        <f t="array" ref="CE77">IFERROR(IF('T1'!$J77="",INDEX(LISTA_EX,81),INDEX(LISTA_EX,MATCH('T1'!$J77&amp;"|"&amp;81,LISTA_KLUCZ,0))),"")</f>
        <v>Hollow body + OH</v>
      </c>
      <c r="CF77" s="5" t="str">
        <f t="array" ref="CF77">IFERROR(IF('T1'!$J77="",INDEX(LISTA_EX,82),INDEX(LISTA_EX,MATCH('T1'!$J77&amp;"|"&amp;82,LISTA_KLUCZ,0))),"")</f>
        <v>Horizontal jump</v>
      </c>
      <c r="CG77" s="5" t="str">
        <f t="array" ref="CG77">IFERROR(IF('T1'!$J77="",INDEX(LISTA_EX,83),INDEX(LISTA_EX,MATCH('T1'!$J77&amp;"|"&amp;83,LISTA_KLUCZ,0))),"")</f>
        <v>Incline bench lateral raise s/a</v>
      </c>
      <c r="CH77" s="5" t="str">
        <f t="array" ref="CH77">IFERROR(IF('T1'!$J77="",INDEX(LISTA_EX,84),INDEX(LISTA_EX,MATCH('T1'!$J77&amp;"|"&amp;84,LISTA_KLUCZ,0))),"")</f>
        <v>Incline curl + OHP</v>
      </c>
      <c r="CI77" s="5" t="str">
        <f t="array" ref="CI77">IFERROR(IF('T1'!$J77="",INDEX(LISTA_EX,85),INDEX(LISTA_EX,MATCH('T1'!$J77&amp;"|"&amp;85,LISTA_KLUCZ,0))),"")</f>
        <v>Incline dumbbell curl</v>
      </c>
      <c r="CJ77" s="5" t="str">
        <f t="array" ref="CJ77">IFERROR(IF('T1'!$J77="",INDEX(LISTA_EX,86),INDEX(LISTA_EX,MATCH('T1'!$J77&amp;"|"&amp;86,LISTA_KLUCZ,0))),"")</f>
        <v>Incline dumbbell curl (back)</v>
      </c>
      <c r="CK77" s="5" t="str">
        <f t="array" ref="CK77">IFERROR(IF('T1'!$J77="",INDEX(LISTA_EX,87),INDEX(LISTA_EX,MATCH('T1'!$J77&amp;"|"&amp;87,LISTA_KLUCZ,0))),"")</f>
        <v>Incline dumbbell curl (front)</v>
      </c>
      <c r="CL77" s="5" t="str">
        <f t="array" ref="CL77">IFERROR(IF('T1'!$J77="",INDEX(LISTA_EX,88),INDEX(LISTA_EX,MATCH('T1'!$J77&amp;"|"&amp;88,LISTA_KLUCZ,0))),"")</f>
        <v>Incline dumbbell fly</v>
      </c>
      <c r="CM77" s="5" t="str">
        <f t="array" ref="CM77">IFERROR(IF('T1'!$J77="",INDEX(LISTA_EX,89),INDEX(LISTA_EX,MATCH('T1'!$J77&amp;"|"&amp;89,LISTA_KLUCZ,0))),"")</f>
        <v>Incline dumbbell press</v>
      </c>
      <c r="CN77" s="5" t="str">
        <f t="array" ref="CN77">IFERROR(IF('T1'!$J77="",INDEX(LISTA_EX,90),INDEX(LISTA_EX,MATCH('T1'!$J77&amp;"|"&amp;90,LISTA_KLUCZ,0))),"")</f>
        <v>Incline dumbbell press alternating</v>
      </c>
      <c r="CO77" s="5" t="str">
        <f t="array" ref="CO77">IFERROR(IF('T1'!$J77="",INDEX(LISTA_EX,91),INDEX(LISTA_EX,MATCH('T1'!$J77&amp;"|"&amp;91,LISTA_KLUCZ,0))),"")</f>
        <v>Incline sit-ups</v>
      </c>
      <c r="CP77" s="5" t="str">
        <f t="array" ref="CP77">IFERROR(IF('T1'!$J77="",INDEX(LISTA_EX,92),INDEX(LISTA_EX,MATCH('T1'!$J77&amp;"|"&amp;92,LISTA_KLUCZ,0))),"")</f>
        <v>Jefferson cable</v>
      </c>
      <c r="CQ77" s="5" t="str">
        <f t="array" ref="CQ77">IFERROR(IF('T1'!$J77="",INDEX(LISTA_EX,93),INDEX(LISTA_EX,MATCH('T1'!$J77&amp;"|"&amp;93,LISTA_KLUCZ,0))),"")</f>
        <v>Kettlebell march</v>
      </c>
      <c r="CR77" s="5" t="str">
        <f t="array" ref="CR77">IFERROR(IF('T1'!$J77="",INDEX(LISTA_EX,94),INDEX(LISTA_EX,MATCH('T1'!$J77&amp;"|"&amp;94,LISTA_KLUCZ,0))),"")</f>
        <v>Kickbacks</v>
      </c>
      <c r="CS77" s="5" t="str">
        <f t="array" ref="CS77">IFERROR(IF('T1'!$J77="",INDEX(LISTA_EX,95),INDEX(LISTA_EX,MATCH('T1'!$J77&amp;"|"&amp;95,LISTA_KLUCZ,0))),"")</f>
        <v>Knee extension machine</v>
      </c>
      <c r="CT77" s="5" t="str">
        <f t="array" ref="CT77">IFERROR(IF('T1'!$J77="",INDEX(LISTA_EX,96),INDEX(LISTA_EX,MATCH('T1'!$J77&amp;"|"&amp;96,LISTA_KLUCZ,0))),"")</f>
        <v>Knee flexion machine</v>
      </c>
      <c r="CU77" s="5" t="str">
        <f t="array" ref="CU77">IFERROR(IF('T1'!$J77="",INDEX(LISTA_EX,97),INDEX(LISTA_EX,MATCH('T1'!$J77&amp;"|"&amp;97,LISTA_KLUCZ,0))),"")</f>
        <v>Knee raises</v>
      </c>
      <c r="CV77" s="5" t="str">
        <f t="array" ref="CV77">IFERROR(IF('T1'!$J77="",INDEX(LISTA_EX,98),INDEX(LISTA_EX,MATCH('T1'!$J77&amp;"|"&amp;98,LISTA_KLUCZ,0))),"")</f>
        <v>Landmine core</v>
      </c>
      <c r="CW77" s="5" t="str">
        <f t="array" ref="CW77">IFERROR(IF('T1'!$J77="",INDEX(LISTA_EX,99),INDEX(LISTA_EX,MATCH('T1'!$J77&amp;"|"&amp;99,LISTA_KLUCZ,0))),"")</f>
        <v>Landmine press</v>
      </c>
      <c r="CX77" s="5" t="str">
        <f t="array" ref="CX77">IFERROR(IF('T1'!$J77="",INDEX(LISTA_EX,100),INDEX(LISTA_EX,MATCH('T1'!$J77&amp;"|"&amp;100,LISTA_KLUCZ,0))),"")</f>
        <v>Landmine rotations (powtórzenia x2)</v>
      </c>
      <c r="CY77" s="5" t="str">
        <f t="array" ref="CY77">IFERROR(IF('T1'!$J77="",INDEX(LISTA_EX,101),INDEX(LISTA_EX,MATCH('T1'!$J77&amp;"|"&amp;101,LISTA_KLUCZ,0))),"")</f>
        <v>Landmine SLDL</v>
      </c>
      <c r="CZ77" s="5" t="str">
        <f t="array" ref="CZ77">IFERROR(IF('T1'!$J77="",INDEX(LISTA_EX,102),INDEX(LISTA_EX,MATCH('T1'!$J77&amp;"|"&amp;102,LISTA_KLUCZ,0))),"")</f>
        <v>Lat pulldown</v>
      </c>
      <c r="DA77" s="5" t="str">
        <f t="array" ref="DA77">IFERROR(IF('T1'!$J77="",INDEX(LISTA_EX,103),INDEX(LISTA_EX,MATCH('T1'!$J77&amp;"|"&amp;103,LISTA_KLUCZ,0))),"")</f>
        <v>Lat pulldown behind the head</v>
      </c>
      <c r="DB77" s="5" t="str">
        <f t="array" ref="DB77">IFERROR(IF('T1'!$J77="",INDEX(LISTA_EX,104),INDEX(LISTA_EX,MATCH('T1'!$J77&amp;"|"&amp;104,LISTA_KLUCZ,0))),"")</f>
        <v>Lat pulldown s/a</v>
      </c>
      <c r="DC77" s="5" t="str">
        <f t="array" ref="DC77">IFERROR(IF('T1'!$J77="",INDEX(LISTA_EX,105),INDEX(LISTA_EX,MATCH('T1'!$J77&amp;"|"&amp;105,LISTA_KLUCZ,0))),"")</f>
        <v>Lateral raise s/a</v>
      </c>
      <c r="DD77" s="5" t="str">
        <f t="array" ref="DD77">IFERROR(IF('T1'!$J77="",INDEX(LISTA_EX,106),INDEX(LISTA_EX,MATCH('T1'!$J77&amp;"|"&amp;106,LISTA_KLUCZ,0))),"")</f>
        <v>Lateral raises</v>
      </c>
      <c r="DE77" s="5" t="str">
        <f t="array" ref="DE77">IFERROR(IF('T1'!$J77="",INDEX(LISTA_EX,107),INDEX(LISTA_EX,MATCH('T1'!$J77&amp;"|"&amp;107,LISTA_KLUCZ,0))),"")</f>
        <v>Lateral raises 2</v>
      </c>
      <c r="DF77" s="5" t="str">
        <f t="array" ref="DF77">IFERROR(IF('T1'!$J77="",INDEX(LISTA_EX,108),INDEX(LISTA_EX,MATCH('T1'!$J77&amp;"|"&amp;108,LISTA_KLUCZ,0))),"")</f>
        <v>Lateral raises full ROM</v>
      </c>
      <c r="DG77" s="5" t="str">
        <f t="array" ref="DG77">IFERROR(IF('T1'!$J77="",INDEX(LISTA_EX,109),INDEX(LISTA_EX,MATCH('T1'!$J77&amp;"|"&amp;109,LISTA_KLUCZ,0))),"")</f>
        <v>Lateral raises hinged</v>
      </c>
      <c r="DH77" s="5" t="str">
        <f t="array" ref="DH77">IFERROR(IF('T1'!$J77="",INDEX(LISTA_EX,110),INDEX(LISTA_EX,MATCH('T1'!$J77&amp;"|"&amp;110,LISTA_KLUCZ,0))),"")</f>
        <v>Lateral raises incline s/a</v>
      </c>
      <c r="DI77" s="5" t="str">
        <f t="array" ref="DI77">IFERROR(IF('T1'!$J77="",INDEX(LISTA_EX,111),INDEX(LISTA_EX,MATCH('T1'!$J77&amp;"|"&amp;111,LISTA_KLUCZ,0))),"")</f>
        <v>Leg curl</v>
      </c>
      <c r="DJ77" s="5" t="str">
        <f t="array" ref="DJ77">IFERROR(IF('T1'!$J77="",INDEX(LISTA_EX,112),INDEX(LISTA_EX,MATCH('T1'!$J77&amp;"|"&amp;112,LISTA_KLUCZ,0))),"")</f>
        <v>Machine row</v>
      </c>
      <c r="DK77" s="5" t="str">
        <f t="array" ref="DK77">IFERROR(IF('T1'!$J77="",INDEX(LISTA_EX,113),INDEX(LISTA_EX,MATCH('T1'!$J77&amp;"|"&amp;113,LISTA_KLUCZ,0))),"")</f>
        <v>Machine row s/a</v>
      </c>
      <c r="DL77" s="5" t="str">
        <f t="array" ref="DL77">IFERROR(IF('T1'!$J77="",INDEX(LISTA_EX,114),INDEX(LISTA_EX,MATCH('T1'!$J77&amp;"|"&amp;114,LISTA_KLUCZ,0))),"")</f>
        <v>Meadows row</v>
      </c>
      <c r="DM77" s="5" t="str">
        <f t="array" ref="DM77">IFERROR(IF('T1'!$J77="",INDEX(LISTA_EX,115),INDEX(LISTA_EX,MATCH('T1'!$J77&amp;"|"&amp;115,LISTA_KLUCZ,0))),"")</f>
        <v>Med ball slam</v>
      </c>
      <c r="DN77" s="5" t="str">
        <f t="array" ref="DN77">IFERROR(IF('T1'!$J77="",INDEX(LISTA_EX,116),INDEX(LISTA_EX,MATCH('T1'!$J77&amp;"|"&amp;116,LISTA_KLUCZ,0))),"")</f>
        <v>OH skullcrushers</v>
      </c>
      <c r="DO77" s="5" t="str">
        <f t="array" ref="DO77">IFERROR(IF('T1'!$J77="",INDEX(LISTA_EX,117),INDEX(LISTA_EX,MATCH('T1'!$J77&amp;"|"&amp;117,LISTA_KLUCZ,0))),"")</f>
        <v>OHP barbell squat 15kg</v>
      </c>
      <c r="DP77" s="5" t="str">
        <f t="array" ref="DP77">IFERROR(IF('T1'!$J77="",INDEX(LISTA_EX,118),INDEX(LISTA_EX,MATCH('T1'!$J77&amp;"|"&amp;118,LISTA_KLUCZ,0))),"")</f>
        <v>Pistol squat eccentric</v>
      </c>
      <c r="DQ77" s="5" t="str">
        <f t="array" ref="DQ77">IFERROR(IF('T1'!$J77="",INDEX(LISTA_EX,119),INDEX(LISTA_EX,MATCH('T1'!$J77&amp;"|"&amp;119,LISTA_KLUCZ,0))),"")</f>
        <v>Plank contralateral</v>
      </c>
      <c r="DR77" s="5" t="str">
        <f t="array" ref="DR77">IFERROR(IF('T1'!$J77="",INDEX(LISTA_EX,120),INDEX(LISTA_EX,MATCH('T1'!$J77&amp;"|"&amp;120,LISTA_KLUCZ,0))),"")</f>
        <v>Plank dumbbell rotation</v>
      </c>
      <c r="DS77" s="5" t="str">
        <f t="array" ref="DS77">IFERROR(IF('T1'!$J77="",INDEX(LISTA_EX,121),INDEX(LISTA_EX,MATCH('T1'!$J77&amp;"|"&amp;121,LISTA_KLUCZ,0))),"")</f>
        <v>Plank leg raises</v>
      </c>
      <c r="DT77" s="5" t="str">
        <f t="array" ref="DT77">IFERROR(IF('T1'!$J77="",INDEX(LISTA_EX,122),INDEX(LISTA_EX,MATCH('T1'!$J77&amp;"|"&amp;122,LISTA_KLUCZ,0))),"")</f>
        <v>Poliquin step up</v>
      </c>
      <c r="DU77" s="5" t="str">
        <f t="array" ref="DU77">IFERROR(IF('T1'!$J77="",INDEX(LISTA_EX,123),INDEX(LISTA_EX,MATCH('T1'!$J77&amp;"|"&amp;123,LISTA_KLUCZ,0))),"")</f>
        <v>Poliquin step up paused 3sec</v>
      </c>
      <c r="DV77" s="5" t="str">
        <f t="array" ref="DV77">IFERROR(IF('T1'!$J77="",INDEX(LISTA_EX,124),INDEX(LISTA_EX,MATCH('T1'!$J77&amp;"|"&amp;124,LISTA_KLUCZ,0))),"")</f>
        <v>Pronation/Supination</v>
      </c>
      <c r="DW77" s="5" t="str">
        <f t="array" ref="DW77">IFERROR(IF('T1'!$J77="",INDEX(LISTA_EX,125),INDEX(LISTA_EX,MATCH('T1'!$J77&amp;"|"&amp;125,LISTA_KLUCZ,0))),"")</f>
        <v>Pull up</v>
      </c>
      <c r="DX77" s="5" t="str">
        <f t="array" ref="DX77">IFERROR(IF('T1'!$J77="",INDEX(LISTA_EX,126),INDEX(LISTA_EX,MATCH('T1'!$J77&amp;"|"&amp;126,LISTA_KLUCZ,0))),"")</f>
        <v>Pull up eccentric weighted</v>
      </c>
      <c r="DY77" s="5" t="str">
        <f t="array" ref="DY77">IFERROR(IF('T1'!$J77="",INDEX(LISTA_EX,127),INDEX(LISTA_EX,MATCH('T1'!$J77&amp;"|"&amp;127,LISTA_KLUCZ,0))),"")</f>
        <v>Pull up eccentric weighted (5 sek w dół)</v>
      </c>
      <c r="DZ77" s="5" t="str">
        <f t="array" ref="DZ77">IFERROR(IF('T1'!$J77="",INDEX(LISTA_EX,128),INDEX(LISTA_EX,MATCH('T1'!$J77&amp;"|"&amp;128,LISTA_KLUCZ,0))),"")</f>
        <v>Pull up weighted</v>
      </c>
      <c r="EA77" s="5" t="str">
        <f t="array" ref="EA77">IFERROR(IF('T1'!$J77="",INDEX(LISTA_EX,129),INDEX(LISTA_EX,MATCH('T1'!$J77&amp;"|"&amp;129,LISTA_KLUCZ,0))),"")</f>
        <v>Pull ups (paused)</v>
      </c>
      <c r="EB77" s="5" t="str">
        <f t="array" ref="EB77">IFERROR(IF('T1'!$J77="",INDEX(LISTA_EX,130),INDEX(LISTA_EX,MATCH('T1'!$J77&amp;"|"&amp;130,LISTA_KLUCZ,0))),"")</f>
        <v>Push press barbell</v>
      </c>
      <c r="EC77" s="5" t="str">
        <f t="array" ref="EC77">IFERROR(IF('T1'!$J77="",INDEX(LISTA_EX,131),INDEX(LISTA_EX,MATCH('T1'!$J77&amp;"|"&amp;131,LISTA_KLUCZ,0))),"")</f>
        <v>Push up</v>
      </c>
      <c r="ED77" s="5" t="str">
        <f t="array" ref="ED77">IFERROR(IF('T1'!$J77="",INDEX(LISTA_EX,132),INDEX(LISTA_EX,MATCH('T1'!$J77&amp;"|"&amp;132,LISTA_KLUCZ,0))),"")</f>
        <v>Raised bird dog</v>
      </c>
      <c r="EE77" s="5" t="str">
        <f t="array" ref="EE77">IFERROR(IF('T1'!$J77="",INDEX(LISTA_EX,133),INDEX(LISTA_EX,MATCH('T1'!$J77&amp;"|"&amp;133,LISTA_KLUCZ,0))),"")</f>
        <v>RDL</v>
      </c>
      <c r="EF77" s="5" t="str">
        <f t="array" ref="EF77">IFERROR(IF('T1'!$J77="",INDEX(LISTA_EX,134),INDEX(LISTA_EX,MATCH('T1'!$J77&amp;"|"&amp;134,LISTA_KLUCZ,0))),"")</f>
        <v>Reverse Nordic</v>
      </c>
      <c r="EG77" s="5" t="str">
        <f t="array" ref="EG77">IFERROR(IF('T1'!$J77="",INDEX(LISTA_EX,135),INDEX(LISTA_EX,MATCH('T1'!$J77&amp;"|"&amp;135,LISTA_KLUCZ,0))),"")</f>
        <v>Rope pushdown</v>
      </c>
      <c r="EH77" s="5" t="str">
        <f t="array" ref="EH77">IFERROR(IF('T1'!$J77="",INDEX(LISTA_EX,136),INDEX(LISTA_EX,MATCH('T1'!$J77&amp;"|"&amp;136,LISTA_KLUCZ,0))),"")</f>
        <v>Rope pushdown OH</v>
      </c>
      <c r="EI77" s="5" t="str">
        <f t="array" ref="EI77">IFERROR(IF('T1'!$J77="",INDEX(LISTA_EX,137),INDEX(LISTA_EX,MATCH('T1'!$J77&amp;"|"&amp;137,LISTA_KLUCZ,0))),"")</f>
        <v>S/a cable pulldown incline bench</v>
      </c>
      <c r="EJ77" s="5" t="str">
        <f t="array" ref="EJ77">IFERROR(IF('T1'!$J77="",INDEX(LISTA_EX,138),INDEX(LISTA_EX,MATCH('T1'!$J77&amp;"|"&amp;138,LISTA_KLUCZ,0))),"")</f>
        <v>S/a lat pulldown incline bench</v>
      </c>
      <c r="EK77" s="5" t="str">
        <f t="array" ref="EK77">IFERROR(IF('T1'!$J77="",INDEX(LISTA_EX,139),INDEX(LISTA_EX,MATCH('T1'!$J77&amp;"|"&amp;139,LISTA_KLUCZ,0))),"")</f>
        <v>S/l dragonflag eccentric</v>
      </c>
      <c r="EL77" s="5" t="str">
        <f t="array" ref="EL77">IFERROR(IF('T1'!$J77="",INDEX(LISTA_EX,140),INDEX(LISTA_EX,MATCH('T1'!$J77&amp;"|"&amp;140,LISTA_KLUCZ,0))),"")</f>
        <v>S/l hip thrust</v>
      </c>
      <c r="EM77" s="5" t="str">
        <f t="array" ref="EM77">IFERROR(IF('T1'!$J77="",INDEX(LISTA_EX,141),INDEX(LISTA_EX,MATCH('T1'!$J77&amp;"|"&amp;141,LISTA_KLUCZ,0))),"")</f>
        <v>Seated broad jump</v>
      </c>
      <c r="EN77" s="5" t="str">
        <f t="array" ref="EN77">IFERROR(IF('T1'!$J77="",INDEX(LISTA_EX,142),INDEX(LISTA_EX,MATCH('T1'!$J77&amp;"|"&amp;142,LISTA_KLUCZ,0))),"")</f>
        <v>Seated cable facepull</v>
      </c>
      <c r="EO77" s="5" t="str">
        <f t="array" ref="EO77">IFERROR(IF('T1'!$J77="",INDEX(LISTA_EX,143),INDEX(LISTA_EX,MATCH('T1'!$J77&amp;"|"&amp;143,LISTA_KLUCZ,0))),"")</f>
        <v>Seated seesaw press (nogi proste)</v>
      </c>
      <c r="EP77" s="5" t="str">
        <f t="array" ref="EP77">IFERROR(IF('T1'!$J77="",INDEX(LISTA_EX,144),INDEX(LISTA_EX,MATCH('T1'!$J77&amp;"|"&amp;144,LISTA_KLUCZ,0))),"")</f>
        <v>Seesaw press</v>
      </c>
      <c r="EQ77" s="5" t="str">
        <f t="array" ref="EQ77">IFERROR(IF('T1'!$J77="",INDEX(LISTA_EX,145),INDEX(LISTA_EX,MATCH('T1'!$J77&amp;"|"&amp;145,LISTA_KLUCZ,0))),"")</f>
        <v>Side crunches</v>
      </c>
      <c r="ER77" s="5" t="str">
        <f t="array" ref="ER77">IFERROR(IF('T1'!$J77="",INDEX(LISTA_EX,146),INDEX(LISTA_EX,MATCH('T1'!$J77&amp;"|"&amp;146,LISTA_KLUCZ,0))),"")</f>
        <v>Side plank hip drop</v>
      </c>
      <c r="ES77" s="5" t="str">
        <f t="array" ref="ES77">IFERROR(IF('T1'!$J77="",INDEX(LISTA_EX,147),INDEX(LISTA_EX,MATCH('T1'!$J77&amp;"|"&amp;147,LISTA_KLUCZ,0))),"")</f>
        <v>Side plank rotations</v>
      </c>
      <c r="ET77" s="5" t="str">
        <f t="array" ref="ET77">IFERROR(IF('T1'!$J77="",INDEX(LISTA_EX,148),INDEX(LISTA_EX,MATCH('T1'!$J77&amp;"|"&amp;148,LISTA_KLUCZ,0))),"")</f>
        <v>SLDL balance</v>
      </c>
      <c r="EU77" s="5" t="str">
        <f t="array" ref="EU77">IFERROR(IF('T1'!$J77="",INDEX(LISTA_EX,149),INDEX(LISTA_EX,MATCH('T1'!$J77&amp;"|"&amp;149,LISTA_KLUCZ,0))),"")</f>
        <v>Split squat</v>
      </c>
      <c r="EV77" s="5" t="str">
        <f t="array" ref="EV77">IFERROR(IF('T1'!$J77="",INDEX(LISTA_EX,150),INDEX(LISTA_EX,MATCH('T1'!$J77&amp;"|"&amp;150,LISTA_KLUCZ,0))),"")</f>
        <v>Split stance SLDL</v>
      </c>
      <c r="EW77" s="5" t="str">
        <f t="array" ref="EW77">IFERROR(IF('T1'!$J77="",INDEX(LISTA_EX,151),INDEX(LISTA_EX,MATCH('T1'!$J77&amp;"|"&amp;151,LISTA_KLUCZ,0))),"")</f>
        <v>Squat izo (15 sek)</v>
      </c>
      <c r="EX77" s="5" t="str">
        <f t="array" ref="EX77">IFERROR(IF('T1'!$J77="",INDEX(LISTA_EX,152),INDEX(LISTA_EX,MATCH('T1'!$J77&amp;"|"&amp;152,LISTA_KLUCZ,0))),"")</f>
        <v>Standing landmine press</v>
      </c>
      <c r="EY77" s="5" t="str">
        <f t="array" ref="EY77">IFERROR(IF('T1'!$J77="",INDEX(LISTA_EX,153),INDEX(LISTA_EX,MATCH('T1'!$J77&amp;"|"&amp;153,LISTA_KLUCZ,0))),"")</f>
        <v>Suitcase carry</v>
      </c>
      <c r="EZ77" s="5" t="str">
        <f t="array" ref="EZ77">IFERROR(IF('T1'!$J77="",INDEX(LISTA_EX,154),INDEX(LISTA_EX,MATCH('T1'!$J77&amp;"|"&amp;154,LISTA_KLUCZ,0))),"")</f>
        <v>Supine pigeon abs</v>
      </c>
      <c r="FA77" s="5" t="str">
        <f t="array" ref="FA77">IFERROR(IF('T1'!$J77="",INDEX(LISTA_EX,155),INDEX(LISTA_EX,MATCH('T1'!$J77&amp;"|"&amp;155,LISTA_KLUCZ,0))),"")</f>
        <v>Swiss ball leg curl</v>
      </c>
      <c r="FB77" s="5" t="str">
        <f t="array" ref="FB77">IFERROR(IF('T1'!$J77="",INDEX(LISTA_EX,156),INDEX(LISTA_EX,MATCH('T1'!$J77&amp;"|"&amp;156,LISTA_KLUCZ,0))),"")</f>
        <v>Toes to bar</v>
      </c>
      <c r="FC77" s="5" t="str">
        <f t="array" ref="FC77">IFERROR(IF('T1'!$J77="",INDEX(LISTA_EX,157),INDEX(LISTA_EX,MATCH('T1'!$J77&amp;"|"&amp;157,LISTA_KLUCZ,0))),"")</f>
        <v>Trap bar deadlift</v>
      </c>
      <c r="FD77" s="5" t="str">
        <f t="array" ref="FD77">IFERROR(IF('T1'!$J77="",INDEX(LISTA_EX,158),INDEX(LISTA_EX,MATCH('T1'!$J77&amp;"|"&amp;158,LISTA_KLUCZ,0))),"")</f>
        <v>Tricep cable pushdown</v>
      </c>
      <c r="FE77" s="5" t="str">
        <f t="array" ref="FE77">IFERROR(IF('T1'!$J77="",INDEX(LISTA_EX,159),INDEX(LISTA_EX,MATCH('T1'!$J77&amp;"|"&amp;159,LISTA_KLUCZ,0))),"")</f>
        <v>Tricep JM press</v>
      </c>
      <c r="FF77" s="5" t="str">
        <f t="array" ref="FF77">IFERROR(IF('T1'!$J77="",INDEX(LISTA_EX,160),INDEX(LISTA_EX,MATCH('T1'!$J77&amp;"|"&amp;160,LISTA_KLUCZ,0))),"")</f>
        <v>Tricep OH cable</v>
      </c>
      <c r="FG77" s="5" t="str">
        <f t="array" ref="FG77">IFERROR(IF('T1'!$J77="",INDEX(LISTA_EX,161),INDEX(LISTA_EX,MATCH('T1'!$J77&amp;"|"&amp;161,LISTA_KLUCZ,0))),"")</f>
        <v>Tricep OH ez bar</v>
      </c>
      <c r="FH77" s="5" t="str">
        <f t="array" ref="FH77">IFERROR(IF('T1'!$J77="",INDEX(LISTA_EX,162),INDEX(LISTA_EX,MATCH('T1'!$J77&amp;"|"&amp;162,LISTA_KLUCZ,0))),"")</f>
        <v>Walking lunges</v>
      </c>
      <c r="FI77" s="5" t="str">
        <f t="array" ref="FI77">IFERROR(IF('T1'!$J77="",INDEX(LISTA_EX,163),INDEX(LISTA_EX,MATCH('T1'!$J77&amp;"|"&amp;163,LISTA_KLUCZ,0))),"")</f>
        <v>Wipers kettle</v>
      </c>
      <c r="FJ77" s="5" t="str">
        <f t="array" ref="FJ77">IFERROR(IF('T1'!$J77="",INDEX(LISTA_EX,164),INDEX(LISTA_EX,MATCH('T1'!$J77&amp;"|"&amp;164,LISTA_KLUCZ,0))),"")</f>
        <v>Zercher jumps</v>
      </c>
      <c r="FK77" s="5" t="str">
        <f t="array" ref="FK77">IFERROR(IF('T1'!$J77="",INDEX(LISTA_EX,165),INDEX(LISTA_EX,MATCH('T1'!$J77&amp;"|"&amp;165,LISTA_KLUCZ,0))),"")</f>
        <v/>
      </c>
      <c r="FL77" s="5" t="str">
        <f t="array" ref="FL77">IFERROR(IF('T1'!$J77="",INDEX(LISTA_EX,166),INDEX(LISTA_EX,MATCH('T1'!$J77&amp;"|"&amp;166,LISTA_KLUCZ,0))),"")</f>
        <v/>
      </c>
      <c r="FM77" s="5" t="str">
        <f t="array" ref="FM77">IFERROR(IF('T1'!$J77="",INDEX(LISTA_EX,167),INDEX(LISTA_EX,MATCH('T1'!$J77&amp;"|"&amp;167,LISTA_KLUCZ,0))),"")</f>
        <v/>
      </c>
      <c r="FN77" s="5" t="str">
        <f t="array" ref="FN77">IFERROR(IF('T1'!$J77="",INDEX(LISTA_EX,168),INDEX(LISTA_EX,MATCH('T1'!$J77&amp;"|"&amp;168,LISTA_KLUCZ,0))),"")</f>
        <v/>
      </c>
      <c r="FO77" s="5" t="str">
        <f t="array" ref="FO77">IFERROR(IF('T1'!$J77="",INDEX(LISTA_EX,169),INDEX(LISTA_EX,MATCH('T1'!$J77&amp;"|"&amp;169,LISTA_KLUCZ,0))),"")</f>
        <v/>
      </c>
      <c r="FP77" s="5" t="str">
        <f t="array" ref="FP77">IFERROR(IF('T1'!$J77="",INDEX(LISTA_EX,170),INDEX(LISTA_EX,MATCH('T1'!$J77&amp;"|"&amp;170,LISTA_KLUCZ,0))),"")</f>
        <v/>
      </c>
      <c r="FQ77" s="5" t="str">
        <f t="array" ref="FQ77">IFERROR(IF('T1'!$J77="",INDEX(LISTA_EX,171),INDEX(LISTA_EX,MATCH('T1'!$J77&amp;"|"&amp;171,LISTA_KLUCZ,0))),"")</f>
        <v/>
      </c>
      <c r="FR77" s="5" t="str">
        <f t="array" ref="FR77">IFERROR(IF('T1'!$J77="",INDEX(LISTA_EX,172),INDEX(LISTA_EX,MATCH('T1'!$J77&amp;"|"&amp;172,LISTA_KLUCZ,0))),"")</f>
        <v/>
      </c>
      <c r="FS77" s="5" t="str">
        <f t="array" ref="FS77">IFERROR(IF('T1'!$J77="",INDEX(LISTA_EX,173),INDEX(LISTA_EX,MATCH('T1'!$J77&amp;"|"&amp;173,LISTA_KLUCZ,0))),"")</f>
        <v/>
      </c>
      <c r="FT77" s="5" t="str">
        <f t="array" ref="FT77">IFERROR(IF('T1'!$J77="",INDEX(LISTA_EX,174),INDEX(LISTA_EX,MATCH('T1'!$J77&amp;"|"&amp;174,LISTA_KLUCZ,0))),"")</f>
        <v/>
      </c>
      <c r="FU77" s="5" t="str">
        <f t="array" ref="FU77">IFERROR(IF('T1'!$J77="",INDEX(LISTA_EX,175),INDEX(LISTA_EX,MATCH('T1'!$J77&amp;"|"&amp;175,LISTA_KLUCZ,0))),"")</f>
        <v/>
      </c>
      <c r="FV77" s="5" t="str">
        <f t="array" ref="FV77">IFERROR(IF('T1'!$J77="",INDEX(LISTA_EX,176),INDEX(LISTA_EX,MATCH('T1'!$J77&amp;"|"&amp;176,LISTA_KLUCZ,0))),"")</f>
        <v/>
      </c>
      <c r="FW77" s="5" t="str">
        <f t="array" ref="FW77">IFERROR(IF('T1'!$J77="",INDEX(LISTA_EX,177),INDEX(LISTA_EX,MATCH('T1'!$J77&amp;"|"&amp;177,LISTA_KLUCZ,0))),"")</f>
        <v/>
      </c>
      <c r="FX77" s="5" t="str">
        <f t="array" ref="FX77">IFERROR(IF('T1'!$J77="",INDEX(LISTA_EX,178),INDEX(LISTA_EX,MATCH('T1'!$J77&amp;"|"&amp;178,LISTA_KLUCZ,0))),"")</f>
        <v/>
      </c>
      <c r="FY77" s="5" t="str">
        <f t="array" ref="FY77">IFERROR(IF('T1'!$J77="",INDEX(LISTA_EX,179),INDEX(LISTA_EX,MATCH('T1'!$J77&amp;"|"&amp;179,LISTA_KLUCZ,0))),"")</f>
        <v/>
      </c>
      <c r="FZ77" s="5" t="str">
        <f t="array" ref="FZ77">IFERROR(IF('T1'!$J77="",INDEX(LISTA_EX,180),INDEX(LISTA_EX,MATCH('T1'!$J77&amp;"|"&amp;180,LISTA_KLUCZ,0))),"")</f>
        <v/>
      </c>
      <c r="GA77" s="5" t="str">
        <f t="array" ref="GA77">IFERROR(IF('T1'!$J77="",INDEX(LISTA_EX,181),INDEX(LISTA_EX,MATCH('T1'!$J77&amp;"|"&amp;181,LISTA_KLUCZ,0))),"")</f>
        <v/>
      </c>
      <c r="GB77" s="5" t="str">
        <f t="array" ref="GB77">IFERROR(IF('T1'!$J77="",INDEX(LISTA_EX,182),INDEX(LISTA_EX,MATCH('T1'!$J77&amp;"|"&amp;182,LISTA_KLUCZ,0))),"")</f>
        <v/>
      </c>
      <c r="GC77" s="5" t="str">
        <f t="array" ref="GC77">IFERROR(IF('T1'!$J77="",INDEX(LISTA_EX,183),INDEX(LISTA_EX,MATCH('T1'!$J77&amp;"|"&amp;183,LISTA_KLUCZ,0))),"")</f>
        <v/>
      </c>
      <c r="GD77" s="5" t="str">
        <f t="array" ref="GD77">IFERROR(IF('T1'!$J77="",INDEX(LISTA_EX,184),INDEX(LISTA_EX,MATCH('T1'!$J77&amp;"|"&amp;184,LISTA_KLUCZ,0))),"")</f>
        <v/>
      </c>
      <c r="GE77" s="5" t="str">
        <f t="array" ref="GE77">IFERROR(IF('T1'!$J77="",INDEX(LISTA_EX,185),INDEX(LISTA_EX,MATCH('T1'!$J77&amp;"|"&amp;185,LISTA_KLUCZ,0))),"")</f>
        <v/>
      </c>
      <c r="GF77" s="5" t="str">
        <f t="array" ref="GF77">IFERROR(IF('T1'!$J77="",INDEX(LISTA_EX,186),INDEX(LISTA_EX,MATCH('T1'!$J77&amp;"|"&amp;186,LISTA_KLUCZ,0))),"")</f>
        <v/>
      </c>
      <c r="GG77" s="5" t="str">
        <f t="array" ref="GG77">IFERROR(IF('T1'!$J77="",INDEX(LISTA_EX,187),INDEX(LISTA_EX,MATCH('T1'!$J77&amp;"|"&amp;187,LISTA_KLUCZ,0))),"")</f>
        <v/>
      </c>
      <c r="GH77" s="5" t="str">
        <f t="array" ref="GH77">IFERROR(IF('T1'!$J77="",INDEX(LISTA_EX,188),INDEX(LISTA_EX,MATCH('T1'!$J77&amp;"|"&amp;188,LISTA_KLUCZ,0))),"")</f>
        <v/>
      </c>
      <c r="GI77" s="5" t="str">
        <f t="array" ref="GI77">IFERROR(IF('T1'!$J77="",INDEX(LISTA_EX,189),INDEX(LISTA_EX,MATCH('T1'!$J77&amp;"|"&amp;189,LISTA_KLUCZ,0))),"")</f>
        <v/>
      </c>
      <c r="GJ77" s="5" t="str">
        <f t="array" ref="GJ77">IFERROR(IF('T1'!$J77="",INDEX(LISTA_EX,190),INDEX(LISTA_EX,MATCH('T1'!$J77&amp;"|"&amp;190,LISTA_KLUCZ,0))),"")</f>
        <v/>
      </c>
      <c r="GK77" s="5" t="str">
        <f t="array" ref="GK77">IFERROR(IF('T1'!$J77="",INDEX(LISTA_EX,191),INDEX(LISTA_EX,MATCH('T1'!$J77&amp;"|"&amp;191,LISTA_KLUCZ,0))),"")</f>
        <v/>
      </c>
      <c r="GL77" s="5" t="str">
        <f t="array" ref="GL77">IFERROR(IF('T1'!$J77="",INDEX(LISTA_EX,192),INDEX(LISTA_EX,MATCH('T1'!$J77&amp;"|"&amp;192,LISTA_KLUCZ,0))),"")</f>
        <v/>
      </c>
      <c r="GM77" s="5" t="str">
        <f t="array" ref="GM77">IFERROR(IF('T1'!$J77="",INDEX(LISTA_EX,193),INDEX(LISTA_EX,MATCH('T1'!$J77&amp;"|"&amp;193,LISTA_KLUCZ,0))),"")</f>
        <v/>
      </c>
      <c r="GN77" s="5" t="str">
        <f t="array" ref="GN77">IFERROR(IF('T1'!$J77="",INDEX(LISTA_EX,194),INDEX(LISTA_EX,MATCH('T1'!$J77&amp;"|"&amp;194,LISTA_KLUCZ,0))),"")</f>
        <v/>
      </c>
      <c r="GO77" s="5" t="str">
        <f t="array" ref="GO77">IFERROR(IF('T1'!$J77="",INDEX(LISTA_EX,195),INDEX(LISTA_EX,MATCH('T1'!$J77&amp;"|"&amp;195,LISTA_KLUCZ,0))),"")</f>
        <v/>
      </c>
      <c r="GP77" s="5" t="str">
        <f t="array" ref="GP77">IFERROR(IF('T1'!$J77="",INDEX(LISTA_EX,196),INDEX(LISTA_EX,MATCH('T1'!$J77&amp;"|"&amp;196,LISTA_KLUCZ,0))),"")</f>
        <v/>
      </c>
      <c r="GQ77" s="5" t="str">
        <f t="array" ref="GQ77">IFERROR(IF('T1'!$J77="",INDEX(LISTA_EX,197),INDEX(LISTA_EX,MATCH('T1'!$J77&amp;"|"&amp;197,LISTA_KLUCZ,0))),"")</f>
        <v/>
      </c>
      <c r="GR77" s="5" t="str">
        <f t="array" ref="GR77">IFERROR(IF('T1'!$J77="",INDEX(LISTA_EX,198),INDEX(LISTA_EX,MATCH('T1'!$J77&amp;"|"&amp;198,LISTA_KLUCZ,0))),"")</f>
        <v/>
      </c>
      <c r="GS77" s="5" t="str">
        <f t="array" ref="GS77">IFERROR(IF('T1'!$J77="",INDEX(LISTA_EX,199),INDEX(LISTA_EX,MATCH('T1'!$J77&amp;"|"&amp;199,LISTA_KLUCZ,0))),"")</f>
        <v/>
      </c>
      <c r="GT77" s="5" t="str">
        <f t="array" ref="GT77">IFERROR(IF('T1'!$J77="",INDEX(LISTA_EX,200),INDEX(LISTA_EX,MATCH('T1'!$J77&amp;"|"&amp;200,LISTA_KLUCZ,0))),"")</f>
        <v/>
      </c>
      <c r="GV77" s="5" t="str">
        <f>IF(BAZA!$A77="","",BAZA!$A77)</f>
        <v>Halfkneeling s/a cable pull</v>
      </c>
      <c r="GW77" s="5" t="str">
        <f>IF(BAZA!$B77="","",BAZA!$B77&amp;"|"&amp;COUNTIF(BAZA!$B$3:$B77,BAZA!$B77))</f>
        <v>Upper pull vertical|3</v>
      </c>
    </row>
    <row r="78" ht="15.0" customHeight="1">
      <c r="A78" s="5" t="str">
        <f>IF('T1'!$K78="","",'T1'!$K78)</f>
        <v>D5-S08</v>
      </c>
      <c r="B78" s="5" t="str">
        <f>IF('T1'!$J78="","(wszystkie)",'T1'!$J78)</f>
        <v>(wszystkie)</v>
      </c>
      <c r="C78" s="5" t="str">
        <f t="array" ref="C78">IFERROR(IF('T1'!$J78="",INDEX(LISTA_EX,1),INDEX(LISTA_EX,MATCH('T1'!$J78&amp;"|"&amp;1,LISTA_KLUCZ,0))),"")</f>
        <v>Abduction machine</v>
      </c>
      <c r="D78" s="5" t="str">
        <f t="array" ref="D78">IFERROR(IF('T1'!$J78="",INDEX(LISTA_EX,2),INDEX(LISTA_EX,MATCH('T1'!$J78&amp;"|"&amp;2,LISTA_KLUCZ,0))),"")</f>
        <v>Adduction machine</v>
      </c>
      <c r="E78" s="5" t="str">
        <f t="array" ref="E78">IFERROR(IF('T1'!$J78="",INDEX(LISTA_EX,3),INDEX(LISTA_EX,MATCH('T1'!$J78&amp;"|"&amp;3,LISTA_KLUCZ,0))),"")</f>
        <v>Allah</v>
      </c>
      <c r="F78" s="5" t="str">
        <f t="array" ref="F78">IFERROR(IF('T1'!$J78="",INDEX(LISTA_EX,4),INDEX(LISTA_EX,MATCH('T1'!$J78&amp;"|"&amp;4,LISTA_KLUCZ,0))),"")</f>
        <v>Arnold press</v>
      </c>
      <c r="G78" s="5" t="str">
        <f t="array" ref="G78">IFERROR(IF('T1'!$J78="",INDEX(LISTA_EX,5),INDEX(LISTA_EX,MATCH('T1'!$J78&amp;"|"&amp;5,LISTA_KLUCZ,0))),"")</f>
        <v>Arnold press alternating</v>
      </c>
      <c r="H78" s="5" t="str">
        <f t="array" ref="H78">IFERROR(IF('T1'!$J78="",INDEX(LISTA_EX,6),INDEX(LISTA_EX,MATCH('T1'!$J78&amp;"|"&amp;6,LISTA_KLUCZ,0))),"")</f>
        <v>B/l dragonflag eccentric</v>
      </c>
      <c r="I78" s="5" t="str">
        <f t="array" ref="I78">IFERROR(IF('T1'!$J78="",INDEX(LISTA_EX,7),INDEX(LISTA_EX,MATCH('T1'!$J78&amp;"|"&amp;7,LISTA_KLUCZ,0))),"")</f>
        <v>Back extension</v>
      </c>
      <c r="J78" s="5" t="str">
        <f t="array" ref="J78">IFERROR(IF('T1'!$J78="",INDEX(LISTA_EX,8),INDEX(LISTA_EX,MATCH('T1'!$J78&amp;"|"&amp;8,LISTA_KLUCZ,0))),"")</f>
        <v>Banded pistol squat</v>
      </c>
      <c r="K78" s="5" t="str">
        <f t="array" ref="K78">IFERROR(IF('T1'!$J78="",INDEX(LISTA_EX,9),INDEX(LISTA_EX,MATCH('T1'!$J78&amp;"|"&amp;9,LISTA_KLUCZ,0))),"")</f>
        <v>Banded pull ups</v>
      </c>
      <c r="L78" s="5" t="str">
        <f t="array" ref="L78">IFERROR(IF('T1'!$J78="",INDEX(LISTA_EX,10),INDEX(LISTA_EX,MATCH('T1'!$J78&amp;"|"&amp;10,LISTA_KLUCZ,0))),"")</f>
        <v>Barbell back squat</v>
      </c>
      <c r="M78" s="5" t="str">
        <f t="array" ref="M78">IFERROR(IF('T1'!$J78="",INDEX(LISTA_EX,11),INDEX(LISTA_EX,MATCH('T1'!$J78&amp;"|"&amp;11,LISTA_KLUCZ,0))),"")</f>
        <v>Barbell bench press</v>
      </c>
      <c r="N78" s="5" t="str">
        <f t="array" ref="N78">IFERROR(IF('T1'!$J78="",INDEX(LISTA_EX,12),INDEX(LISTA_EX,MATCH('T1'!$J78&amp;"|"&amp;12,LISTA_KLUCZ,0))),"")</f>
        <v>Barbell curl</v>
      </c>
      <c r="O78" s="5" t="str">
        <f t="array" ref="O78">IFERROR(IF('T1'!$J78="",INDEX(LISTA_EX,13),INDEX(LISTA_EX,MATCH('T1'!$J78&amp;"|"&amp;13,LISTA_KLUCZ,0))),"")</f>
        <v>Barbell low bar squat</v>
      </c>
      <c r="P78" s="5" t="str">
        <f t="array" ref="P78">IFERROR(IF('T1'!$J78="",INDEX(LISTA_EX,14),INDEX(LISTA_EX,MATCH('T1'!$J78&amp;"|"&amp;14,LISTA_KLUCZ,0))),"")</f>
        <v>Barbell OHP</v>
      </c>
      <c r="Q78" s="5" t="str">
        <f t="array" ref="Q78">IFERROR(IF('T1'!$J78="",INDEX(LISTA_EX,15),INDEX(LISTA_EX,MATCH('T1'!$J78&amp;"|"&amp;15,LISTA_KLUCZ,0))),"")</f>
        <v>Barbell oscilation</v>
      </c>
      <c r="R78" s="5" t="str">
        <f t="array" ref="R78">IFERROR(IF('T1'!$J78="",INDEX(LISTA_EX,16),INDEX(LISTA_EX,MATCH('T1'!$J78&amp;"|"&amp;16,LISTA_KLUCZ,0))),"")</f>
        <v>Barbell row</v>
      </c>
      <c r="S78" s="5" t="str">
        <f t="array" ref="S78">IFERROR(IF('T1'!$J78="",INDEX(LISTA_EX,17),INDEX(LISTA_EX,MATCH('T1'!$J78&amp;"|"&amp;17,LISTA_KLUCZ,0))),"")</f>
        <v>Barbell row dead stop pins</v>
      </c>
      <c r="T78" s="5" t="str">
        <f t="array" ref="T78">IFERROR(IF('T1'!$J78="",INDEX(LISTA_EX,18),INDEX(LISTA_EX,MATCH('T1'!$J78&amp;"|"&amp;18,LISTA_KLUCZ,0))),"")</f>
        <v>Barbell SLDL</v>
      </c>
      <c r="U78" s="5" t="str">
        <f t="array" ref="U78">IFERROR(IF('T1'!$J78="",INDEX(LISTA_EX,19),INDEX(LISTA_EX,MATCH('T1'!$J78&amp;"|"&amp;19,LISTA_KLUCZ,0))),"")</f>
        <v>Bayesian curl</v>
      </c>
      <c r="V78" s="5" t="str">
        <f t="array" ref="V78">IFERROR(IF('T1'!$J78="",INDEX(LISTA_EX,20),INDEX(LISTA_EX,MATCH('T1'!$J78&amp;"|"&amp;20,LISTA_KLUCZ,0))),"")</f>
        <v>Bear renegade row</v>
      </c>
      <c r="W78" s="5" t="str">
        <f t="array" ref="W78">IFERROR(IF('T1'!$J78="",INDEX(LISTA_EX,21),INDEX(LISTA_EX,MATCH('T1'!$J78&amp;"|"&amp;21,LISTA_KLUCZ,0))),"")</f>
        <v>Bench press paused 3sec</v>
      </c>
      <c r="X78" s="5" t="str">
        <f t="array" ref="X78">IFERROR(IF('T1'!$J78="",INDEX(LISTA_EX,22),INDEX(LISTA_EX,MATCH('T1'!$J78&amp;"|"&amp;22,LISTA_KLUCZ,0))),"")</f>
        <v>Bicep hammer curl</v>
      </c>
      <c r="Y78" s="5" t="str">
        <f t="array" ref="Y78">IFERROR(IF('T1'!$J78="",INDEX(LISTA_EX,23),INDEX(LISTA_EX,MATCH('T1'!$J78&amp;"|"&amp;23,LISTA_KLUCZ,0))),"")</f>
        <v>Bicep squat cable curl</v>
      </c>
      <c r="Z78" s="5" t="str">
        <f t="array" ref="Z78">IFERROR(IF('T1'!$J78="",INDEX(LISTA_EX,24),INDEX(LISTA_EX,MATCH('T1'!$J78&amp;"|"&amp;24,LISTA_KLUCZ,0))),"")</f>
        <v>Bird dog row</v>
      </c>
      <c r="AA78" s="5" t="str">
        <f t="array" ref="AA78">IFERROR(IF('T1'!$J78="",INDEX(LISTA_EX,25),INDEX(LISTA_EX,MATCH('T1'!$J78&amp;"|"&amp;25,LISTA_KLUCZ,0))),"")</f>
        <v>Box jump</v>
      </c>
      <c r="AB78" s="5" t="str">
        <f t="array" ref="AB78">IFERROR(IF('T1'!$J78="",INDEX(LISTA_EX,26),INDEX(LISTA_EX,MATCH('T1'!$J78&amp;"|"&amp;26,LISTA_KLUCZ,0))),"")</f>
        <v>Bulgarian clean plyo</v>
      </c>
      <c r="AC78" s="5" t="str">
        <f t="array" ref="AC78">IFERROR(IF('T1'!$J78="",INDEX(LISTA_EX,27),INDEX(LISTA_EX,MATCH('T1'!$J78&amp;"|"&amp;27,LISTA_KLUCZ,0))),"")</f>
        <v>Bulgarian squat assisted</v>
      </c>
      <c r="AD78" s="5" t="str">
        <f t="array" ref="AD78">IFERROR(IF('T1'!$J78="",INDEX(LISTA_EX,28),INDEX(LISTA_EX,MATCH('T1'!$J78&amp;"|"&amp;28,LISTA_KLUCZ,0))),"")</f>
        <v>Cable biceps curl</v>
      </c>
      <c r="AE78" s="5" t="str">
        <f t="array" ref="AE78">IFERROR(IF('T1'!$J78="",INDEX(LISTA_EX,29),INDEX(LISTA_EX,MATCH('T1'!$J78&amp;"|"&amp;29,LISTA_KLUCZ,0))),"")</f>
        <v>Cable fly</v>
      </c>
      <c r="AF78" s="5" t="str">
        <f t="array" ref="AF78">IFERROR(IF('T1'!$J78="",INDEX(LISTA_EX,30),INDEX(LISTA_EX,MATCH('T1'!$J78&amp;"|"&amp;30,LISTA_KLUCZ,0))),"")</f>
        <v>Cable lateral raise s/a</v>
      </c>
      <c r="AG78" s="5" t="str">
        <f t="array" ref="AG78">IFERROR(IF('T1'!$J78="",INDEX(LISTA_EX,31),INDEX(LISTA_EX,MATCH('T1'!$J78&amp;"|"&amp;31,LISTA_KLUCZ,0))),"")</f>
        <v>Cable row</v>
      </c>
      <c r="AH78" s="5" t="str">
        <f t="array" ref="AH78">IFERROR(IF('T1'!$J78="",INDEX(LISTA_EX,32),INDEX(LISTA_EX,MATCH('T1'!$J78&amp;"|"&amp;32,LISTA_KLUCZ,0))),"")</f>
        <v>Cable row s/a</v>
      </c>
      <c r="AI78" s="5" t="str">
        <f t="array" ref="AI78">IFERROR(IF('T1'!$J78="",INDEX(LISTA_EX,33),INDEX(LISTA_EX,MATCH('T1'!$J78&amp;"|"&amp;33,LISTA_KLUCZ,0))),"")</f>
        <v>Calf raises</v>
      </c>
      <c r="AJ78" s="5" t="str">
        <f t="array" ref="AJ78">IFERROR(IF('T1'!$J78="",INDEX(LISTA_EX,34),INDEX(LISTA_EX,MATCH('T1'!$J78&amp;"|"&amp;34,LISTA_KLUCZ,0))),"")</f>
        <v>Chest fly machine</v>
      </c>
      <c r="AK78" s="5" t="str">
        <f t="array" ref="AK78">IFERROR(IF('T1'!$J78="",INDEX(LISTA_EX,35),INDEX(LISTA_EX,MATCH('T1'!$J78&amp;"|"&amp;35,LISTA_KLUCZ,0))),"")</f>
        <v>Clean</v>
      </c>
      <c r="AL78" s="5" t="str">
        <f t="array" ref="AL78">IFERROR(IF('T1'!$J78="",INDEX(LISTA_EX,36),INDEX(LISTA_EX,MATCH('T1'!$J78&amp;"|"&amp;36,LISTA_KLUCZ,0))),"")</f>
        <v>Clean pins</v>
      </c>
      <c r="AM78" s="5" t="str">
        <f t="array" ref="AM78">IFERROR(IF('T1'!$J78="",INDEX(LISTA_EX,37),INDEX(LISTA_EX,MATCH('T1'!$J78&amp;"|"&amp;37,LISTA_KLUCZ,0))),"")</f>
        <v>Copenhagen plank</v>
      </c>
      <c r="AN78" s="5" t="str">
        <f t="array" ref="AN78">IFERROR(IF('T1'!$J78="",INDEX(LISTA_EX,38),INDEX(LISTA_EX,MATCH('T1'!$J78&amp;"|"&amp;38,LISTA_KLUCZ,0))),"")</f>
        <v>Dead bug izo + OH</v>
      </c>
      <c r="AO78" s="5" t="str">
        <f t="array" ref="AO78">IFERROR(IF('T1'!$J78="",INDEX(LISTA_EX,39),INDEX(LISTA_EX,MATCH('T1'!$J78&amp;"|"&amp;39,LISTA_KLUCZ,0))),"")</f>
        <v>Dead bug straight legs</v>
      </c>
      <c r="AP78" s="5" t="str">
        <f t="array" ref="AP78">IFERROR(IF('T1'!$J78="",INDEX(LISTA_EX,40),INDEX(LISTA_EX,MATCH('T1'!$J78&amp;"|"&amp;40,LISTA_KLUCZ,0))),"")</f>
        <v>Dead stop barbell row</v>
      </c>
      <c r="AQ78" s="5" t="str">
        <f t="array" ref="AQ78">IFERROR(IF('T1'!$J78="",INDEX(LISTA_EX,41),INDEX(LISTA_EX,MATCH('T1'!$J78&amp;"|"&amp;41,LISTA_KLUCZ,0))),"")</f>
        <v>Deadbug OH</v>
      </c>
      <c r="AR78" s="5" t="str">
        <f t="array" ref="AR78">IFERROR(IF('T1'!$J78="",INDEX(LISTA_EX,42),INDEX(LISTA_EX,MATCH('T1'!$J78&amp;"|"&amp;42,LISTA_KLUCZ,0))),"")</f>
        <v>Deadlift</v>
      </c>
      <c r="AS78" s="5" t="str">
        <f t="array" ref="AS78">IFERROR(IF('T1'!$J78="",INDEX(LISTA_EX,43),INDEX(LISTA_EX,MATCH('T1'!$J78&amp;"|"&amp;43,LISTA_KLUCZ,0))),"")</f>
        <v>Deficit push up</v>
      </c>
      <c r="AT78" s="5" t="str">
        <f t="array" ref="AT78">IFERROR(IF('T1'!$J78="",INDEX(LISTA_EX,44),INDEX(LISTA_EX,MATCH('T1'!$J78&amp;"|"&amp;44,LISTA_KLUCZ,0))),"")</f>
        <v>Deficit reverse lunge</v>
      </c>
      <c r="AU78" s="5" t="str">
        <f t="array" ref="AU78">IFERROR(IF('T1'!$J78="",INDEX(LISTA_EX,45),INDEX(LISTA_EX,MATCH('T1'!$J78&amp;"|"&amp;45,LISTA_KLUCZ,0))),"")</f>
        <v>Dips</v>
      </c>
      <c r="AV78" s="5" t="str">
        <f t="array" ref="AV78">IFERROR(IF('T1'!$J78="",INDEX(LISTA_EX,46),INDEX(LISTA_EX,MATCH('T1'!$J78&amp;"|"&amp;46,LISTA_KLUCZ,0))),"")</f>
        <v>Dips weighted</v>
      </c>
      <c r="AW78" s="5" t="str">
        <f t="array" ref="AW78">IFERROR(IF('T1'!$J78="",INDEX(LISTA_EX,47),INDEX(LISTA_EX,MATCH('T1'!$J78&amp;"|"&amp;47,LISTA_KLUCZ,0))),"")</f>
        <v>Dumbbell bench press</v>
      </c>
      <c r="AX78" s="5" t="str">
        <f t="array" ref="AX78">IFERROR(IF('T1'!$J78="",INDEX(LISTA_EX,48),INDEX(LISTA_EX,MATCH('T1'!$J78&amp;"|"&amp;48,LISTA_KLUCZ,0))),"")</f>
        <v>Dumbbell bench press alternating</v>
      </c>
      <c r="AY78" s="5" t="str">
        <f t="array" ref="AY78">IFERROR(IF('T1'!$J78="",INDEX(LISTA_EX,49),INDEX(LISTA_EX,MATCH('T1'!$J78&amp;"|"&amp;49,LISTA_KLUCZ,0))),"")</f>
        <v>Dumbbell curl</v>
      </c>
      <c r="AZ78" s="5" t="str">
        <f t="array" ref="AZ78">IFERROR(IF('T1'!$J78="",INDEX(LISTA_EX,50),INDEX(LISTA_EX,MATCH('T1'!$J78&amp;"|"&amp;50,LISTA_KLUCZ,0))),"")</f>
        <v>Dumbbell external rotation</v>
      </c>
      <c r="BA78" s="5" t="str">
        <f t="array" ref="BA78">IFERROR(IF('T1'!$J78="",INDEX(LISTA_EX,51),INDEX(LISTA_EX,MATCH('T1'!$J78&amp;"|"&amp;51,LISTA_KLUCZ,0))),"")</f>
        <v>Dumbbell face down curl</v>
      </c>
      <c r="BB78" s="5" t="str">
        <f t="array" ref="BB78">IFERROR(IF('T1'!$J78="",INDEX(LISTA_EX,52),INDEX(LISTA_EX,MATCH('T1'!$J78&amp;"|"&amp;52,LISTA_KLUCZ,0))),"")</f>
        <v>Dumbbell fly</v>
      </c>
      <c r="BC78" s="5" t="str">
        <f t="array" ref="BC78">IFERROR(IF('T1'!$J78="",INDEX(LISTA_EX,53),INDEX(LISTA_EX,MATCH('T1'!$J78&amp;"|"&amp;53,LISTA_KLUCZ,0))),"")</f>
        <v>Dumbbell french press</v>
      </c>
      <c r="BD78" s="5" t="str">
        <f t="array" ref="BD78">IFERROR(IF('T1'!$J78="",INDEX(LISTA_EX,54),INDEX(LISTA_EX,MATCH('T1'!$J78&amp;"|"&amp;54,LISTA_KLUCZ,0))),"")</f>
        <v>Dumbbell lateral raise</v>
      </c>
      <c r="BE78" s="5" t="str">
        <f t="array" ref="BE78">IFERROR(IF('T1'!$J78="",INDEX(LISTA_EX,55),INDEX(LISTA_EX,MATCH('T1'!$J78&amp;"|"&amp;55,LISTA_KLUCZ,0))),"")</f>
        <v>Dumbbell lunges</v>
      </c>
      <c r="BF78" s="5" t="str">
        <f t="array" ref="BF78">IFERROR(IF('T1'!$J78="",INDEX(LISTA_EX,56),INDEX(LISTA_EX,MATCH('T1'!$J78&amp;"|"&amp;56,LISTA_KLUCZ,0))),"")</f>
        <v>Dumbbell OH press</v>
      </c>
      <c r="BG78" s="5" t="str">
        <f t="array" ref="BG78">IFERROR(IF('T1'!$J78="",INDEX(LISTA_EX,57),INDEX(LISTA_EX,MATCH('T1'!$J78&amp;"|"&amp;57,LISTA_KLUCZ,0))),"")</f>
        <v>Dumbbell over head press</v>
      </c>
      <c r="BH78" s="5" t="str">
        <f t="array" ref="BH78">IFERROR(IF('T1'!$J78="",INDEX(LISTA_EX,58),INDEX(LISTA_EX,MATCH('T1'!$J78&amp;"|"&amp;58,LISTA_KLUCZ,0))),"")</f>
        <v>Dumbbell over head press alternating</v>
      </c>
      <c r="BI78" s="5" t="str">
        <f t="array" ref="BI78">IFERROR(IF('T1'!$J78="",INDEX(LISTA_EX,59),INDEX(LISTA_EX,MATCH('T1'!$J78&amp;"|"&amp;59,LISTA_KLUCZ,0))),"")</f>
        <v>Dumbbell row</v>
      </c>
      <c r="BJ78" s="5" t="str">
        <f t="array" ref="BJ78">IFERROR(IF('T1'!$J78="",INDEX(LISTA_EX,60),INDEX(LISTA_EX,MATCH('T1'!$J78&amp;"|"&amp;60,LISTA_KLUCZ,0))),"")</f>
        <v>Dumbbell s/a Arnold press</v>
      </c>
      <c r="BK78" s="5" t="str">
        <f t="array" ref="BK78">IFERROR(IF('T1'!$J78="",INDEX(LISTA_EX,61),INDEX(LISTA_EX,MATCH('T1'!$J78&amp;"|"&amp;61,LISTA_KLUCZ,0))),"")</f>
        <v>Dumbbell s/a row</v>
      </c>
      <c r="BL78" s="5" t="str">
        <f t="array" ref="BL78">IFERROR(IF('T1'!$J78="",INDEX(LISTA_EX,62),INDEX(LISTA_EX,MATCH('T1'!$J78&amp;"|"&amp;62,LISTA_KLUCZ,0))),"")</f>
        <v>Dumbbell seal row</v>
      </c>
      <c r="BM78" s="5" t="str">
        <f t="array" ref="BM78">IFERROR(IF('T1'!$J78="",INDEX(LISTA_EX,63),INDEX(LISTA_EX,MATCH('T1'!$J78&amp;"|"&amp;63,LISTA_KLUCZ,0))),"")</f>
        <v>Dumbbells jumps</v>
      </c>
      <c r="BN78" s="5" t="str">
        <f t="array" ref="BN78">IFERROR(IF('T1'!$J78="",INDEX(LISTA_EX,64),INDEX(LISTA_EX,MATCH('T1'!$J78&amp;"|"&amp;64,LISTA_KLUCZ,0))),"")</f>
        <v>Eccentric pull up</v>
      </c>
      <c r="BO78" s="5" t="str">
        <f t="array" ref="BO78">IFERROR(IF('T1'!$J78="",INDEX(LISTA_EX,65),INDEX(LISTA_EX,MATCH('T1'!$J78&amp;"|"&amp;65,LISTA_KLUCZ,0))),"")</f>
        <v>Eccentric push up (5 sek w dół)</v>
      </c>
      <c r="BP78" s="5" t="str">
        <f t="array" ref="BP78">IFERROR(IF('T1'!$J78="",INDEX(LISTA_EX,66),INDEX(LISTA_EX,MATCH('T1'!$J78&amp;"|"&amp;66,LISTA_KLUCZ,0))),"")</f>
        <v>Extensive plyo jumps s/l</v>
      </c>
      <c r="BQ78" s="5" t="str">
        <f t="array" ref="BQ78">IFERROR(IF('T1'!$J78="",INDEX(LISTA_EX,67),INDEX(LISTA_EX,MATCH('T1'!$J78&amp;"|"&amp;67,LISTA_KLUCZ,0))),"")</f>
        <v>Ez bar curl</v>
      </c>
      <c r="BR78" s="5" t="str">
        <f t="array" ref="BR78">IFERROR(IF('T1'!$J78="",INDEX(LISTA_EX,68),INDEX(LISTA_EX,MATCH('T1'!$J78&amp;"|"&amp;68,LISTA_KLUCZ,0))),"")</f>
        <v>Facepull chest supported</v>
      </c>
      <c r="BS78" s="5" t="str">
        <f t="array" ref="BS78">IFERROR(IF('T1'!$J78="",INDEX(LISTA_EX,69),INDEX(LISTA_EX,MATCH('T1'!$J78&amp;"|"&amp;69,LISTA_KLUCZ,0))),"")</f>
        <v>Front foot elevated split squat</v>
      </c>
      <c r="BT78" s="5" t="str">
        <f t="array" ref="BT78">IFERROR(IF('T1'!$J78="",INDEX(LISTA_EX,70),INDEX(LISTA_EX,MATCH('T1'!$J78&amp;"|"&amp;70,LISTA_KLUCZ,0))),"")</f>
        <v>Front squat</v>
      </c>
      <c r="BU78" s="5" t="str">
        <f t="array" ref="BU78">IFERROR(IF('T1'!$J78="",INDEX(LISTA_EX,71),INDEX(LISTA_EX,MATCH('T1'!$J78&amp;"|"&amp;71,LISTA_KLUCZ,0))),"")</f>
        <v>GHD flexion</v>
      </c>
      <c r="BV78" s="5" t="str">
        <f t="array" ref="BV78">IFERROR(IF('T1'!$J78="",INDEX(LISTA_EX,72),INDEX(LISTA_EX,MATCH('T1'!$J78&amp;"|"&amp;72,LISTA_KLUCZ,0))),"")</f>
        <v>Glute bridge hamstrings izo + OH</v>
      </c>
      <c r="BW78" s="5" t="str">
        <f t="array" ref="BW78">IFERROR(IF('T1'!$J78="",INDEX(LISTA_EX,73),INDEX(LISTA_EX,MATCH('T1'!$J78&amp;"|"&amp;73,LISTA_KLUCZ,0))),"")</f>
        <v>Glute crusher</v>
      </c>
      <c r="BX78" s="5" t="str">
        <f t="array" ref="BX78">IFERROR(IF('T1'!$J78="",INDEX(LISTA_EX,74),INDEX(LISTA_EX,MATCH('T1'!$J78&amp;"|"&amp;74,LISTA_KLUCZ,0))),"")</f>
        <v>Gorilla row</v>
      </c>
      <c r="BY78" s="5" t="str">
        <f t="array" ref="BY78">IFERROR(IF('T1'!$J78="",INDEX(LISTA_EX,75),INDEX(LISTA_EX,MATCH('T1'!$J78&amp;"|"&amp;75,LISTA_KLUCZ,0))),"")</f>
        <v>Halfkneeling s/a cable pull</v>
      </c>
      <c r="BZ78" s="5" t="str">
        <f t="array" ref="BZ78">IFERROR(IF('T1'!$J78="",INDEX(LISTA_EX,76),INDEX(LISTA_EX,MATCH('T1'!$J78&amp;"|"&amp;76,LISTA_KLUCZ,0))),"")</f>
        <v>Halfkneeling wood chopper</v>
      </c>
      <c r="CA78" s="5" t="str">
        <f t="array" ref="CA78">IFERROR(IF('T1'!$J78="",INDEX(LISTA_EX,77),INDEX(LISTA_EX,MATCH('T1'!$J78&amp;"|"&amp;77,LISTA_KLUCZ,0))),"")</f>
        <v>Hinged dumbbell row</v>
      </c>
      <c r="CB78" s="5" t="str">
        <f t="array" ref="CB78">IFERROR(IF('T1'!$J78="",INDEX(LISTA_EX,78),INDEX(LISTA_EX,MATCH('T1'!$J78&amp;"|"&amp;78,LISTA_KLUCZ,0))),"")</f>
        <v>Hip aeroplane</v>
      </c>
      <c r="CC78" s="5" t="str">
        <f t="array" ref="CC78">IFERROR(IF('T1'!$J78="",INDEX(LISTA_EX,79),INDEX(LISTA_EX,MATCH('T1'!$J78&amp;"|"&amp;79,LISTA_KLUCZ,0))),"")</f>
        <v>Hip flexors cable</v>
      </c>
      <c r="CD78" s="5" t="str">
        <f t="array" ref="CD78">IFERROR(IF('T1'!$J78="",INDEX(LISTA_EX,80),INDEX(LISTA_EX,MATCH('T1'!$J78&amp;"|"&amp;80,LISTA_KLUCZ,0))),"")</f>
        <v>Hip thrust barbell</v>
      </c>
      <c r="CE78" s="5" t="str">
        <f t="array" ref="CE78">IFERROR(IF('T1'!$J78="",INDEX(LISTA_EX,81),INDEX(LISTA_EX,MATCH('T1'!$J78&amp;"|"&amp;81,LISTA_KLUCZ,0))),"")</f>
        <v>Hollow body + OH</v>
      </c>
      <c r="CF78" s="5" t="str">
        <f t="array" ref="CF78">IFERROR(IF('T1'!$J78="",INDEX(LISTA_EX,82),INDEX(LISTA_EX,MATCH('T1'!$J78&amp;"|"&amp;82,LISTA_KLUCZ,0))),"")</f>
        <v>Horizontal jump</v>
      </c>
      <c r="CG78" s="5" t="str">
        <f t="array" ref="CG78">IFERROR(IF('T1'!$J78="",INDEX(LISTA_EX,83),INDEX(LISTA_EX,MATCH('T1'!$J78&amp;"|"&amp;83,LISTA_KLUCZ,0))),"")</f>
        <v>Incline bench lateral raise s/a</v>
      </c>
      <c r="CH78" s="5" t="str">
        <f t="array" ref="CH78">IFERROR(IF('T1'!$J78="",INDEX(LISTA_EX,84),INDEX(LISTA_EX,MATCH('T1'!$J78&amp;"|"&amp;84,LISTA_KLUCZ,0))),"")</f>
        <v>Incline curl + OHP</v>
      </c>
      <c r="CI78" s="5" t="str">
        <f t="array" ref="CI78">IFERROR(IF('T1'!$J78="",INDEX(LISTA_EX,85),INDEX(LISTA_EX,MATCH('T1'!$J78&amp;"|"&amp;85,LISTA_KLUCZ,0))),"")</f>
        <v>Incline dumbbell curl</v>
      </c>
      <c r="CJ78" s="5" t="str">
        <f t="array" ref="CJ78">IFERROR(IF('T1'!$J78="",INDEX(LISTA_EX,86),INDEX(LISTA_EX,MATCH('T1'!$J78&amp;"|"&amp;86,LISTA_KLUCZ,0))),"")</f>
        <v>Incline dumbbell curl (back)</v>
      </c>
      <c r="CK78" s="5" t="str">
        <f t="array" ref="CK78">IFERROR(IF('T1'!$J78="",INDEX(LISTA_EX,87),INDEX(LISTA_EX,MATCH('T1'!$J78&amp;"|"&amp;87,LISTA_KLUCZ,0))),"")</f>
        <v>Incline dumbbell curl (front)</v>
      </c>
      <c r="CL78" s="5" t="str">
        <f t="array" ref="CL78">IFERROR(IF('T1'!$J78="",INDEX(LISTA_EX,88),INDEX(LISTA_EX,MATCH('T1'!$J78&amp;"|"&amp;88,LISTA_KLUCZ,0))),"")</f>
        <v>Incline dumbbell fly</v>
      </c>
      <c r="CM78" s="5" t="str">
        <f t="array" ref="CM78">IFERROR(IF('T1'!$J78="",INDEX(LISTA_EX,89),INDEX(LISTA_EX,MATCH('T1'!$J78&amp;"|"&amp;89,LISTA_KLUCZ,0))),"")</f>
        <v>Incline dumbbell press</v>
      </c>
      <c r="CN78" s="5" t="str">
        <f t="array" ref="CN78">IFERROR(IF('T1'!$J78="",INDEX(LISTA_EX,90),INDEX(LISTA_EX,MATCH('T1'!$J78&amp;"|"&amp;90,LISTA_KLUCZ,0))),"")</f>
        <v>Incline dumbbell press alternating</v>
      </c>
      <c r="CO78" s="5" t="str">
        <f t="array" ref="CO78">IFERROR(IF('T1'!$J78="",INDEX(LISTA_EX,91),INDEX(LISTA_EX,MATCH('T1'!$J78&amp;"|"&amp;91,LISTA_KLUCZ,0))),"")</f>
        <v>Incline sit-ups</v>
      </c>
      <c r="CP78" s="5" t="str">
        <f t="array" ref="CP78">IFERROR(IF('T1'!$J78="",INDEX(LISTA_EX,92),INDEX(LISTA_EX,MATCH('T1'!$J78&amp;"|"&amp;92,LISTA_KLUCZ,0))),"")</f>
        <v>Jefferson cable</v>
      </c>
      <c r="CQ78" s="5" t="str">
        <f t="array" ref="CQ78">IFERROR(IF('T1'!$J78="",INDEX(LISTA_EX,93),INDEX(LISTA_EX,MATCH('T1'!$J78&amp;"|"&amp;93,LISTA_KLUCZ,0))),"")</f>
        <v>Kettlebell march</v>
      </c>
      <c r="CR78" s="5" t="str">
        <f t="array" ref="CR78">IFERROR(IF('T1'!$J78="",INDEX(LISTA_EX,94),INDEX(LISTA_EX,MATCH('T1'!$J78&amp;"|"&amp;94,LISTA_KLUCZ,0))),"")</f>
        <v>Kickbacks</v>
      </c>
      <c r="CS78" s="5" t="str">
        <f t="array" ref="CS78">IFERROR(IF('T1'!$J78="",INDEX(LISTA_EX,95),INDEX(LISTA_EX,MATCH('T1'!$J78&amp;"|"&amp;95,LISTA_KLUCZ,0))),"")</f>
        <v>Knee extension machine</v>
      </c>
      <c r="CT78" s="5" t="str">
        <f t="array" ref="CT78">IFERROR(IF('T1'!$J78="",INDEX(LISTA_EX,96),INDEX(LISTA_EX,MATCH('T1'!$J78&amp;"|"&amp;96,LISTA_KLUCZ,0))),"")</f>
        <v>Knee flexion machine</v>
      </c>
      <c r="CU78" s="5" t="str">
        <f t="array" ref="CU78">IFERROR(IF('T1'!$J78="",INDEX(LISTA_EX,97),INDEX(LISTA_EX,MATCH('T1'!$J78&amp;"|"&amp;97,LISTA_KLUCZ,0))),"")</f>
        <v>Knee raises</v>
      </c>
      <c r="CV78" s="5" t="str">
        <f t="array" ref="CV78">IFERROR(IF('T1'!$J78="",INDEX(LISTA_EX,98),INDEX(LISTA_EX,MATCH('T1'!$J78&amp;"|"&amp;98,LISTA_KLUCZ,0))),"")</f>
        <v>Landmine core</v>
      </c>
      <c r="CW78" s="5" t="str">
        <f t="array" ref="CW78">IFERROR(IF('T1'!$J78="",INDEX(LISTA_EX,99),INDEX(LISTA_EX,MATCH('T1'!$J78&amp;"|"&amp;99,LISTA_KLUCZ,0))),"")</f>
        <v>Landmine press</v>
      </c>
      <c r="CX78" s="5" t="str">
        <f t="array" ref="CX78">IFERROR(IF('T1'!$J78="",INDEX(LISTA_EX,100),INDEX(LISTA_EX,MATCH('T1'!$J78&amp;"|"&amp;100,LISTA_KLUCZ,0))),"")</f>
        <v>Landmine rotations (powtórzenia x2)</v>
      </c>
      <c r="CY78" s="5" t="str">
        <f t="array" ref="CY78">IFERROR(IF('T1'!$J78="",INDEX(LISTA_EX,101),INDEX(LISTA_EX,MATCH('T1'!$J78&amp;"|"&amp;101,LISTA_KLUCZ,0))),"")</f>
        <v>Landmine SLDL</v>
      </c>
      <c r="CZ78" s="5" t="str">
        <f t="array" ref="CZ78">IFERROR(IF('T1'!$J78="",INDEX(LISTA_EX,102),INDEX(LISTA_EX,MATCH('T1'!$J78&amp;"|"&amp;102,LISTA_KLUCZ,0))),"")</f>
        <v>Lat pulldown</v>
      </c>
      <c r="DA78" s="5" t="str">
        <f t="array" ref="DA78">IFERROR(IF('T1'!$J78="",INDEX(LISTA_EX,103),INDEX(LISTA_EX,MATCH('T1'!$J78&amp;"|"&amp;103,LISTA_KLUCZ,0))),"")</f>
        <v>Lat pulldown behind the head</v>
      </c>
      <c r="DB78" s="5" t="str">
        <f t="array" ref="DB78">IFERROR(IF('T1'!$J78="",INDEX(LISTA_EX,104),INDEX(LISTA_EX,MATCH('T1'!$J78&amp;"|"&amp;104,LISTA_KLUCZ,0))),"")</f>
        <v>Lat pulldown s/a</v>
      </c>
      <c r="DC78" s="5" t="str">
        <f t="array" ref="DC78">IFERROR(IF('T1'!$J78="",INDEX(LISTA_EX,105),INDEX(LISTA_EX,MATCH('T1'!$J78&amp;"|"&amp;105,LISTA_KLUCZ,0))),"")</f>
        <v>Lateral raise s/a</v>
      </c>
      <c r="DD78" s="5" t="str">
        <f t="array" ref="DD78">IFERROR(IF('T1'!$J78="",INDEX(LISTA_EX,106),INDEX(LISTA_EX,MATCH('T1'!$J78&amp;"|"&amp;106,LISTA_KLUCZ,0))),"")</f>
        <v>Lateral raises</v>
      </c>
      <c r="DE78" s="5" t="str">
        <f t="array" ref="DE78">IFERROR(IF('T1'!$J78="",INDEX(LISTA_EX,107),INDEX(LISTA_EX,MATCH('T1'!$J78&amp;"|"&amp;107,LISTA_KLUCZ,0))),"")</f>
        <v>Lateral raises 2</v>
      </c>
      <c r="DF78" s="5" t="str">
        <f t="array" ref="DF78">IFERROR(IF('T1'!$J78="",INDEX(LISTA_EX,108),INDEX(LISTA_EX,MATCH('T1'!$J78&amp;"|"&amp;108,LISTA_KLUCZ,0))),"")</f>
        <v>Lateral raises full ROM</v>
      </c>
      <c r="DG78" s="5" t="str">
        <f t="array" ref="DG78">IFERROR(IF('T1'!$J78="",INDEX(LISTA_EX,109),INDEX(LISTA_EX,MATCH('T1'!$J78&amp;"|"&amp;109,LISTA_KLUCZ,0))),"")</f>
        <v>Lateral raises hinged</v>
      </c>
      <c r="DH78" s="5" t="str">
        <f t="array" ref="DH78">IFERROR(IF('T1'!$J78="",INDEX(LISTA_EX,110),INDEX(LISTA_EX,MATCH('T1'!$J78&amp;"|"&amp;110,LISTA_KLUCZ,0))),"")</f>
        <v>Lateral raises incline s/a</v>
      </c>
      <c r="DI78" s="5" t="str">
        <f t="array" ref="DI78">IFERROR(IF('T1'!$J78="",INDEX(LISTA_EX,111),INDEX(LISTA_EX,MATCH('T1'!$J78&amp;"|"&amp;111,LISTA_KLUCZ,0))),"")</f>
        <v>Leg curl</v>
      </c>
      <c r="DJ78" s="5" t="str">
        <f t="array" ref="DJ78">IFERROR(IF('T1'!$J78="",INDEX(LISTA_EX,112),INDEX(LISTA_EX,MATCH('T1'!$J78&amp;"|"&amp;112,LISTA_KLUCZ,0))),"")</f>
        <v>Machine row</v>
      </c>
      <c r="DK78" s="5" t="str">
        <f t="array" ref="DK78">IFERROR(IF('T1'!$J78="",INDEX(LISTA_EX,113),INDEX(LISTA_EX,MATCH('T1'!$J78&amp;"|"&amp;113,LISTA_KLUCZ,0))),"")</f>
        <v>Machine row s/a</v>
      </c>
      <c r="DL78" s="5" t="str">
        <f t="array" ref="DL78">IFERROR(IF('T1'!$J78="",INDEX(LISTA_EX,114),INDEX(LISTA_EX,MATCH('T1'!$J78&amp;"|"&amp;114,LISTA_KLUCZ,0))),"")</f>
        <v>Meadows row</v>
      </c>
      <c r="DM78" s="5" t="str">
        <f t="array" ref="DM78">IFERROR(IF('T1'!$J78="",INDEX(LISTA_EX,115),INDEX(LISTA_EX,MATCH('T1'!$J78&amp;"|"&amp;115,LISTA_KLUCZ,0))),"")</f>
        <v>Med ball slam</v>
      </c>
      <c r="DN78" s="5" t="str">
        <f t="array" ref="DN78">IFERROR(IF('T1'!$J78="",INDEX(LISTA_EX,116),INDEX(LISTA_EX,MATCH('T1'!$J78&amp;"|"&amp;116,LISTA_KLUCZ,0))),"")</f>
        <v>OH skullcrushers</v>
      </c>
      <c r="DO78" s="5" t="str">
        <f t="array" ref="DO78">IFERROR(IF('T1'!$J78="",INDEX(LISTA_EX,117),INDEX(LISTA_EX,MATCH('T1'!$J78&amp;"|"&amp;117,LISTA_KLUCZ,0))),"")</f>
        <v>OHP barbell squat 15kg</v>
      </c>
      <c r="DP78" s="5" t="str">
        <f t="array" ref="DP78">IFERROR(IF('T1'!$J78="",INDEX(LISTA_EX,118),INDEX(LISTA_EX,MATCH('T1'!$J78&amp;"|"&amp;118,LISTA_KLUCZ,0))),"")</f>
        <v>Pistol squat eccentric</v>
      </c>
      <c r="DQ78" s="5" t="str">
        <f t="array" ref="DQ78">IFERROR(IF('T1'!$J78="",INDEX(LISTA_EX,119),INDEX(LISTA_EX,MATCH('T1'!$J78&amp;"|"&amp;119,LISTA_KLUCZ,0))),"")</f>
        <v>Plank contralateral</v>
      </c>
      <c r="DR78" s="5" t="str">
        <f t="array" ref="DR78">IFERROR(IF('T1'!$J78="",INDEX(LISTA_EX,120),INDEX(LISTA_EX,MATCH('T1'!$J78&amp;"|"&amp;120,LISTA_KLUCZ,0))),"")</f>
        <v>Plank dumbbell rotation</v>
      </c>
      <c r="DS78" s="5" t="str">
        <f t="array" ref="DS78">IFERROR(IF('T1'!$J78="",INDEX(LISTA_EX,121),INDEX(LISTA_EX,MATCH('T1'!$J78&amp;"|"&amp;121,LISTA_KLUCZ,0))),"")</f>
        <v>Plank leg raises</v>
      </c>
      <c r="DT78" s="5" t="str">
        <f t="array" ref="DT78">IFERROR(IF('T1'!$J78="",INDEX(LISTA_EX,122),INDEX(LISTA_EX,MATCH('T1'!$J78&amp;"|"&amp;122,LISTA_KLUCZ,0))),"")</f>
        <v>Poliquin step up</v>
      </c>
      <c r="DU78" s="5" t="str">
        <f t="array" ref="DU78">IFERROR(IF('T1'!$J78="",INDEX(LISTA_EX,123),INDEX(LISTA_EX,MATCH('T1'!$J78&amp;"|"&amp;123,LISTA_KLUCZ,0))),"")</f>
        <v>Poliquin step up paused 3sec</v>
      </c>
      <c r="DV78" s="5" t="str">
        <f t="array" ref="DV78">IFERROR(IF('T1'!$J78="",INDEX(LISTA_EX,124),INDEX(LISTA_EX,MATCH('T1'!$J78&amp;"|"&amp;124,LISTA_KLUCZ,0))),"")</f>
        <v>Pronation/Supination</v>
      </c>
      <c r="DW78" s="5" t="str">
        <f t="array" ref="DW78">IFERROR(IF('T1'!$J78="",INDEX(LISTA_EX,125),INDEX(LISTA_EX,MATCH('T1'!$J78&amp;"|"&amp;125,LISTA_KLUCZ,0))),"")</f>
        <v>Pull up</v>
      </c>
      <c r="DX78" s="5" t="str">
        <f t="array" ref="DX78">IFERROR(IF('T1'!$J78="",INDEX(LISTA_EX,126),INDEX(LISTA_EX,MATCH('T1'!$J78&amp;"|"&amp;126,LISTA_KLUCZ,0))),"")</f>
        <v>Pull up eccentric weighted</v>
      </c>
      <c r="DY78" s="5" t="str">
        <f t="array" ref="DY78">IFERROR(IF('T1'!$J78="",INDEX(LISTA_EX,127),INDEX(LISTA_EX,MATCH('T1'!$J78&amp;"|"&amp;127,LISTA_KLUCZ,0))),"")</f>
        <v>Pull up eccentric weighted (5 sek w dół)</v>
      </c>
      <c r="DZ78" s="5" t="str">
        <f t="array" ref="DZ78">IFERROR(IF('T1'!$J78="",INDEX(LISTA_EX,128),INDEX(LISTA_EX,MATCH('T1'!$J78&amp;"|"&amp;128,LISTA_KLUCZ,0))),"")</f>
        <v>Pull up weighted</v>
      </c>
      <c r="EA78" s="5" t="str">
        <f t="array" ref="EA78">IFERROR(IF('T1'!$J78="",INDEX(LISTA_EX,129),INDEX(LISTA_EX,MATCH('T1'!$J78&amp;"|"&amp;129,LISTA_KLUCZ,0))),"")</f>
        <v>Pull ups (paused)</v>
      </c>
      <c r="EB78" s="5" t="str">
        <f t="array" ref="EB78">IFERROR(IF('T1'!$J78="",INDEX(LISTA_EX,130),INDEX(LISTA_EX,MATCH('T1'!$J78&amp;"|"&amp;130,LISTA_KLUCZ,0))),"")</f>
        <v>Push press barbell</v>
      </c>
      <c r="EC78" s="5" t="str">
        <f t="array" ref="EC78">IFERROR(IF('T1'!$J78="",INDEX(LISTA_EX,131),INDEX(LISTA_EX,MATCH('T1'!$J78&amp;"|"&amp;131,LISTA_KLUCZ,0))),"")</f>
        <v>Push up</v>
      </c>
      <c r="ED78" s="5" t="str">
        <f t="array" ref="ED78">IFERROR(IF('T1'!$J78="",INDEX(LISTA_EX,132),INDEX(LISTA_EX,MATCH('T1'!$J78&amp;"|"&amp;132,LISTA_KLUCZ,0))),"")</f>
        <v>Raised bird dog</v>
      </c>
      <c r="EE78" s="5" t="str">
        <f t="array" ref="EE78">IFERROR(IF('T1'!$J78="",INDEX(LISTA_EX,133),INDEX(LISTA_EX,MATCH('T1'!$J78&amp;"|"&amp;133,LISTA_KLUCZ,0))),"")</f>
        <v>RDL</v>
      </c>
      <c r="EF78" s="5" t="str">
        <f t="array" ref="EF78">IFERROR(IF('T1'!$J78="",INDEX(LISTA_EX,134),INDEX(LISTA_EX,MATCH('T1'!$J78&amp;"|"&amp;134,LISTA_KLUCZ,0))),"")</f>
        <v>Reverse Nordic</v>
      </c>
      <c r="EG78" s="5" t="str">
        <f t="array" ref="EG78">IFERROR(IF('T1'!$J78="",INDEX(LISTA_EX,135),INDEX(LISTA_EX,MATCH('T1'!$J78&amp;"|"&amp;135,LISTA_KLUCZ,0))),"")</f>
        <v>Rope pushdown</v>
      </c>
      <c r="EH78" s="5" t="str">
        <f t="array" ref="EH78">IFERROR(IF('T1'!$J78="",INDEX(LISTA_EX,136),INDEX(LISTA_EX,MATCH('T1'!$J78&amp;"|"&amp;136,LISTA_KLUCZ,0))),"")</f>
        <v>Rope pushdown OH</v>
      </c>
      <c r="EI78" s="5" t="str">
        <f t="array" ref="EI78">IFERROR(IF('T1'!$J78="",INDEX(LISTA_EX,137),INDEX(LISTA_EX,MATCH('T1'!$J78&amp;"|"&amp;137,LISTA_KLUCZ,0))),"")</f>
        <v>S/a cable pulldown incline bench</v>
      </c>
      <c r="EJ78" s="5" t="str">
        <f t="array" ref="EJ78">IFERROR(IF('T1'!$J78="",INDEX(LISTA_EX,138),INDEX(LISTA_EX,MATCH('T1'!$J78&amp;"|"&amp;138,LISTA_KLUCZ,0))),"")</f>
        <v>S/a lat pulldown incline bench</v>
      </c>
      <c r="EK78" s="5" t="str">
        <f t="array" ref="EK78">IFERROR(IF('T1'!$J78="",INDEX(LISTA_EX,139),INDEX(LISTA_EX,MATCH('T1'!$J78&amp;"|"&amp;139,LISTA_KLUCZ,0))),"")</f>
        <v>S/l dragonflag eccentric</v>
      </c>
      <c r="EL78" s="5" t="str">
        <f t="array" ref="EL78">IFERROR(IF('T1'!$J78="",INDEX(LISTA_EX,140),INDEX(LISTA_EX,MATCH('T1'!$J78&amp;"|"&amp;140,LISTA_KLUCZ,0))),"")</f>
        <v>S/l hip thrust</v>
      </c>
      <c r="EM78" s="5" t="str">
        <f t="array" ref="EM78">IFERROR(IF('T1'!$J78="",INDEX(LISTA_EX,141),INDEX(LISTA_EX,MATCH('T1'!$J78&amp;"|"&amp;141,LISTA_KLUCZ,0))),"")</f>
        <v>Seated broad jump</v>
      </c>
      <c r="EN78" s="5" t="str">
        <f t="array" ref="EN78">IFERROR(IF('T1'!$J78="",INDEX(LISTA_EX,142),INDEX(LISTA_EX,MATCH('T1'!$J78&amp;"|"&amp;142,LISTA_KLUCZ,0))),"")</f>
        <v>Seated cable facepull</v>
      </c>
      <c r="EO78" s="5" t="str">
        <f t="array" ref="EO78">IFERROR(IF('T1'!$J78="",INDEX(LISTA_EX,143),INDEX(LISTA_EX,MATCH('T1'!$J78&amp;"|"&amp;143,LISTA_KLUCZ,0))),"")</f>
        <v>Seated seesaw press (nogi proste)</v>
      </c>
      <c r="EP78" s="5" t="str">
        <f t="array" ref="EP78">IFERROR(IF('T1'!$J78="",INDEX(LISTA_EX,144),INDEX(LISTA_EX,MATCH('T1'!$J78&amp;"|"&amp;144,LISTA_KLUCZ,0))),"")</f>
        <v>Seesaw press</v>
      </c>
      <c r="EQ78" s="5" t="str">
        <f t="array" ref="EQ78">IFERROR(IF('T1'!$J78="",INDEX(LISTA_EX,145),INDEX(LISTA_EX,MATCH('T1'!$J78&amp;"|"&amp;145,LISTA_KLUCZ,0))),"")</f>
        <v>Side crunches</v>
      </c>
      <c r="ER78" s="5" t="str">
        <f t="array" ref="ER78">IFERROR(IF('T1'!$J78="",INDEX(LISTA_EX,146),INDEX(LISTA_EX,MATCH('T1'!$J78&amp;"|"&amp;146,LISTA_KLUCZ,0))),"")</f>
        <v>Side plank hip drop</v>
      </c>
      <c r="ES78" s="5" t="str">
        <f t="array" ref="ES78">IFERROR(IF('T1'!$J78="",INDEX(LISTA_EX,147),INDEX(LISTA_EX,MATCH('T1'!$J78&amp;"|"&amp;147,LISTA_KLUCZ,0))),"")</f>
        <v>Side plank rotations</v>
      </c>
      <c r="ET78" s="5" t="str">
        <f t="array" ref="ET78">IFERROR(IF('T1'!$J78="",INDEX(LISTA_EX,148),INDEX(LISTA_EX,MATCH('T1'!$J78&amp;"|"&amp;148,LISTA_KLUCZ,0))),"")</f>
        <v>SLDL balance</v>
      </c>
      <c r="EU78" s="5" t="str">
        <f t="array" ref="EU78">IFERROR(IF('T1'!$J78="",INDEX(LISTA_EX,149),INDEX(LISTA_EX,MATCH('T1'!$J78&amp;"|"&amp;149,LISTA_KLUCZ,0))),"")</f>
        <v>Split squat</v>
      </c>
      <c r="EV78" s="5" t="str">
        <f t="array" ref="EV78">IFERROR(IF('T1'!$J78="",INDEX(LISTA_EX,150),INDEX(LISTA_EX,MATCH('T1'!$J78&amp;"|"&amp;150,LISTA_KLUCZ,0))),"")</f>
        <v>Split stance SLDL</v>
      </c>
      <c r="EW78" s="5" t="str">
        <f t="array" ref="EW78">IFERROR(IF('T1'!$J78="",INDEX(LISTA_EX,151),INDEX(LISTA_EX,MATCH('T1'!$J78&amp;"|"&amp;151,LISTA_KLUCZ,0))),"")</f>
        <v>Squat izo (15 sek)</v>
      </c>
      <c r="EX78" s="5" t="str">
        <f t="array" ref="EX78">IFERROR(IF('T1'!$J78="",INDEX(LISTA_EX,152),INDEX(LISTA_EX,MATCH('T1'!$J78&amp;"|"&amp;152,LISTA_KLUCZ,0))),"")</f>
        <v>Standing landmine press</v>
      </c>
      <c r="EY78" s="5" t="str">
        <f t="array" ref="EY78">IFERROR(IF('T1'!$J78="",INDEX(LISTA_EX,153),INDEX(LISTA_EX,MATCH('T1'!$J78&amp;"|"&amp;153,LISTA_KLUCZ,0))),"")</f>
        <v>Suitcase carry</v>
      </c>
      <c r="EZ78" s="5" t="str">
        <f t="array" ref="EZ78">IFERROR(IF('T1'!$J78="",INDEX(LISTA_EX,154),INDEX(LISTA_EX,MATCH('T1'!$J78&amp;"|"&amp;154,LISTA_KLUCZ,0))),"")</f>
        <v>Supine pigeon abs</v>
      </c>
      <c r="FA78" s="5" t="str">
        <f t="array" ref="FA78">IFERROR(IF('T1'!$J78="",INDEX(LISTA_EX,155),INDEX(LISTA_EX,MATCH('T1'!$J78&amp;"|"&amp;155,LISTA_KLUCZ,0))),"")</f>
        <v>Swiss ball leg curl</v>
      </c>
      <c r="FB78" s="5" t="str">
        <f t="array" ref="FB78">IFERROR(IF('T1'!$J78="",INDEX(LISTA_EX,156),INDEX(LISTA_EX,MATCH('T1'!$J78&amp;"|"&amp;156,LISTA_KLUCZ,0))),"")</f>
        <v>Toes to bar</v>
      </c>
      <c r="FC78" s="5" t="str">
        <f t="array" ref="FC78">IFERROR(IF('T1'!$J78="",INDEX(LISTA_EX,157),INDEX(LISTA_EX,MATCH('T1'!$J78&amp;"|"&amp;157,LISTA_KLUCZ,0))),"")</f>
        <v>Trap bar deadlift</v>
      </c>
      <c r="FD78" s="5" t="str">
        <f t="array" ref="FD78">IFERROR(IF('T1'!$J78="",INDEX(LISTA_EX,158),INDEX(LISTA_EX,MATCH('T1'!$J78&amp;"|"&amp;158,LISTA_KLUCZ,0))),"")</f>
        <v>Tricep cable pushdown</v>
      </c>
      <c r="FE78" s="5" t="str">
        <f t="array" ref="FE78">IFERROR(IF('T1'!$J78="",INDEX(LISTA_EX,159),INDEX(LISTA_EX,MATCH('T1'!$J78&amp;"|"&amp;159,LISTA_KLUCZ,0))),"")</f>
        <v>Tricep JM press</v>
      </c>
      <c r="FF78" s="5" t="str">
        <f t="array" ref="FF78">IFERROR(IF('T1'!$J78="",INDEX(LISTA_EX,160),INDEX(LISTA_EX,MATCH('T1'!$J78&amp;"|"&amp;160,LISTA_KLUCZ,0))),"")</f>
        <v>Tricep OH cable</v>
      </c>
      <c r="FG78" s="5" t="str">
        <f t="array" ref="FG78">IFERROR(IF('T1'!$J78="",INDEX(LISTA_EX,161),INDEX(LISTA_EX,MATCH('T1'!$J78&amp;"|"&amp;161,LISTA_KLUCZ,0))),"")</f>
        <v>Tricep OH ez bar</v>
      </c>
      <c r="FH78" s="5" t="str">
        <f t="array" ref="FH78">IFERROR(IF('T1'!$J78="",INDEX(LISTA_EX,162),INDEX(LISTA_EX,MATCH('T1'!$J78&amp;"|"&amp;162,LISTA_KLUCZ,0))),"")</f>
        <v>Walking lunges</v>
      </c>
      <c r="FI78" s="5" t="str">
        <f t="array" ref="FI78">IFERROR(IF('T1'!$J78="",INDEX(LISTA_EX,163),INDEX(LISTA_EX,MATCH('T1'!$J78&amp;"|"&amp;163,LISTA_KLUCZ,0))),"")</f>
        <v>Wipers kettle</v>
      </c>
      <c r="FJ78" s="5" t="str">
        <f t="array" ref="FJ78">IFERROR(IF('T1'!$J78="",INDEX(LISTA_EX,164),INDEX(LISTA_EX,MATCH('T1'!$J78&amp;"|"&amp;164,LISTA_KLUCZ,0))),"")</f>
        <v>Zercher jumps</v>
      </c>
      <c r="FK78" s="5" t="str">
        <f t="array" ref="FK78">IFERROR(IF('T1'!$J78="",INDEX(LISTA_EX,165),INDEX(LISTA_EX,MATCH('T1'!$J78&amp;"|"&amp;165,LISTA_KLUCZ,0))),"")</f>
        <v/>
      </c>
      <c r="FL78" s="5" t="str">
        <f t="array" ref="FL78">IFERROR(IF('T1'!$J78="",INDEX(LISTA_EX,166),INDEX(LISTA_EX,MATCH('T1'!$J78&amp;"|"&amp;166,LISTA_KLUCZ,0))),"")</f>
        <v/>
      </c>
      <c r="FM78" s="5" t="str">
        <f t="array" ref="FM78">IFERROR(IF('T1'!$J78="",INDEX(LISTA_EX,167),INDEX(LISTA_EX,MATCH('T1'!$J78&amp;"|"&amp;167,LISTA_KLUCZ,0))),"")</f>
        <v/>
      </c>
      <c r="FN78" s="5" t="str">
        <f t="array" ref="FN78">IFERROR(IF('T1'!$J78="",INDEX(LISTA_EX,168),INDEX(LISTA_EX,MATCH('T1'!$J78&amp;"|"&amp;168,LISTA_KLUCZ,0))),"")</f>
        <v/>
      </c>
      <c r="FO78" s="5" t="str">
        <f t="array" ref="FO78">IFERROR(IF('T1'!$J78="",INDEX(LISTA_EX,169),INDEX(LISTA_EX,MATCH('T1'!$J78&amp;"|"&amp;169,LISTA_KLUCZ,0))),"")</f>
        <v/>
      </c>
      <c r="FP78" s="5" t="str">
        <f t="array" ref="FP78">IFERROR(IF('T1'!$J78="",INDEX(LISTA_EX,170),INDEX(LISTA_EX,MATCH('T1'!$J78&amp;"|"&amp;170,LISTA_KLUCZ,0))),"")</f>
        <v/>
      </c>
      <c r="FQ78" s="5" t="str">
        <f t="array" ref="FQ78">IFERROR(IF('T1'!$J78="",INDEX(LISTA_EX,171),INDEX(LISTA_EX,MATCH('T1'!$J78&amp;"|"&amp;171,LISTA_KLUCZ,0))),"")</f>
        <v/>
      </c>
      <c r="FR78" s="5" t="str">
        <f t="array" ref="FR78">IFERROR(IF('T1'!$J78="",INDEX(LISTA_EX,172),INDEX(LISTA_EX,MATCH('T1'!$J78&amp;"|"&amp;172,LISTA_KLUCZ,0))),"")</f>
        <v/>
      </c>
      <c r="FS78" s="5" t="str">
        <f t="array" ref="FS78">IFERROR(IF('T1'!$J78="",INDEX(LISTA_EX,173),INDEX(LISTA_EX,MATCH('T1'!$J78&amp;"|"&amp;173,LISTA_KLUCZ,0))),"")</f>
        <v/>
      </c>
      <c r="FT78" s="5" t="str">
        <f t="array" ref="FT78">IFERROR(IF('T1'!$J78="",INDEX(LISTA_EX,174),INDEX(LISTA_EX,MATCH('T1'!$J78&amp;"|"&amp;174,LISTA_KLUCZ,0))),"")</f>
        <v/>
      </c>
      <c r="FU78" s="5" t="str">
        <f t="array" ref="FU78">IFERROR(IF('T1'!$J78="",INDEX(LISTA_EX,175),INDEX(LISTA_EX,MATCH('T1'!$J78&amp;"|"&amp;175,LISTA_KLUCZ,0))),"")</f>
        <v/>
      </c>
      <c r="FV78" s="5" t="str">
        <f t="array" ref="FV78">IFERROR(IF('T1'!$J78="",INDEX(LISTA_EX,176),INDEX(LISTA_EX,MATCH('T1'!$J78&amp;"|"&amp;176,LISTA_KLUCZ,0))),"")</f>
        <v/>
      </c>
      <c r="FW78" s="5" t="str">
        <f t="array" ref="FW78">IFERROR(IF('T1'!$J78="",INDEX(LISTA_EX,177),INDEX(LISTA_EX,MATCH('T1'!$J78&amp;"|"&amp;177,LISTA_KLUCZ,0))),"")</f>
        <v/>
      </c>
      <c r="FX78" s="5" t="str">
        <f t="array" ref="FX78">IFERROR(IF('T1'!$J78="",INDEX(LISTA_EX,178),INDEX(LISTA_EX,MATCH('T1'!$J78&amp;"|"&amp;178,LISTA_KLUCZ,0))),"")</f>
        <v/>
      </c>
      <c r="FY78" s="5" t="str">
        <f t="array" ref="FY78">IFERROR(IF('T1'!$J78="",INDEX(LISTA_EX,179),INDEX(LISTA_EX,MATCH('T1'!$J78&amp;"|"&amp;179,LISTA_KLUCZ,0))),"")</f>
        <v/>
      </c>
      <c r="FZ78" s="5" t="str">
        <f t="array" ref="FZ78">IFERROR(IF('T1'!$J78="",INDEX(LISTA_EX,180),INDEX(LISTA_EX,MATCH('T1'!$J78&amp;"|"&amp;180,LISTA_KLUCZ,0))),"")</f>
        <v/>
      </c>
      <c r="GA78" s="5" t="str">
        <f t="array" ref="GA78">IFERROR(IF('T1'!$J78="",INDEX(LISTA_EX,181),INDEX(LISTA_EX,MATCH('T1'!$J78&amp;"|"&amp;181,LISTA_KLUCZ,0))),"")</f>
        <v/>
      </c>
      <c r="GB78" s="5" t="str">
        <f t="array" ref="GB78">IFERROR(IF('T1'!$J78="",INDEX(LISTA_EX,182),INDEX(LISTA_EX,MATCH('T1'!$J78&amp;"|"&amp;182,LISTA_KLUCZ,0))),"")</f>
        <v/>
      </c>
      <c r="GC78" s="5" t="str">
        <f t="array" ref="GC78">IFERROR(IF('T1'!$J78="",INDEX(LISTA_EX,183),INDEX(LISTA_EX,MATCH('T1'!$J78&amp;"|"&amp;183,LISTA_KLUCZ,0))),"")</f>
        <v/>
      </c>
      <c r="GD78" s="5" t="str">
        <f t="array" ref="GD78">IFERROR(IF('T1'!$J78="",INDEX(LISTA_EX,184),INDEX(LISTA_EX,MATCH('T1'!$J78&amp;"|"&amp;184,LISTA_KLUCZ,0))),"")</f>
        <v/>
      </c>
      <c r="GE78" s="5" t="str">
        <f t="array" ref="GE78">IFERROR(IF('T1'!$J78="",INDEX(LISTA_EX,185),INDEX(LISTA_EX,MATCH('T1'!$J78&amp;"|"&amp;185,LISTA_KLUCZ,0))),"")</f>
        <v/>
      </c>
      <c r="GF78" s="5" t="str">
        <f t="array" ref="GF78">IFERROR(IF('T1'!$J78="",INDEX(LISTA_EX,186),INDEX(LISTA_EX,MATCH('T1'!$J78&amp;"|"&amp;186,LISTA_KLUCZ,0))),"")</f>
        <v/>
      </c>
      <c r="GG78" s="5" t="str">
        <f t="array" ref="GG78">IFERROR(IF('T1'!$J78="",INDEX(LISTA_EX,187),INDEX(LISTA_EX,MATCH('T1'!$J78&amp;"|"&amp;187,LISTA_KLUCZ,0))),"")</f>
        <v/>
      </c>
      <c r="GH78" s="5" t="str">
        <f t="array" ref="GH78">IFERROR(IF('T1'!$J78="",INDEX(LISTA_EX,188),INDEX(LISTA_EX,MATCH('T1'!$J78&amp;"|"&amp;188,LISTA_KLUCZ,0))),"")</f>
        <v/>
      </c>
      <c r="GI78" s="5" t="str">
        <f t="array" ref="GI78">IFERROR(IF('T1'!$J78="",INDEX(LISTA_EX,189),INDEX(LISTA_EX,MATCH('T1'!$J78&amp;"|"&amp;189,LISTA_KLUCZ,0))),"")</f>
        <v/>
      </c>
      <c r="GJ78" s="5" t="str">
        <f t="array" ref="GJ78">IFERROR(IF('T1'!$J78="",INDEX(LISTA_EX,190),INDEX(LISTA_EX,MATCH('T1'!$J78&amp;"|"&amp;190,LISTA_KLUCZ,0))),"")</f>
        <v/>
      </c>
      <c r="GK78" s="5" t="str">
        <f t="array" ref="GK78">IFERROR(IF('T1'!$J78="",INDEX(LISTA_EX,191),INDEX(LISTA_EX,MATCH('T1'!$J78&amp;"|"&amp;191,LISTA_KLUCZ,0))),"")</f>
        <v/>
      </c>
      <c r="GL78" s="5" t="str">
        <f t="array" ref="GL78">IFERROR(IF('T1'!$J78="",INDEX(LISTA_EX,192),INDEX(LISTA_EX,MATCH('T1'!$J78&amp;"|"&amp;192,LISTA_KLUCZ,0))),"")</f>
        <v/>
      </c>
      <c r="GM78" s="5" t="str">
        <f t="array" ref="GM78">IFERROR(IF('T1'!$J78="",INDEX(LISTA_EX,193),INDEX(LISTA_EX,MATCH('T1'!$J78&amp;"|"&amp;193,LISTA_KLUCZ,0))),"")</f>
        <v/>
      </c>
      <c r="GN78" s="5" t="str">
        <f t="array" ref="GN78">IFERROR(IF('T1'!$J78="",INDEX(LISTA_EX,194),INDEX(LISTA_EX,MATCH('T1'!$J78&amp;"|"&amp;194,LISTA_KLUCZ,0))),"")</f>
        <v/>
      </c>
      <c r="GO78" s="5" t="str">
        <f t="array" ref="GO78">IFERROR(IF('T1'!$J78="",INDEX(LISTA_EX,195),INDEX(LISTA_EX,MATCH('T1'!$J78&amp;"|"&amp;195,LISTA_KLUCZ,0))),"")</f>
        <v/>
      </c>
      <c r="GP78" s="5" t="str">
        <f t="array" ref="GP78">IFERROR(IF('T1'!$J78="",INDEX(LISTA_EX,196),INDEX(LISTA_EX,MATCH('T1'!$J78&amp;"|"&amp;196,LISTA_KLUCZ,0))),"")</f>
        <v/>
      </c>
      <c r="GQ78" s="5" t="str">
        <f t="array" ref="GQ78">IFERROR(IF('T1'!$J78="",INDEX(LISTA_EX,197),INDEX(LISTA_EX,MATCH('T1'!$J78&amp;"|"&amp;197,LISTA_KLUCZ,0))),"")</f>
        <v/>
      </c>
      <c r="GR78" s="5" t="str">
        <f t="array" ref="GR78">IFERROR(IF('T1'!$J78="",INDEX(LISTA_EX,198),INDEX(LISTA_EX,MATCH('T1'!$J78&amp;"|"&amp;198,LISTA_KLUCZ,0))),"")</f>
        <v/>
      </c>
      <c r="GS78" s="5" t="str">
        <f t="array" ref="GS78">IFERROR(IF('T1'!$J78="",INDEX(LISTA_EX,199),INDEX(LISTA_EX,MATCH('T1'!$J78&amp;"|"&amp;199,LISTA_KLUCZ,0))),"")</f>
        <v/>
      </c>
      <c r="GT78" s="5" t="str">
        <f t="array" ref="GT78">IFERROR(IF('T1'!$J78="",INDEX(LISTA_EX,200),INDEX(LISTA_EX,MATCH('T1'!$J78&amp;"|"&amp;200,LISTA_KLUCZ,0))),"")</f>
        <v/>
      </c>
      <c r="GV78" s="5" t="str">
        <f>IF(BAZA!$A78="","",BAZA!$A78)</f>
        <v>Halfkneeling wood chopper</v>
      </c>
      <c r="GW78" s="5" t="str">
        <f>IF(BAZA!$B78="","",BAZA!$B78&amp;"|"&amp;COUNTIF(BAZA!$B$3:$B78,BAZA!$B78))</f>
        <v>Core|10</v>
      </c>
    </row>
    <row r="79" ht="15.0" customHeight="1">
      <c r="A79" s="5" t="str">
        <f>IF('T1'!$K79="","",'T1'!$K79)</f>
        <v>D5-S09</v>
      </c>
      <c r="B79" s="5" t="str">
        <f>IF('T1'!$J79="","(wszystkie)",'T1'!$J79)</f>
        <v>(wszystkie)</v>
      </c>
      <c r="C79" s="5" t="str">
        <f t="array" ref="C79">IFERROR(IF('T1'!$J79="",INDEX(LISTA_EX,1),INDEX(LISTA_EX,MATCH('T1'!$J79&amp;"|"&amp;1,LISTA_KLUCZ,0))),"")</f>
        <v>Abduction machine</v>
      </c>
      <c r="D79" s="5" t="str">
        <f t="array" ref="D79">IFERROR(IF('T1'!$J79="",INDEX(LISTA_EX,2),INDEX(LISTA_EX,MATCH('T1'!$J79&amp;"|"&amp;2,LISTA_KLUCZ,0))),"")</f>
        <v>Adduction machine</v>
      </c>
      <c r="E79" s="5" t="str">
        <f t="array" ref="E79">IFERROR(IF('T1'!$J79="",INDEX(LISTA_EX,3),INDEX(LISTA_EX,MATCH('T1'!$J79&amp;"|"&amp;3,LISTA_KLUCZ,0))),"")</f>
        <v>Allah</v>
      </c>
      <c r="F79" s="5" t="str">
        <f t="array" ref="F79">IFERROR(IF('T1'!$J79="",INDEX(LISTA_EX,4),INDEX(LISTA_EX,MATCH('T1'!$J79&amp;"|"&amp;4,LISTA_KLUCZ,0))),"")</f>
        <v>Arnold press</v>
      </c>
      <c r="G79" s="5" t="str">
        <f t="array" ref="G79">IFERROR(IF('T1'!$J79="",INDEX(LISTA_EX,5),INDEX(LISTA_EX,MATCH('T1'!$J79&amp;"|"&amp;5,LISTA_KLUCZ,0))),"")</f>
        <v>Arnold press alternating</v>
      </c>
      <c r="H79" s="5" t="str">
        <f t="array" ref="H79">IFERROR(IF('T1'!$J79="",INDEX(LISTA_EX,6),INDEX(LISTA_EX,MATCH('T1'!$J79&amp;"|"&amp;6,LISTA_KLUCZ,0))),"")</f>
        <v>B/l dragonflag eccentric</v>
      </c>
      <c r="I79" s="5" t="str">
        <f t="array" ref="I79">IFERROR(IF('T1'!$J79="",INDEX(LISTA_EX,7),INDEX(LISTA_EX,MATCH('T1'!$J79&amp;"|"&amp;7,LISTA_KLUCZ,0))),"")</f>
        <v>Back extension</v>
      </c>
      <c r="J79" s="5" t="str">
        <f t="array" ref="J79">IFERROR(IF('T1'!$J79="",INDEX(LISTA_EX,8),INDEX(LISTA_EX,MATCH('T1'!$J79&amp;"|"&amp;8,LISTA_KLUCZ,0))),"")</f>
        <v>Banded pistol squat</v>
      </c>
      <c r="K79" s="5" t="str">
        <f t="array" ref="K79">IFERROR(IF('T1'!$J79="",INDEX(LISTA_EX,9),INDEX(LISTA_EX,MATCH('T1'!$J79&amp;"|"&amp;9,LISTA_KLUCZ,0))),"")</f>
        <v>Banded pull ups</v>
      </c>
      <c r="L79" s="5" t="str">
        <f t="array" ref="L79">IFERROR(IF('T1'!$J79="",INDEX(LISTA_EX,10),INDEX(LISTA_EX,MATCH('T1'!$J79&amp;"|"&amp;10,LISTA_KLUCZ,0))),"")</f>
        <v>Barbell back squat</v>
      </c>
      <c r="M79" s="5" t="str">
        <f t="array" ref="M79">IFERROR(IF('T1'!$J79="",INDEX(LISTA_EX,11),INDEX(LISTA_EX,MATCH('T1'!$J79&amp;"|"&amp;11,LISTA_KLUCZ,0))),"")</f>
        <v>Barbell bench press</v>
      </c>
      <c r="N79" s="5" t="str">
        <f t="array" ref="N79">IFERROR(IF('T1'!$J79="",INDEX(LISTA_EX,12),INDEX(LISTA_EX,MATCH('T1'!$J79&amp;"|"&amp;12,LISTA_KLUCZ,0))),"")</f>
        <v>Barbell curl</v>
      </c>
      <c r="O79" s="5" t="str">
        <f t="array" ref="O79">IFERROR(IF('T1'!$J79="",INDEX(LISTA_EX,13),INDEX(LISTA_EX,MATCH('T1'!$J79&amp;"|"&amp;13,LISTA_KLUCZ,0))),"")</f>
        <v>Barbell low bar squat</v>
      </c>
      <c r="P79" s="5" t="str">
        <f t="array" ref="P79">IFERROR(IF('T1'!$J79="",INDEX(LISTA_EX,14),INDEX(LISTA_EX,MATCH('T1'!$J79&amp;"|"&amp;14,LISTA_KLUCZ,0))),"")</f>
        <v>Barbell OHP</v>
      </c>
      <c r="Q79" s="5" t="str">
        <f t="array" ref="Q79">IFERROR(IF('T1'!$J79="",INDEX(LISTA_EX,15),INDEX(LISTA_EX,MATCH('T1'!$J79&amp;"|"&amp;15,LISTA_KLUCZ,0))),"")</f>
        <v>Barbell oscilation</v>
      </c>
      <c r="R79" s="5" t="str">
        <f t="array" ref="R79">IFERROR(IF('T1'!$J79="",INDEX(LISTA_EX,16),INDEX(LISTA_EX,MATCH('T1'!$J79&amp;"|"&amp;16,LISTA_KLUCZ,0))),"")</f>
        <v>Barbell row</v>
      </c>
      <c r="S79" s="5" t="str">
        <f t="array" ref="S79">IFERROR(IF('T1'!$J79="",INDEX(LISTA_EX,17),INDEX(LISTA_EX,MATCH('T1'!$J79&amp;"|"&amp;17,LISTA_KLUCZ,0))),"")</f>
        <v>Barbell row dead stop pins</v>
      </c>
      <c r="T79" s="5" t="str">
        <f t="array" ref="T79">IFERROR(IF('T1'!$J79="",INDEX(LISTA_EX,18),INDEX(LISTA_EX,MATCH('T1'!$J79&amp;"|"&amp;18,LISTA_KLUCZ,0))),"")</f>
        <v>Barbell SLDL</v>
      </c>
      <c r="U79" s="5" t="str">
        <f t="array" ref="U79">IFERROR(IF('T1'!$J79="",INDEX(LISTA_EX,19),INDEX(LISTA_EX,MATCH('T1'!$J79&amp;"|"&amp;19,LISTA_KLUCZ,0))),"")</f>
        <v>Bayesian curl</v>
      </c>
      <c r="V79" s="5" t="str">
        <f t="array" ref="V79">IFERROR(IF('T1'!$J79="",INDEX(LISTA_EX,20),INDEX(LISTA_EX,MATCH('T1'!$J79&amp;"|"&amp;20,LISTA_KLUCZ,0))),"")</f>
        <v>Bear renegade row</v>
      </c>
      <c r="W79" s="5" t="str">
        <f t="array" ref="W79">IFERROR(IF('T1'!$J79="",INDEX(LISTA_EX,21),INDEX(LISTA_EX,MATCH('T1'!$J79&amp;"|"&amp;21,LISTA_KLUCZ,0))),"")</f>
        <v>Bench press paused 3sec</v>
      </c>
      <c r="X79" s="5" t="str">
        <f t="array" ref="X79">IFERROR(IF('T1'!$J79="",INDEX(LISTA_EX,22),INDEX(LISTA_EX,MATCH('T1'!$J79&amp;"|"&amp;22,LISTA_KLUCZ,0))),"")</f>
        <v>Bicep hammer curl</v>
      </c>
      <c r="Y79" s="5" t="str">
        <f t="array" ref="Y79">IFERROR(IF('T1'!$J79="",INDEX(LISTA_EX,23),INDEX(LISTA_EX,MATCH('T1'!$J79&amp;"|"&amp;23,LISTA_KLUCZ,0))),"")</f>
        <v>Bicep squat cable curl</v>
      </c>
      <c r="Z79" s="5" t="str">
        <f t="array" ref="Z79">IFERROR(IF('T1'!$J79="",INDEX(LISTA_EX,24),INDEX(LISTA_EX,MATCH('T1'!$J79&amp;"|"&amp;24,LISTA_KLUCZ,0))),"")</f>
        <v>Bird dog row</v>
      </c>
      <c r="AA79" s="5" t="str">
        <f t="array" ref="AA79">IFERROR(IF('T1'!$J79="",INDEX(LISTA_EX,25),INDEX(LISTA_EX,MATCH('T1'!$J79&amp;"|"&amp;25,LISTA_KLUCZ,0))),"")</f>
        <v>Box jump</v>
      </c>
      <c r="AB79" s="5" t="str">
        <f t="array" ref="AB79">IFERROR(IF('T1'!$J79="",INDEX(LISTA_EX,26),INDEX(LISTA_EX,MATCH('T1'!$J79&amp;"|"&amp;26,LISTA_KLUCZ,0))),"")</f>
        <v>Bulgarian clean plyo</v>
      </c>
      <c r="AC79" s="5" t="str">
        <f t="array" ref="AC79">IFERROR(IF('T1'!$J79="",INDEX(LISTA_EX,27),INDEX(LISTA_EX,MATCH('T1'!$J79&amp;"|"&amp;27,LISTA_KLUCZ,0))),"")</f>
        <v>Bulgarian squat assisted</v>
      </c>
      <c r="AD79" s="5" t="str">
        <f t="array" ref="AD79">IFERROR(IF('T1'!$J79="",INDEX(LISTA_EX,28),INDEX(LISTA_EX,MATCH('T1'!$J79&amp;"|"&amp;28,LISTA_KLUCZ,0))),"")</f>
        <v>Cable biceps curl</v>
      </c>
      <c r="AE79" s="5" t="str">
        <f t="array" ref="AE79">IFERROR(IF('T1'!$J79="",INDEX(LISTA_EX,29),INDEX(LISTA_EX,MATCH('T1'!$J79&amp;"|"&amp;29,LISTA_KLUCZ,0))),"")</f>
        <v>Cable fly</v>
      </c>
      <c r="AF79" s="5" t="str">
        <f t="array" ref="AF79">IFERROR(IF('T1'!$J79="",INDEX(LISTA_EX,30),INDEX(LISTA_EX,MATCH('T1'!$J79&amp;"|"&amp;30,LISTA_KLUCZ,0))),"")</f>
        <v>Cable lateral raise s/a</v>
      </c>
      <c r="AG79" s="5" t="str">
        <f t="array" ref="AG79">IFERROR(IF('T1'!$J79="",INDEX(LISTA_EX,31),INDEX(LISTA_EX,MATCH('T1'!$J79&amp;"|"&amp;31,LISTA_KLUCZ,0))),"")</f>
        <v>Cable row</v>
      </c>
      <c r="AH79" s="5" t="str">
        <f t="array" ref="AH79">IFERROR(IF('T1'!$J79="",INDEX(LISTA_EX,32),INDEX(LISTA_EX,MATCH('T1'!$J79&amp;"|"&amp;32,LISTA_KLUCZ,0))),"")</f>
        <v>Cable row s/a</v>
      </c>
      <c r="AI79" s="5" t="str">
        <f t="array" ref="AI79">IFERROR(IF('T1'!$J79="",INDEX(LISTA_EX,33),INDEX(LISTA_EX,MATCH('T1'!$J79&amp;"|"&amp;33,LISTA_KLUCZ,0))),"")</f>
        <v>Calf raises</v>
      </c>
      <c r="AJ79" s="5" t="str">
        <f t="array" ref="AJ79">IFERROR(IF('T1'!$J79="",INDEX(LISTA_EX,34),INDEX(LISTA_EX,MATCH('T1'!$J79&amp;"|"&amp;34,LISTA_KLUCZ,0))),"")</f>
        <v>Chest fly machine</v>
      </c>
      <c r="AK79" s="5" t="str">
        <f t="array" ref="AK79">IFERROR(IF('T1'!$J79="",INDEX(LISTA_EX,35),INDEX(LISTA_EX,MATCH('T1'!$J79&amp;"|"&amp;35,LISTA_KLUCZ,0))),"")</f>
        <v>Clean</v>
      </c>
      <c r="AL79" s="5" t="str">
        <f t="array" ref="AL79">IFERROR(IF('T1'!$J79="",INDEX(LISTA_EX,36),INDEX(LISTA_EX,MATCH('T1'!$J79&amp;"|"&amp;36,LISTA_KLUCZ,0))),"")</f>
        <v>Clean pins</v>
      </c>
      <c r="AM79" s="5" t="str">
        <f t="array" ref="AM79">IFERROR(IF('T1'!$J79="",INDEX(LISTA_EX,37),INDEX(LISTA_EX,MATCH('T1'!$J79&amp;"|"&amp;37,LISTA_KLUCZ,0))),"")</f>
        <v>Copenhagen plank</v>
      </c>
      <c r="AN79" s="5" t="str">
        <f t="array" ref="AN79">IFERROR(IF('T1'!$J79="",INDEX(LISTA_EX,38),INDEX(LISTA_EX,MATCH('T1'!$J79&amp;"|"&amp;38,LISTA_KLUCZ,0))),"")</f>
        <v>Dead bug izo + OH</v>
      </c>
      <c r="AO79" s="5" t="str">
        <f t="array" ref="AO79">IFERROR(IF('T1'!$J79="",INDEX(LISTA_EX,39),INDEX(LISTA_EX,MATCH('T1'!$J79&amp;"|"&amp;39,LISTA_KLUCZ,0))),"")</f>
        <v>Dead bug straight legs</v>
      </c>
      <c r="AP79" s="5" t="str">
        <f t="array" ref="AP79">IFERROR(IF('T1'!$J79="",INDEX(LISTA_EX,40),INDEX(LISTA_EX,MATCH('T1'!$J79&amp;"|"&amp;40,LISTA_KLUCZ,0))),"")</f>
        <v>Dead stop barbell row</v>
      </c>
      <c r="AQ79" s="5" t="str">
        <f t="array" ref="AQ79">IFERROR(IF('T1'!$J79="",INDEX(LISTA_EX,41),INDEX(LISTA_EX,MATCH('T1'!$J79&amp;"|"&amp;41,LISTA_KLUCZ,0))),"")</f>
        <v>Deadbug OH</v>
      </c>
      <c r="AR79" s="5" t="str">
        <f t="array" ref="AR79">IFERROR(IF('T1'!$J79="",INDEX(LISTA_EX,42),INDEX(LISTA_EX,MATCH('T1'!$J79&amp;"|"&amp;42,LISTA_KLUCZ,0))),"")</f>
        <v>Deadlift</v>
      </c>
      <c r="AS79" s="5" t="str">
        <f t="array" ref="AS79">IFERROR(IF('T1'!$J79="",INDEX(LISTA_EX,43),INDEX(LISTA_EX,MATCH('T1'!$J79&amp;"|"&amp;43,LISTA_KLUCZ,0))),"")</f>
        <v>Deficit push up</v>
      </c>
      <c r="AT79" s="5" t="str">
        <f t="array" ref="AT79">IFERROR(IF('T1'!$J79="",INDEX(LISTA_EX,44),INDEX(LISTA_EX,MATCH('T1'!$J79&amp;"|"&amp;44,LISTA_KLUCZ,0))),"")</f>
        <v>Deficit reverse lunge</v>
      </c>
      <c r="AU79" s="5" t="str">
        <f t="array" ref="AU79">IFERROR(IF('T1'!$J79="",INDEX(LISTA_EX,45),INDEX(LISTA_EX,MATCH('T1'!$J79&amp;"|"&amp;45,LISTA_KLUCZ,0))),"")</f>
        <v>Dips</v>
      </c>
      <c r="AV79" s="5" t="str">
        <f t="array" ref="AV79">IFERROR(IF('T1'!$J79="",INDEX(LISTA_EX,46),INDEX(LISTA_EX,MATCH('T1'!$J79&amp;"|"&amp;46,LISTA_KLUCZ,0))),"")</f>
        <v>Dips weighted</v>
      </c>
      <c r="AW79" s="5" t="str">
        <f t="array" ref="AW79">IFERROR(IF('T1'!$J79="",INDEX(LISTA_EX,47),INDEX(LISTA_EX,MATCH('T1'!$J79&amp;"|"&amp;47,LISTA_KLUCZ,0))),"")</f>
        <v>Dumbbell bench press</v>
      </c>
      <c r="AX79" s="5" t="str">
        <f t="array" ref="AX79">IFERROR(IF('T1'!$J79="",INDEX(LISTA_EX,48),INDEX(LISTA_EX,MATCH('T1'!$J79&amp;"|"&amp;48,LISTA_KLUCZ,0))),"")</f>
        <v>Dumbbell bench press alternating</v>
      </c>
      <c r="AY79" s="5" t="str">
        <f t="array" ref="AY79">IFERROR(IF('T1'!$J79="",INDEX(LISTA_EX,49),INDEX(LISTA_EX,MATCH('T1'!$J79&amp;"|"&amp;49,LISTA_KLUCZ,0))),"")</f>
        <v>Dumbbell curl</v>
      </c>
      <c r="AZ79" s="5" t="str">
        <f t="array" ref="AZ79">IFERROR(IF('T1'!$J79="",INDEX(LISTA_EX,50),INDEX(LISTA_EX,MATCH('T1'!$J79&amp;"|"&amp;50,LISTA_KLUCZ,0))),"")</f>
        <v>Dumbbell external rotation</v>
      </c>
      <c r="BA79" s="5" t="str">
        <f t="array" ref="BA79">IFERROR(IF('T1'!$J79="",INDEX(LISTA_EX,51),INDEX(LISTA_EX,MATCH('T1'!$J79&amp;"|"&amp;51,LISTA_KLUCZ,0))),"")</f>
        <v>Dumbbell face down curl</v>
      </c>
      <c r="BB79" s="5" t="str">
        <f t="array" ref="BB79">IFERROR(IF('T1'!$J79="",INDEX(LISTA_EX,52),INDEX(LISTA_EX,MATCH('T1'!$J79&amp;"|"&amp;52,LISTA_KLUCZ,0))),"")</f>
        <v>Dumbbell fly</v>
      </c>
      <c r="BC79" s="5" t="str">
        <f t="array" ref="BC79">IFERROR(IF('T1'!$J79="",INDEX(LISTA_EX,53),INDEX(LISTA_EX,MATCH('T1'!$J79&amp;"|"&amp;53,LISTA_KLUCZ,0))),"")</f>
        <v>Dumbbell french press</v>
      </c>
      <c r="BD79" s="5" t="str">
        <f t="array" ref="BD79">IFERROR(IF('T1'!$J79="",INDEX(LISTA_EX,54),INDEX(LISTA_EX,MATCH('T1'!$J79&amp;"|"&amp;54,LISTA_KLUCZ,0))),"")</f>
        <v>Dumbbell lateral raise</v>
      </c>
      <c r="BE79" s="5" t="str">
        <f t="array" ref="BE79">IFERROR(IF('T1'!$J79="",INDEX(LISTA_EX,55),INDEX(LISTA_EX,MATCH('T1'!$J79&amp;"|"&amp;55,LISTA_KLUCZ,0))),"")</f>
        <v>Dumbbell lunges</v>
      </c>
      <c r="BF79" s="5" t="str">
        <f t="array" ref="BF79">IFERROR(IF('T1'!$J79="",INDEX(LISTA_EX,56),INDEX(LISTA_EX,MATCH('T1'!$J79&amp;"|"&amp;56,LISTA_KLUCZ,0))),"")</f>
        <v>Dumbbell OH press</v>
      </c>
      <c r="BG79" s="5" t="str">
        <f t="array" ref="BG79">IFERROR(IF('T1'!$J79="",INDEX(LISTA_EX,57),INDEX(LISTA_EX,MATCH('T1'!$J79&amp;"|"&amp;57,LISTA_KLUCZ,0))),"")</f>
        <v>Dumbbell over head press</v>
      </c>
      <c r="BH79" s="5" t="str">
        <f t="array" ref="BH79">IFERROR(IF('T1'!$J79="",INDEX(LISTA_EX,58),INDEX(LISTA_EX,MATCH('T1'!$J79&amp;"|"&amp;58,LISTA_KLUCZ,0))),"")</f>
        <v>Dumbbell over head press alternating</v>
      </c>
      <c r="BI79" s="5" t="str">
        <f t="array" ref="BI79">IFERROR(IF('T1'!$J79="",INDEX(LISTA_EX,59),INDEX(LISTA_EX,MATCH('T1'!$J79&amp;"|"&amp;59,LISTA_KLUCZ,0))),"")</f>
        <v>Dumbbell row</v>
      </c>
      <c r="BJ79" s="5" t="str">
        <f t="array" ref="BJ79">IFERROR(IF('T1'!$J79="",INDEX(LISTA_EX,60),INDEX(LISTA_EX,MATCH('T1'!$J79&amp;"|"&amp;60,LISTA_KLUCZ,0))),"")</f>
        <v>Dumbbell s/a Arnold press</v>
      </c>
      <c r="BK79" s="5" t="str">
        <f t="array" ref="BK79">IFERROR(IF('T1'!$J79="",INDEX(LISTA_EX,61),INDEX(LISTA_EX,MATCH('T1'!$J79&amp;"|"&amp;61,LISTA_KLUCZ,0))),"")</f>
        <v>Dumbbell s/a row</v>
      </c>
      <c r="BL79" s="5" t="str">
        <f t="array" ref="BL79">IFERROR(IF('T1'!$J79="",INDEX(LISTA_EX,62),INDEX(LISTA_EX,MATCH('T1'!$J79&amp;"|"&amp;62,LISTA_KLUCZ,0))),"")</f>
        <v>Dumbbell seal row</v>
      </c>
      <c r="BM79" s="5" t="str">
        <f t="array" ref="BM79">IFERROR(IF('T1'!$J79="",INDEX(LISTA_EX,63),INDEX(LISTA_EX,MATCH('T1'!$J79&amp;"|"&amp;63,LISTA_KLUCZ,0))),"")</f>
        <v>Dumbbells jumps</v>
      </c>
      <c r="BN79" s="5" t="str">
        <f t="array" ref="BN79">IFERROR(IF('T1'!$J79="",INDEX(LISTA_EX,64),INDEX(LISTA_EX,MATCH('T1'!$J79&amp;"|"&amp;64,LISTA_KLUCZ,0))),"")</f>
        <v>Eccentric pull up</v>
      </c>
      <c r="BO79" s="5" t="str">
        <f t="array" ref="BO79">IFERROR(IF('T1'!$J79="",INDEX(LISTA_EX,65),INDEX(LISTA_EX,MATCH('T1'!$J79&amp;"|"&amp;65,LISTA_KLUCZ,0))),"")</f>
        <v>Eccentric push up (5 sek w dół)</v>
      </c>
      <c r="BP79" s="5" t="str">
        <f t="array" ref="BP79">IFERROR(IF('T1'!$J79="",INDEX(LISTA_EX,66),INDEX(LISTA_EX,MATCH('T1'!$J79&amp;"|"&amp;66,LISTA_KLUCZ,0))),"")</f>
        <v>Extensive plyo jumps s/l</v>
      </c>
      <c r="BQ79" s="5" t="str">
        <f t="array" ref="BQ79">IFERROR(IF('T1'!$J79="",INDEX(LISTA_EX,67),INDEX(LISTA_EX,MATCH('T1'!$J79&amp;"|"&amp;67,LISTA_KLUCZ,0))),"")</f>
        <v>Ez bar curl</v>
      </c>
      <c r="BR79" s="5" t="str">
        <f t="array" ref="BR79">IFERROR(IF('T1'!$J79="",INDEX(LISTA_EX,68),INDEX(LISTA_EX,MATCH('T1'!$J79&amp;"|"&amp;68,LISTA_KLUCZ,0))),"")</f>
        <v>Facepull chest supported</v>
      </c>
      <c r="BS79" s="5" t="str">
        <f t="array" ref="BS79">IFERROR(IF('T1'!$J79="",INDEX(LISTA_EX,69),INDEX(LISTA_EX,MATCH('T1'!$J79&amp;"|"&amp;69,LISTA_KLUCZ,0))),"")</f>
        <v>Front foot elevated split squat</v>
      </c>
      <c r="BT79" s="5" t="str">
        <f t="array" ref="BT79">IFERROR(IF('T1'!$J79="",INDEX(LISTA_EX,70),INDEX(LISTA_EX,MATCH('T1'!$J79&amp;"|"&amp;70,LISTA_KLUCZ,0))),"")</f>
        <v>Front squat</v>
      </c>
      <c r="BU79" s="5" t="str">
        <f t="array" ref="BU79">IFERROR(IF('T1'!$J79="",INDEX(LISTA_EX,71),INDEX(LISTA_EX,MATCH('T1'!$J79&amp;"|"&amp;71,LISTA_KLUCZ,0))),"")</f>
        <v>GHD flexion</v>
      </c>
      <c r="BV79" s="5" t="str">
        <f t="array" ref="BV79">IFERROR(IF('T1'!$J79="",INDEX(LISTA_EX,72),INDEX(LISTA_EX,MATCH('T1'!$J79&amp;"|"&amp;72,LISTA_KLUCZ,0))),"")</f>
        <v>Glute bridge hamstrings izo + OH</v>
      </c>
      <c r="BW79" s="5" t="str">
        <f t="array" ref="BW79">IFERROR(IF('T1'!$J79="",INDEX(LISTA_EX,73),INDEX(LISTA_EX,MATCH('T1'!$J79&amp;"|"&amp;73,LISTA_KLUCZ,0))),"")</f>
        <v>Glute crusher</v>
      </c>
      <c r="BX79" s="5" t="str">
        <f t="array" ref="BX79">IFERROR(IF('T1'!$J79="",INDEX(LISTA_EX,74),INDEX(LISTA_EX,MATCH('T1'!$J79&amp;"|"&amp;74,LISTA_KLUCZ,0))),"")</f>
        <v>Gorilla row</v>
      </c>
      <c r="BY79" s="5" t="str">
        <f t="array" ref="BY79">IFERROR(IF('T1'!$J79="",INDEX(LISTA_EX,75),INDEX(LISTA_EX,MATCH('T1'!$J79&amp;"|"&amp;75,LISTA_KLUCZ,0))),"")</f>
        <v>Halfkneeling s/a cable pull</v>
      </c>
      <c r="BZ79" s="5" t="str">
        <f t="array" ref="BZ79">IFERROR(IF('T1'!$J79="",INDEX(LISTA_EX,76),INDEX(LISTA_EX,MATCH('T1'!$J79&amp;"|"&amp;76,LISTA_KLUCZ,0))),"")</f>
        <v>Halfkneeling wood chopper</v>
      </c>
      <c r="CA79" s="5" t="str">
        <f t="array" ref="CA79">IFERROR(IF('T1'!$J79="",INDEX(LISTA_EX,77),INDEX(LISTA_EX,MATCH('T1'!$J79&amp;"|"&amp;77,LISTA_KLUCZ,0))),"")</f>
        <v>Hinged dumbbell row</v>
      </c>
      <c r="CB79" s="5" t="str">
        <f t="array" ref="CB79">IFERROR(IF('T1'!$J79="",INDEX(LISTA_EX,78),INDEX(LISTA_EX,MATCH('T1'!$J79&amp;"|"&amp;78,LISTA_KLUCZ,0))),"")</f>
        <v>Hip aeroplane</v>
      </c>
      <c r="CC79" s="5" t="str">
        <f t="array" ref="CC79">IFERROR(IF('T1'!$J79="",INDEX(LISTA_EX,79),INDEX(LISTA_EX,MATCH('T1'!$J79&amp;"|"&amp;79,LISTA_KLUCZ,0))),"")</f>
        <v>Hip flexors cable</v>
      </c>
      <c r="CD79" s="5" t="str">
        <f t="array" ref="CD79">IFERROR(IF('T1'!$J79="",INDEX(LISTA_EX,80),INDEX(LISTA_EX,MATCH('T1'!$J79&amp;"|"&amp;80,LISTA_KLUCZ,0))),"")</f>
        <v>Hip thrust barbell</v>
      </c>
      <c r="CE79" s="5" t="str">
        <f t="array" ref="CE79">IFERROR(IF('T1'!$J79="",INDEX(LISTA_EX,81),INDEX(LISTA_EX,MATCH('T1'!$J79&amp;"|"&amp;81,LISTA_KLUCZ,0))),"")</f>
        <v>Hollow body + OH</v>
      </c>
      <c r="CF79" s="5" t="str">
        <f t="array" ref="CF79">IFERROR(IF('T1'!$J79="",INDEX(LISTA_EX,82),INDEX(LISTA_EX,MATCH('T1'!$J79&amp;"|"&amp;82,LISTA_KLUCZ,0))),"")</f>
        <v>Horizontal jump</v>
      </c>
      <c r="CG79" s="5" t="str">
        <f t="array" ref="CG79">IFERROR(IF('T1'!$J79="",INDEX(LISTA_EX,83),INDEX(LISTA_EX,MATCH('T1'!$J79&amp;"|"&amp;83,LISTA_KLUCZ,0))),"")</f>
        <v>Incline bench lateral raise s/a</v>
      </c>
      <c r="CH79" s="5" t="str">
        <f t="array" ref="CH79">IFERROR(IF('T1'!$J79="",INDEX(LISTA_EX,84),INDEX(LISTA_EX,MATCH('T1'!$J79&amp;"|"&amp;84,LISTA_KLUCZ,0))),"")</f>
        <v>Incline curl + OHP</v>
      </c>
      <c r="CI79" s="5" t="str">
        <f t="array" ref="CI79">IFERROR(IF('T1'!$J79="",INDEX(LISTA_EX,85),INDEX(LISTA_EX,MATCH('T1'!$J79&amp;"|"&amp;85,LISTA_KLUCZ,0))),"")</f>
        <v>Incline dumbbell curl</v>
      </c>
      <c r="CJ79" s="5" t="str">
        <f t="array" ref="CJ79">IFERROR(IF('T1'!$J79="",INDEX(LISTA_EX,86),INDEX(LISTA_EX,MATCH('T1'!$J79&amp;"|"&amp;86,LISTA_KLUCZ,0))),"")</f>
        <v>Incline dumbbell curl (back)</v>
      </c>
      <c r="CK79" s="5" t="str">
        <f t="array" ref="CK79">IFERROR(IF('T1'!$J79="",INDEX(LISTA_EX,87),INDEX(LISTA_EX,MATCH('T1'!$J79&amp;"|"&amp;87,LISTA_KLUCZ,0))),"")</f>
        <v>Incline dumbbell curl (front)</v>
      </c>
      <c r="CL79" s="5" t="str">
        <f t="array" ref="CL79">IFERROR(IF('T1'!$J79="",INDEX(LISTA_EX,88),INDEX(LISTA_EX,MATCH('T1'!$J79&amp;"|"&amp;88,LISTA_KLUCZ,0))),"")</f>
        <v>Incline dumbbell fly</v>
      </c>
      <c r="CM79" s="5" t="str">
        <f t="array" ref="CM79">IFERROR(IF('T1'!$J79="",INDEX(LISTA_EX,89),INDEX(LISTA_EX,MATCH('T1'!$J79&amp;"|"&amp;89,LISTA_KLUCZ,0))),"")</f>
        <v>Incline dumbbell press</v>
      </c>
      <c r="CN79" s="5" t="str">
        <f t="array" ref="CN79">IFERROR(IF('T1'!$J79="",INDEX(LISTA_EX,90),INDEX(LISTA_EX,MATCH('T1'!$J79&amp;"|"&amp;90,LISTA_KLUCZ,0))),"")</f>
        <v>Incline dumbbell press alternating</v>
      </c>
      <c r="CO79" s="5" t="str">
        <f t="array" ref="CO79">IFERROR(IF('T1'!$J79="",INDEX(LISTA_EX,91),INDEX(LISTA_EX,MATCH('T1'!$J79&amp;"|"&amp;91,LISTA_KLUCZ,0))),"")</f>
        <v>Incline sit-ups</v>
      </c>
      <c r="CP79" s="5" t="str">
        <f t="array" ref="CP79">IFERROR(IF('T1'!$J79="",INDEX(LISTA_EX,92),INDEX(LISTA_EX,MATCH('T1'!$J79&amp;"|"&amp;92,LISTA_KLUCZ,0))),"")</f>
        <v>Jefferson cable</v>
      </c>
      <c r="CQ79" s="5" t="str">
        <f t="array" ref="CQ79">IFERROR(IF('T1'!$J79="",INDEX(LISTA_EX,93),INDEX(LISTA_EX,MATCH('T1'!$J79&amp;"|"&amp;93,LISTA_KLUCZ,0))),"")</f>
        <v>Kettlebell march</v>
      </c>
      <c r="CR79" s="5" t="str">
        <f t="array" ref="CR79">IFERROR(IF('T1'!$J79="",INDEX(LISTA_EX,94),INDEX(LISTA_EX,MATCH('T1'!$J79&amp;"|"&amp;94,LISTA_KLUCZ,0))),"")</f>
        <v>Kickbacks</v>
      </c>
      <c r="CS79" s="5" t="str">
        <f t="array" ref="CS79">IFERROR(IF('T1'!$J79="",INDEX(LISTA_EX,95),INDEX(LISTA_EX,MATCH('T1'!$J79&amp;"|"&amp;95,LISTA_KLUCZ,0))),"")</f>
        <v>Knee extension machine</v>
      </c>
      <c r="CT79" s="5" t="str">
        <f t="array" ref="CT79">IFERROR(IF('T1'!$J79="",INDEX(LISTA_EX,96),INDEX(LISTA_EX,MATCH('T1'!$J79&amp;"|"&amp;96,LISTA_KLUCZ,0))),"")</f>
        <v>Knee flexion machine</v>
      </c>
      <c r="CU79" s="5" t="str">
        <f t="array" ref="CU79">IFERROR(IF('T1'!$J79="",INDEX(LISTA_EX,97),INDEX(LISTA_EX,MATCH('T1'!$J79&amp;"|"&amp;97,LISTA_KLUCZ,0))),"")</f>
        <v>Knee raises</v>
      </c>
      <c r="CV79" s="5" t="str">
        <f t="array" ref="CV79">IFERROR(IF('T1'!$J79="",INDEX(LISTA_EX,98),INDEX(LISTA_EX,MATCH('T1'!$J79&amp;"|"&amp;98,LISTA_KLUCZ,0))),"")</f>
        <v>Landmine core</v>
      </c>
      <c r="CW79" s="5" t="str">
        <f t="array" ref="CW79">IFERROR(IF('T1'!$J79="",INDEX(LISTA_EX,99),INDEX(LISTA_EX,MATCH('T1'!$J79&amp;"|"&amp;99,LISTA_KLUCZ,0))),"")</f>
        <v>Landmine press</v>
      </c>
      <c r="CX79" s="5" t="str">
        <f t="array" ref="CX79">IFERROR(IF('T1'!$J79="",INDEX(LISTA_EX,100),INDEX(LISTA_EX,MATCH('T1'!$J79&amp;"|"&amp;100,LISTA_KLUCZ,0))),"")</f>
        <v>Landmine rotations (powtórzenia x2)</v>
      </c>
      <c r="CY79" s="5" t="str">
        <f t="array" ref="CY79">IFERROR(IF('T1'!$J79="",INDEX(LISTA_EX,101),INDEX(LISTA_EX,MATCH('T1'!$J79&amp;"|"&amp;101,LISTA_KLUCZ,0))),"")</f>
        <v>Landmine SLDL</v>
      </c>
      <c r="CZ79" s="5" t="str">
        <f t="array" ref="CZ79">IFERROR(IF('T1'!$J79="",INDEX(LISTA_EX,102),INDEX(LISTA_EX,MATCH('T1'!$J79&amp;"|"&amp;102,LISTA_KLUCZ,0))),"")</f>
        <v>Lat pulldown</v>
      </c>
      <c r="DA79" s="5" t="str">
        <f t="array" ref="DA79">IFERROR(IF('T1'!$J79="",INDEX(LISTA_EX,103),INDEX(LISTA_EX,MATCH('T1'!$J79&amp;"|"&amp;103,LISTA_KLUCZ,0))),"")</f>
        <v>Lat pulldown behind the head</v>
      </c>
      <c r="DB79" s="5" t="str">
        <f t="array" ref="DB79">IFERROR(IF('T1'!$J79="",INDEX(LISTA_EX,104),INDEX(LISTA_EX,MATCH('T1'!$J79&amp;"|"&amp;104,LISTA_KLUCZ,0))),"")</f>
        <v>Lat pulldown s/a</v>
      </c>
      <c r="DC79" s="5" t="str">
        <f t="array" ref="DC79">IFERROR(IF('T1'!$J79="",INDEX(LISTA_EX,105),INDEX(LISTA_EX,MATCH('T1'!$J79&amp;"|"&amp;105,LISTA_KLUCZ,0))),"")</f>
        <v>Lateral raise s/a</v>
      </c>
      <c r="DD79" s="5" t="str">
        <f t="array" ref="DD79">IFERROR(IF('T1'!$J79="",INDEX(LISTA_EX,106),INDEX(LISTA_EX,MATCH('T1'!$J79&amp;"|"&amp;106,LISTA_KLUCZ,0))),"")</f>
        <v>Lateral raises</v>
      </c>
      <c r="DE79" s="5" t="str">
        <f t="array" ref="DE79">IFERROR(IF('T1'!$J79="",INDEX(LISTA_EX,107),INDEX(LISTA_EX,MATCH('T1'!$J79&amp;"|"&amp;107,LISTA_KLUCZ,0))),"")</f>
        <v>Lateral raises 2</v>
      </c>
      <c r="DF79" s="5" t="str">
        <f t="array" ref="DF79">IFERROR(IF('T1'!$J79="",INDEX(LISTA_EX,108),INDEX(LISTA_EX,MATCH('T1'!$J79&amp;"|"&amp;108,LISTA_KLUCZ,0))),"")</f>
        <v>Lateral raises full ROM</v>
      </c>
      <c r="DG79" s="5" t="str">
        <f t="array" ref="DG79">IFERROR(IF('T1'!$J79="",INDEX(LISTA_EX,109),INDEX(LISTA_EX,MATCH('T1'!$J79&amp;"|"&amp;109,LISTA_KLUCZ,0))),"")</f>
        <v>Lateral raises hinged</v>
      </c>
      <c r="DH79" s="5" t="str">
        <f t="array" ref="DH79">IFERROR(IF('T1'!$J79="",INDEX(LISTA_EX,110),INDEX(LISTA_EX,MATCH('T1'!$J79&amp;"|"&amp;110,LISTA_KLUCZ,0))),"")</f>
        <v>Lateral raises incline s/a</v>
      </c>
      <c r="DI79" s="5" t="str">
        <f t="array" ref="DI79">IFERROR(IF('T1'!$J79="",INDEX(LISTA_EX,111),INDEX(LISTA_EX,MATCH('T1'!$J79&amp;"|"&amp;111,LISTA_KLUCZ,0))),"")</f>
        <v>Leg curl</v>
      </c>
      <c r="DJ79" s="5" t="str">
        <f t="array" ref="DJ79">IFERROR(IF('T1'!$J79="",INDEX(LISTA_EX,112),INDEX(LISTA_EX,MATCH('T1'!$J79&amp;"|"&amp;112,LISTA_KLUCZ,0))),"")</f>
        <v>Machine row</v>
      </c>
      <c r="DK79" s="5" t="str">
        <f t="array" ref="DK79">IFERROR(IF('T1'!$J79="",INDEX(LISTA_EX,113),INDEX(LISTA_EX,MATCH('T1'!$J79&amp;"|"&amp;113,LISTA_KLUCZ,0))),"")</f>
        <v>Machine row s/a</v>
      </c>
      <c r="DL79" s="5" t="str">
        <f t="array" ref="DL79">IFERROR(IF('T1'!$J79="",INDEX(LISTA_EX,114),INDEX(LISTA_EX,MATCH('T1'!$J79&amp;"|"&amp;114,LISTA_KLUCZ,0))),"")</f>
        <v>Meadows row</v>
      </c>
      <c r="DM79" s="5" t="str">
        <f t="array" ref="DM79">IFERROR(IF('T1'!$J79="",INDEX(LISTA_EX,115),INDEX(LISTA_EX,MATCH('T1'!$J79&amp;"|"&amp;115,LISTA_KLUCZ,0))),"")</f>
        <v>Med ball slam</v>
      </c>
      <c r="DN79" s="5" t="str">
        <f t="array" ref="DN79">IFERROR(IF('T1'!$J79="",INDEX(LISTA_EX,116),INDEX(LISTA_EX,MATCH('T1'!$J79&amp;"|"&amp;116,LISTA_KLUCZ,0))),"")</f>
        <v>OH skullcrushers</v>
      </c>
      <c r="DO79" s="5" t="str">
        <f t="array" ref="DO79">IFERROR(IF('T1'!$J79="",INDEX(LISTA_EX,117),INDEX(LISTA_EX,MATCH('T1'!$J79&amp;"|"&amp;117,LISTA_KLUCZ,0))),"")</f>
        <v>OHP barbell squat 15kg</v>
      </c>
      <c r="DP79" s="5" t="str">
        <f t="array" ref="DP79">IFERROR(IF('T1'!$J79="",INDEX(LISTA_EX,118),INDEX(LISTA_EX,MATCH('T1'!$J79&amp;"|"&amp;118,LISTA_KLUCZ,0))),"")</f>
        <v>Pistol squat eccentric</v>
      </c>
      <c r="DQ79" s="5" t="str">
        <f t="array" ref="DQ79">IFERROR(IF('T1'!$J79="",INDEX(LISTA_EX,119),INDEX(LISTA_EX,MATCH('T1'!$J79&amp;"|"&amp;119,LISTA_KLUCZ,0))),"")</f>
        <v>Plank contralateral</v>
      </c>
      <c r="DR79" s="5" t="str">
        <f t="array" ref="DR79">IFERROR(IF('T1'!$J79="",INDEX(LISTA_EX,120),INDEX(LISTA_EX,MATCH('T1'!$J79&amp;"|"&amp;120,LISTA_KLUCZ,0))),"")</f>
        <v>Plank dumbbell rotation</v>
      </c>
      <c r="DS79" s="5" t="str">
        <f t="array" ref="DS79">IFERROR(IF('T1'!$J79="",INDEX(LISTA_EX,121),INDEX(LISTA_EX,MATCH('T1'!$J79&amp;"|"&amp;121,LISTA_KLUCZ,0))),"")</f>
        <v>Plank leg raises</v>
      </c>
      <c r="DT79" s="5" t="str">
        <f t="array" ref="DT79">IFERROR(IF('T1'!$J79="",INDEX(LISTA_EX,122),INDEX(LISTA_EX,MATCH('T1'!$J79&amp;"|"&amp;122,LISTA_KLUCZ,0))),"")</f>
        <v>Poliquin step up</v>
      </c>
      <c r="DU79" s="5" t="str">
        <f t="array" ref="DU79">IFERROR(IF('T1'!$J79="",INDEX(LISTA_EX,123),INDEX(LISTA_EX,MATCH('T1'!$J79&amp;"|"&amp;123,LISTA_KLUCZ,0))),"")</f>
        <v>Poliquin step up paused 3sec</v>
      </c>
      <c r="DV79" s="5" t="str">
        <f t="array" ref="DV79">IFERROR(IF('T1'!$J79="",INDEX(LISTA_EX,124),INDEX(LISTA_EX,MATCH('T1'!$J79&amp;"|"&amp;124,LISTA_KLUCZ,0))),"")</f>
        <v>Pronation/Supination</v>
      </c>
      <c r="DW79" s="5" t="str">
        <f t="array" ref="DW79">IFERROR(IF('T1'!$J79="",INDEX(LISTA_EX,125),INDEX(LISTA_EX,MATCH('T1'!$J79&amp;"|"&amp;125,LISTA_KLUCZ,0))),"")</f>
        <v>Pull up</v>
      </c>
      <c r="DX79" s="5" t="str">
        <f t="array" ref="DX79">IFERROR(IF('T1'!$J79="",INDEX(LISTA_EX,126),INDEX(LISTA_EX,MATCH('T1'!$J79&amp;"|"&amp;126,LISTA_KLUCZ,0))),"")</f>
        <v>Pull up eccentric weighted</v>
      </c>
      <c r="DY79" s="5" t="str">
        <f t="array" ref="DY79">IFERROR(IF('T1'!$J79="",INDEX(LISTA_EX,127),INDEX(LISTA_EX,MATCH('T1'!$J79&amp;"|"&amp;127,LISTA_KLUCZ,0))),"")</f>
        <v>Pull up eccentric weighted (5 sek w dół)</v>
      </c>
      <c r="DZ79" s="5" t="str">
        <f t="array" ref="DZ79">IFERROR(IF('T1'!$J79="",INDEX(LISTA_EX,128),INDEX(LISTA_EX,MATCH('T1'!$J79&amp;"|"&amp;128,LISTA_KLUCZ,0))),"")</f>
        <v>Pull up weighted</v>
      </c>
      <c r="EA79" s="5" t="str">
        <f t="array" ref="EA79">IFERROR(IF('T1'!$J79="",INDEX(LISTA_EX,129),INDEX(LISTA_EX,MATCH('T1'!$J79&amp;"|"&amp;129,LISTA_KLUCZ,0))),"")</f>
        <v>Pull ups (paused)</v>
      </c>
      <c r="EB79" s="5" t="str">
        <f t="array" ref="EB79">IFERROR(IF('T1'!$J79="",INDEX(LISTA_EX,130),INDEX(LISTA_EX,MATCH('T1'!$J79&amp;"|"&amp;130,LISTA_KLUCZ,0))),"")</f>
        <v>Push press barbell</v>
      </c>
      <c r="EC79" s="5" t="str">
        <f t="array" ref="EC79">IFERROR(IF('T1'!$J79="",INDEX(LISTA_EX,131),INDEX(LISTA_EX,MATCH('T1'!$J79&amp;"|"&amp;131,LISTA_KLUCZ,0))),"")</f>
        <v>Push up</v>
      </c>
      <c r="ED79" s="5" t="str">
        <f t="array" ref="ED79">IFERROR(IF('T1'!$J79="",INDEX(LISTA_EX,132),INDEX(LISTA_EX,MATCH('T1'!$J79&amp;"|"&amp;132,LISTA_KLUCZ,0))),"")</f>
        <v>Raised bird dog</v>
      </c>
      <c r="EE79" s="5" t="str">
        <f t="array" ref="EE79">IFERROR(IF('T1'!$J79="",INDEX(LISTA_EX,133),INDEX(LISTA_EX,MATCH('T1'!$J79&amp;"|"&amp;133,LISTA_KLUCZ,0))),"")</f>
        <v>RDL</v>
      </c>
      <c r="EF79" s="5" t="str">
        <f t="array" ref="EF79">IFERROR(IF('T1'!$J79="",INDEX(LISTA_EX,134),INDEX(LISTA_EX,MATCH('T1'!$J79&amp;"|"&amp;134,LISTA_KLUCZ,0))),"")</f>
        <v>Reverse Nordic</v>
      </c>
      <c r="EG79" s="5" t="str">
        <f t="array" ref="EG79">IFERROR(IF('T1'!$J79="",INDEX(LISTA_EX,135),INDEX(LISTA_EX,MATCH('T1'!$J79&amp;"|"&amp;135,LISTA_KLUCZ,0))),"")</f>
        <v>Rope pushdown</v>
      </c>
      <c r="EH79" s="5" t="str">
        <f t="array" ref="EH79">IFERROR(IF('T1'!$J79="",INDEX(LISTA_EX,136),INDEX(LISTA_EX,MATCH('T1'!$J79&amp;"|"&amp;136,LISTA_KLUCZ,0))),"")</f>
        <v>Rope pushdown OH</v>
      </c>
      <c r="EI79" s="5" t="str">
        <f t="array" ref="EI79">IFERROR(IF('T1'!$J79="",INDEX(LISTA_EX,137),INDEX(LISTA_EX,MATCH('T1'!$J79&amp;"|"&amp;137,LISTA_KLUCZ,0))),"")</f>
        <v>S/a cable pulldown incline bench</v>
      </c>
      <c r="EJ79" s="5" t="str">
        <f t="array" ref="EJ79">IFERROR(IF('T1'!$J79="",INDEX(LISTA_EX,138),INDEX(LISTA_EX,MATCH('T1'!$J79&amp;"|"&amp;138,LISTA_KLUCZ,0))),"")</f>
        <v>S/a lat pulldown incline bench</v>
      </c>
      <c r="EK79" s="5" t="str">
        <f t="array" ref="EK79">IFERROR(IF('T1'!$J79="",INDEX(LISTA_EX,139),INDEX(LISTA_EX,MATCH('T1'!$J79&amp;"|"&amp;139,LISTA_KLUCZ,0))),"")</f>
        <v>S/l dragonflag eccentric</v>
      </c>
      <c r="EL79" s="5" t="str">
        <f t="array" ref="EL79">IFERROR(IF('T1'!$J79="",INDEX(LISTA_EX,140),INDEX(LISTA_EX,MATCH('T1'!$J79&amp;"|"&amp;140,LISTA_KLUCZ,0))),"")</f>
        <v>S/l hip thrust</v>
      </c>
      <c r="EM79" s="5" t="str">
        <f t="array" ref="EM79">IFERROR(IF('T1'!$J79="",INDEX(LISTA_EX,141),INDEX(LISTA_EX,MATCH('T1'!$J79&amp;"|"&amp;141,LISTA_KLUCZ,0))),"")</f>
        <v>Seated broad jump</v>
      </c>
      <c r="EN79" s="5" t="str">
        <f t="array" ref="EN79">IFERROR(IF('T1'!$J79="",INDEX(LISTA_EX,142),INDEX(LISTA_EX,MATCH('T1'!$J79&amp;"|"&amp;142,LISTA_KLUCZ,0))),"")</f>
        <v>Seated cable facepull</v>
      </c>
      <c r="EO79" s="5" t="str">
        <f t="array" ref="EO79">IFERROR(IF('T1'!$J79="",INDEX(LISTA_EX,143),INDEX(LISTA_EX,MATCH('T1'!$J79&amp;"|"&amp;143,LISTA_KLUCZ,0))),"")</f>
        <v>Seated seesaw press (nogi proste)</v>
      </c>
      <c r="EP79" s="5" t="str">
        <f t="array" ref="EP79">IFERROR(IF('T1'!$J79="",INDEX(LISTA_EX,144),INDEX(LISTA_EX,MATCH('T1'!$J79&amp;"|"&amp;144,LISTA_KLUCZ,0))),"")</f>
        <v>Seesaw press</v>
      </c>
      <c r="EQ79" s="5" t="str">
        <f t="array" ref="EQ79">IFERROR(IF('T1'!$J79="",INDEX(LISTA_EX,145),INDEX(LISTA_EX,MATCH('T1'!$J79&amp;"|"&amp;145,LISTA_KLUCZ,0))),"")</f>
        <v>Side crunches</v>
      </c>
      <c r="ER79" s="5" t="str">
        <f t="array" ref="ER79">IFERROR(IF('T1'!$J79="",INDEX(LISTA_EX,146),INDEX(LISTA_EX,MATCH('T1'!$J79&amp;"|"&amp;146,LISTA_KLUCZ,0))),"")</f>
        <v>Side plank hip drop</v>
      </c>
      <c r="ES79" s="5" t="str">
        <f t="array" ref="ES79">IFERROR(IF('T1'!$J79="",INDEX(LISTA_EX,147),INDEX(LISTA_EX,MATCH('T1'!$J79&amp;"|"&amp;147,LISTA_KLUCZ,0))),"")</f>
        <v>Side plank rotations</v>
      </c>
      <c r="ET79" s="5" t="str">
        <f t="array" ref="ET79">IFERROR(IF('T1'!$J79="",INDEX(LISTA_EX,148),INDEX(LISTA_EX,MATCH('T1'!$J79&amp;"|"&amp;148,LISTA_KLUCZ,0))),"")</f>
        <v>SLDL balance</v>
      </c>
      <c r="EU79" s="5" t="str">
        <f t="array" ref="EU79">IFERROR(IF('T1'!$J79="",INDEX(LISTA_EX,149),INDEX(LISTA_EX,MATCH('T1'!$J79&amp;"|"&amp;149,LISTA_KLUCZ,0))),"")</f>
        <v>Split squat</v>
      </c>
      <c r="EV79" s="5" t="str">
        <f t="array" ref="EV79">IFERROR(IF('T1'!$J79="",INDEX(LISTA_EX,150),INDEX(LISTA_EX,MATCH('T1'!$J79&amp;"|"&amp;150,LISTA_KLUCZ,0))),"")</f>
        <v>Split stance SLDL</v>
      </c>
      <c r="EW79" s="5" t="str">
        <f t="array" ref="EW79">IFERROR(IF('T1'!$J79="",INDEX(LISTA_EX,151),INDEX(LISTA_EX,MATCH('T1'!$J79&amp;"|"&amp;151,LISTA_KLUCZ,0))),"")</f>
        <v>Squat izo (15 sek)</v>
      </c>
      <c r="EX79" s="5" t="str">
        <f t="array" ref="EX79">IFERROR(IF('T1'!$J79="",INDEX(LISTA_EX,152),INDEX(LISTA_EX,MATCH('T1'!$J79&amp;"|"&amp;152,LISTA_KLUCZ,0))),"")</f>
        <v>Standing landmine press</v>
      </c>
      <c r="EY79" s="5" t="str">
        <f t="array" ref="EY79">IFERROR(IF('T1'!$J79="",INDEX(LISTA_EX,153),INDEX(LISTA_EX,MATCH('T1'!$J79&amp;"|"&amp;153,LISTA_KLUCZ,0))),"")</f>
        <v>Suitcase carry</v>
      </c>
      <c r="EZ79" s="5" t="str">
        <f t="array" ref="EZ79">IFERROR(IF('T1'!$J79="",INDEX(LISTA_EX,154),INDEX(LISTA_EX,MATCH('T1'!$J79&amp;"|"&amp;154,LISTA_KLUCZ,0))),"")</f>
        <v>Supine pigeon abs</v>
      </c>
      <c r="FA79" s="5" t="str">
        <f t="array" ref="FA79">IFERROR(IF('T1'!$J79="",INDEX(LISTA_EX,155),INDEX(LISTA_EX,MATCH('T1'!$J79&amp;"|"&amp;155,LISTA_KLUCZ,0))),"")</f>
        <v>Swiss ball leg curl</v>
      </c>
      <c r="FB79" s="5" t="str">
        <f t="array" ref="FB79">IFERROR(IF('T1'!$J79="",INDEX(LISTA_EX,156),INDEX(LISTA_EX,MATCH('T1'!$J79&amp;"|"&amp;156,LISTA_KLUCZ,0))),"")</f>
        <v>Toes to bar</v>
      </c>
      <c r="FC79" s="5" t="str">
        <f t="array" ref="FC79">IFERROR(IF('T1'!$J79="",INDEX(LISTA_EX,157),INDEX(LISTA_EX,MATCH('T1'!$J79&amp;"|"&amp;157,LISTA_KLUCZ,0))),"")</f>
        <v>Trap bar deadlift</v>
      </c>
      <c r="FD79" s="5" t="str">
        <f t="array" ref="FD79">IFERROR(IF('T1'!$J79="",INDEX(LISTA_EX,158),INDEX(LISTA_EX,MATCH('T1'!$J79&amp;"|"&amp;158,LISTA_KLUCZ,0))),"")</f>
        <v>Tricep cable pushdown</v>
      </c>
      <c r="FE79" s="5" t="str">
        <f t="array" ref="FE79">IFERROR(IF('T1'!$J79="",INDEX(LISTA_EX,159),INDEX(LISTA_EX,MATCH('T1'!$J79&amp;"|"&amp;159,LISTA_KLUCZ,0))),"")</f>
        <v>Tricep JM press</v>
      </c>
      <c r="FF79" s="5" t="str">
        <f t="array" ref="FF79">IFERROR(IF('T1'!$J79="",INDEX(LISTA_EX,160),INDEX(LISTA_EX,MATCH('T1'!$J79&amp;"|"&amp;160,LISTA_KLUCZ,0))),"")</f>
        <v>Tricep OH cable</v>
      </c>
      <c r="FG79" s="5" t="str">
        <f t="array" ref="FG79">IFERROR(IF('T1'!$J79="",INDEX(LISTA_EX,161),INDEX(LISTA_EX,MATCH('T1'!$J79&amp;"|"&amp;161,LISTA_KLUCZ,0))),"")</f>
        <v>Tricep OH ez bar</v>
      </c>
      <c r="FH79" s="5" t="str">
        <f t="array" ref="FH79">IFERROR(IF('T1'!$J79="",INDEX(LISTA_EX,162),INDEX(LISTA_EX,MATCH('T1'!$J79&amp;"|"&amp;162,LISTA_KLUCZ,0))),"")</f>
        <v>Walking lunges</v>
      </c>
      <c r="FI79" s="5" t="str">
        <f t="array" ref="FI79">IFERROR(IF('T1'!$J79="",INDEX(LISTA_EX,163),INDEX(LISTA_EX,MATCH('T1'!$J79&amp;"|"&amp;163,LISTA_KLUCZ,0))),"")</f>
        <v>Wipers kettle</v>
      </c>
      <c r="FJ79" s="5" t="str">
        <f t="array" ref="FJ79">IFERROR(IF('T1'!$J79="",INDEX(LISTA_EX,164),INDEX(LISTA_EX,MATCH('T1'!$J79&amp;"|"&amp;164,LISTA_KLUCZ,0))),"")</f>
        <v>Zercher jumps</v>
      </c>
      <c r="FK79" s="5" t="str">
        <f t="array" ref="FK79">IFERROR(IF('T1'!$J79="",INDEX(LISTA_EX,165),INDEX(LISTA_EX,MATCH('T1'!$J79&amp;"|"&amp;165,LISTA_KLUCZ,0))),"")</f>
        <v/>
      </c>
      <c r="FL79" s="5" t="str">
        <f t="array" ref="FL79">IFERROR(IF('T1'!$J79="",INDEX(LISTA_EX,166),INDEX(LISTA_EX,MATCH('T1'!$J79&amp;"|"&amp;166,LISTA_KLUCZ,0))),"")</f>
        <v/>
      </c>
      <c r="FM79" s="5" t="str">
        <f t="array" ref="FM79">IFERROR(IF('T1'!$J79="",INDEX(LISTA_EX,167),INDEX(LISTA_EX,MATCH('T1'!$J79&amp;"|"&amp;167,LISTA_KLUCZ,0))),"")</f>
        <v/>
      </c>
      <c r="FN79" s="5" t="str">
        <f t="array" ref="FN79">IFERROR(IF('T1'!$J79="",INDEX(LISTA_EX,168),INDEX(LISTA_EX,MATCH('T1'!$J79&amp;"|"&amp;168,LISTA_KLUCZ,0))),"")</f>
        <v/>
      </c>
      <c r="FO79" s="5" t="str">
        <f t="array" ref="FO79">IFERROR(IF('T1'!$J79="",INDEX(LISTA_EX,169),INDEX(LISTA_EX,MATCH('T1'!$J79&amp;"|"&amp;169,LISTA_KLUCZ,0))),"")</f>
        <v/>
      </c>
      <c r="FP79" s="5" t="str">
        <f t="array" ref="FP79">IFERROR(IF('T1'!$J79="",INDEX(LISTA_EX,170),INDEX(LISTA_EX,MATCH('T1'!$J79&amp;"|"&amp;170,LISTA_KLUCZ,0))),"")</f>
        <v/>
      </c>
      <c r="FQ79" s="5" t="str">
        <f t="array" ref="FQ79">IFERROR(IF('T1'!$J79="",INDEX(LISTA_EX,171),INDEX(LISTA_EX,MATCH('T1'!$J79&amp;"|"&amp;171,LISTA_KLUCZ,0))),"")</f>
        <v/>
      </c>
      <c r="FR79" s="5" t="str">
        <f t="array" ref="FR79">IFERROR(IF('T1'!$J79="",INDEX(LISTA_EX,172),INDEX(LISTA_EX,MATCH('T1'!$J79&amp;"|"&amp;172,LISTA_KLUCZ,0))),"")</f>
        <v/>
      </c>
      <c r="FS79" s="5" t="str">
        <f t="array" ref="FS79">IFERROR(IF('T1'!$J79="",INDEX(LISTA_EX,173),INDEX(LISTA_EX,MATCH('T1'!$J79&amp;"|"&amp;173,LISTA_KLUCZ,0))),"")</f>
        <v/>
      </c>
      <c r="FT79" s="5" t="str">
        <f t="array" ref="FT79">IFERROR(IF('T1'!$J79="",INDEX(LISTA_EX,174),INDEX(LISTA_EX,MATCH('T1'!$J79&amp;"|"&amp;174,LISTA_KLUCZ,0))),"")</f>
        <v/>
      </c>
      <c r="FU79" s="5" t="str">
        <f t="array" ref="FU79">IFERROR(IF('T1'!$J79="",INDEX(LISTA_EX,175),INDEX(LISTA_EX,MATCH('T1'!$J79&amp;"|"&amp;175,LISTA_KLUCZ,0))),"")</f>
        <v/>
      </c>
      <c r="FV79" s="5" t="str">
        <f t="array" ref="FV79">IFERROR(IF('T1'!$J79="",INDEX(LISTA_EX,176),INDEX(LISTA_EX,MATCH('T1'!$J79&amp;"|"&amp;176,LISTA_KLUCZ,0))),"")</f>
        <v/>
      </c>
      <c r="FW79" s="5" t="str">
        <f t="array" ref="FW79">IFERROR(IF('T1'!$J79="",INDEX(LISTA_EX,177),INDEX(LISTA_EX,MATCH('T1'!$J79&amp;"|"&amp;177,LISTA_KLUCZ,0))),"")</f>
        <v/>
      </c>
      <c r="FX79" s="5" t="str">
        <f t="array" ref="FX79">IFERROR(IF('T1'!$J79="",INDEX(LISTA_EX,178),INDEX(LISTA_EX,MATCH('T1'!$J79&amp;"|"&amp;178,LISTA_KLUCZ,0))),"")</f>
        <v/>
      </c>
      <c r="FY79" s="5" t="str">
        <f t="array" ref="FY79">IFERROR(IF('T1'!$J79="",INDEX(LISTA_EX,179),INDEX(LISTA_EX,MATCH('T1'!$J79&amp;"|"&amp;179,LISTA_KLUCZ,0))),"")</f>
        <v/>
      </c>
      <c r="FZ79" s="5" t="str">
        <f t="array" ref="FZ79">IFERROR(IF('T1'!$J79="",INDEX(LISTA_EX,180),INDEX(LISTA_EX,MATCH('T1'!$J79&amp;"|"&amp;180,LISTA_KLUCZ,0))),"")</f>
        <v/>
      </c>
      <c r="GA79" s="5" t="str">
        <f t="array" ref="GA79">IFERROR(IF('T1'!$J79="",INDEX(LISTA_EX,181),INDEX(LISTA_EX,MATCH('T1'!$J79&amp;"|"&amp;181,LISTA_KLUCZ,0))),"")</f>
        <v/>
      </c>
      <c r="GB79" s="5" t="str">
        <f t="array" ref="GB79">IFERROR(IF('T1'!$J79="",INDEX(LISTA_EX,182),INDEX(LISTA_EX,MATCH('T1'!$J79&amp;"|"&amp;182,LISTA_KLUCZ,0))),"")</f>
        <v/>
      </c>
      <c r="GC79" s="5" t="str">
        <f t="array" ref="GC79">IFERROR(IF('T1'!$J79="",INDEX(LISTA_EX,183),INDEX(LISTA_EX,MATCH('T1'!$J79&amp;"|"&amp;183,LISTA_KLUCZ,0))),"")</f>
        <v/>
      </c>
      <c r="GD79" s="5" t="str">
        <f t="array" ref="GD79">IFERROR(IF('T1'!$J79="",INDEX(LISTA_EX,184),INDEX(LISTA_EX,MATCH('T1'!$J79&amp;"|"&amp;184,LISTA_KLUCZ,0))),"")</f>
        <v/>
      </c>
      <c r="GE79" s="5" t="str">
        <f t="array" ref="GE79">IFERROR(IF('T1'!$J79="",INDEX(LISTA_EX,185),INDEX(LISTA_EX,MATCH('T1'!$J79&amp;"|"&amp;185,LISTA_KLUCZ,0))),"")</f>
        <v/>
      </c>
      <c r="GF79" s="5" t="str">
        <f t="array" ref="GF79">IFERROR(IF('T1'!$J79="",INDEX(LISTA_EX,186),INDEX(LISTA_EX,MATCH('T1'!$J79&amp;"|"&amp;186,LISTA_KLUCZ,0))),"")</f>
        <v/>
      </c>
      <c r="GG79" s="5" t="str">
        <f t="array" ref="GG79">IFERROR(IF('T1'!$J79="",INDEX(LISTA_EX,187),INDEX(LISTA_EX,MATCH('T1'!$J79&amp;"|"&amp;187,LISTA_KLUCZ,0))),"")</f>
        <v/>
      </c>
      <c r="GH79" s="5" t="str">
        <f t="array" ref="GH79">IFERROR(IF('T1'!$J79="",INDEX(LISTA_EX,188),INDEX(LISTA_EX,MATCH('T1'!$J79&amp;"|"&amp;188,LISTA_KLUCZ,0))),"")</f>
        <v/>
      </c>
      <c r="GI79" s="5" t="str">
        <f t="array" ref="GI79">IFERROR(IF('T1'!$J79="",INDEX(LISTA_EX,189),INDEX(LISTA_EX,MATCH('T1'!$J79&amp;"|"&amp;189,LISTA_KLUCZ,0))),"")</f>
        <v/>
      </c>
      <c r="GJ79" s="5" t="str">
        <f t="array" ref="GJ79">IFERROR(IF('T1'!$J79="",INDEX(LISTA_EX,190),INDEX(LISTA_EX,MATCH('T1'!$J79&amp;"|"&amp;190,LISTA_KLUCZ,0))),"")</f>
        <v/>
      </c>
      <c r="GK79" s="5" t="str">
        <f t="array" ref="GK79">IFERROR(IF('T1'!$J79="",INDEX(LISTA_EX,191),INDEX(LISTA_EX,MATCH('T1'!$J79&amp;"|"&amp;191,LISTA_KLUCZ,0))),"")</f>
        <v/>
      </c>
      <c r="GL79" s="5" t="str">
        <f t="array" ref="GL79">IFERROR(IF('T1'!$J79="",INDEX(LISTA_EX,192),INDEX(LISTA_EX,MATCH('T1'!$J79&amp;"|"&amp;192,LISTA_KLUCZ,0))),"")</f>
        <v/>
      </c>
      <c r="GM79" s="5" t="str">
        <f t="array" ref="GM79">IFERROR(IF('T1'!$J79="",INDEX(LISTA_EX,193),INDEX(LISTA_EX,MATCH('T1'!$J79&amp;"|"&amp;193,LISTA_KLUCZ,0))),"")</f>
        <v/>
      </c>
      <c r="GN79" s="5" t="str">
        <f t="array" ref="GN79">IFERROR(IF('T1'!$J79="",INDEX(LISTA_EX,194),INDEX(LISTA_EX,MATCH('T1'!$J79&amp;"|"&amp;194,LISTA_KLUCZ,0))),"")</f>
        <v/>
      </c>
      <c r="GO79" s="5" t="str">
        <f t="array" ref="GO79">IFERROR(IF('T1'!$J79="",INDEX(LISTA_EX,195),INDEX(LISTA_EX,MATCH('T1'!$J79&amp;"|"&amp;195,LISTA_KLUCZ,0))),"")</f>
        <v/>
      </c>
      <c r="GP79" s="5" t="str">
        <f t="array" ref="GP79">IFERROR(IF('T1'!$J79="",INDEX(LISTA_EX,196),INDEX(LISTA_EX,MATCH('T1'!$J79&amp;"|"&amp;196,LISTA_KLUCZ,0))),"")</f>
        <v/>
      </c>
      <c r="GQ79" s="5" t="str">
        <f t="array" ref="GQ79">IFERROR(IF('T1'!$J79="",INDEX(LISTA_EX,197),INDEX(LISTA_EX,MATCH('T1'!$J79&amp;"|"&amp;197,LISTA_KLUCZ,0))),"")</f>
        <v/>
      </c>
      <c r="GR79" s="5" t="str">
        <f t="array" ref="GR79">IFERROR(IF('T1'!$J79="",INDEX(LISTA_EX,198),INDEX(LISTA_EX,MATCH('T1'!$J79&amp;"|"&amp;198,LISTA_KLUCZ,0))),"")</f>
        <v/>
      </c>
      <c r="GS79" s="5" t="str">
        <f t="array" ref="GS79">IFERROR(IF('T1'!$J79="",INDEX(LISTA_EX,199),INDEX(LISTA_EX,MATCH('T1'!$J79&amp;"|"&amp;199,LISTA_KLUCZ,0))),"")</f>
        <v/>
      </c>
      <c r="GT79" s="5" t="str">
        <f t="array" ref="GT79">IFERROR(IF('T1'!$J79="",INDEX(LISTA_EX,200),INDEX(LISTA_EX,MATCH('T1'!$J79&amp;"|"&amp;200,LISTA_KLUCZ,0))),"")</f>
        <v/>
      </c>
      <c r="GV79" s="5" t="str">
        <f>IF(BAZA!$A79="","",BAZA!$A79)</f>
        <v>Hinged dumbbell row</v>
      </c>
      <c r="GW79" s="5" t="str">
        <f>IF(BAZA!$B79="","",BAZA!$B79&amp;"|"&amp;COUNTIF(BAZA!$B$3:$B79,BAZA!$B79))</f>
        <v>Upper pull horizontal|13</v>
      </c>
    </row>
    <row r="80" ht="15.0" customHeight="1">
      <c r="A80" s="5" t="str">
        <f>IF('T1'!$K80="","",'T1'!$K80)</f>
        <v>D5-S10</v>
      </c>
      <c r="B80" s="5" t="str">
        <f>IF('T1'!$J80="","(wszystkie)",'T1'!$J80)</f>
        <v>(wszystkie)</v>
      </c>
      <c r="C80" s="5" t="str">
        <f t="array" ref="C80">IFERROR(IF('T1'!$J80="",INDEX(LISTA_EX,1),INDEX(LISTA_EX,MATCH('T1'!$J80&amp;"|"&amp;1,LISTA_KLUCZ,0))),"")</f>
        <v>Abduction machine</v>
      </c>
      <c r="D80" s="5" t="str">
        <f t="array" ref="D80">IFERROR(IF('T1'!$J80="",INDEX(LISTA_EX,2),INDEX(LISTA_EX,MATCH('T1'!$J80&amp;"|"&amp;2,LISTA_KLUCZ,0))),"")</f>
        <v>Adduction machine</v>
      </c>
      <c r="E80" s="5" t="str">
        <f t="array" ref="E80">IFERROR(IF('T1'!$J80="",INDEX(LISTA_EX,3),INDEX(LISTA_EX,MATCH('T1'!$J80&amp;"|"&amp;3,LISTA_KLUCZ,0))),"")</f>
        <v>Allah</v>
      </c>
      <c r="F80" s="5" t="str">
        <f t="array" ref="F80">IFERROR(IF('T1'!$J80="",INDEX(LISTA_EX,4),INDEX(LISTA_EX,MATCH('T1'!$J80&amp;"|"&amp;4,LISTA_KLUCZ,0))),"")</f>
        <v>Arnold press</v>
      </c>
      <c r="G80" s="5" t="str">
        <f t="array" ref="G80">IFERROR(IF('T1'!$J80="",INDEX(LISTA_EX,5),INDEX(LISTA_EX,MATCH('T1'!$J80&amp;"|"&amp;5,LISTA_KLUCZ,0))),"")</f>
        <v>Arnold press alternating</v>
      </c>
      <c r="H80" s="5" t="str">
        <f t="array" ref="H80">IFERROR(IF('T1'!$J80="",INDEX(LISTA_EX,6),INDEX(LISTA_EX,MATCH('T1'!$J80&amp;"|"&amp;6,LISTA_KLUCZ,0))),"")</f>
        <v>B/l dragonflag eccentric</v>
      </c>
      <c r="I80" s="5" t="str">
        <f t="array" ref="I80">IFERROR(IF('T1'!$J80="",INDEX(LISTA_EX,7),INDEX(LISTA_EX,MATCH('T1'!$J80&amp;"|"&amp;7,LISTA_KLUCZ,0))),"")</f>
        <v>Back extension</v>
      </c>
      <c r="J80" s="5" t="str">
        <f t="array" ref="J80">IFERROR(IF('T1'!$J80="",INDEX(LISTA_EX,8),INDEX(LISTA_EX,MATCH('T1'!$J80&amp;"|"&amp;8,LISTA_KLUCZ,0))),"")</f>
        <v>Banded pistol squat</v>
      </c>
      <c r="K80" s="5" t="str">
        <f t="array" ref="K80">IFERROR(IF('T1'!$J80="",INDEX(LISTA_EX,9),INDEX(LISTA_EX,MATCH('T1'!$J80&amp;"|"&amp;9,LISTA_KLUCZ,0))),"")</f>
        <v>Banded pull ups</v>
      </c>
      <c r="L80" s="5" t="str">
        <f t="array" ref="L80">IFERROR(IF('T1'!$J80="",INDEX(LISTA_EX,10),INDEX(LISTA_EX,MATCH('T1'!$J80&amp;"|"&amp;10,LISTA_KLUCZ,0))),"")</f>
        <v>Barbell back squat</v>
      </c>
      <c r="M80" s="5" t="str">
        <f t="array" ref="M80">IFERROR(IF('T1'!$J80="",INDEX(LISTA_EX,11),INDEX(LISTA_EX,MATCH('T1'!$J80&amp;"|"&amp;11,LISTA_KLUCZ,0))),"")</f>
        <v>Barbell bench press</v>
      </c>
      <c r="N80" s="5" t="str">
        <f t="array" ref="N80">IFERROR(IF('T1'!$J80="",INDEX(LISTA_EX,12),INDEX(LISTA_EX,MATCH('T1'!$J80&amp;"|"&amp;12,LISTA_KLUCZ,0))),"")</f>
        <v>Barbell curl</v>
      </c>
      <c r="O80" s="5" t="str">
        <f t="array" ref="O80">IFERROR(IF('T1'!$J80="",INDEX(LISTA_EX,13),INDEX(LISTA_EX,MATCH('T1'!$J80&amp;"|"&amp;13,LISTA_KLUCZ,0))),"")</f>
        <v>Barbell low bar squat</v>
      </c>
      <c r="P80" s="5" t="str">
        <f t="array" ref="P80">IFERROR(IF('T1'!$J80="",INDEX(LISTA_EX,14),INDEX(LISTA_EX,MATCH('T1'!$J80&amp;"|"&amp;14,LISTA_KLUCZ,0))),"")</f>
        <v>Barbell OHP</v>
      </c>
      <c r="Q80" s="5" t="str">
        <f t="array" ref="Q80">IFERROR(IF('T1'!$J80="",INDEX(LISTA_EX,15),INDEX(LISTA_EX,MATCH('T1'!$J80&amp;"|"&amp;15,LISTA_KLUCZ,0))),"")</f>
        <v>Barbell oscilation</v>
      </c>
      <c r="R80" s="5" t="str">
        <f t="array" ref="R80">IFERROR(IF('T1'!$J80="",INDEX(LISTA_EX,16),INDEX(LISTA_EX,MATCH('T1'!$J80&amp;"|"&amp;16,LISTA_KLUCZ,0))),"")</f>
        <v>Barbell row</v>
      </c>
      <c r="S80" s="5" t="str">
        <f t="array" ref="S80">IFERROR(IF('T1'!$J80="",INDEX(LISTA_EX,17),INDEX(LISTA_EX,MATCH('T1'!$J80&amp;"|"&amp;17,LISTA_KLUCZ,0))),"")</f>
        <v>Barbell row dead stop pins</v>
      </c>
      <c r="T80" s="5" t="str">
        <f t="array" ref="T80">IFERROR(IF('T1'!$J80="",INDEX(LISTA_EX,18),INDEX(LISTA_EX,MATCH('T1'!$J80&amp;"|"&amp;18,LISTA_KLUCZ,0))),"")</f>
        <v>Barbell SLDL</v>
      </c>
      <c r="U80" s="5" t="str">
        <f t="array" ref="U80">IFERROR(IF('T1'!$J80="",INDEX(LISTA_EX,19),INDEX(LISTA_EX,MATCH('T1'!$J80&amp;"|"&amp;19,LISTA_KLUCZ,0))),"")</f>
        <v>Bayesian curl</v>
      </c>
      <c r="V80" s="5" t="str">
        <f t="array" ref="V80">IFERROR(IF('T1'!$J80="",INDEX(LISTA_EX,20),INDEX(LISTA_EX,MATCH('T1'!$J80&amp;"|"&amp;20,LISTA_KLUCZ,0))),"")</f>
        <v>Bear renegade row</v>
      </c>
      <c r="W80" s="5" t="str">
        <f t="array" ref="W80">IFERROR(IF('T1'!$J80="",INDEX(LISTA_EX,21),INDEX(LISTA_EX,MATCH('T1'!$J80&amp;"|"&amp;21,LISTA_KLUCZ,0))),"")</f>
        <v>Bench press paused 3sec</v>
      </c>
      <c r="X80" s="5" t="str">
        <f t="array" ref="X80">IFERROR(IF('T1'!$J80="",INDEX(LISTA_EX,22),INDEX(LISTA_EX,MATCH('T1'!$J80&amp;"|"&amp;22,LISTA_KLUCZ,0))),"")</f>
        <v>Bicep hammer curl</v>
      </c>
      <c r="Y80" s="5" t="str">
        <f t="array" ref="Y80">IFERROR(IF('T1'!$J80="",INDEX(LISTA_EX,23),INDEX(LISTA_EX,MATCH('T1'!$J80&amp;"|"&amp;23,LISTA_KLUCZ,0))),"")</f>
        <v>Bicep squat cable curl</v>
      </c>
      <c r="Z80" s="5" t="str">
        <f t="array" ref="Z80">IFERROR(IF('T1'!$J80="",INDEX(LISTA_EX,24),INDEX(LISTA_EX,MATCH('T1'!$J80&amp;"|"&amp;24,LISTA_KLUCZ,0))),"")</f>
        <v>Bird dog row</v>
      </c>
      <c r="AA80" s="5" t="str">
        <f t="array" ref="AA80">IFERROR(IF('T1'!$J80="",INDEX(LISTA_EX,25),INDEX(LISTA_EX,MATCH('T1'!$J80&amp;"|"&amp;25,LISTA_KLUCZ,0))),"")</f>
        <v>Box jump</v>
      </c>
      <c r="AB80" s="5" t="str">
        <f t="array" ref="AB80">IFERROR(IF('T1'!$J80="",INDEX(LISTA_EX,26),INDEX(LISTA_EX,MATCH('T1'!$J80&amp;"|"&amp;26,LISTA_KLUCZ,0))),"")</f>
        <v>Bulgarian clean plyo</v>
      </c>
      <c r="AC80" s="5" t="str">
        <f t="array" ref="AC80">IFERROR(IF('T1'!$J80="",INDEX(LISTA_EX,27),INDEX(LISTA_EX,MATCH('T1'!$J80&amp;"|"&amp;27,LISTA_KLUCZ,0))),"")</f>
        <v>Bulgarian squat assisted</v>
      </c>
      <c r="AD80" s="5" t="str">
        <f t="array" ref="AD80">IFERROR(IF('T1'!$J80="",INDEX(LISTA_EX,28),INDEX(LISTA_EX,MATCH('T1'!$J80&amp;"|"&amp;28,LISTA_KLUCZ,0))),"")</f>
        <v>Cable biceps curl</v>
      </c>
      <c r="AE80" s="5" t="str">
        <f t="array" ref="AE80">IFERROR(IF('T1'!$J80="",INDEX(LISTA_EX,29),INDEX(LISTA_EX,MATCH('T1'!$J80&amp;"|"&amp;29,LISTA_KLUCZ,0))),"")</f>
        <v>Cable fly</v>
      </c>
      <c r="AF80" s="5" t="str">
        <f t="array" ref="AF80">IFERROR(IF('T1'!$J80="",INDEX(LISTA_EX,30),INDEX(LISTA_EX,MATCH('T1'!$J80&amp;"|"&amp;30,LISTA_KLUCZ,0))),"")</f>
        <v>Cable lateral raise s/a</v>
      </c>
      <c r="AG80" s="5" t="str">
        <f t="array" ref="AG80">IFERROR(IF('T1'!$J80="",INDEX(LISTA_EX,31),INDEX(LISTA_EX,MATCH('T1'!$J80&amp;"|"&amp;31,LISTA_KLUCZ,0))),"")</f>
        <v>Cable row</v>
      </c>
      <c r="AH80" s="5" t="str">
        <f t="array" ref="AH80">IFERROR(IF('T1'!$J80="",INDEX(LISTA_EX,32),INDEX(LISTA_EX,MATCH('T1'!$J80&amp;"|"&amp;32,LISTA_KLUCZ,0))),"")</f>
        <v>Cable row s/a</v>
      </c>
      <c r="AI80" s="5" t="str">
        <f t="array" ref="AI80">IFERROR(IF('T1'!$J80="",INDEX(LISTA_EX,33),INDEX(LISTA_EX,MATCH('T1'!$J80&amp;"|"&amp;33,LISTA_KLUCZ,0))),"")</f>
        <v>Calf raises</v>
      </c>
      <c r="AJ80" s="5" t="str">
        <f t="array" ref="AJ80">IFERROR(IF('T1'!$J80="",INDEX(LISTA_EX,34),INDEX(LISTA_EX,MATCH('T1'!$J80&amp;"|"&amp;34,LISTA_KLUCZ,0))),"")</f>
        <v>Chest fly machine</v>
      </c>
      <c r="AK80" s="5" t="str">
        <f t="array" ref="AK80">IFERROR(IF('T1'!$J80="",INDEX(LISTA_EX,35),INDEX(LISTA_EX,MATCH('T1'!$J80&amp;"|"&amp;35,LISTA_KLUCZ,0))),"")</f>
        <v>Clean</v>
      </c>
      <c r="AL80" s="5" t="str">
        <f t="array" ref="AL80">IFERROR(IF('T1'!$J80="",INDEX(LISTA_EX,36),INDEX(LISTA_EX,MATCH('T1'!$J80&amp;"|"&amp;36,LISTA_KLUCZ,0))),"")</f>
        <v>Clean pins</v>
      </c>
      <c r="AM80" s="5" t="str">
        <f t="array" ref="AM80">IFERROR(IF('T1'!$J80="",INDEX(LISTA_EX,37),INDEX(LISTA_EX,MATCH('T1'!$J80&amp;"|"&amp;37,LISTA_KLUCZ,0))),"")</f>
        <v>Copenhagen plank</v>
      </c>
      <c r="AN80" s="5" t="str">
        <f t="array" ref="AN80">IFERROR(IF('T1'!$J80="",INDEX(LISTA_EX,38),INDEX(LISTA_EX,MATCH('T1'!$J80&amp;"|"&amp;38,LISTA_KLUCZ,0))),"")</f>
        <v>Dead bug izo + OH</v>
      </c>
      <c r="AO80" s="5" t="str">
        <f t="array" ref="AO80">IFERROR(IF('T1'!$J80="",INDEX(LISTA_EX,39),INDEX(LISTA_EX,MATCH('T1'!$J80&amp;"|"&amp;39,LISTA_KLUCZ,0))),"")</f>
        <v>Dead bug straight legs</v>
      </c>
      <c r="AP80" s="5" t="str">
        <f t="array" ref="AP80">IFERROR(IF('T1'!$J80="",INDEX(LISTA_EX,40),INDEX(LISTA_EX,MATCH('T1'!$J80&amp;"|"&amp;40,LISTA_KLUCZ,0))),"")</f>
        <v>Dead stop barbell row</v>
      </c>
      <c r="AQ80" s="5" t="str">
        <f t="array" ref="AQ80">IFERROR(IF('T1'!$J80="",INDEX(LISTA_EX,41),INDEX(LISTA_EX,MATCH('T1'!$J80&amp;"|"&amp;41,LISTA_KLUCZ,0))),"")</f>
        <v>Deadbug OH</v>
      </c>
      <c r="AR80" s="5" t="str">
        <f t="array" ref="AR80">IFERROR(IF('T1'!$J80="",INDEX(LISTA_EX,42),INDEX(LISTA_EX,MATCH('T1'!$J80&amp;"|"&amp;42,LISTA_KLUCZ,0))),"")</f>
        <v>Deadlift</v>
      </c>
      <c r="AS80" s="5" t="str">
        <f t="array" ref="AS80">IFERROR(IF('T1'!$J80="",INDEX(LISTA_EX,43),INDEX(LISTA_EX,MATCH('T1'!$J80&amp;"|"&amp;43,LISTA_KLUCZ,0))),"")</f>
        <v>Deficit push up</v>
      </c>
      <c r="AT80" s="5" t="str">
        <f t="array" ref="AT80">IFERROR(IF('T1'!$J80="",INDEX(LISTA_EX,44),INDEX(LISTA_EX,MATCH('T1'!$J80&amp;"|"&amp;44,LISTA_KLUCZ,0))),"")</f>
        <v>Deficit reverse lunge</v>
      </c>
      <c r="AU80" s="5" t="str">
        <f t="array" ref="AU80">IFERROR(IF('T1'!$J80="",INDEX(LISTA_EX,45),INDEX(LISTA_EX,MATCH('T1'!$J80&amp;"|"&amp;45,LISTA_KLUCZ,0))),"")</f>
        <v>Dips</v>
      </c>
      <c r="AV80" s="5" t="str">
        <f t="array" ref="AV80">IFERROR(IF('T1'!$J80="",INDEX(LISTA_EX,46),INDEX(LISTA_EX,MATCH('T1'!$J80&amp;"|"&amp;46,LISTA_KLUCZ,0))),"")</f>
        <v>Dips weighted</v>
      </c>
      <c r="AW80" s="5" t="str">
        <f t="array" ref="AW80">IFERROR(IF('T1'!$J80="",INDEX(LISTA_EX,47),INDEX(LISTA_EX,MATCH('T1'!$J80&amp;"|"&amp;47,LISTA_KLUCZ,0))),"")</f>
        <v>Dumbbell bench press</v>
      </c>
      <c r="AX80" s="5" t="str">
        <f t="array" ref="AX80">IFERROR(IF('T1'!$J80="",INDEX(LISTA_EX,48),INDEX(LISTA_EX,MATCH('T1'!$J80&amp;"|"&amp;48,LISTA_KLUCZ,0))),"")</f>
        <v>Dumbbell bench press alternating</v>
      </c>
      <c r="AY80" s="5" t="str">
        <f t="array" ref="AY80">IFERROR(IF('T1'!$J80="",INDEX(LISTA_EX,49),INDEX(LISTA_EX,MATCH('T1'!$J80&amp;"|"&amp;49,LISTA_KLUCZ,0))),"")</f>
        <v>Dumbbell curl</v>
      </c>
      <c r="AZ80" s="5" t="str">
        <f t="array" ref="AZ80">IFERROR(IF('T1'!$J80="",INDEX(LISTA_EX,50),INDEX(LISTA_EX,MATCH('T1'!$J80&amp;"|"&amp;50,LISTA_KLUCZ,0))),"")</f>
        <v>Dumbbell external rotation</v>
      </c>
      <c r="BA80" s="5" t="str">
        <f t="array" ref="BA80">IFERROR(IF('T1'!$J80="",INDEX(LISTA_EX,51),INDEX(LISTA_EX,MATCH('T1'!$J80&amp;"|"&amp;51,LISTA_KLUCZ,0))),"")</f>
        <v>Dumbbell face down curl</v>
      </c>
      <c r="BB80" s="5" t="str">
        <f t="array" ref="BB80">IFERROR(IF('T1'!$J80="",INDEX(LISTA_EX,52),INDEX(LISTA_EX,MATCH('T1'!$J80&amp;"|"&amp;52,LISTA_KLUCZ,0))),"")</f>
        <v>Dumbbell fly</v>
      </c>
      <c r="BC80" s="5" t="str">
        <f t="array" ref="BC80">IFERROR(IF('T1'!$J80="",INDEX(LISTA_EX,53),INDEX(LISTA_EX,MATCH('T1'!$J80&amp;"|"&amp;53,LISTA_KLUCZ,0))),"")</f>
        <v>Dumbbell french press</v>
      </c>
      <c r="BD80" s="5" t="str">
        <f t="array" ref="BD80">IFERROR(IF('T1'!$J80="",INDEX(LISTA_EX,54),INDEX(LISTA_EX,MATCH('T1'!$J80&amp;"|"&amp;54,LISTA_KLUCZ,0))),"")</f>
        <v>Dumbbell lateral raise</v>
      </c>
      <c r="BE80" s="5" t="str">
        <f t="array" ref="BE80">IFERROR(IF('T1'!$J80="",INDEX(LISTA_EX,55),INDEX(LISTA_EX,MATCH('T1'!$J80&amp;"|"&amp;55,LISTA_KLUCZ,0))),"")</f>
        <v>Dumbbell lunges</v>
      </c>
      <c r="BF80" s="5" t="str">
        <f t="array" ref="BF80">IFERROR(IF('T1'!$J80="",INDEX(LISTA_EX,56),INDEX(LISTA_EX,MATCH('T1'!$J80&amp;"|"&amp;56,LISTA_KLUCZ,0))),"")</f>
        <v>Dumbbell OH press</v>
      </c>
      <c r="BG80" s="5" t="str">
        <f t="array" ref="BG80">IFERROR(IF('T1'!$J80="",INDEX(LISTA_EX,57),INDEX(LISTA_EX,MATCH('T1'!$J80&amp;"|"&amp;57,LISTA_KLUCZ,0))),"")</f>
        <v>Dumbbell over head press</v>
      </c>
      <c r="BH80" s="5" t="str">
        <f t="array" ref="BH80">IFERROR(IF('T1'!$J80="",INDEX(LISTA_EX,58),INDEX(LISTA_EX,MATCH('T1'!$J80&amp;"|"&amp;58,LISTA_KLUCZ,0))),"")</f>
        <v>Dumbbell over head press alternating</v>
      </c>
      <c r="BI80" s="5" t="str">
        <f t="array" ref="BI80">IFERROR(IF('T1'!$J80="",INDEX(LISTA_EX,59),INDEX(LISTA_EX,MATCH('T1'!$J80&amp;"|"&amp;59,LISTA_KLUCZ,0))),"")</f>
        <v>Dumbbell row</v>
      </c>
      <c r="BJ80" s="5" t="str">
        <f t="array" ref="BJ80">IFERROR(IF('T1'!$J80="",INDEX(LISTA_EX,60),INDEX(LISTA_EX,MATCH('T1'!$J80&amp;"|"&amp;60,LISTA_KLUCZ,0))),"")</f>
        <v>Dumbbell s/a Arnold press</v>
      </c>
      <c r="BK80" s="5" t="str">
        <f t="array" ref="BK80">IFERROR(IF('T1'!$J80="",INDEX(LISTA_EX,61),INDEX(LISTA_EX,MATCH('T1'!$J80&amp;"|"&amp;61,LISTA_KLUCZ,0))),"")</f>
        <v>Dumbbell s/a row</v>
      </c>
      <c r="BL80" s="5" t="str">
        <f t="array" ref="BL80">IFERROR(IF('T1'!$J80="",INDEX(LISTA_EX,62),INDEX(LISTA_EX,MATCH('T1'!$J80&amp;"|"&amp;62,LISTA_KLUCZ,0))),"")</f>
        <v>Dumbbell seal row</v>
      </c>
      <c r="BM80" s="5" t="str">
        <f t="array" ref="BM80">IFERROR(IF('T1'!$J80="",INDEX(LISTA_EX,63),INDEX(LISTA_EX,MATCH('T1'!$J80&amp;"|"&amp;63,LISTA_KLUCZ,0))),"")</f>
        <v>Dumbbells jumps</v>
      </c>
      <c r="BN80" s="5" t="str">
        <f t="array" ref="BN80">IFERROR(IF('T1'!$J80="",INDEX(LISTA_EX,64),INDEX(LISTA_EX,MATCH('T1'!$J80&amp;"|"&amp;64,LISTA_KLUCZ,0))),"")</f>
        <v>Eccentric pull up</v>
      </c>
      <c r="BO80" s="5" t="str">
        <f t="array" ref="BO80">IFERROR(IF('T1'!$J80="",INDEX(LISTA_EX,65),INDEX(LISTA_EX,MATCH('T1'!$J80&amp;"|"&amp;65,LISTA_KLUCZ,0))),"")</f>
        <v>Eccentric push up (5 sek w dół)</v>
      </c>
      <c r="BP80" s="5" t="str">
        <f t="array" ref="BP80">IFERROR(IF('T1'!$J80="",INDEX(LISTA_EX,66),INDEX(LISTA_EX,MATCH('T1'!$J80&amp;"|"&amp;66,LISTA_KLUCZ,0))),"")</f>
        <v>Extensive plyo jumps s/l</v>
      </c>
      <c r="BQ80" s="5" t="str">
        <f t="array" ref="BQ80">IFERROR(IF('T1'!$J80="",INDEX(LISTA_EX,67),INDEX(LISTA_EX,MATCH('T1'!$J80&amp;"|"&amp;67,LISTA_KLUCZ,0))),"")</f>
        <v>Ez bar curl</v>
      </c>
      <c r="BR80" s="5" t="str">
        <f t="array" ref="BR80">IFERROR(IF('T1'!$J80="",INDEX(LISTA_EX,68),INDEX(LISTA_EX,MATCH('T1'!$J80&amp;"|"&amp;68,LISTA_KLUCZ,0))),"")</f>
        <v>Facepull chest supported</v>
      </c>
      <c r="BS80" s="5" t="str">
        <f t="array" ref="BS80">IFERROR(IF('T1'!$J80="",INDEX(LISTA_EX,69),INDEX(LISTA_EX,MATCH('T1'!$J80&amp;"|"&amp;69,LISTA_KLUCZ,0))),"")</f>
        <v>Front foot elevated split squat</v>
      </c>
      <c r="BT80" s="5" t="str">
        <f t="array" ref="BT80">IFERROR(IF('T1'!$J80="",INDEX(LISTA_EX,70),INDEX(LISTA_EX,MATCH('T1'!$J80&amp;"|"&amp;70,LISTA_KLUCZ,0))),"")</f>
        <v>Front squat</v>
      </c>
      <c r="BU80" s="5" t="str">
        <f t="array" ref="BU80">IFERROR(IF('T1'!$J80="",INDEX(LISTA_EX,71),INDEX(LISTA_EX,MATCH('T1'!$J80&amp;"|"&amp;71,LISTA_KLUCZ,0))),"")</f>
        <v>GHD flexion</v>
      </c>
      <c r="BV80" s="5" t="str">
        <f t="array" ref="BV80">IFERROR(IF('T1'!$J80="",INDEX(LISTA_EX,72),INDEX(LISTA_EX,MATCH('T1'!$J80&amp;"|"&amp;72,LISTA_KLUCZ,0))),"")</f>
        <v>Glute bridge hamstrings izo + OH</v>
      </c>
      <c r="BW80" s="5" t="str">
        <f t="array" ref="BW80">IFERROR(IF('T1'!$J80="",INDEX(LISTA_EX,73),INDEX(LISTA_EX,MATCH('T1'!$J80&amp;"|"&amp;73,LISTA_KLUCZ,0))),"")</f>
        <v>Glute crusher</v>
      </c>
      <c r="BX80" s="5" t="str">
        <f t="array" ref="BX80">IFERROR(IF('T1'!$J80="",INDEX(LISTA_EX,74),INDEX(LISTA_EX,MATCH('T1'!$J80&amp;"|"&amp;74,LISTA_KLUCZ,0))),"")</f>
        <v>Gorilla row</v>
      </c>
      <c r="BY80" s="5" t="str">
        <f t="array" ref="BY80">IFERROR(IF('T1'!$J80="",INDEX(LISTA_EX,75),INDEX(LISTA_EX,MATCH('T1'!$J80&amp;"|"&amp;75,LISTA_KLUCZ,0))),"")</f>
        <v>Halfkneeling s/a cable pull</v>
      </c>
      <c r="BZ80" s="5" t="str">
        <f t="array" ref="BZ80">IFERROR(IF('T1'!$J80="",INDEX(LISTA_EX,76),INDEX(LISTA_EX,MATCH('T1'!$J80&amp;"|"&amp;76,LISTA_KLUCZ,0))),"")</f>
        <v>Halfkneeling wood chopper</v>
      </c>
      <c r="CA80" s="5" t="str">
        <f t="array" ref="CA80">IFERROR(IF('T1'!$J80="",INDEX(LISTA_EX,77),INDEX(LISTA_EX,MATCH('T1'!$J80&amp;"|"&amp;77,LISTA_KLUCZ,0))),"")</f>
        <v>Hinged dumbbell row</v>
      </c>
      <c r="CB80" s="5" t="str">
        <f t="array" ref="CB80">IFERROR(IF('T1'!$J80="",INDEX(LISTA_EX,78),INDEX(LISTA_EX,MATCH('T1'!$J80&amp;"|"&amp;78,LISTA_KLUCZ,0))),"")</f>
        <v>Hip aeroplane</v>
      </c>
      <c r="CC80" s="5" t="str">
        <f t="array" ref="CC80">IFERROR(IF('T1'!$J80="",INDEX(LISTA_EX,79),INDEX(LISTA_EX,MATCH('T1'!$J80&amp;"|"&amp;79,LISTA_KLUCZ,0))),"")</f>
        <v>Hip flexors cable</v>
      </c>
      <c r="CD80" s="5" t="str">
        <f t="array" ref="CD80">IFERROR(IF('T1'!$J80="",INDEX(LISTA_EX,80),INDEX(LISTA_EX,MATCH('T1'!$J80&amp;"|"&amp;80,LISTA_KLUCZ,0))),"")</f>
        <v>Hip thrust barbell</v>
      </c>
      <c r="CE80" s="5" t="str">
        <f t="array" ref="CE80">IFERROR(IF('T1'!$J80="",INDEX(LISTA_EX,81),INDEX(LISTA_EX,MATCH('T1'!$J80&amp;"|"&amp;81,LISTA_KLUCZ,0))),"")</f>
        <v>Hollow body + OH</v>
      </c>
      <c r="CF80" s="5" t="str">
        <f t="array" ref="CF80">IFERROR(IF('T1'!$J80="",INDEX(LISTA_EX,82),INDEX(LISTA_EX,MATCH('T1'!$J80&amp;"|"&amp;82,LISTA_KLUCZ,0))),"")</f>
        <v>Horizontal jump</v>
      </c>
      <c r="CG80" s="5" t="str">
        <f t="array" ref="CG80">IFERROR(IF('T1'!$J80="",INDEX(LISTA_EX,83),INDEX(LISTA_EX,MATCH('T1'!$J80&amp;"|"&amp;83,LISTA_KLUCZ,0))),"")</f>
        <v>Incline bench lateral raise s/a</v>
      </c>
      <c r="CH80" s="5" t="str">
        <f t="array" ref="CH80">IFERROR(IF('T1'!$J80="",INDEX(LISTA_EX,84),INDEX(LISTA_EX,MATCH('T1'!$J80&amp;"|"&amp;84,LISTA_KLUCZ,0))),"")</f>
        <v>Incline curl + OHP</v>
      </c>
      <c r="CI80" s="5" t="str">
        <f t="array" ref="CI80">IFERROR(IF('T1'!$J80="",INDEX(LISTA_EX,85),INDEX(LISTA_EX,MATCH('T1'!$J80&amp;"|"&amp;85,LISTA_KLUCZ,0))),"")</f>
        <v>Incline dumbbell curl</v>
      </c>
      <c r="CJ80" s="5" t="str">
        <f t="array" ref="CJ80">IFERROR(IF('T1'!$J80="",INDEX(LISTA_EX,86),INDEX(LISTA_EX,MATCH('T1'!$J80&amp;"|"&amp;86,LISTA_KLUCZ,0))),"")</f>
        <v>Incline dumbbell curl (back)</v>
      </c>
      <c r="CK80" s="5" t="str">
        <f t="array" ref="CK80">IFERROR(IF('T1'!$J80="",INDEX(LISTA_EX,87),INDEX(LISTA_EX,MATCH('T1'!$J80&amp;"|"&amp;87,LISTA_KLUCZ,0))),"")</f>
        <v>Incline dumbbell curl (front)</v>
      </c>
      <c r="CL80" s="5" t="str">
        <f t="array" ref="CL80">IFERROR(IF('T1'!$J80="",INDEX(LISTA_EX,88),INDEX(LISTA_EX,MATCH('T1'!$J80&amp;"|"&amp;88,LISTA_KLUCZ,0))),"")</f>
        <v>Incline dumbbell fly</v>
      </c>
      <c r="CM80" s="5" t="str">
        <f t="array" ref="CM80">IFERROR(IF('T1'!$J80="",INDEX(LISTA_EX,89),INDEX(LISTA_EX,MATCH('T1'!$J80&amp;"|"&amp;89,LISTA_KLUCZ,0))),"")</f>
        <v>Incline dumbbell press</v>
      </c>
      <c r="CN80" s="5" t="str">
        <f t="array" ref="CN80">IFERROR(IF('T1'!$J80="",INDEX(LISTA_EX,90),INDEX(LISTA_EX,MATCH('T1'!$J80&amp;"|"&amp;90,LISTA_KLUCZ,0))),"")</f>
        <v>Incline dumbbell press alternating</v>
      </c>
      <c r="CO80" s="5" t="str">
        <f t="array" ref="CO80">IFERROR(IF('T1'!$J80="",INDEX(LISTA_EX,91),INDEX(LISTA_EX,MATCH('T1'!$J80&amp;"|"&amp;91,LISTA_KLUCZ,0))),"")</f>
        <v>Incline sit-ups</v>
      </c>
      <c r="CP80" s="5" t="str">
        <f t="array" ref="CP80">IFERROR(IF('T1'!$J80="",INDEX(LISTA_EX,92),INDEX(LISTA_EX,MATCH('T1'!$J80&amp;"|"&amp;92,LISTA_KLUCZ,0))),"")</f>
        <v>Jefferson cable</v>
      </c>
      <c r="CQ80" s="5" t="str">
        <f t="array" ref="CQ80">IFERROR(IF('T1'!$J80="",INDEX(LISTA_EX,93),INDEX(LISTA_EX,MATCH('T1'!$J80&amp;"|"&amp;93,LISTA_KLUCZ,0))),"")</f>
        <v>Kettlebell march</v>
      </c>
      <c r="CR80" s="5" t="str">
        <f t="array" ref="CR80">IFERROR(IF('T1'!$J80="",INDEX(LISTA_EX,94),INDEX(LISTA_EX,MATCH('T1'!$J80&amp;"|"&amp;94,LISTA_KLUCZ,0))),"")</f>
        <v>Kickbacks</v>
      </c>
      <c r="CS80" s="5" t="str">
        <f t="array" ref="CS80">IFERROR(IF('T1'!$J80="",INDEX(LISTA_EX,95),INDEX(LISTA_EX,MATCH('T1'!$J80&amp;"|"&amp;95,LISTA_KLUCZ,0))),"")</f>
        <v>Knee extension machine</v>
      </c>
      <c r="CT80" s="5" t="str">
        <f t="array" ref="CT80">IFERROR(IF('T1'!$J80="",INDEX(LISTA_EX,96),INDEX(LISTA_EX,MATCH('T1'!$J80&amp;"|"&amp;96,LISTA_KLUCZ,0))),"")</f>
        <v>Knee flexion machine</v>
      </c>
      <c r="CU80" s="5" t="str">
        <f t="array" ref="CU80">IFERROR(IF('T1'!$J80="",INDEX(LISTA_EX,97),INDEX(LISTA_EX,MATCH('T1'!$J80&amp;"|"&amp;97,LISTA_KLUCZ,0))),"")</f>
        <v>Knee raises</v>
      </c>
      <c r="CV80" s="5" t="str">
        <f t="array" ref="CV80">IFERROR(IF('T1'!$J80="",INDEX(LISTA_EX,98),INDEX(LISTA_EX,MATCH('T1'!$J80&amp;"|"&amp;98,LISTA_KLUCZ,0))),"")</f>
        <v>Landmine core</v>
      </c>
      <c r="CW80" s="5" t="str">
        <f t="array" ref="CW80">IFERROR(IF('T1'!$J80="",INDEX(LISTA_EX,99),INDEX(LISTA_EX,MATCH('T1'!$J80&amp;"|"&amp;99,LISTA_KLUCZ,0))),"")</f>
        <v>Landmine press</v>
      </c>
      <c r="CX80" s="5" t="str">
        <f t="array" ref="CX80">IFERROR(IF('T1'!$J80="",INDEX(LISTA_EX,100),INDEX(LISTA_EX,MATCH('T1'!$J80&amp;"|"&amp;100,LISTA_KLUCZ,0))),"")</f>
        <v>Landmine rotations (powtórzenia x2)</v>
      </c>
      <c r="CY80" s="5" t="str">
        <f t="array" ref="CY80">IFERROR(IF('T1'!$J80="",INDEX(LISTA_EX,101),INDEX(LISTA_EX,MATCH('T1'!$J80&amp;"|"&amp;101,LISTA_KLUCZ,0))),"")</f>
        <v>Landmine SLDL</v>
      </c>
      <c r="CZ80" s="5" t="str">
        <f t="array" ref="CZ80">IFERROR(IF('T1'!$J80="",INDEX(LISTA_EX,102),INDEX(LISTA_EX,MATCH('T1'!$J80&amp;"|"&amp;102,LISTA_KLUCZ,0))),"")</f>
        <v>Lat pulldown</v>
      </c>
      <c r="DA80" s="5" t="str">
        <f t="array" ref="DA80">IFERROR(IF('T1'!$J80="",INDEX(LISTA_EX,103),INDEX(LISTA_EX,MATCH('T1'!$J80&amp;"|"&amp;103,LISTA_KLUCZ,0))),"")</f>
        <v>Lat pulldown behind the head</v>
      </c>
      <c r="DB80" s="5" t="str">
        <f t="array" ref="DB80">IFERROR(IF('T1'!$J80="",INDEX(LISTA_EX,104),INDEX(LISTA_EX,MATCH('T1'!$J80&amp;"|"&amp;104,LISTA_KLUCZ,0))),"")</f>
        <v>Lat pulldown s/a</v>
      </c>
      <c r="DC80" s="5" t="str">
        <f t="array" ref="DC80">IFERROR(IF('T1'!$J80="",INDEX(LISTA_EX,105),INDEX(LISTA_EX,MATCH('T1'!$J80&amp;"|"&amp;105,LISTA_KLUCZ,0))),"")</f>
        <v>Lateral raise s/a</v>
      </c>
      <c r="DD80" s="5" t="str">
        <f t="array" ref="DD80">IFERROR(IF('T1'!$J80="",INDEX(LISTA_EX,106),INDEX(LISTA_EX,MATCH('T1'!$J80&amp;"|"&amp;106,LISTA_KLUCZ,0))),"")</f>
        <v>Lateral raises</v>
      </c>
      <c r="DE80" s="5" t="str">
        <f t="array" ref="DE80">IFERROR(IF('T1'!$J80="",INDEX(LISTA_EX,107),INDEX(LISTA_EX,MATCH('T1'!$J80&amp;"|"&amp;107,LISTA_KLUCZ,0))),"")</f>
        <v>Lateral raises 2</v>
      </c>
      <c r="DF80" s="5" t="str">
        <f t="array" ref="DF80">IFERROR(IF('T1'!$J80="",INDEX(LISTA_EX,108),INDEX(LISTA_EX,MATCH('T1'!$J80&amp;"|"&amp;108,LISTA_KLUCZ,0))),"")</f>
        <v>Lateral raises full ROM</v>
      </c>
      <c r="DG80" s="5" t="str">
        <f t="array" ref="DG80">IFERROR(IF('T1'!$J80="",INDEX(LISTA_EX,109),INDEX(LISTA_EX,MATCH('T1'!$J80&amp;"|"&amp;109,LISTA_KLUCZ,0))),"")</f>
        <v>Lateral raises hinged</v>
      </c>
      <c r="DH80" s="5" t="str">
        <f t="array" ref="DH80">IFERROR(IF('T1'!$J80="",INDEX(LISTA_EX,110),INDEX(LISTA_EX,MATCH('T1'!$J80&amp;"|"&amp;110,LISTA_KLUCZ,0))),"")</f>
        <v>Lateral raises incline s/a</v>
      </c>
      <c r="DI80" s="5" t="str">
        <f t="array" ref="DI80">IFERROR(IF('T1'!$J80="",INDEX(LISTA_EX,111),INDEX(LISTA_EX,MATCH('T1'!$J80&amp;"|"&amp;111,LISTA_KLUCZ,0))),"")</f>
        <v>Leg curl</v>
      </c>
      <c r="DJ80" s="5" t="str">
        <f t="array" ref="DJ80">IFERROR(IF('T1'!$J80="",INDEX(LISTA_EX,112),INDEX(LISTA_EX,MATCH('T1'!$J80&amp;"|"&amp;112,LISTA_KLUCZ,0))),"")</f>
        <v>Machine row</v>
      </c>
      <c r="DK80" s="5" t="str">
        <f t="array" ref="DK80">IFERROR(IF('T1'!$J80="",INDEX(LISTA_EX,113),INDEX(LISTA_EX,MATCH('T1'!$J80&amp;"|"&amp;113,LISTA_KLUCZ,0))),"")</f>
        <v>Machine row s/a</v>
      </c>
      <c r="DL80" s="5" t="str">
        <f t="array" ref="DL80">IFERROR(IF('T1'!$J80="",INDEX(LISTA_EX,114),INDEX(LISTA_EX,MATCH('T1'!$J80&amp;"|"&amp;114,LISTA_KLUCZ,0))),"")</f>
        <v>Meadows row</v>
      </c>
      <c r="DM80" s="5" t="str">
        <f t="array" ref="DM80">IFERROR(IF('T1'!$J80="",INDEX(LISTA_EX,115),INDEX(LISTA_EX,MATCH('T1'!$J80&amp;"|"&amp;115,LISTA_KLUCZ,0))),"")</f>
        <v>Med ball slam</v>
      </c>
      <c r="DN80" s="5" t="str">
        <f t="array" ref="DN80">IFERROR(IF('T1'!$J80="",INDEX(LISTA_EX,116),INDEX(LISTA_EX,MATCH('T1'!$J80&amp;"|"&amp;116,LISTA_KLUCZ,0))),"")</f>
        <v>OH skullcrushers</v>
      </c>
      <c r="DO80" s="5" t="str">
        <f t="array" ref="DO80">IFERROR(IF('T1'!$J80="",INDEX(LISTA_EX,117),INDEX(LISTA_EX,MATCH('T1'!$J80&amp;"|"&amp;117,LISTA_KLUCZ,0))),"")</f>
        <v>OHP barbell squat 15kg</v>
      </c>
      <c r="DP80" s="5" t="str">
        <f t="array" ref="DP80">IFERROR(IF('T1'!$J80="",INDEX(LISTA_EX,118),INDEX(LISTA_EX,MATCH('T1'!$J80&amp;"|"&amp;118,LISTA_KLUCZ,0))),"")</f>
        <v>Pistol squat eccentric</v>
      </c>
      <c r="DQ80" s="5" t="str">
        <f t="array" ref="DQ80">IFERROR(IF('T1'!$J80="",INDEX(LISTA_EX,119),INDEX(LISTA_EX,MATCH('T1'!$J80&amp;"|"&amp;119,LISTA_KLUCZ,0))),"")</f>
        <v>Plank contralateral</v>
      </c>
      <c r="DR80" s="5" t="str">
        <f t="array" ref="DR80">IFERROR(IF('T1'!$J80="",INDEX(LISTA_EX,120),INDEX(LISTA_EX,MATCH('T1'!$J80&amp;"|"&amp;120,LISTA_KLUCZ,0))),"")</f>
        <v>Plank dumbbell rotation</v>
      </c>
      <c r="DS80" s="5" t="str">
        <f t="array" ref="DS80">IFERROR(IF('T1'!$J80="",INDEX(LISTA_EX,121),INDEX(LISTA_EX,MATCH('T1'!$J80&amp;"|"&amp;121,LISTA_KLUCZ,0))),"")</f>
        <v>Plank leg raises</v>
      </c>
      <c r="DT80" s="5" t="str">
        <f t="array" ref="DT80">IFERROR(IF('T1'!$J80="",INDEX(LISTA_EX,122),INDEX(LISTA_EX,MATCH('T1'!$J80&amp;"|"&amp;122,LISTA_KLUCZ,0))),"")</f>
        <v>Poliquin step up</v>
      </c>
      <c r="DU80" s="5" t="str">
        <f t="array" ref="DU80">IFERROR(IF('T1'!$J80="",INDEX(LISTA_EX,123),INDEX(LISTA_EX,MATCH('T1'!$J80&amp;"|"&amp;123,LISTA_KLUCZ,0))),"")</f>
        <v>Poliquin step up paused 3sec</v>
      </c>
      <c r="DV80" s="5" t="str">
        <f t="array" ref="DV80">IFERROR(IF('T1'!$J80="",INDEX(LISTA_EX,124),INDEX(LISTA_EX,MATCH('T1'!$J80&amp;"|"&amp;124,LISTA_KLUCZ,0))),"")</f>
        <v>Pronation/Supination</v>
      </c>
      <c r="DW80" s="5" t="str">
        <f t="array" ref="DW80">IFERROR(IF('T1'!$J80="",INDEX(LISTA_EX,125),INDEX(LISTA_EX,MATCH('T1'!$J80&amp;"|"&amp;125,LISTA_KLUCZ,0))),"")</f>
        <v>Pull up</v>
      </c>
      <c r="DX80" s="5" t="str">
        <f t="array" ref="DX80">IFERROR(IF('T1'!$J80="",INDEX(LISTA_EX,126),INDEX(LISTA_EX,MATCH('T1'!$J80&amp;"|"&amp;126,LISTA_KLUCZ,0))),"")</f>
        <v>Pull up eccentric weighted</v>
      </c>
      <c r="DY80" s="5" t="str">
        <f t="array" ref="DY80">IFERROR(IF('T1'!$J80="",INDEX(LISTA_EX,127),INDEX(LISTA_EX,MATCH('T1'!$J80&amp;"|"&amp;127,LISTA_KLUCZ,0))),"")</f>
        <v>Pull up eccentric weighted (5 sek w dół)</v>
      </c>
      <c r="DZ80" s="5" t="str">
        <f t="array" ref="DZ80">IFERROR(IF('T1'!$J80="",INDEX(LISTA_EX,128),INDEX(LISTA_EX,MATCH('T1'!$J80&amp;"|"&amp;128,LISTA_KLUCZ,0))),"")</f>
        <v>Pull up weighted</v>
      </c>
      <c r="EA80" s="5" t="str">
        <f t="array" ref="EA80">IFERROR(IF('T1'!$J80="",INDEX(LISTA_EX,129),INDEX(LISTA_EX,MATCH('T1'!$J80&amp;"|"&amp;129,LISTA_KLUCZ,0))),"")</f>
        <v>Pull ups (paused)</v>
      </c>
      <c r="EB80" s="5" t="str">
        <f t="array" ref="EB80">IFERROR(IF('T1'!$J80="",INDEX(LISTA_EX,130),INDEX(LISTA_EX,MATCH('T1'!$J80&amp;"|"&amp;130,LISTA_KLUCZ,0))),"")</f>
        <v>Push press barbell</v>
      </c>
      <c r="EC80" s="5" t="str">
        <f t="array" ref="EC80">IFERROR(IF('T1'!$J80="",INDEX(LISTA_EX,131),INDEX(LISTA_EX,MATCH('T1'!$J80&amp;"|"&amp;131,LISTA_KLUCZ,0))),"")</f>
        <v>Push up</v>
      </c>
      <c r="ED80" s="5" t="str">
        <f t="array" ref="ED80">IFERROR(IF('T1'!$J80="",INDEX(LISTA_EX,132),INDEX(LISTA_EX,MATCH('T1'!$J80&amp;"|"&amp;132,LISTA_KLUCZ,0))),"")</f>
        <v>Raised bird dog</v>
      </c>
      <c r="EE80" s="5" t="str">
        <f t="array" ref="EE80">IFERROR(IF('T1'!$J80="",INDEX(LISTA_EX,133),INDEX(LISTA_EX,MATCH('T1'!$J80&amp;"|"&amp;133,LISTA_KLUCZ,0))),"")</f>
        <v>RDL</v>
      </c>
      <c r="EF80" s="5" t="str">
        <f t="array" ref="EF80">IFERROR(IF('T1'!$J80="",INDEX(LISTA_EX,134),INDEX(LISTA_EX,MATCH('T1'!$J80&amp;"|"&amp;134,LISTA_KLUCZ,0))),"")</f>
        <v>Reverse Nordic</v>
      </c>
      <c r="EG80" s="5" t="str">
        <f t="array" ref="EG80">IFERROR(IF('T1'!$J80="",INDEX(LISTA_EX,135),INDEX(LISTA_EX,MATCH('T1'!$J80&amp;"|"&amp;135,LISTA_KLUCZ,0))),"")</f>
        <v>Rope pushdown</v>
      </c>
      <c r="EH80" s="5" t="str">
        <f t="array" ref="EH80">IFERROR(IF('T1'!$J80="",INDEX(LISTA_EX,136),INDEX(LISTA_EX,MATCH('T1'!$J80&amp;"|"&amp;136,LISTA_KLUCZ,0))),"")</f>
        <v>Rope pushdown OH</v>
      </c>
      <c r="EI80" s="5" t="str">
        <f t="array" ref="EI80">IFERROR(IF('T1'!$J80="",INDEX(LISTA_EX,137),INDEX(LISTA_EX,MATCH('T1'!$J80&amp;"|"&amp;137,LISTA_KLUCZ,0))),"")</f>
        <v>S/a cable pulldown incline bench</v>
      </c>
      <c r="EJ80" s="5" t="str">
        <f t="array" ref="EJ80">IFERROR(IF('T1'!$J80="",INDEX(LISTA_EX,138),INDEX(LISTA_EX,MATCH('T1'!$J80&amp;"|"&amp;138,LISTA_KLUCZ,0))),"")</f>
        <v>S/a lat pulldown incline bench</v>
      </c>
      <c r="EK80" s="5" t="str">
        <f t="array" ref="EK80">IFERROR(IF('T1'!$J80="",INDEX(LISTA_EX,139),INDEX(LISTA_EX,MATCH('T1'!$J80&amp;"|"&amp;139,LISTA_KLUCZ,0))),"")</f>
        <v>S/l dragonflag eccentric</v>
      </c>
      <c r="EL80" s="5" t="str">
        <f t="array" ref="EL80">IFERROR(IF('T1'!$J80="",INDEX(LISTA_EX,140),INDEX(LISTA_EX,MATCH('T1'!$J80&amp;"|"&amp;140,LISTA_KLUCZ,0))),"")</f>
        <v>S/l hip thrust</v>
      </c>
      <c r="EM80" s="5" t="str">
        <f t="array" ref="EM80">IFERROR(IF('T1'!$J80="",INDEX(LISTA_EX,141),INDEX(LISTA_EX,MATCH('T1'!$J80&amp;"|"&amp;141,LISTA_KLUCZ,0))),"")</f>
        <v>Seated broad jump</v>
      </c>
      <c r="EN80" s="5" t="str">
        <f t="array" ref="EN80">IFERROR(IF('T1'!$J80="",INDEX(LISTA_EX,142),INDEX(LISTA_EX,MATCH('T1'!$J80&amp;"|"&amp;142,LISTA_KLUCZ,0))),"")</f>
        <v>Seated cable facepull</v>
      </c>
      <c r="EO80" s="5" t="str">
        <f t="array" ref="EO80">IFERROR(IF('T1'!$J80="",INDEX(LISTA_EX,143),INDEX(LISTA_EX,MATCH('T1'!$J80&amp;"|"&amp;143,LISTA_KLUCZ,0))),"")</f>
        <v>Seated seesaw press (nogi proste)</v>
      </c>
      <c r="EP80" s="5" t="str">
        <f t="array" ref="EP80">IFERROR(IF('T1'!$J80="",INDEX(LISTA_EX,144),INDEX(LISTA_EX,MATCH('T1'!$J80&amp;"|"&amp;144,LISTA_KLUCZ,0))),"")</f>
        <v>Seesaw press</v>
      </c>
      <c r="EQ80" s="5" t="str">
        <f t="array" ref="EQ80">IFERROR(IF('T1'!$J80="",INDEX(LISTA_EX,145),INDEX(LISTA_EX,MATCH('T1'!$J80&amp;"|"&amp;145,LISTA_KLUCZ,0))),"")</f>
        <v>Side crunches</v>
      </c>
      <c r="ER80" s="5" t="str">
        <f t="array" ref="ER80">IFERROR(IF('T1'!$J80="",INDEX(LISTA_EX,146),INDEX(LISTA_EX,MATCH('T1'!$J80&amp;"|"&amp;146,LISTA_KLUCZ,0))),"")</f>
        <v>Side plank hip drop</v>
      </c>
      <c r="ES80" s="5" t="str">
        <f t="array" ref="ES80">IFERROR(IF('T1'!$J80="",INDEX(LISTA_EX,147),INDEX(LISTA_EX,MATCH('T1'!$J80&amp;"|"&amp;147,LISTA_KLUCZ,0))),"")</f>
        <v>Side plank rotations</v>
      </c>
      <c r="ET80" s="5" t="str">
        <f t="array" ref="ET80">IFERROR(IF('T1'!$J80="",INDEX(LISTA_EX,148),INDEX(LISTA_EX,MATCH('T1'!$J80&amp;"|"&amp;148,LISTA_KLUCZ,0))),"")</f>
        <v>SLDL balance</v>
      </c>
      <c r="EU80" s="5" t="str">
        <f t="array" ref="EU80">IFERROR(IF('T1'!$J80="",INDEX(LISTA_EX,149),INDEX(LISTA_EX,MATCH('T1'!$J80&amp;"|"&amp;149,LISTA_KLUCZ,0))),"")</f>
        <v>Split squat</v>
      </c>
      <c r="EV80" s="5" t="str">
        <f t="array" ref="EV80">IFERROR(IF('T1'!$J80="",INDEX(LISTA_EX,150),INDEX(LISTA_EX,MATCH('T1'!$J80&amp;"|"&amp;150,LISTA_KLUCZ,0))),"")</f>
        <v>Split stance SLDL</v>
      </c>
      <c r="EW80" s="5" t="str">
        <f t="array" ref="EW80">IFERROR(IF('T1'!$J80="",INDEX(LISTA_EX,151),INDEX(LISTA_EX,MATCH('T1'!$J80&amp;"|"&amp;151,LISTA_KLUCZ,0))),"")</f>
        <v>Squat izo (15 sek)</v>
      </c>
      <c r="EX80" s="5" t="str">
        <f t="array" ref="EX80">IFERROR(IF('T1'!$J80="",INDEX(LISTA_EX,152),INDEX(LISTA_EX,MATCH('T1'!$J80&amp;"|"&amp;152,LISTA_KLUCZ,0))),"")</f>
        <v>Standing landmine press</v>
      </c>
      <c r="EY80" s="5" t="str">
        <f t="array" ref="EY80">IFERROR(IF('T1'!$J80="",INDEX(LISTA_EX,153),INDEX(LISTA_EX,MATCH('T1'!$J80&amp;"|"&amp;153,LISTA_KLUCZ,0))),"")</f>
        <v>Suitcase carry</v>
      </c>
      <c r="EZ80" s="5" t="str">
        <f t="array" ref="EZ80">IFERROR(IF('T1'!$J80="",INDEX(LISTA_EX,154),INDEX(LISTA_EX,MATCH('T1'!$J80&amp;"|"&amp;154,LISTA_KLUCZ,0))),"")</f>
        <v>Supine pigeon abs</v>
      </c>
      <c r="FA80" s="5" t="str">
        <f t="array" ref="FA80">IFERROR(IF('T1'!$J80="",INDEX(LISTA_EX,155),INDEX(LISTA_EX,MATCH('T1'!$J80&amp;"|"&amp;155,LISTA_KLUCZ,0))),"")</f>
        <v>Swiss ball leg curl</v>
      </c>
      <c r="FB80" s="5" t="str">
        <f t="array" ref="FB80">IFERROR(IF('T1'!$J80="",INDEX(LISTA_EX,156),INDEX(LISTA_EX,MATCH('T1'!$J80&amp;"|"&amp;156,LISTA_KLUCZ,0))),"")</f>
        <v>Toes to bar</v>
      </c>
      <c r="FC80" s="5" t="str">
        <f t="array" ref="FC80">IFERROR(IF('T1'!$J80="",INDEX(LISTA_EX,157),INDEX(LISTA_EX,MATCH('T1'!$J80&amp;"|"&amp;157,LISTA_KLUCZ,0))),"")</f>
        <v>Trap bar deadlift</v>
      </c>
      <c r="FD80" s="5" t="str">
        <f t="array" ref="FD80">IFERROR(IF('T1'!$J80="",INDEX(LISTA_EX,158),INDEX(LISTA_EX,MATCH('T1'!$J80&amp;"|"&amp;158,LISTA_KLUCZ,0))),"")</f>
        <v>Tricep cable pushdown</v>
      </c>
      <c r="FE80" s="5" t="str">
        <f t="array" ref="FE80">IFERROR(IF('T1'!$J80="",INDEX(LISTA_EX,159),INDEX(LISTA_EX,MATCH('T1'!$J80&amp;"|"&amp;159,LISTA_KLUCZ,0))),"")</f>
        <v>Tricep JM press</v>
      </c>
      <c r="FF80" s="5" t="str">
        <f t="array" ref="FF80">IFERROR(IF('T1'!$J80="",INDEX(LISTA_EX,160),INDEX(LISTA_EX,MATCH('T1'!$J80&amp;"|"&amp;160,LISTA_KLUCZ,0))),"")</f>
        <v>Tricep OH cable</v>
      </c>
      <c r="FG80" s="5" t="str">
        <f t="array" ref="FG80">IFERROR(IF('T1'!$J80="",INDEX(LISTA_EX,161),INDEX(LISTA_EX,MATCH('T1'!$J80&amp;"|"&amp;161,LISTA_KLUCZ,0))),"")</f>
        <v>Tricep OH ez bar</v>
      </c>
      <c r="FH80" s="5" t="str">
        <f t="array" ref="FH80">IFERROR(IF('T1'!$J80="",INDEX(LISTA_EX,162),INDEX(LISTA_EX,MATCH('T1'!$J80&amp;"|"&amp;162,LISTA_KLUCZ,0))),"")</f>
        <v>Walking lunges</v>
      </c>
      <c r="FI80" s="5" t="str">
        <f t="array" ref="FI80">IFERROR(IF('T1'!$J80="",INDEX(LISTA_EX,163),INDEX(LISTA_EX,MATCH('T1'!$J80&amp;"|"&amp;163,LISTA_KLUCZ,0))),"")</f>
        <v>Wipers kettle</v>
      </c>
      <c r="FJ80" s="5" t="str">
        <f t="array" ref="FJ80">IFERROR(IF('T1'!$J80="",INDEX(LISTA_EX,164),INDEX(LISTA_EX,MATCH('T1'!$J80&amp;"|"&amp;164,LISTA_KLUCZ,0))),"")</f>
        <v>Zercher jumps</v>
      </c>
      <c r="FK80" s="5" t="str">
        <f t="array" ref="FK80">IFERROR(IF('T1'!$J80="",INDEX(LISTA_EX,165),INDEX(LISTA_EX,MATCH('T1'!$J80&amp;"|"&amp;165,LISTA_KLUCZ,0))),"")</f>
        <v/>
      </c>
      <c r="FL80" s="5" t="str">
        <f t="array" ref="FL80">IFERROR(IF('T1'!$J80="",INDEX(LISTA_EX,166),INDEX(LISTA_EX,MATCH('T1'!$J80&amp;"|"&amp;166,LISTA_KLUCZ,0))),"")</f>
        <v/>
      </c>
      <c r="FM80" s="5" t="str">
        <f t="array" ref="FM80">IFERROR(IF('T1'!$J80="",INDEX(LISTA_EX,167),INDEX(LISTA_EX,MATCH('T1'!$J80&amp;"|"&amp;167,LISTA_KLUCZ,0))),"")</f>
        <v/>
      </c>
      <c r="FN80" s="5" t="str">
        <f t="array" ref="FN80">IFERROR(IF('T1'!$J80="",INDEX(LISTA_EX,168),INDEX(LISTA_EX,MATCH('T1'!$J80&amp;"|"&amp;168,LISTA_KLUCZ,0))),"")</f>
        <v/>
      </c>
      <c r="FO80" s="5" t="str">
        <f t="array" ref="FO80">IFERROR(IF('T1'!$J80="",INDEX(LISTA_EX,169),INDEX(LISTA_EX,MATCH('T1'!$J80&amp;"|"&amp;169,LISTA_KLUCZ,0))),"")</f>
        <v/>
      </c>
      <c r="FP80" s="5" t="str">
        <f t="array" ref="FP80">IFERROR(IF('T1'!$J80="",INDEX(LISTA_EX,170),INDEX(LISTA_EX,MATCH('T1'!$J80&amp;"|"&amp;170,LISTA_KLUCZ,0))),"")</f>
        <v/>
      </c>
      <c r="FQ80" s="5" t="str">
        <f t="array" ref="FQ80">IFERROR(IF('T1'!$J80="",INDEX(LISTA_EX,171),INDEX(LISTA_EX,MATCH('T1'!$J80&amp;"|"&amp;171,LISTA_KLUCZ,0))),"")</f>
        <v/>
      </c>
      <c r="FR80" s="5" t="str">
        <f t="array" ref="FR80">IFERROR(IF('T1'!$J80="",INDEX(LISTA_EX,172),INDEX(LISTA_EX,MATCH('T1'!$J80&amp;"|"&amp;172,LISTA_KLUCZ,0))),"")</f>
        <v/>
      </c>
      <c r="FS80" s="5" t="str">
        <f t="array" ref="FS80">IFERROR(IF('T1'!$J80="",INDEX(LISTA_EX,173),INDEX(LISTA_EX,MATCH('T1'!$J80&amp;"|"&amp;173,LISTA_KLUCZ,0))),"")</f>
        <v/>
      </c>
      <c r="FT80" s="5" t="str">
        <f t="array" ref="FT80">IFERROR(IF('T1'!$J80="",INDEX(LISTA_EX,174),INDEX(LISTA_EX,MATCH('T1'!$J80&amp;"|"&amp;174,LISTA_KLUCZ,0))),"")</f>
        <v/>
      </c>
      <c r="FU80" s="5" t="str">
        <f t="array" ref="FU80">IFERROR(IF('T1'!$J80="",INDEX(LISTA_EX,175),INDEX(LISTA_EX,MATCH('T1'!$J80&amp;"|"&amp;175,LISTA_KLUCZ,0))),"")</f>
        <v/>
      </c>
      <c r="FV80" s="5" t="str">
        <f t="array" ref="FV80">IFERROR(IF('T1'!$J80="",INDEX(LISTA_EX,176),INDEX(LISTA_EX,MATCH('T1'!$J80&amp;"|"&amp;176,LISTA_KLUCZ,0))),"")</f>
        <v/>
      </c>
      <c r="FW80" s="5" t="str">
        <f t="array" ref="FW80">IFERROR(IF('T1'!$J80="",INDEX(LISTA_EX,177),INDEX(LISTA_EX,MATCH('T1'!$J80&amp;"|"&amp;177,LISTA_KLUCZ,0))),"")</f>
        <v/>
      </c>
      <c r="FX80" s="5" t="str">
        <f t="array" ref="FX80">IFERROR(IF('T1'!$J80="",INDEX(LISTA_EX,178),INDEX(LISTA_EX,MATCH('T1'!$J80&amp;"|"&amp;178,LISTA_KLUCZ,0))),"")</f>
        <v/>
      </c>
      <c r="FY80" s="5" t="str">
        <f t="array" ref="FY80">IFERROR(IF('T1'!$J80="",INDEX(LISTA_EX,179),INDEX(LISTA_EX,MATCH('T1'!$J80&amp;"|"&amp;179,LISTA_KLUCZ,0))),"")</f>
        <v/>
      </c>
      <c r="FZ80" s="5" t="str">
        <f t="array" ref="FZ80">IFERROR(IF('T1'!$J80="",INDEX(LISTA_EX,180),INDEX(LISTA_EX,MATCH('T1'!$J80&amp;"|"&amp;180,LISTA_KLUCZ,0))),"")</f>
        <v/>
      </c>
      <c r="GA80" s="5" t="str">
        <f t="array" ref="GA80">IFERROR(IF('T1'!$J80="",INDEX(LISTA_EX,181),INDEX(LISTA_EX,MATCH('T1'!$J80&amp;"|"&amp;181,LISTA_KLUCZ,0))),"")</f>
        <v/>
      </c>
      <c r="GB80" s="5" t="str">
        <f t="array" ref="GB80">IFERROR(IF('T1'!$J80="",INDEX(LISTA_EX,182),INDEX(LISTA_EX,MATCH('T1'!$J80&amp;"|"&amp;182,LISTA_KLUCZ,0))),"")</f>
        <v/>
      </c>
      <c r="GC80" s="5" t="str">
        <f t="array" ref="GC80">IFERROR(IF('T1'!$J80="",INDEX(LISTA_EX,183),INDEX(LISTA_EX,MATCH('T1'!$J80&amp;"|"&amp;183,LISTA_KLUCZ,0))),"")</f>
        <v/>
      </c>
      <c r="GD80" s="5" t="str">
        <f t="array" ref="GD80">IFERROR(IF('T1'!$J80="",INDEX(LISTA_EX,184),INDEX(LISTA_EX,MATCH('T1'!$J80&amp;"|"&amp;184,LISTA_KLUCZ,0))),"")</f>
        <v/>
      </c>
      <c r="GE80" s="5" t="str">
        <f t="array" ref="GE80">IFERROR(IF('T1'!$J80="",INDEX(LISTA_EX,185),INDEX(LISTA_EX,MATCH('T1'!$J80&amp;"|"&amp;185,LISTA_KLUCZ,0))),"")</f>
        <v/>
      </c>
      <c r="GF80" s="5" t="str">
        <f t="array" ref="GF80">IFERROR(IF('T1'!$J80="",INDEX(LISTA_EX,186),INDEX(LISTA_EX,MATCH('T1'!$J80&amp;"|"&amp;186,LISTA_KLUCZ,0))),"")</f>
        <v/>
      </c>
      <c r="GG80" s="5" t="str">
        <f t="array" ref="GG80">IFERROR(IF('T1'!$J80="",INDEX(LISTA_EX,187),INDEX(LISTA_EX,MATCH('T1'!$J80&amp;"|"&amp;187,LISTA_KLUCZ,0))),"")</f>
        <v/>
      </c>
      <c r="GH80" s="5" t="str">
        <f t="array" ref="GH80">IFERROR(IF('T1'!$J80="",INDEX(LISTA_EX,188),INDEX(LISTA_EX,MATCH('T1'!$J80&amp;"|"&amp;188,LISTA_KLUCZ,0))),"")</f>
        <v/>
      </c>
      <c r="GI80" s="5" t="str">
        <f t="array" ref="GI80">IFERROR(IF('T1'!$J80="",INDEX(LISTA_EX,189),INDEX(LISTA_EX,MATCH('T1'!$J80&amp;"|"&amp;189,LISTA_KLUCZ,0))),"")</f>
        <v/>
      </c>
      <c r="GJ80" s="5" t="str">
        <f t="array" ref="GJ80">IFERROR(IF('T1'!$J80="",INDEX(LISTA_EX,190),INDEX(LISTA_EX,MATCH('T1'!$J80&amp;"|"&amp;190,LISTA_KLUCZ,0))),"")</f>
        <v/>
      </c>
      <c r="GK80" s="5" t="str">
        <f t="array" ref="GK80">IFERROR(IF('T1'!$J80="",INDEX(LISTA_EX,191),INDEX(LISTA_EX,MATCH('T1'!$J80&amp;"|"&amp;191,LISTA_KLUCZ,0))),"")</f>
        <v/>
      </c>
      <c r="GL80" s="5" t="str">
        <f t="array" ref="GL80">IFERROR(IF('T1'!$J80="",INDEX(LISTA_EX,192),INDEX(LISTA_EX,MATCH('T1'!$J80&amp;"|"&amp;192,LISTA_KLUCZ,0))),"")</f>
        <v/>
      </c>
      <c r="GM80" s="5" t="str">
        <f t="array" ref="GM80">IFERROR(IF('T1'!$J80="",INDEX(LISTA_EX,193),INDEX(LISTA_EX,MATCH('T1'!$J80&amp;"|"&amp;193,LISTA_KLUCZ,0))),"")</f>
        <v/>
      </c>
      <c r="GN80" s="5" t="str">
        <f t="array" ref="GN80">IFERROR(IF('T1'!$J80="",INDEX(LISTA_EX,194),INDEX(LISTA_EX,MATCH('T1'!$J80&amp;"|"&amp;194,LISTA_KLUCZ,0))),"")</f>
        <v/>
      </c>
      <c r="GO80" s="5" t="str">
        <f t="array" ref="GO80">IFERROR(IF('T1'!$J80="",INDEX(LISTA_EX,195),INDEX(LISTA_EX,MATCH('T1'!$J80&amp;"|"&amp;195,LISTA_KLUCZ,0))),"")</f>
        <v/>
      </c>
      <c r="GP80" s="5" t="str">
        <f t="array" ref="GP80">IFERROR(IF('T1'!$J80="",INDEX(LISTA_EX,196),INDEX(LISTA_EX,MATCH('T1'!$J80&amp;"|"&amp;196,LISTA_KLUCZ,0))),"")</f>
        <v/>
      </c>
      <c r="GQ80" s="5" t="str">
        <f t="array" ref="GQ80">IFERROR(IF('T1'!$J80="",INDEX(LISTA_EX,197),INDEX(LISTA_EX,MATCH('T1'!$J80&amp;"|"&amp;197,LISTA_KLUCZ,0))),"")</f>
        <v/>
      </c>
      <c r="GR80" s="5" t="str">
        <f t="array" ref="GR80">IFERROR(IF('T1'!$J80="",INDEX(LISTA_EX,198),INDEX(LISTA_EX,MATCH('T1'!$J80&amp;"|"&amp;198,LISTA_KLUCZ,0))),"")</f>
        <v/>
      </c>
      <c r="GS80" s="5" t="str">
        <f t="array" ref="GS80">IFERROR(IF('T1'!$J80="",INDEX(LISTA_EX,199),INDEX(LISTA_EX,MATCH('T1'!$J80&amp;"|"&amp;199,LISTA_KLUCZ,0))),"")</f>
        <v/>
      </c>
      <c r="GT80" s="5" t="str">
        <f t="array" ref="GT80">IFERROR(IF('T1'!$J80="",INDEX(LISTA_EX,200),INDEX(LISTA_EX,MATCH('T1'!$J80&amp;"|"&amp;200,LISTA_KLUCZ,0))),"")</f>
        <v/>
      </c>
      <c r="GV80" s="5" t="str">
        <f>IF(BAZA!$A80="","",BAZA!$A80)</f>
        <v>Hip aeroplane</v>
      </c>
      <c r="GW80" s="5" t="str">
        <f>IF(BAZA!$B80="","",BAZA!$B80&amp;"|"&amp;COUNTIF(BAZA!$B$3:$B80,BAZA!$B80))</f>
        <v>Lower pull|10</v>
      </c>
    </row>
    <row r="81" ht="15.0" customHeight="1">
      <c r="A81" s="5" t="str">
        <f>IF('T1'!$K81="","",'T1'!$K81)</f>
        <v>D5-S11</v>
      </c>
      <c r="B81" s="5" t="str">
        <f>IF('T1'!$J81="","(wszystkie)",'T1'!$J81)</f>
        <v>(wszystkie)</v>
      </c>
      <c r="C81" s="5" t="str">
        <f t="array" ref="C81">IFERROR(IF('T1'!$J81="",INDEX(LISTA_EX,1),INDEX(LISTA_EX,MATCH('T1'!$J81&amp;"|"&amp;1,LISTA_KLUCZ,0))),"")</f>
        <v>Abduction machine</v>
      </c>
      <c r="D81" s="5" t="str">
        <f t="array" ref="D81">IFERROR(IF('T1'!$J81="",INDEX(LISTA_EX,2),INDEX(LISTA_EX,MATCH('T1'!$J81&amp;"|"&amp;2,LISTA_KLUCZ,0))),"")</f>
        <v>Adduction machine</v>
      </c>
      <c r="E81" s="5" t="str">
        <f t="array" ref="E81">IFERROR(IF('T1'!$J81="",INDEX(LISTA_EX,3),INDEX(LISTA_EX,MATCH('T1'!$J81&amp;"|"&amp;3,LISTA_KLUCZ,0))),"")</f>
        <v>Allah</v>
      </c>
      <c r="F81" s="5" t="str">
        <f t="array" ref="F81">IFERROR(IF('T1'!$J81="",INDEX(LISTA_EX,4),INDEX(LISTA_EX,MATCH('T1'!$J81&amp;"|"&amp;4,LISTA_KLUCZ,0))),"")</f>
        <v>Arnold press</v>
      </c>
      <c r="G81" s="5" t="str">
        <f t="array" ref="G81">IFERROR(IF('T1'!$J81="",INDEX(LISTA_EX,5),INDEX(LISTA_EX,MATCH('T1'!$J81&amp;"|"&amp;5,LISTA_KLUCZ,0))),"")</f>
        <v>Arnold press alternating</v>
      </c>
      <c r="H81" s="5" t="str">
        <f t="array" ref="H81">IFERROR(IF('T1'!$J81="",INDEX(LISTA_EX,6),INDEX(LISTA_EX,MATCH('T1'!$J81&amp;"|"&amp;6,LISTA_KLUCZ,0))),"")</f>
        <v>B/l dragonflag eccentric</v>
      </c>
      <c r="I81" s="5" t="str">
        <f t="array" ref="I81">IFERROR(IF('T1'!$J81="",INDEX(LISTA_EX,7),INDEX(LISTA_EX,MATCH('T1'!$J81&amp;"|"&amp;7,LISTA_KLUCZ,0))),"")</f>
        <v>Back extension</v>
      </c>
      <c r="J81" s="5" t="str">
        <f t="array" ref="J81">IFERROR(IF('T1'!$J81="",INDEX(LISTA_EX,8),INDEX(LISTA_EX,MATCH('T1'!$J81&amp;"|"&amp;8,LISTA_KLUCZ,0))),"")</f>
        <v>Banded pistol squat</v>
      </c>
      <c r="K81" s="5" t="str">
        <f t="array" ref="K81">IFERROR(IF('T1'!$J81="",INDEX(LISTA_EX,9),INDEX(LISTA_EX,MATCH('T1'!$J81&amp;"|"&amp;9,LISTA_KLUCZ,0))),"")</f>
        <v>Banded pull ups</v>
      </c>
      <c r="L81" s="5" t="str">
        <f t="array" ref="L81">IFERROR(IF('T1'!$J81="",INDEX(LISTA_EX,10),INDEX(LISTA_EX,MATCH('T1'!$J81&amp;"|"&amp;10,LISTA_KLUCZ,0))),"")</f>
        <v>Barbell back squat</v>
      </c>
      <c r="M81" s="5" t="str">
        <f t="array" ref="M81">IFERROR(IF('T1'!$J81="",INDEX(LISTA_EX,11),INDEX(LISTA_EX,MATCH('T1'!$J81&amp;"|"&amp;11,LISTA_KLUCZ,0))),"")</f>
        <v>Barbell bench press</v>
      </c>
      <c r="N81" s="5" t="str">
        <f t="array" ref="N81">IFERROR(IF('T1'!$J81="",INDEX(LISTA_EX,12),INDEX(LISTA_EX,MATCH('T1'!$J81&amp;"|"&amp;12,LISTA_KLUCZ,0))),"")</f>
        <v>Barbell curl</v>
      </c>
      <c r="O81" s="5" t="str">
        <f t="array" ref="O81">IFERROR(IF('T1'!$J81="",INDEX(LISTA_EX,13),INDEX(LISTA_EX,MATCH('T1'!$J81&amp;"|"&amp;13,LISTA_KLUCZ,0))),"")</f>
        <v>Barbell low bar squat</v>
      </c>
      <c r="P81" s="5" t="str">
        <f t="array" ref="P81">IFERROR(IF('T1'!$J81="",INDEX(LISTA_EX,14),INDEX(LISTA_EX,MATCH('T1'!$J81&amp;"|"&amp;14,LISTA_KLUCZ,0))),"")</f>
        <v>Barbell OHP</v>
      </c>
      <c r="Q81" s="5" t="str">
        <f t="array" ref="Q81">IFERROR(IF('T1'!$J81="",INDEX(LISTA_EX,15),INDEX(LISTA_EX,MATCH('T1'!$J81&amp;"|"&amp;15,LISTA_KLUCZ,0))),"")</f>
        <v>Barbell oscilation</v>
      </c>
      <c r="R81" s="5" t="str">
        <f t="array" ref="R81">IFERROR(IF('T1'!$J81="",INDEX(LISTA_EX,16),INDEX(LISTA_EX,MATCH('T1'!$J81&amp;"|"&amp;16,LISTA_KLUCZ,0))),"")</f>
        <v>Barbell row</v>
      </c>
      <c r="S81" s="5" t="str">
        <f t="array" ref="S81">IFERROR(IF('T1'!$J81="",INDEX(LISTA_EX,17),INDEX(LISTA_EX,MATCH('T1'!$J81&amp;"|"&amp;17,LISTA_KLUCZ,0))),"")</f>
        <v>Barbell row dead stop pins</v>
      </c>
      <c r="T81" s="5" t="str">
        <f t="array" ref="T81">IFERROR(IF('T1'!$J81="",INDEX(LISTA_EX,18),INDEX(LISTA_EX,MATCH('T1'!$J81&amp;"|"&amp;18,LISTA_KLUCZ,0))),"")</f>
        <v>Barbell SLDL</v>
      </c>
      <c r="U81" s="5" t="str">
        <f t="array" ref="U81">IFERROR(IF('T1'!$J81="",INDEX(LISTA_EX,19),INDEX(LISTA_EX,MATCH('T1'!$J81&amp;"|"&amp;19,LISTA_KLUCZ,0))),"")</f>
        <v>Bayesian curl</v>
      </c>
      <c r="V81" s="5" t="str">
        <f t="array" ref="V81">IFERROR(IF('T1'!$J81="",INDEX(LISTA_EX,20),INDEX(LISTA_EX,MATCH('T1'!$J81&amp;"|"&amp;20,LISTA_KLUCZ,0))),"")</f>
        <v>Bear renegade row</v>
      </c>
      <c r="W81" s="5" t="str">
        <f t="array" ref="W81">IFERROR(IF('T1'!$J81="",INDEX(LISTA_EX,21),INDEX(LISTA_EX,MATCH('T1'!$J81&amp;"|"&amp;21,LISTA_KLUCZ,0))),"")</f>
        <v>Bench press paused 3sec</v>
      </c>
      <c r="X81" s="5" t="str">
        <f t="array" ref="X81">IFERROR(IF('T1'!$J81="",INDEX(LISTA_EX,22),INDEX(LISTA_EX,MATCH('T1'!$J81&amp;"|"&amp;22,LISTA_KLUCZ,0))),"")</f>
        <v>Bicep hammer curl</v>
      </c>
      <c r="Y81" s="5" t="str">
        <f t="array" ref="Y81">IFERROR(IF('T1'!$J81="",INDEX(LISTA_EX,23),INDEX(LISTA_EX,MATCH('T1'!$J81&amp;"|"&amp;23,LISTA_KLUCZ,0))),"")</f>
        <v>Bicep squat cable curl</v>
      </c>
      <c r="Z81" s="5" t="str">
        <f t="array" ref="Z81">IFERROR(IF('T1'!$J81="",INDEX(LISTA_EX,24),INDEX(LISTA_EX,MATCH('T1'!$J81&amp;"|"&amp;24,LISTA_KLUCZ,0))),"")</f>
        <v>Bird dog row</v>
      </c>
      <c r="AA81" s="5" t="str">
        <f t="array" ref="AA81">IFERROR(IF('T1'!$J81="",INDEX(LISTA_EX,25),INDEX(LISTA_EX,MATCH('T1'!$J81&amp;"|"&amp;25,LISTA_KLUCZ,0))),"")</f>
        <v>Box jump</v>
      </c>
      <c r="AB81" s="5" t="str">
        <f t="array" ref="AB81">IFERROR(IF('T1'!$J81="",INDEX(LISTA_EX,26),INDEX(LISTA_EX,MATCH('T1'!$J81&amp;"|"&amp;26,LISTA_KLUCZ,0))),"")</f>
        <v>Bulgarian clean plyo</v>
      </c>
      <c r="AC81" s="5" t="str">
        <f t="array" ref="AC81">IFERROR(IF('T1'!$J81="",INDEX(LISTA_EX,27),INDEX(LISTA_EX,MATCH('T1'!$J81&amp;"|"&amp;27,LISTA_KLUCZ,0))),"")</f>
        <v>Bulgarian squat assisted</v>
      </c>
      <c r="AD81" s="5" t="str">
        <f t="array" ref="AD81">IFERROR(IF('T1'!$J81="",INDEX(LISTA_EX,28),INDEX(LISTA_EX,MATCH('T1'!$J81&amp;"|"&amp;28,LISTA_KLUCZ,0))),"")</f>
        <v>Cable biceps curl</v>
      </c>
      <c r="AE81" s="5" t="str">
        <f t="array" ref="AE81">IFERROR(IF('T1'!$J81="",INDEX(LISTA_EX,29),INDEX(LISTA_EX,MATCH('T1'!$J81&amp;"|"&amp;29,LISTA_KLUCZ,0))),"")</f>
        <v>Cable fly</v>
      </c>
      <c r="AF81" s="5" t="str">
        <f t="array" ref="AF81">IFERROR(IF('T1'!$J81="",INDEX(LISTA_EX,30),INDEX(LISTA_EX,MATCH('T1'!$J81&amp;"|"&amp;30,LISTA_KLUCZ,0))),"")</f>
        <v>Cable lateral raise s/a</v>
      </c>
      <c r="AG81" s="5" t="str">
        <f t="array" ref="AG81">IFERROR(IF('T1'!$J81="",INDEX(LISTA_EX,31),INDEX(LISTA_EX,MATCH('T1'!$J81&amp;"|"&amp;31,LISTA_KLUCZ,0))),"")</f>
        <v>Cable row</v>
      </c>
      <c r="AH81" s="5" t="str">
        <f t="array" ref="AH81">IFERROR(IF('T1'!$J81="",INDEX(LISTA_EX,32),INDEX(LISTA_EX,MATCH('T1'!$J81&amp;"|"&amp;32,LISTA_KLUCZ,0))),"")</f>
        <v>Cable row s/a</v>
      </c>
      <c r="AI81" s="5" t="str">
        <f t="array" ref="AI81">IFERROR(IF('T1'!$J81="",INDEX(LISTA_EX,33),INDEX(LISTA_EX,MATCH('T1'!$J81&amp;"|"&amp;33,LISTA_KLUCZ,0))),"")</f>
        <v>Calf raises</v>
      </c>
      <c r="AJ81" s="5" t="str">
        <f t="array" ref="AJ81">IFERROR(IF('T1'!$J81="",INDEX(LISTA_EX,34),INDEX(LISTA_EX,MATCH('T1'!$J81&amp;"|"&amp;34,LISTA_KLUCZ,0))),"")</f>
        <v>Chest fly machine</v>
      </c>
      <c r="AK81" s="5" t="str">
        <f t="array" ref="AK81">IFERROR(IF('T1'!$J81="",INDEX(LISTA_EX,35),INDEX(LISTA_EX,MATCH('T1'!$J81&amp;"|"&amp;35,LISTA_KLUCZ,0))),"")</f>
        <v>Clean</v>
      </c>
      <c r="AL81" s="5" t="str">
        <f t="array" ref="AL81">IFERROR(IF('T1'!$J81="",INDEX(LISTA_EX,36),INDEX(LISTA_EX,MATCH('T1'!$J81&amp;"|"&amp;36,LISTA_KLUCZ,0))),"")</f>
        <v>Clean pins</v>
      </c>
      <c r="AM81" s="5" t="str">
        <f t="array" ref="AM81">IFERROR(IF('T1'!$J81="",INDEX(LISTA_EX,37),INDEX(LISTA_EX,MATCH('T1'!$J81&amp;"|"&amp;37,LISTA_KLUCZ,0))),"")</f>
        <v>Copenhagen plank</v>
      </c>
      <c r="AN81" s="5" t="str">
        <f t="array" ref="AN81">IFERROR(IF('T1'!$J81="",INDEX(LISTA_EX,38),INDEX(LISTA_EX,MATCH('T1'!$J81&amp;"|"&amp;38,LISTA_KLUCZ,0))),"")</f>
        <v>Dead bug izo + OH</v>
      </c>
      <c r="AO81" s="5" t="str">
        <f t="array" ref="AO81">IFERROR(IF('T1'!$J81="",INDEX(LISTA_EX,39),INDEX(LISTA_EX,MATCH('T1'!$J81&amp;"|"&amp;39,LISTA_KLUCZ,0))),"")</f>
        <v>Dead bug straight legs</v>
      </c>
      <c r="AP81" s="5" t="str">
        <f t="array" ref="AP81">IFERROR(IF('T1'!$J81="",INDEX(LISTA_EX,40),INDEX(LISTA_EX,MATCH('T1'!$J81&amp;"|"&amp;40,LISTA_KLUCZ,0))),"")</f>
        <v>Dead stop barbell row</v>
      </c>
      <c r="AQ81" s="5" t="str">
        <f t="array" ref="AQ81">IFERROR(IF('T1'!$J81="",INDEX(LISTA_EX,41),INDEX(LISTA_EX,MATCH('T1'!$J81&amp;"|"&amp;41,LISTA_KLUCZ,0))),"")</f>
        <v>Deadbug OH</v>
      </c>
      <c r="AR81" s="5" t="str">
        <f t="array" ref="AR81">IFERROR(IF('T1'!$J81="",INDEX(LISTA_EX,42),INDEX(LISTA_EX,MATCH('T1'!$J81&amp;"|"&amp;42,LISTA_KLUCZ,0))),"")</f>
        <v>Deadlift</v>
      </c>
      <c r="AS81" s="5" t="str">
        <f t="array" ref="AS81">IFERROR(IF('T1'!$J81="",INDEX(LISTA_EX,43),INDEX(LISTA_EX,MATCH('T1'!$J81&amp;"|"&amp;43,LISTA_KLUCZ,0))),"")</f>
        <v>Deficit push up</v>
      </c>
      <c r="AT81" s="5" t="str">
        <f t="array" ref="AT81">IFERROR(IF('T1'!$J81="",INDEX(LISTA_EX,44),INDEX(LISTA_EX,MATCH('T1'!$J81&amp;"|"&amp;44,LISTA_KLUCZ,0))),"")</f>
        <v>Deficit reverse lunge</v>
      </c>
      <c r="AU81" s="5" t="str">
        <f t="array" ref="AU81">IFERROR(IF('T1'!$J81="",INDEX(LISTA_EX,45),INDEX(LISTA_EX,MATCH('T1'!$J81&amp;"|"&amp;45,LISTA_KLUCZ,0))),"")</f>
        <v>Dips</v>
      </c>
      <c r="AV81" s="5" t="str">
        <f t="array" ref="AV81">IFERROR(IF('T1'!$J81="",INDEX(LISTA_EX,46),INDEX(LISTA_EX,MATCH('T1'!$J81&amp;"|"&amp;46,LISTA_KLUCZ,0))),"")</f>
        <v>Dips weighted</v>
      </c>
      <c r="AW81" s="5" t="str">
        <f t="array" ref="AW81">IFERROR(IF('T1'!$J81="",INDEX(LISTA_EX,47),INDEX(LISTA_EX,MATCH('T1'!$J81&amp;"|"&amp;47,LISTA_KLUCZ,0))),"")</f>
        <v>Dumbbell bench press</v>
      </c>
      <c r="AX81" s="5" t="str">
        <f t="array" ref="AX81">IFERROR(IF('T1'!$J81="",INDEX(LISTA_EX,48),INDEX(LISTA_EX,MATCH('T1'!$J81&amp;"|"&amp;48,LISTA_KLUCZ,0))),"")</f>
        <v>Dumbbell bench press alternating</v>
      </c>
      <c r="AY81" s="5" t="str">
        <f t="array" ref="AY81">IFERROR(IF('T1'!$J81="",INDEX(LISTA_EX,49),INDEX(LISTA_EX,MATCH('T1'!$J81&amp;"|"&amp;49,LISTA_KLUCZ,0))),"")</f>
        <v>Dumbbell curl</v>
      </c>
      <c r="AZ81" s="5" t="str">
        <f t="array" ref="AZ81">IFERROR(IF('T1'!$J81="",INDEX(LISTA_EX,50),INDEX(LISTA_EX,MATCH('T1'!$J81&amp;"|"&amp;50,LISTA_KLUCZ,0))),"")</f>
        <v>Dumbbell external rotation</v>
      </c>
      <c r="BA81" s="5" t="str">
        <f t="array" ref="BA81">IFERROR(IF('T1'!$J81="",INDEX(LISTA_EX,51),INDEX(LISTA_EX,MATCH('T1'!$J81&amp;"|"&amp;51,LISTA_KLUCZ,0))),"")</f>
        <v>Dumbbell face down curl</v>
      </c>
      <c r="BB81" s="5" t="str">
        <f t="array" ref="BB81">IFERROR(IF('T1'!$J81="",INDEX(LISTA_EX,52),INDEX(LISTA_EX,MATCH('T1'!$J81&amp;"|"&amp;52,LISTA_KLUCZ,0))),"")</f>
        <v>Dumbbell fly</v>
      </c>
      <c r="BC81" s="5" t="str">
        <f t="array" ref="BC81">IFERROR(IF('T1'!$J81="",INDEX(LISTA_EX,53),INDEX(LISTA_EX,MATCH('T1'!$J81&amp;"|"&amp;53,LISTA_KLUCZ,0))),"")</f>
        <v>Dumbbell french press</v>
      </c>
      <c r="BD81" s="5" t="str">
        <f t="array" ref="BD81">IFERROR(IF('T1'!$J81="",INDEX(LISTA_EX,54),INDEX(LISTA_EX,MATCH('T1'!$J81&amp;"|"&amp;54,LISTA_KLUCZ,0))),"")</f>
        <v>Dumbbell lateral raise</v>
      </c>
      <c r="BE81" s="5" t="str">
        <f t="array" ref="BE81">IFERROR(IF('T1'!$J81="",INDEX(LISTA_EX,55),INDEX(LISTA_EX,MATCH('T1'!$J81&amp;"|"&amp;55,LISTA_KLUCZ,0))),"")</f>
        <v>Dumbbell lunges</v>
      </c>
      <c r="BF81" s="5" t="str">
        <f t="array" ref="BF81">IFERROR(IF('T1'!$J81="",INDEX(LISTA_EX,56),INDEX(LISTA_EX,MATCH('T1'!$J81&amp;"|"&amp;56,LISTA_KLUCZ,0))),"")</f>
        <v>Dumbbell OH press</v>
      </c>
      <c r="BG81" s="5" t="str">
        <f t="array" ref="BG81">IFERROR(IF('T1'!$J81="",INDEX(LISTA_EX,57),INDEX(LISTA_EX,MATCH('T1'!$J81&amp;"|"&amp;57,LISTA_KLUCZ,0))),"")</f>
        <v>Dumbbell over head press</v>
      </c>
      <c r="BH81" s="5" t="str">
        <f t="array" ref="BH81">IFERROR(IF('T1'!$J81="",INDEX(LISTA_EX,58),INDEX(LISTA_EX,MATCH('T1'!$J81&amp;"|"&amp;58,LISTA_KLUCZ,0))),"")</f>
        <v>Dumbbell over head press alternating</v>
      </c>
      <c r="BI81" s="5" t="str">
        <f t="array" ref="BI81">IFERROR(IF('T1'!$J81="",INDEX(LISTA_EX,59),INDEX(LISTA_EX,MATCH('T1'!$J81&amp;"|"&amp;59,LISTA_KLUCZ,0))),"")</f>
        <v>Dumbbell row</v>
      </c>
      <c r="BJ81" s="5" t="str">
        <f t="array" ref="BJ81">IFERROR(IF('T1'!$J81="",INDEX(LISTA_EX,60),INDEX(LISTA_EX,MATCH('T1'!$J81&amp;"|"&amp;60,LISTA_KLUCZ,0))),"")</f>
        <v>Dumbbell s/a Arnold press</v>
      </c>
      <c r="BK81" s="5" t="str">
        <f t="array" ref="BK81">IFERROR(IF('T1'!$J81="",INDEX(LISTA_EX,61),INDEX(LISTA_EX,MATCH('T1'!$J81&amp;"|"&amp;61,LISTA_KLUCZ,0))),"")</f>
        <v>Dumbbell s/a row</v>
      </c>
      <c r="BL81" s="5" t="str">
        <f t="array" ref="BL81">IFERROR(IF('T1'!$J81="",INDEX(LISTA_EX,62),INDEX(LISTA_EX,MATCH('T1'!$J81&amp;"|"&amp;62,LISTA_KLUCZ,0))),"")</f>
        <v>Dumbbell seal row</v>
      </c>
      <c r="BM81" s="5" t="str">
        <f t="array" ref="BM81">IFERROR(IF('T1'!$J81="",INDEX(LISTA_EX,63),INDEX(LISTA_EX,MATCH('T1'!$J81&amp;"|"&amp;63,LISTA_KLUCZ,0))),"")</f>
        <v>Dumbbells jumps</v>
      </c>
      <c r="BN81" s="5" t="str">
        <f t="array" ref="BN81">IFERROR(IF('T1'!$J81="",INDEX(LISTA_EX,64),INDEX(LISTA_EX,MATCH('T1'!$J81&amp;"|"&amp;64,LISTA_KLUCZ,0))),"")</f>
        <v>Eccentric pull up</v>
      </c>
      <c r="BO81" s="5" t="str">
        <f t="array" ref="BO81">IFERROR(IF('T1'!$J81="",INDEX(LISTA_EX,65),INDEX(LISTA_EX,MATCH('T1'!$J81&amp;"|"&amp;65,LISTA_KLUCZ,0))),"")</f>
        <v>Eccentric push up (5 sek w dół)</v>
      </c>
      <c r="BP81" s="5" t="str">
        <f t="array" ref="BP81">IFERROR(IF('T1'!$J81="",INDEX(LISTA_EX,66),INDEX(LISTA_EX,MATCH('T1'!$J81&amp;"|"&amp;66,LISTA_KLUCZ,0))),"")</f>
        <v>Extensive plyo jumps s/l</v>
      </c>
      <c r="BQ81" s="5" t="str">
        <f t="array" ref="BQ81">IFERROR(IF('T1'!$J81="",INDEX(LISTA_EX,67),INDEX(LISTA_EX,MATCH('T1'!$J81&amp;"|"&amp;67,LISTA_KLUCZ,0))),"")</f>
        <v>Ez bar curl</v>
      </c>
      <c r="BR81" s="5" t="str">
        <f t="array" ref="BR81">IFERROR(IF('T1'!$J81="",INDEX(LISTA_EX,68),INDEX(LISTA_EX,MATCH('T1'!$J81&amp;"|"&amp;68,LISTA_KLUCZ,0))),"")</f>
        <v>Facepull chest supported</v>
      </c>
      <c r="BS81" s="5" t="str">
        <f t="array" ref="BS81">IFERROR(IF('T1'!$J81="",INDEX(LISTA_EX,69),INDEX(LISTA_EX,MATCH('T1'!$J81&amp;"|"&amp;69,LISTA_KLUCZ,0))),"")</f>
        <v>Front foot elevated split squat</v>
      </c>
      <c r="BT81" s="5" t="str">
        <f t="array" ref="BT81">IFERROR(IF('T1'!$J81="",INDEX(LISTA_EX,70),INDEX(LISTA_EX,MATCH('T1'!$J81&amp;"|"&amp;70,LISTA_KLUCZ,0))),"")</f>
        <v>Front squat</v>
      </c>
      <c r="BU81" s="5" t="str">
        <f t="array" ref="BU81">IFERROR(IF('T1'!$J81="",INDEX(LISTA_EX,71),INDEX(LISTA_EX,MATCH('T1'!$J81&amp;"|"&amp;71,LISTA_KLUCZ,0))),"")</f>
        <v>GHD flexion</v>
      </c>
      <c r="BV81" s="5" t="str">
        <f t="array" ref="BV81">IFERROR(IF('T1'!$J81="",INDEX(LISTA_EX,72),INDEX(LISTA_EX,MATCH('T1'!$J81&amp;"|"&amp;72,LISTA_KLUCZ,0))),"")</f>
        <v>Glute bridge hamstrings izo + OH</v>
      </c>
      <c r="BW81" s="5" t="str">
        <f t="array" ref="BW81">IFERROR(IF('T1'!$J81="",INDEX(LISTA_EX,73),INDEX(LISTA_EX,MATCH('T1'!$J81&amp;"|"&amp;73,LISTA_KLUCZ,0))),"")</f>
        <v>Glute crusher</v>
      </c>
      <c r="BX81" s="5" t="str">
        <f t="array" ref="BX81">IFERROR(IF('T1'!$J81="",INDEX(LISTA_EX,74),INDEX(LISTA_EX,MATCH('T1'!$J81&amp;"|"&amp;74,LISTA_KLUCZ,0))),"")</f>
        <v>Gorilla row</v>
      </c>
      <c r="BY81" s="5" t="str">
        <f t="array" ref="BY81">IFERROR(IF('T1'!$J81="",INDEX(LISTA_EX,75),INDEX(LISTA_EX,MATCH('T1'!$J81&amp;"|"&amp;75,LISTA_KLUCZ,0))),"")</f>
        <v>Halfkneeling s/a cable pull</v>
      </c>
      <c r="BZ81" s="5" t="str">
        <f t="array" ref="BZ81">IFERROR(IF('T1'!$J81="",INDEX(LISTA_EX,76),INDEX(LISTA_EX,MATCH('T1'!$J81&amp;"|"&amp;76,LISTA_KLUCZ,0))),"")</f>
        <v>Halfkneeling wood chopper</v>
      </c>
      <c r="CA81" s="5" t="str">
        <f t="array" ref="CA81">IFERROR(IF('T1'!$J81="",INDEX(LISTA_EX,77),INDEX(LISTA_EX,MATCH('T1'!$J81&amp;"|"&amp;77,LISTA_KLUCZ,0))),"")</f>
        <v>Hinged dumbbell row</v>
      </c>
      <c r="CB81" s="5" t="str">
        <f t="array" ref="CB81">IFERROR(IF('T1'!$J81="",INDEX(LISTA_EX,78),INDEX(LISTA_EX,MATCH('T1'!$J81&amp;"|"&amp;78,LISTA_KLUCZ,0))),"")</f>
        <v>Hip aeroplane</v>
      </c>
      <c r="CC81" s="5" t="str">
        <f t="array" ref="CC81">IFERROR(IF('T1'!$J81="",INDEX(LISTA_EX,79),INDEX(LISTA_EX,MATCH('T1'!$J81&amp;"|"&amp;79,LISTA_KLUCZ,0))),"")</f>
        <v>Hip flexors cable</v>
      </c>
      <c r="CD81" s="5" t="str">
        <f t="array" ref="CD81">IFERROR(IF('T1'!$J81="",INDEX(LISTA_EX,80),INDEX(LISTA_EX,MATCH('T1'!$J81&amp;"|"&amp;80,LISTA_KLUCZ,0))),"")</f>
        <v>Hip thrust barbell</v>
      </c>
      <c r="CE81" s="5" t="str">
        <f t="array" ref="CE81">IFERROR(IF('T1'!$J81="",INDEX(LISTA_EX,81),INDEX(LISTA_EX,MATCH('T1'!$J81&amp;"|"&amp;81,LISTA_KLUCZ,0))),"")</f>
        <v>Hollow body + OH</v>
      </c>
      <c r="CF81" s="5" t="str">
        <f t="array" ref="CF81">IFERROR(IF('T1'!$J81="",INDEX(LISTA_EX,82),INDEX(LISTA_EX,MATCH('T1'!$J81&amp;"|"&amp;82,LISTA_KLUCZ,0))),"")</f>
        <v>Horizontal jump</v>
      </c>
      <c r="CG81" s="5" t="str">
        <f t="array" ref="CG81">IFERROR(IF('T1'!$J81="",INDEX(LISTA_EX,83),INDEX(LISTA_EX,MATCH('T1'!$J81&amp;"|"&amp;83,LISTA_KLUCZ,0))),"")</f>
        <v>Incline bench lateral raise s/a</v>
      </c>
      <c r="CH81" s="5" t="str">
        <f t="array" ref="CH81">IFERROR(IF('T1'!$J81="",INDEX(LISTA_EX,84),INDEX(LISTA_EX,MATCH('T1'!$J81&amp;"|"&amp;84,LISTA_KLUCZ,0))),"")</f>
        <v>Incline curl + OHP</v>
      </c>
      <c r="CI81" s="5" t="str">
        <f t="array" ref="CI81">IFERROR(IF('T1'!$J81="",INDEX(LISTA_EX,85),INDEX(LISTA_EX,MATCH('T1'!$J81&amp;"|"&amp;85,LISTA_KLUCZ,0))),"")</f>
        <v>Incline dumbbell curl</v>
      </c>
      <c r="CJ81" s="5" t="str">
        <f t="array" ref="CJ81">IFERROR(IF('T1'!$J81="",INDEX(LISTA_EX,86),INDEX(LISTA_EX,MATCH('T1'!$J81&amp;"|"&amp;86,LISTA_KLUCZ,0))),"")</f>
        <v>Incline dumbbell curl (back)</v>
      </c>
      <c r="CK81" s="5" t="str">
        <f t="array" ref="CK81">IFERROR(IF('T1'!$J81="",INDEX(LISTA_EX,87),INDEX(LISTA_EX,MATCH('T1'!$J81&amp;"|"&amp;87,LISTA_KLUCZ,0))),"")</f>
        <v>Incline dumbbell curl (front)</v>
      </c>
      <c r="CL81" s="5" t="str">
        <f t="array" ref="CL81">IFERROR(IF('T1'!$J81="",INDEX(LISTA_EX,88),INDEX(LISTA_EX,MATCH('T1'!$J81&amp;"|"&amp;88,LISTA_KLUCZ,0))),"")</f>
        <v>Incline dumbbell fly</v>
      </c>
      <c r="CM81" s="5" t="str">
        <f t="array" ref="CM81">IFERROR(IF('T1'!$J81="",INDEX(LISTA_EX,89),INDEX(LISTA_EX,MATCH('T1'!$J81&amp;"|"&amp;89,LISTA_KLUCZ,0))),"")</f>
        <v>Incline dumbbell press</v>
      </c>
      <c r="CN81" s="5" t="str">
        <f t="array" ref="CN81">IFERROR(IF('T1'!$J81="",INDEX(LISTA_EX,90),INDEX(LISTA_EX,MATCH('T1'!$J81&amp;"|"&amp;90,LISTA_KLUCZ,0))),"")</f>
        <v>Incline dumbbell press alternating</v>
      </c>
      <c r="CO81" s="5" t="str">
        <f t="array" ref="CO81">IFERROR(IF('T1'!$J81="",INDEX(LISTA_EX,91),INDEX(LISTA_EX,MATCH('T1'!$J81&amp;"|"&amp;91,LISTA_KLUCZ,0))),"")</f>
        <v>Incline sit-ups</v>
      </c>
      <c r="CP81" s="5" t="str">
        <f t="array" ref="CP81">IFERROR(IF('T1'!$J81="",INDEX(LISTA_EX,92),INDEX(LISTA_EX,MATCH('T1'!$J81&amp;"|"&amp;92,LISTA_KLUCZ,0))),"")</f>
        <v>Jefferson cable</v>
      </c>
      <c r="CQ81" s="5" t="str">
        <f t="array" ref="CQ81">IFERROR(IF('T1'!$J81="",INDEX(LISTA_EX,93),INDEX(LISTA_EX,MATCH('T1'!$J81&amp;"|"&amp;93,LISTA_KLUCZ,0))),"")</f>
        <v>Kettlebell march</v>
      </c>
      <c r="CR81" s="5" t="str">
        <f t="array" ref="CR81">IFERROR(IF('T1'!$J81="",INDEX(LISTA_EX,94),INDEX(LISTA_EX,MATCH('T1'!$J81&amp;"|"&amp;94,LISTA_KLUCZ,0))),"")</f>
        <v>Kickbacks</v>
      </c>
      <c r="CS81" s="5" t="str">
        <f t="array" ref="CS81">IFERROR(IF('T1'!$J81="",INDEX(LISTA_EX,95),INDEX(LISTA_EX,MATCH('T1'!$J81&amp;"|"&amp;95,LISTA_KLUCZ,0))),"")</f>
        <v>Knee extension machine</v>
      </c>
      <c r="CT81" s="5" t="str">
        <f t="array" ref="CT81">IFERROR(IF('T1'!$J81="",INDEX(LISTA_EX,96),INDEX(LISTA_EX,MATCH('T1'!$J81&amp;"|"&amp;96,LISTA_KLUCZ,0))),"")</f>
        <v>Knee flexion machine</v>
      </c>
      <c r="CU81" s="5" t="str">
        <f t="array" ref="CU81">IFERROR(IF('T1'!$J81="",INDEX(LISTA_EX,97),INDEX(LISTA_EX,MATCH('T1'!$J81&amp;"|"&amp;97,LISTA_KLUCZ,0))),"")</f>
        <v>Knee raises</v>
      </c>
      <c r="CV81" s="5" t="str">
        <f t="array" ref="CV81">IFERROR(IF('T1'!$J81="",INDEX(LISTA_EX,98),INDEX(LISTA_EX,MATCH('T1'!$J81&amp;"|"&amp;98,LISTA_KLUCZ,0))),"")</f>
        <v>Landmine core</v>
      </c>
      <c r="CW81" s="5" t="str">
        <f t="array" ref="CW81">IFERROR(IF('T1'!$J81="",INDEX(LISTA_EX,99),INDEX(LISTA_EX,MATCH('T1'!$J81&amp;"|"&amp;99,LISTA_KLUCZ,0))),"")</f>
        <v>Landmine press</v>
      </c>
      <c r="CX81" s="5" t="str">
        <f t="array" ref="CX81">IFERROR(IF('T1'!$J81="",INDEX(LISTA_EX,100),INDEX(LISTA_EX,MATCH('T1'!$J81&amp;"|"&amp;100,LISTA_KLUCZ,0))),"")</f>
        <v>Landmine rotations (powtórzenia x2)</v>
      </c>
      <c r="CY81" s="5" t="str">
        <f t="array" ref="CY81">IFERROR(IF('T1'!$J81="",INDEX(LISTA_EX,101),INDEX(LISTA_EX,MATCH('T1'!$J81&amp;"|"&amp;101,LISTA_KLUCZ,0))),"")</f>
        <v>Landmine SLDL</v>
      </c>
      <c r="CZ81" s="5" t="str">
        <f t="array" ref="CZ81">IFERROR(IF('T1'!$J81="",INDEX(LISTA_EX,102),INDEX(LISTA_EX,MATCH('T1'!$J81&amp;"|"&amp;102,LISTA_KLUCZ,0))),"")</f>
        <v>Lat pulldown</v>
      </c>
      <c r="DA81" s="5" t="str">
        <f t="array" ref="DA81">IFERROR(IF('T1'!$J81="",INDEX(LISTA_EX,103),INDEX(LISTA_EX,MATCH('T1'!$J81&amp;"|"&amp;103,LISTA_KLUCZ,0))),"")</f>
        <v>Lat pulldown behind the head</v>
      </c>
      <c r="DB81" s="5" t="str">
        <f t="array" ref="DB81">IFERROR(IF('T1'!$J81="",INDEX(LISTA_EX,104),INDEX(LISTA_EX,MATCH('T1'!$J81&amp;"|"&amp;104,LISTA_KLUCZ,0))),"")</f>
        <v>Lat pulldown s/a</v>
      </c>
      <c r="DC81" s="5" t="str">
        <f t="array" ref="DC81">IFERROR(IF('T1'!$J81="",INDEX(LISTA_EX,105),INDEX(LISTA_EX,MATCH('T1'!$J81&amp;"|"&amp;105,LISTA_KLUCZ,0))),"")</f>
        <v>Lateral raise s/a</v>
      </c>
      <c r="DD81" s="5" t="str">
        <f t="array" ref="DD81">IFERROR(IF('T1'!$J81="",INDEX(LISTA_EX,106),INDEX(LISTA_EX,MATCH('T1'!$J81&amp;"|"&amp;106,LISTA_KLUCZ,0))),"")</f>
        <v>Lateral raises</v>
      </c>
      <c r="DE81" s="5" t="str">
        <f t="array" ref="DE81">IFERROR(IF('T1'!$J81="",INDEX(LISTA_EX,107),INDEX(LISTA_EX,MATCH('T1'!$J81&amp;"|"&amp;107,LISTA_KLUCZ,0))),"")</f>
        <v>Lateral raises 2</v>
      </c>
      <c r="DF81" s="5" t="str">
        <f t="array" ref="DF81">IFERROR(IF('T1'!$J81="",INDEX(LISTA_EX,108),INDEX(LISTA_EX,MATCH('T1'!$J81&amp;"|"&amp;108,LISTA_KLUCZ,0))),"")</f>
        <v>Lateral raises full ROM</v>
      </c>
      <c r="DG81" s="5" t="str">
        <f t="array" ref="DG81">IFERROR(IF('T1'!$J81="",INDEX(LISTA_EX,109),INDEX(LISTA_EX,MATCH('T1'!$J81&amp;"|"&amp;109,LISTA_KLUCZ,0))),"")</f>
        <v>Lateral raises hinged</v>
      </c>
      <c r="DH81" s="5" t="str">
        <f t="array" ref="DH81">IFERROR(IF('T1'!$J81="",INDEX(LISTA_EX,110),INDEX(LISTA_EX,MATCH('T1'!$J81&amp;"|"&amp;110,LISTA_KLUCZ,0))),"")</f>
        <v>Lateral raises incline s/a</v>
      </c>
      <c r="DI81" s="5" t="str">
        <f t="array" ref="DI81">IFERROR(IF('T1'!$J81="",INDEX(LISTA_EX,111),INDEX(LISTA_EX,MATCH('T1'!$J81&amp;"|"&amp;111,LISTA_KLUCZ,0))),"")</f>
        <v>Leg curl</v>
      </c>
      <c r="DJ81" s="5" t="str">
        <f t="array" ref="DJ81">IFERROR(IF('T1'!$J81="",INDEX(LISTA_EX,112),INDEX(LISTA_EX,MATCH('T1'!$J81&amp;"|"&amp;112,LISTA_KLUCZ,0))),"")</f>
        <v>Machine row</v>
      </c>
      <c r="DK81" s="5" t="str">
        <f t="array" ref="DK81">IFERROR(IF('T1'!$J81="",INDEX(LISTA_EX,113),INDEX(LISTA_EX,MATCH('T1'!$J81&amp;"|"&amp;113,LISTA_KLUCZ,0))),"")</f>
        <v>Machine row s/a</v>
      </c>
      <c r="DL81" s="5" t="str">
        <f t="array" ref="DL81">IFERROR(IF('T1'!$J81="",INDEX(LISTA_EX,114),INDEX(LISTA_EX,MATCH('T1'!$J81&amp;"|"&amp;114,LISTA_KLUCZ,0))),"")</f>
        <v>Meadows row</v>
      </c>
      <c r="DM81" s="5" t="str">
        <f t="array" ref="DM81">IFERROR(IF('T1'!$J81="",INDEX(LISTA_EX,115),INDEX(LISTA_EX,MATCH('T1'!$J81&amp;"|"&amp;115,LISTA_KLUCZ,0))),"")</f>
        <v>Med ball slam</v>
      </c>
      <c r="DN81" s="5" t="str">
        <f t="array" ref="DN81">IFERROR(IF('T1'!$J81="",INDEX(LISTA_EX,116),INDEX(LISTA_EX,MATCH('T1'!$J81&amp;"|"&amp;116,LISTA_KLUCZ,0))),"")</f>
        <v>OH skullcrushers</v>
      </c>
      <c r="DO81" s="5" t="str">
        <f t="array" ref="DO81">IFERROR(IF('T1'!$J81="",INDEX(LISTA_EX,117),INDEX(LISTA_EX,MATCH('T1'!$J81&amp;"|"&amp;117,LISTA_KLUCZ,0))),"")</f>
        <v>OHP barbell squat 15kg</v>
      </c>
      <c r="DP81" s="5" t="str">
        <f t="array" ref="DP81">IFERROR(IF('T1'!$J81="",INDEX(LISTA_EX,118),INDEX(LISTA_EX,MATCH('T1'!$J81&amp;"|"&amp;118,LISTA_KLUCZ,0))),"")</f>
        <v>Pistol squat eccentric</v>
      </c>
      <c r="DQ81" s="5" t="str">
        <f t="array" ref="DQ81">IFERROR(IF('T1'!$J81="",INDEX(LISTA_EX,119),INDEX(LISTA_EX,MATCH('T1'!$J81&amp;"|"&amp;119,LISTA_KLUCZ,0))),"")</f>
        <v>Plank contralateral</v>
      </c>
      <c r="DR81" s="5" t="str">
        <f t="array" ref="DR81">IFERROR(IF('T1'!$J81="",INDEX(LISTA_EX,120),INDEX(LISTA_EX,MATCH('T1'!$J81&amp;"|"&amp;120,LISTA_KLUCZ,0))),"")</f>
        <v>Plank dumbbell rotation</v>
      </c>
      <c r="DS81" s="5" t="str">
        <f t="array" ref="DS81">IFERROR(IF('T1'!$J81="",INDEX(LISTA_EX,121),INDEX(LISTA_EX,MATCH('T1'!$J81&amp;"|"&amp;121,LISTA_KLUCZ,0))),"")</f>
        <v>Plank leg raises</v>
      </c>
      <c r="DT81" s="5" t="str">
        <f t="array" ref="DT81">IFERROR(IF('T1'!$J81="",INDEX(LISTA_EX,122),INDEX(LISTA_EX,MATCH('T1'!$J81&amp;"|"&amp;122,LISTA_KLUCZ,0))),"")</f>
        <v>Poliquin step up</v>
      </c>
      <c r="DU81" s="5" t="str">
        <f t="array" ref="DU81">IFERROR(IF('T1'!$J81="",INDEX(LISTA_EX,123),INDEX(LISTA_EX,MATCH('T1'!$J81&amp;"|"&amp;123,LISTA_KLUCZ,0))),"")</f>
        <v>Poliquin step up paused 3sec</v>
      </c>
      <c r="DV81" s="5" t="str">
        <f t="array" ref="DV81">IFERROR(IF('T1'!$J81="",INDEX(LISTA_EX,124),INDEX(LISTA_EX,MATCH('T1'!$J81&amp;"|"&amp;124,LISTA_KLUCZ,0))),"")</f>
        <v>Pronation/Supination</v>
      </c>
      <c r="DW81" s="5" t="str">
        <f t="array" ref="DW81">IFERROR(IF('T1'!$J81="",INDEX(LISTA_EX,125),INDEX(LISTA_EX,MATCH('T1'!$J81&amp;"|"&amp;125,LISTA_KLUCZ,0))),"")</f>
        <v>Pull up</v>
      </c>
      <c r="DX81" s="5" t="str">
        <f t="array" ref="DX81">IFERROR(IF('T1'!$J81="",INDEX(LISTA_EX,126),INDEX(LISTA_EX,MATCH('T1'!$J81&amp;"|"&amp;126,LISTA_KLUCZ,0))),"")</f>
        <v>Pull up eccentric weighted</v>
      </c>
      <c r="DY81" s="5" t="str">
        <f t="array" ref="DY81">IFERROR(IF('T1'!$J81="",INDEX(LISTA_EX,127),INDEX(LISTA_EX,MATCH('T1'!$J81&amp;"|"&amp;127,LISTA_KLUCZ,0))),"")</f>
        <v>Pull up eccentric weighted (5 sek w dół)</v>
      </c>
      <c r="DZ81" s="5" t="str">
        <f t="array" ref="DZ81">IFERROR(IF('T1'!$J81="",INDEX(LISTA_EX,128),INDEX(LISTA_EX,MATCH('T1'!$J81&amp;"|"&amp;128,LISTA_KLUCZ,0))),"")</f>
        <v>Pull up weighted</v>
      </c>
      <c r="EA81" s="5" t="str">
        <f t="array" ref="EA81">IFERROR(IF('T1'!$J81="",INDEX(LISTA_EX,129),INDEX(LISTA_EX,MATCH('T1'!$J81&amp;"|"&amp;129,LISTA_KLUCZ,0))),"")</f>
        <v>Pull ups (paused)</v>
      </c>
      <c r="EB81" s="5" t="str">
        <f t="array" ref="EB81">IFERROR(IF('T1'!$J81="",INDEX(LISTA_EX,130),INDEX(LISTA_EX,MATCH('T1'!$J81&amp;"|"&amp;130,LISTA_KLUCZ,0))),"")</f>
        <v>Push press barbell</v>
      </c>
      <c r="EC81" s="5" t="str">
        <f t="array" ref="EC81">IFERROR(IF('T1'!$J81="",INDEX(LISTA_EX,131),INDEX(LISTA_EX,MATCH('T1'!$J81&amp;"|"&amp;131,LISTA_KLUCZ,0))),"")</f>
        <v>Push up</v>
      </c>
      <c r="ED81" s="5" t="str">
        <f t="array" ref="ED81">IFERROR(IF('T1'!$J81="",INDEX(LISTA_EX,132),INDEX(LISTA_EX,MATCH('T1'!$J81&amp;"|"&amp;132,LISTA_KLUCZ,0))),"")</f>
        <v>Raised bird dog</v>
      </c>
      <c r="EE81" s="5" t="str">
        <f t="array" ref="EE81">IFERROR(IF('T1'!$J81="",INDEX(LISTA_EX,133),INDEX(LISTA_EX,MATCH('T1'!$J81&amp;"|"&amp;133,LISTA_KLUCZ,0))),"")</f>
        <v>RDL</v>
      </c>
      <c r="EF81" s="5" t="str">
        <f t="array" ref="EF81">IFERROR(IF('T1'!$J81="",INDEX(LISTA_EX,134),INDEX(LISTA_EX,MATCH('T1'!$J81&amp;"|"&amp;134,LISTA_KLUCZ,0))),"")</f>
        <v>Reverse Nordic</v>
      </c>
      <c r="EG81" s="5" t="str">
        <f t="array" ref="EG81">IFERROR(IF('T1'!$J81="",INDEX(LISTA_EX,135),INDEX(LISTA_EX,MATCH('T1'!$J81&amp;"|"&amp;135,LISTA_KLUCZ,0))),"")</f>
        <v>Rope pushdown</v>
      </c>
      <c r="EH81" s="5" t="str">
        <f t="array" ref="EH81">IFERROR(IF('T1'!$J81="",INDEX(LISTA_EX,136),INDEX(LISTA_EX,MATCH('T1'!$J81&amp;"|"&amp;136,LISTA_KLUCZ,0))),"")</f>
        <v>Rope pushdown OH</v>
      </c>
      <c r="EI81" s="5" t="str">
        <f t="array" ref="EI81">IFERROR(IF('T1'!$J81="",INDEX(LISTA_EX,137),INDEX(LISTA_EX,MATCH('T1'!$J81&amp;"|"&amp;137,LISTA_KLUCZ,0))),"")</f>
        <v>S/a cable pulldown incline bench</v>
      </c>
      <c r="EJ81" s="5" t="str">
        <f t="array" ref="EJ81">IFERROR(IF('T1'!$J81="",INDEX(LISTA_EX,138),INDEX(LISTA_EX,MATCH('T1'!$J81&amp;"|"&amp;138,LISTA_KLUCZ,0))),"")</f>
        <v>S/a lat pulldown incline bench</v>
      </c>
      <c r="EK81" s="5" t="str">
        <f t="array" ref="EK81">IFERROR(IF('T1'!$J81="",INDEX(LISTA_EX,139),INDEX(LISTA_EX,MATCH('T1'!$J81&amp;"|"&amp;139,LISTA_KLUCZ,0))),"")</f>
        <v>S/l dragonflag eccentric</v>
      </c>
      <c r="EL81" s="5" t="str">
        <f t="array" ref="EL81">IFERROR(IF('T1'!$J81="",INDEX(LISTA_EX,140),INDEX(LISTA_EX,MATCH('T1'!$J81&amp;"|"&amp;140,LISTA_KLUCZ,0))),"")</f>
        <v>S/l hip thrust</v>
      </c>
      <c r="EM81" s="5" t="str">
        <f t="array" ref="EM81">IFERROR(IF('T1'!$J81="",INDEX(LISTA_EX,141),INDEX(LISTA_EX,MATCH('T1'!$J81&amp;"|"&amp;141,LISTA_KLUCZ,0))),"")</f>
        <v>Seated broad jump</v>
      </c>
      <c r="EN81" s="5" t="str">
        <f t="array" ref="EN81">IFERROR(IF('T1'!$J81="",INDEX(LISTA_EX,142),INDEX(LISTA_EX,MATCH('T1'!$J81&amp;"|"&amp;142,LISTA_KLUCZ,0))),"")</f>
        <v>Seated cable facepull</v>
      </c>
      <c r="EO81" s="5" t="str">
        <f t="array" ref="EO81">IFERROR(IF('T1'!$J81="",INDEX(LISTA_EX,143),INDEX(LISTA_EX,MATCH('T1'!$J81&amp;"|"&amp;143,LISTA_KLUCZ,0))),"")</f>
        <v>Seated seesaw press (nogi proste)</v>
      </c>
      <c r="EP81" s="5" t="str">
        <f t="array" ref="EP81">IFERROR(IF('T1'!$J81="",INDEX(LISTA_EX,144),INDEX(LISTA_EX,MATCH('T1'!$J81&amp;"|"&amp;144,LISTA_KLUCZ,0))),"")</f>
        <v>Seesaw press</v>
      </c>
      <c r="EQ81" s="5" t="str">
        <f t="array" ref="EQ81">IFERROR(IF('T1'!$J81="",INDEX(LISTA_EX,145),INDEX(LISTA_EX,MATCH('T1'!$J81&amp;"|"&amp;145,LISTA_KLUCZ,0))),"")</f>
        <v>Side crunches</v>
      </c>
      <c r="ER81" s="5" t="str">
        <f t="array" ref="ER81">IFERROR(IF('T1'!$J81="",INDEX(LISTA_EX,146),INDEX(LISTA_EX,MATCH('T1'!$J81&amp;"|"&amp;146,LISTA_KLUCZ,0))),"")</f>
        <v>Side plank hip drop</v>
      </c>
      <c r="ES81" s="5" t="str">
        <f t="array" ref="ES81">IFERROR(IF('T1'!$J81="",INDEX(LISTA_EX,147),INDEX(LISTA_EX,MATCH('T1'!$J81&amp;"|"&amp;147,LISTA_KLUCZ,0))),"")</f>
        <v>Side plank rotations</v>
      </c>
      <c r="ET81" s="5" t="str">
        <f t="array" ref="ET81">IFERROR(IF('T1'!$J81="",INDEX(LISTA_EX,148),INDEX(LISTA_EX,MATCH('T1'!$J81&amp;"|"&amp;148,LISTA_KLUCZ,0))),"")</f>
        <v>SLDL balance</v>
      </c>
      <c r="EU81" s="5" t="str">
        <f t="array" ref="EU81">IFERROR(IF('T1'!$J81="",INDEX(LISTA_EX,149),INDEX(LISTA_EX,MATCH('T1'!$J81&amp;"|"&amp;149,LISTA_KLUCZ,0))),"")</f>
        <v>Split squat</v>
      </c>
      <c r="EV81" s="5" t="str">
        <f t="array" ref="EV81">IFERROR(IF('T1'!$J81="",INDEX(LISTA_EX,150),INDEX(LISTA_EX,MATCH('T1'!$J81&amp;"|"&amp;150,LISTA_KLUCZ,0))),"")</f>
        <v>Split stance SLDL</v>
      </c>
      <c r="EW81" s="5" t="str">
        <f t="array" ref="EW81">IFERROR(IF('T1'!$J81="",INDEX(LISTA_EX,151),INDEX(LISTA_EX,MATCH('T1'!$J81&amp;"|"&amp;151,LISTA_KLUCZ,0))),"")</f>
        <v>Squat izo (15 sek)</v>
      </c>
      <c r="EX81" s="5" t="str">
        <f t="array" ref="EX81">IFERROR(IF('T1'!$J81="",INDEX(LISTA_EX,152),INDEX(LISTA_EX,MATCH('T1'!$J81&amp;"|"&amp;152,LISTA_KLUCZ,0))),"")</f>
        <v>Standing landmine press</v>
      </c>
      <c r="EY81" s="5" t="str">
        <f t="array" ref="EY81">IFERROR(IF('T1'!$J81="",INDEX(LISTA_EX,153),INDEX(LISTA_EX,MATCH('T1'!$J81&amp;"|"&amp;153,LISTA_KLUCZ,0))),"")</f>
        <v>Suitcase carry</v>
      </c>
      <c r="EZ81" s="5" t="str">
        <f t="array" ref="EZ81">IFERROR(IF('T1'!$J81="",INDEX(LISTA_EX,154),INDEX(LISTA_EX,MATCH('T1'!$J81&amp;"|"&amp;154,LISTA_KLUCZ,0))),"")</f>
        <v>Supine pigeon abs</v>
      </c>
      <c r="FA81" s="5" t="str">
        <f t="array" ref="FA81">IFERROR(IF('T1'!$J81="",INDEX(LISTA_EX,155),INDEX(LISTA_EX,MATCH('T1'!$J81&amp;"|"&amp;155,LISTA_KLUCZ,0))),"")</f>
        <v>Swiss ball leg curl</v>
      </c>
      <c r="FB81" s="5" t="str">
        <f t="array" ref="FB81">IFERROR(IF('T1'!$J81="",INDEX(LISTA_EX,156),INDEX(LISTA_EX,MATCH('T1'!$J81&amp;"|"&amp;156,LISTA_KLUCZ,0))),"")</f>
        <v>Toes to bar</v>
      </c>
      <c r="FC81" s="5" t="str">
        <f t="array" ref="FC81">IFERROR(IF('T1'!$J81="",INDEX(LISTA_EX,157),INDEX(LISTA_EX,MATCH('T1'!$J81&amp;"|"&amp;157,LISTA_KLUCZ,0))),"")</f>
        <v>Trap bar deadlift</v>
      </c>
      <c r="FD81" s="5" t="str">
        <f t="array" ref="FD81">IFERROR(IF('T1'!$J81="",INDEX(LISTA_EX,158),INDEX(LISTA_EX,MATCH('T1'!$J81&amp;"|"&amp;158,LISTA_KLUCZ,0))),"")</f>
        <v>Tricep cable pushdown</v>
      </c>
      <c r="FE81" s="5" t="str">
        <f t="array" ref="FE81">IFERROR(IF('T1'!$J81="",INDEX(LISTA_EX,159),INDEX(LISTA_EX,MATCH('T1'!$J81&amp;"|"&amp;159,LISTA_KLUCZ,0))),"")</f>
        <v>Tricep JM press</v>
      </c>
      <c r="FF81" s="5" t="str">
        <f t="array" ref="FF81">IFERROR(IF('T1'!$J81="",INDEX(LISTA_EX,160),INDEX(LISTA_EX,MATCH('T1'!$J81&amp;"|"&amp;160,LISTA_KLUCZ,0))),"")</f>
        <v>Tricep OH cable</v>
      </c>
      <c r="FG81" s="5" t="str">
        <f t="array" ref="FG81">IFERROR(IF('T1'!$J81="",INDEX(LISTA_EX,161),INDEX(LISTA_EX,MATCH('T1'!$J81&amp;"|"&amp;161,LISTA_KLUCZ,0))),"")</f>
        <v>Tricep OH ez bar</v>
      </c>
      <c r="FH81" s="5" t="str">
        <f t="array" ref="FH81">IFERROR(IF('T1'!$J81="",INDEX(LISTA_EX,162),INDEX(LISTA_EX,MATCH('T1'!$J81&amp;"|"&amp;162,LISTA_KLUCZ,0))),"")</f>
        <v>Walking lunges</v>
      </c>
      <c r="FI81" s="5" t="str">
        <f t="array" ref="FI81">IFERROR(IF('T1'!$J81="",INDEX(LISTA_EX,163),INDEX(LISTA_EX,MATCH('T1'!$J81&amp;"|"&amp;163,LISTA_KLUCZ,0))),"")</f>
        <v>Wipers kettle</v>
      </c>
      <c r="FJ81" s="5" t="str">
        <f t="array" ref="FJ81">IFERROR(IF('T1'!$J81="",INDEX(LISTA_EX,164),INDEX(LISTA_EX,MATCH('T1'!$J81&amp;"|"&amp;164,LISTA_KLUCZ,0))),"")</f>
        <v>Zercher jumps</v>
      </c>
      <c r="FK81" s="5" t="str">
        <f t="array" ref="FK81">IFERROR(IF('T1'!$J81="",INDEX(LISTA_EX,165),INDEX(LISTA_EX,MATCH('T1'!$J81&amp;"|"&amp;165,LISTA_KLUCZ,0))),"")</f>
        <v/>
      </c>
      <c r="FL81" s="5" t="str">
        <f t="array" ref="FL81">IFERROR(IF('T1'!$J81="",INDEX(LISTA_EX,166),INDEX(LISTA_EX,MATCH('T1'!$J81&amp;"|"&amp;166,LISTA_KLUCZ,0))),"")</f>
        <v/>
      </c>
      <c r="FM81" s="5" t="str">
        <f t="array" ref="FM81">IFERROR(IF('T1'!$J81="",INDEX(LISTA_EX,167),INDEX(LISTA_EX,MATCH('T1'!$J81&amp;"|"&amp;167,LISTA_KLUCZ,0))),"")</f>
        <v/>
      </c>
      <c r="FN81" s="5" t="str">
        <f t="array" ref="FN81">IFERROR(IF('T1'!$J81="",INDEX(LISTA_EX,168),INDEX(LISTA_EX,MATCH('T1'!$J81&amp;"|"&amp;168,LISTA_KLUCZ,0))),"")</f>
        <v/>
      </c>
      <c r="FO81" s="5" t="str">
        <f t="array" ref="FO81">IFERROR(IF('T1'!$J81="",INDEX(LISTA_EX,169),INDEX(LISTA_EX,MATCH('T1'!$J81&amp;"|"&amp;169,LISTA_KLUCZ,0))),"")</f>
        <v/>
      </c>
      <c r="FP81" s="5" t="str">
        <f t="array" ref="FP81">IFERROR(IF('T1'!$J81="",INDEX(LISTA_EX,170),INDEX(LISTA_EX,MATCH('T1'!$J81&amp;"|"&amp;170,LISTA_KLUCZ,0))),"")</f>
        <v/>
      </c>
      <c r="FQ81" s="5" t="str">
        <f t="array" ref="FQ81">IFERROR(IF('T1'!$J81="",INDEX(LISTA_EX,171),INDEX(LISTA_EX,MATCH('T1'!$J81&amp;"|"&amp;171,LISTA_KLUCZ,0))),"")</f>
        <v/>
      </c>
      <c r="FR81" s="5" t="str">
        <f t="array" ref="FR81">IFERROR(IF('T1'!$J81="",INDEX(LISTA_EX,172),INDEX(LISTA_EX,MATCH('T1'!$J81&amp;"|"&amp;172,LISTA_KLUCZ,0))),"")</f>
        <v/>
      </c>
      <c r="FS81" s="5" t="str">
        <f t="array" ref="FS81">IFERROR(IF('T1'!$J81="",INDEX(LISTA_EX,173),INDEX(LISTA_EX,MATCH('T1'!$J81&amp;"|"&amp;173,LISTA_KLUCZ,0))),"")</f>
        <v/>
      </c>
      <c r="FT81" s="5" t="str">
        <f t="array" ref="FT81">IFERROR(IF('T1'!$J81="",INDEX(LISTA_EX,174),INDEX(LISTA_EX,MATCH('T1'!$J81&amp;"|"&amp;174,LISTA_KLUCZ,0))),"")</f>
        <v/>
      </c>
      <c r="FU81" s="5" t="str">
        <f t="array" ref="FU81">IFERROR(IF('T1'!$J81="",INDEX(LISTA_EX,175),INDEX(LISTA_EX,MATCH('T1'!$J81&amp;"|"&amp;175,LISTA_KLUCZ,0))),"")</f>
        <v/>
      </c>
      <c r="FV81" s="5" t="str">
        <f t="array" ref="FV81">IFERROR(IF('T1'!$J81="",INDEX(LISTA_EX,176),INDEX(LISTA_EX,MATCH('T1'!$J81&amp;"|"&amp;176,LISTA_KLUCZ,0))),"")</f>
        <v/>
      </c>
      <c r="FW81" s="5" t="str">
        <f t="array" ref="FW81">IFERROR(IF('T1'!$J81="",INDEX(LISTA_EX,177),INDEX(LISTA_EX,MATCH('T1'!$J81&amp;"|"&amp;177,LISTA_KLUCZ,0))),"")</f>
        <v/>
      </c>
      <c r="FX81" s="5" t="str">
        <f t="array" ref="FX81">IFERROR(IF('T1'!$J81="",INDEX(LISTA_EX,178),INDEX(LISTA_EX,MATCH('T1'!$J81&amp;"|"&amp;178,LISTA_KLUCZ,0))),"")</f>
        <v/>
      </c>
      <c r="FY81" s="5" t="str">
        <f t="array" ref="FY81">IFERROR(IF('T1'!$J81="",INDEX(LISTA_EX,179),INDEX(LISTA_EX,MATCH('T1'!$J81&amp;"|"&amp;179,LISTA_KLUCZ,0))),"")</f>
        <v/>
      </c>
      <c r="FZ81" s="5" t="str">
        <f t="array" ref="FZ81">IFERROR(IF('T1'!$J81="",INDEX(LISTA_EX,180),INDEX(LISTA_EX,MATCH('T1'!$J81&amp;"|"&amp;180,LISTA_KLUCZ,0))),"")</f>
        <v/>
      </c>
      <c r="GA81" s="5" t="str">
        <f t="array" ref="GA81">IFERROR(IF('T1'!$J81="",INDEX(LISTA_EX,181),INDEX(LISTA_EX,MATCH('T1'!$J81&amp;"|"&amp;181,LISTA_KLUCZ,0))),"")</f>
        <v/>
      </c>
      <c r="GB81" s="5" t="str">
        <f t="array" ref="GB81">IFERROR(IF('T1'!$J81="",INDEX(LISTA_EX,182),INDEX(LISTA_EX,MATCH('T1'!$J81&amp;"|"&amp;182,LISTA_KLUCZ,0))),"")</f>
        <v/>
      </c>
      <c r="GC81" s="5" t="str">
        <f t="array" ref="GC81">IFERROR(IF('T1'!$J81="",INDEX(LISTA_EX,183),INDEX(LISTA_EX,MATCH('T1'!$J81&amp;"|"&amp;183,LISTA_KLUCZ,0))),"")</f>
        <v/>
      </c>
      <c r="GD81" s="5" t="str">
        <f t="array" ref="GD81">IFERROR(IF('T1'!$J81="",INDEX(LISTA_EX,184),INDEX(LISTA_EX,MATCH('T1'!$J81&amp;"|"&amp;184,LISTA_KLUCZ,0))),"")</f>
        <v/>
      </c>
      <c r="GE81" s="5" t="str">
        <f t="array" ref="GE81">IFERROR(IF('T1'!$J81="",INDEX(LISTA_EX,185),INDEX(LISTA_EX,MATCH('T1'!$J81&amp;"|"&amp;185,LISTA_KLUCZ,0))),"")</f>
        <v/>
      </c>
      <c r="GF81" s="5" t="str">
        <f t="array" ref="GF81">IFERROR(IF('T1'!$J81="",INDEX(LISTA_EX,186),INDEX(LISTA_EX,MATCH('T1'!$J81&amp;"|"&amp;186,LISTA_KLUCZ,0))),"")</f>
        <v/>
      </c>
      <c r="GG81" s="5" t="str">
        <f t="array" ref="GG81">IFERROR(IF('T1'!$J81="",INDEX(LISTA_EX,187),INDEX(LISTA_EX,MATCH('T1'!$J81&amp;"|"&amp;187,LISTA_KLUCZ,0))),"")</f>
        <v/>
      </c>
      <c r="GH81" s="5" t="str">
        <f t="array" ref="GH81">IFERROR(IF('T1'!$J81="",INDEX(LISTA_EX,188),INDEX(LISTA_EX,MATCH('T1'!$J81&amp;"|"&amp;188,LISTA_KLUCZ,0))),"")</f>
        <v/>
      </c>
      <c r="GI81" s="5" t="str">
        <f t="array" ref="GI81">IFERROR(IF('T1'!$J81="",INDEX(LISTA_EX,189),INDEX(LISTA_EX,MATCH('T1'!$J81&amp;"|"&amp;189,LISTA_KLUCZ,0))),"")</f>
        <v/>
      </c>
      <c r="GJ81" s="5" t="str">
        <f t="array" ref="GJ81">IFERROR(IF('T1'!$J81="",INDEX(LISTA_EX,190),INDEX(LISTA_EX,MATCH('T1'!$J81&amp;"|"&amp;190,LISTA_KLUCZ,0))),"")</f>
        <v/>
      </c>
      <c r="GK81" s="5" t="str">
        <f t="array" ref="GK81">IFERROR(IF('T1'!$J81="",INDEX(LISTA_EX,191),INDEX(LISTA_EX,MATCH('T1'!$J81&amp;"|"&amp;191,LISTA_KLUCZ,0))),"")</f>
        <v/>
      </c>
      <c r="GL81" s="5" t="str">
        <f t="array" ref="GL81">IFERROR(IF('T1'!$J81="",INDEX(LISTA_EX,192),INDEX(LISTA_EX,MATCH('T1'!$J81&amp;"|"&amp;192,LISTA_KLUCZ,0))),"")</f>
        <v/>
      </c>
      <c r="GM81" s="5" t="str">
        <f t="array" ref="GM81">IFERROR(IF('T1'!$J81="",INDEX(LISTA_EX,193),INDEX(LISTA_EX,MATCH('T1'!$J81&amp;"|"&amp;193,LISTA_KLUCZ,0))),"")</f>
        <v/>
      </c>
      <c r="GN81" s="5" t="str">
        <f t="array" ref="GN81">IFERROR(IF('T1'!$J81="",INDEX(LISTA_EX,194),INDEX(LISTA_EX,MATCH('T1'!$J81&amp;"|"&amp;194,LISTA_KLUCZ,0))),"")</f>
        <v/>
      </c>
      <c r="GO81" s="5" t="str">
        <f t="array" ref="GO81">IFERROR(IF('T1'!$J81="",INDEX(LISTA_EX,195),INDEX(LISTA_EX,MATCH('T1'!$J81&amp;"|"&amp;195,LISTA_KLUCZ,0))),"")</f>
        <v/>
      </c>
      <c r="GP81" s="5" t="str">
        <f t="array" ref="GP81">IFERROR(IF('T1'!$J81="",INDEX(LISTA_EX,196),INDEX(LISTA_EX,MATCH('T1'!$J81&amp;"|"&amp;196,LISTA_KLUCZ,0))),"")</f>
        <v/>
      </c>
      <c r="GQ81" s="5" t="str">
        <f t="array" ref="GQ81">IFERROR(IF('T1'!$J81="",INDEX(LISTA_EX,197),INDEX(LISTA_EX,MATCH('T1'!$J81&amp;"|"&amp;197,LISTA_KLUCZ,0))),"")</f>
        <v/>
      </c>
      <c r="GR81" s="5" t="str">
        <f t="array" ref="GR81">IFERROR(IF('T1'!$J81="",INDEX(LISTA_EX,198),INDEX(LISTA_EX,MATCH('T1'!$J81&amp;"|"&amp;198,LISTA_KLUCZ,0))),"")</f>
        <v/>
      </c>
      <c r="GS81" s="5" t="str">
        <f t="array" ref="GS81">IFERROR(IF('T1'!$J81="",INDEX(LISTA_EX,199),INDEX(LISTA_EX,MATCH('T1'!$J81&amp;"|"&amp;199,LISTA_KLUCZ,0))),"")</f>
        <v/>
      </c>
      <c r="GT81" s="5" t="str">
        <f t="array" ref="GT81">IFERROR(IF('T1'!$J81="",INDEX(LISTA_EX,200),INDEX(LISTA_EX,MATCH('T1'!$J81&amp;"|"&amp;200,LISTA_KLUCZ,0))),"")</f>
        <v/>
      </c>
      <c r="GV81" s="5" t="str">
        <f>IF(BAZA!$A81="","",BAZA!$A81)</f>
        <v>Hip flexors cable</v>
      </c>
      <c r="GW81" s="5" t="str">
        <f>IF(BAZA!$B81="","",BAZA!$B81&amp;"|"&amp;COUNTIF(BAZA!$B$3:$B81,BAZA!$B81))</f>
        <v>Lower push|14</v>
      </c>
    </row>
    <row r="82" ht="15.0" customHeight="1">
      <c r="A82" s="5" t="str">
        <f>IF('T1'!$K82="","",'T1'!$K82)</f>
        <v>D5-S12</v>
      </c>
      <c r="B82" s="5" t="str">
        <f>IF('T1'!$J82="","(wszystkie)",'T1'!$J82)</f>
        <v>(wszystkie)</v>
      </c>
      <c r="C82" s="5" t="str">
        <f t="array" ref="C82">IFERROR(IF('T1'!$J82="",INDEX(LISTA_EX,1),INDEX(LISTA_EX,MATCH('T1'!$J82&amp;"|"&amp;1,LISTA_KLUCZ,0))),"")</f>
        <v>Abduction machine</v>
      </c>
      <c r="D82" s="5" t="str">
        <f t="array" ref="D82">IFERROR(IF('T1'!$J82="",INDEX(LISTA_EX,2),INDEX(LISTA_EX,MATCH('T1'!$J82&amp;"|"&amp;2,LISTA_KLUCZ,0))),"")</f>
        <v>Adduction machine</v>
      </c>
      <c r="E82" s="5" t="str">
        <f t="array" ref="E82">IFERROR(IF('T1'!$J82="",INDEX(LISTA_EX,3),INDEX(LISTA_EX,MATCH('T1'!$J82&amp;"|"&amp;3,LISTA_KLUCZ,0))),"")</f>
        <v>Allah</v>
      </c>
      <c r="F82" s="5" t="str">
        <f t="array" ref="F82">IFERROR(IF('T1'!$J82="",INDEX(LISTA_EX,4),INDEX(LISTA_EX,MATCH('T1'!$J82&amp;"|"&amp;4,LISTA_KLUCZ,0))),"")</f>
        <v>Arnold press</v>
      </c>
      <c r="G82" s="5" t="str">
        <f t="array" ref="G82">IFERROR(IF('T1'!$J82="",INDEX(LISTA_EX,5),INDEX(LISTA_EX,MATCH('T1'!$J82&amp;"|"&amp;5,LISTA_KLUCZ,0))),"")</f>
        <v>Arnold press alternating</v>
      </c>
      <c r="H82" s="5" t="str">
        <f t="array" ref="H82">IFERROR(IF('T1'!$J82="",INDEX(LISTA_EX,6),INDEX(LISTA_EX,MATCH('T1'!$J82&amp;"|"&amp;6,LISTA_KLUCZ,0))),"")</f>
        <v>B/l dragonflag eccentric</v>
      </c>
      <c r="I82" s="5" t="str">
        <f t="array" ref="I82">IFERROR(IF('T1'!$J82="",INDEX(LISTA_EX,7),INDEX(LISTA_EX,MATCH('T1'!$J82&amp;"|"&amp;7,LISTA_KLUCZ,0))),"")</f>
        <v>Back extension</v>
      </c>
      <c r="J82" s="5" t="str">
        <f t="array" ref="J82">IFERROR(IF('T1'!$J82="",INDEX(LISTA_EX,8),INDEX(LISTA_EX,MATCH('T1'!$J82&amp;"|"&amp;8,LISTA_KLUCZ,0))),"")</f>
        <v>Banded pistol squat</v>
      </c>
      <c r="K82" s="5" t="str">
        <f t="array" ref="K82">IFERROR(IF('T1'!$J82="",INDEX(LISTA_EX,9),INDEX(LISTA_EX,MATCH('T1'!$J82&amp;"|"&amp;9,LISTA_KLUCZ,0))),"")</f>
        <v>Banded pull ups</v>
      </c>
      <c r="L82" s="5" t="str">
        <f t="array" ref="L82">IFERROR(IF('T1'!$J82="",INDEX(LISTA_EX,10),INDEX(LISTA_EX,MATCH('T1'!$J82&amp;"|"&amp;10,LISTA_KLUCZ,0))),"")</f>
        <v>Barbell back squat</v>
      </c>
      <c r="M82" s="5" t="str">
        <f t="array" ref="M82">IFERROR(IF('T1'!$J82="",INDEX(LISTA_EX,11),INDEX(LISTA_EX,MATCH('T1'!$J82&amp;"|"&amp;11,LISTA_KLUCZ,0))),"")</f>
        <v>Barbell bench press</v>
      </c>
      <c r="N82" s="5" t="str">
        <f t="array" ref="N82">IFERROR(IF('T1'!$J82="",INDEX(LISTA_EX,12),INDEX(LISTA_EX,MATCH('T1'!$J82&amp;"|"&amp;12,LISTA_KLUCZ,0))),"")</f>
        <v>Barbell curl</v>
      </c>
      <c r="O82" s="5" t="str">
        <f t="array" ref="O82">IFERROR(IF('T1'!$J82="",INDEX(LISTA_EX,13),INDEX(LISTA_EX,MATCH('T1'!$J82&amp;"|"&amp;13,LISTA_KLUCZ,0))),"")</f>
        <v>Barbell low bar squat</v>
      </c>
      <c r="P82" s="5" t="str">
        <f t="array" ref="P82">IFERROR(IF('T1'!$J82="",INDEX(LISTA_EX,14),INDEX(LISTA_EX,MATCH('T1'!$J82&amp;"|"&amp;14,LISTA_KLUCZ,0))),"")</f>
        <v>Barbell OHP</v>
      </c>
      <c r="Q82" s="5" t="str">
        <f t="array" ref="Q82">IFERROR(IF('T1'!$J82="",INDEX(LISTA_EX,15),INDEX(LISTA_EX,MATCH('T1'!$J82&amp;"|"&amp;15,LISTA_KLUCZ,0))),"")</f>
        <v>Barbell oscilation</v>
      </c>
      <c r="R82" s="5" t="str">
        <f t="array" ref="R82">IFERROR(IF('T1'!$J82="",INDEX(LISTA_EX,16),INDEX(LISTA_EX,MATCH('T1'!$J82&amp;"|"&amp;16,LISTA_KLUCZ,0))),"")</f>
        <v>Barbell row</v>
      </c>
      <c r="S82" s="5" t="str">
        <f t="array" ref="S82">IFERROR(IF('T1'!$J82="",INDEX(LISTA_EX,17),INDEX(LISTA_EX,MATCH('T1'!$J82&amp;"|"&amp;17,LISTA_KLUCZ,0))),"")</f>
        <v>Barbell row dead stop pins</v>
      </c>
      <c r="T82" s="5" t="str">
        <f t="array" ref="T82">IFERROR(IF('T1'!$J82="",INDEX(LISTA_EX,18),INDEX(LISTA_EX,MATCH('T1'!$J82&amp;"|"&amp;18,LISTA_KLUCZ,0))),"")</f>
        <v>Barbell SLDL</v>
      </c>
      <c r="U82" s="5" t="str">
        <f t="array" ref="U82">IFERROR(IF('T1'!$J82="",INDEX(LISTA_EX,19),INDEX(LISTA_EX,MATCH('T1'!$J82&amp;"|"&amp;19,LISTA_KLUCZ,0))),"")</f>
        <v>Bayesian curl</v>
      </c>
      <c r="V82" s="5" t="str">
        <f t="array" ref="V82">IFERROR(IF('T1'!$J82="",INDEX(LISTA_EX,20),INDEX(LISTA_EX,MATCH('T1'!$J82&amp;"|"&amp;20,LISTA_KLUCZ,0))),"")</f>
        <v>Bear renegade row</v>
      </c>
      <c r="W82" s="5" t="str">
        <f t="array" ref="W82">IFERROR(IF('T1'!$J82="",INDEX(LISTA_EX,21),INDEX(LISTA_EX,MATCH('T1'!$J82&amp;"|"&amp;21,LISTA_KLUCZ,0))),"")</f>
        <v>Bench press paused 3sec</v>
      </c>
      <c r="X82" s="5" t="str">
        <f t="array" ref="X82">IFERROR(IF('T1'!$J82="",INDEX(LISTA_EX,22),INDEX(LISTA_EX,MATCH('T1'!$J82&amp;"|"&amp;22,LISTA_KLUCZ,0))),"")</f>
        <v>Bicep hammer curl</v>
      </c>
      <c r="Y82" s="5" t="str">
        <f t="array" ref="Y82">IFERROR(IF('T1'!$J82="",INDEX(LISTA_EX,23),INDEX(LISTA_EX,MATCH('T1'!$J82&amp;"|"&amp;23,LISTA_KLUCZ,0))),"")</f>
        <v>Bicep squat cable curl</v>
      </c>
      <c r="Z82" s="5" t="str">
        <f t="array" ref="Z82">IFERROR(IF('T1'!$J82="",INDEX(LISTA_EX,24),INDEX(LISTA_EX,MATCH('T1'!$J82&amp;"|"&amp;24,LISTA_KLUCZ,0))),"")</f>
        <v>Bird dog row</v>
      </c>
      <c r="AA82" s="5" t="str">
        <f t="array" ref="AA82">IFERROR(IF('T1'!$J82="",INDEX(LISTA_EX,25),INDEX(LISTA_EX,MATCH('T1'!$J82&amp;"|"&amp;25,LISTA_KLUCZ,0))),"")</f>
        <v>Box jump</v>
      </c>
      <c r="AB82" s="5" t="str">
        <f t="array" ref="AB82">IFERROR(IF('T1'!$J82="",INDEX(LISTA_EX,26),INDEX(LISTA_EX,MATCH('T1'!$J82&amp;"|"&amp;26,LISTA_KLUCZ,0))),"")</f>
        <v>Bulgarian clean plyo</v>
      </c>
      <c r="AC82" s="5" t="str">
        <f t="array" ref="AC82">IFERROR(IF('T1'!$J82="",INDEX(LISTA_EX,27),INDEX(LISTA_EX,MATCH('T1'!$J82&amp;"|"&amp;27,LISTA_KLUCZ,0))),"")</f>
        <v>Bulgarian squat assisted</v>
      </c>
      <c r="AD82" s="5" t="str">
        <f t="array" ref="AD82">IFERROR(IF('T1'!$J82="",INDEX(LISTA_EX,28),INDEX(LISTA_EX,MATCH('T1'!$J82&amp;"|"&amp;28,LISTA_KLUCZ,0))),"")</f>
        <v>Cable biceps curl</v>
      </c>
      <c r="AE82" s="5" t="str">
        <f t="array" ref="AE82">IFERROR(IF('T1'!$J82="",INDEX(LISTA_EX,29),INDEX(LISTA_EX,MATCH('T1'!$J82&amp;"|"&amp;29,LISTA_KLUCZ,0))),"")</f>
        <v>Cable fly</v>
      </c>
      <c r="AF82" s="5" t="str">
        <f t="array" ref="AF82">IFERROR(IF('T1'!$J82="",INDEX(LISTA_EX,30),INDEX(LISTA_EX,MATCH('T1'!$J82&amp;"|"&amp;30,LISTA_KLUCZ,0))),"")</f>
        <v>Cable lateral raise s/a</v>
      </c>
      <c r="AG82" s="5" t="str">
        <f t="array" ref="AG82">IFERROR(IF('T1'!$J82="",INDEX(LISTA_EX,31),INDEX(LISTA_EX,MATCH('T1'!$J82&amp;"|"&amp;31,LISTA_KLUCZ,0))),"")</f>
        <v>Cable row</v>
      </c>
      <c r="AH82" s="5" t="str">
        <f t="array" ref="AH82">IFERROR(IF('T1'!$J82="",INDEX(LISTA_EX,32),INDEX(LISTA_EX,MATCH('T1'!$J82&amp;"|"&amp;32,LISTA_KLUCZ,0))),"")</f>
        <v>Cable row s/a</v>
      </c>
      <c r="AI82" s="5" t="str">
        <f t="array" ref="AI82">IFERROR(IF('T1'!$J82="",INDEX(LISTA_EX,33),INDEX(LISTA_EX,MATCH('T1'!$J82&amp;"|"&amp;33,LISTA_KLUCZ,0))),"")</f>
        <v>Calf raises</v>
      </c>
      <c r="AJ82" s="5" t="str">
        <f t="array" ref="AJ82">IFERROR(IF('T1'!$J82="",INDEX(LISTA_EX,34),INDEX(LISTA_EX,MATCH('T1'!$J82&amp;"|"&amp;34,LISTA_KLUCZ,0))),"")</f>
        <v>Chest fly machine</v>
      </c>
      <c r="AK82" s="5" t="str">
        <f t="array" ref="AK82">IFERROR(IF('T1'!$J82="",INDEX(LISTA_EX,35),INDEX(LISTA_EX,MATCH('T1'!$J82&amp;"|"&amp;35,LISTA_KLUCZ,0))),"")</f>
        <v>Clean</v>
      </c>
      <c r="AL82" s="5" t="str">
        <f t="array" ref="AL82">IFERROR(IF('T1'!$J82="",INDEX(LISTA_EX,36),INDEX(LISTA_EX,MATCH('T1'!$J82&amp;"|"&amp;36,LISTA_KLUCZ,0))),"")</f>
        <v>Clean pins</v>
      </c>
      <c r="AM82" s="5" t="str">
        <f t="array" ref="AM82">IFERROR(IF('T1'!$J82="",INDEX(LISTA_EX,37),INDEX(LISTA_EX,MATCH('T1'!$J82&amp;"|"&amp;37,LISTA_KLUCZ,0))),"")</f>
        <v>Copenhagen plank</v>
      </c>
      <c r="AN82" s="5" t="str">
        <f t="array" ref="AN82">IFERROR(IF('T1'!$J82="",INDEX(LISTA_EX,38),INDEX(LISTA_EX,MATCH('T1'!$J82&amp;"|"&amp;38,LISTA_KLUCZ,0))),"")</f>
        <v>Dead bug izo + OH</v>
      </c>
      <c r="AO82" s="5" t="str">
        <f t="array" ref="AO82">IFERROR(IF('T1'!$J82="",INDEX(LISTA_EX,39),INDEX(LISTA_EX,MATCH('T1'!$J82&amp;"|"&amp;39,LISTA_KLUCZ,0))),"")</f>
        <v>Dead bug straight legs</v>
      </c>
      <c r="AP82" s="5" t="str">
        <f t="array" ref="AP82">IFERROR(IF('T1'!$J82="",INDEX(LISTA_EX,40),INDEX(LISTA_EX,MATCH('T1'!$J82&amp;"|"&amp;40,LISTA_KLUCZ,0))),"")</f>
        <v>Dead stop barbell row</v>
      </c>
      <c r="AQ82" s="5" t="str">
        <f t="array" ref="AQ82">IFERROR(IF('T1'!$J82="",INDEX(LISTA_EX,41),INDEX(LISTA_EX,MATCH('T1'!$J82&amp;"|"&amp;41,LISTA_KLUCZ,0))),"")</f>
        <v>Deadbug OH</v>
      </c>
      <c r="AR82" s="5" t="str">
        <f t="array" ref="AR82">IFERROR(IF('T1'!$J82="",INDEX(LISTA_EX,42),INDEX(LISTA_EX,MATCH('T1'!$J82&amp;"|"&amp;42,LISTA_KLUCZ,0))),"")</f>
        <v>Deadlift</v>
      </c>
      <c r="AS82" s="5" t="str">
        <f t="array" ref="AS82">IFERROR(IF('T1'!$J82="",INDEX(LISTA_EX,43),INDEX(LISTA_EX,MATCH('T1'!$J82&amp;"|"&amp;43,LISTA_KLUCZ,0))),"")</f>
        <v>Deficit push up</v>
      </c>
      <c r="AT82" s="5" t="str">
        <f t="array" ref="AT82">IFERROR(IF('T1'!$J82="",INDEX(LISTA_EX,44),INDEX(LISTA_EX,MATCH('T1'!$J82&amp;"|"&amp;44,LISTA_KLUCZ,0))),"")</f>
        <v>Deficit reverse lunge</v>
      </c>
      <c r="AU82" s="5" t="str">
        <f t="array" ref="AU82">IFERROR(IF('T1'!$J82="",INDEX(LISTA_EX,45),INDEX(LISTA_EX,MATCH('T1'!$J82&amp;"|"&amp;45,LISTA_KLUCZ,0))),"")</f>
        <v>Dips</v>
      </c>
      <c r="AV82" s="5" t="str">
        <f t="array" ref="AV82">IFERROR(IF('T1'!$J82="",INDEX(LISTA_EX,46),INDEX(LISTA_EX,MATCH('T1'!$J82&amp;"|"&amp;46,LISTA_KLUCZ,0))),"")</f>
        <v>Dips weighted</v>
      </c>
      <c r="AW82" s="5" t="str">
        <f t="array" ref="AW82">IFERROR(IF('T1'!$J82="",INDEX(LISTA_EX,47),INDEX(LISTA_EX,MATCH('T1'!$J82&amp;"|"&amp;47,LISTA_KLUCZ,0))),"")</f>
        <v>Dumbbell bench press</v>
      </c>
      <c r="AX82" s="5" t="str">
        <f t="array" ref="AX82">IFERROR(IF('T1'!$J82="",INDEX(LISTA_EX,48),INDEX(LISTA_EX,MATCH('T1'!$J82&amp;"|"&amp;48,LISTA_KLUCZ,0))),"")</f>
        <v>Dumbbell bench press alternating</v>
      </c>
      <c r="AY82" s="5" t="str">
        <f t="array" ref="AY82">IFERROR(IF('T1'!$J82="",INDEX(LISTA_EX,49),INDEX(LISTA_EX,MATCH('T1'!$J82&amp;"|"&amp;49,LISTA_KLUCZ,0))),"")</f>
        <v>Dumbbell curl</v>
      </c>
      <c r="AZ82" s="5" t="str">
        <f t="array" ref="AZ82">IFERROR(IF('T1'!$J82="",INDEX(LISTA_EX,50),INDEX(LISTA_EX,MATCH('T1'!$J82&amp;"|"&amp;50,LISTA_KLUCZ,0))),"")</f>
        <v>Dumbbell external rotation</v>
      </c>
      <c r="BA82" s="5" t="str">
        <f t="array" ref="BA82">IFERROR(IF('T1'!$J82="",INDEX(LISTA_EX,51),INDEX(LISTA_EX,MATCH('T1'!$J82&amp;"|"&amp;51,LISTA_KLUCZ,0))),"")</f>
        <v>Dumbbell face down curl</v>
      </c>
      <c r="BB82" s="5" t="str">
        <f t="array" ref="BB82">IFERROR(IF('T1'!$J82="",INDEX(LISTA_EX,52),INDEX(LISTA_EX,MATCH('T1'!$J82&amp;"|"&amp;52,LISTA_KLUCZ,0))),"")</f>
        <v>Dumbbell fly</v>
      </c>
      <c r="BC82" s="5" t="str">
        <f t="array" ref="BC82">IFERROR(IF('T1'!$J82="",INDEX(LISTA_EX,53),INDEX(LISTA_EX,MATCH('T1'!$J82&amp;"|"&amp;53,LISTA_KLUCZ,0))),"")</f>
        <v>Dumbbell french press</v>
      </c>
      <c r="BD82" s="5" t="str">
        <f t="array" ref="BD82">IFERROR(IF('T1'!$J82="",INDEX(LISTA_EX,54),INDEX(LISTA_EX,MATCH('T1'!$J82&amp;"|"&amp;54,LISTA_KLUCZ,0))),"")</f>
        <v>Dumbbell lateral raise</v>
      </c>
      <c r="BE82" s="5" t="str">
        <f t="array" ref="BE82">IFERROR(IF('T1'!$J82="",INDEX(LISTA_EX,55),INDEX(LISTA_EX,MATCH('T1'!$J82&amp;"|"&amp;55,LISTA_KLUCZ,0))),"")</f>
        <v>Dumbbell lunges</v>
      </c>
      <c r="BF82" s="5" t="str">
        <f t="array" ref="BF82">IFERROR(IF('T1'!$J82="",INDEX(LISTA_EX,56),INDEX(LISTA_EX,MATCH('T1'!$J82&amp;"|"&amp;56,LISTA_KLUCZ,0))),"")</f>
        <v>Dumbbell OH press</v>
      </c>
      <c r="BG82" s="5" t="str">
        <f t="array" ref="BG82">IFERROR(IF('T1'!$J82="",INDEX(LISTA_EX,57),INDEX(LISTA_EX,MATCH('T1'!$J82&amp;"|"&amp;57,LISTA_KLUCZ,0))),"")</f>
        <v>Dumbbell over head press</v>
      </c>
      <c r="BH82" s="5" t="str">
        <f t="array" ref="BH82">IFERROR(IF('T1'!$J82="",INDEX(LISTA_EX,58),INDEX(LISTA_EX,MATCH('T1'!$J82&amp;"|"&amp;58,LISTA_KLUCZ,0))),"")</f>
        <v>Dumbbell over head press alternating</v>
      </c>
      <c r="BI82" s="5" t="str">
        <f t="array" ref="BI82">IFERROR(IF('T1'!$J82="",INDEX(LISTA_EX,59),INDEX(LISTA_EX,MATCH('T1'!$J82&amp;"|"&amp;59,LISTA_KLUCZ,0))),"")</f>
        <v>Dumbbell row</v>
      </c>
      <c r="BJ82" s="5" t="str">
        <f t="array" ref="BJ82">IFERROR(IF('T1'!$J82="",INDEX(LISTA_EX,60),INDEX(LISTA_EX,MATCH('T1'!$J82&amp;"|"&amp;60,LISTA_KLUCZ,0))),"")</f>
        <v>Dumbbell s/a Arnold press</v>
      </c>
      <c r="BK82" s="5" t="str">
        <f t="array" ref="BK82">IFERROR(IF('T1'!$J82="",INDEX(LISTA_EX,61),INDEX(LISTA_EX,MATCH('T1'!$J82&amp;"|"&amp;61,LISTA_KLUCZ,0))),"")</f>
        <v>Dumbbell s/a row</v>
      </c>
      <c r="BL82" s="5" t="str">
        <f t="array" ref="BL82">IFERROR(IF('T1'!$J82="",INDEX(LISTA_EX,62),INDEX(LISTA_EX,MATCH('T1'!$J82&amp;"|"&amp;62,LISTA_KLUCZ,0))),"")</f>
        <v>Dumbbell seal row</v>
      </c>
      <c r="BM82" s="5" t="str">
        <f t="array" ref="BM82">IFERROR(IF('T1'!$J82="",INDEX(LISTA_EX,63),INDEX(LISTA_EX,MATCH('T1'!$J82&amp;"|"&amp;63,LISTA_KLUCZ,0))),"")</f>
        <v>Dumbbells jumps</v>
      </c>
      <c r="BN82" s="5" t="str">
        <f t="array" ref="BN82">IFERROR(IF('T1'!$J82="",INDEX(LISTA_EX,64),INDEX(LISTA_EX,MATCH('T1'!$J82&amp;"|"&amp;64,LISTA_KLUCZ,0))),"")</f>
        <v>Eccentric pull up</v>
      </c>
      <c r="BO82" s="5" t="str">
        <f t="array" ref="BO82">IFERROR(IF('T1'!$J82="",INDEX(LISTA_EX,65),INDEX(LISTA_EX,MATCH('T1'!$J82&amp;"|"&amp;65,LISTA_KLUCZ,0))),"")</f>
        <v>Eccentric push up (5 sek w dół)</v>
      </c>
      <c r="BP82" s="5" t="str">
        <f t="array" ref="BP82">IFERROR(IF('T1'!$J82="",INDEX(LISTA_EX,66),INDEX(LISTA_EX,MATCH('T1'!$J82&amp;"|"&amp;66,LISTA_KLUCZ,0))),"")</f>
        <v>Extensive plyo jumps s/l</v>
      </c>
      <c r="BQ82" s="5" t="str">
        <f t="array" ref="BQ82">IFERROR(IF('T1'!$J82="",INDEX(LISTA_EX,67),INDEX(LISTA_EX,MATCH('T1'!$J82&amp;"|"&amp;67,LISTA_KLUCZ,0))),"")</f>
        <v>Ez bar curl</v>
      </c>
      <c r="BR82" s="5" t="str">
        <f t="array" ref="BR82">IFERROR(IF('T1'!$J82="",INDEX(LISTA_EX,68),INDEX(LISTA_EX,MATCH('T1'!$J82&amp;"|"&amp;68,LISTA_KLUCZ,0))),"")</f>
        <v>Facepull chest supported</v>
      </c>
      <c r="BS82" s="5" t="str">
        <f t="array" ref="BS82">IFERROR(IF('T1'!$J82="",INDEX(LISTA_EX,69),INDEX(LISTA_EX,MATCH('T1'!$J82&amp;"|"&amp;69,LISTA_KLUCZ,0))),"")</f>
        <v>Front foot elevated split squat</v>
      </c>
      <c r="BT82" s="5" t="str">
        <f t="array" ref="BT82">IFERROR(IF('T1'!$J82="",INDEX(LISTA_EX,70),INDEX(LISTA_EX,MATCH('T1'!$J82&amp;"|"&amp;70,LISTA_KLUCZ,0))),"")</f>
        <v>Front squat</v>
      </c>
      <c r="BU82" s="5" t="str">
        <f t="array" ref="BU82">IFERROR(IF('T1'!$J82="",INDEX(LISTA_EX,71),INDEX(LISTA_EX,MATCH('T1'!$J82&amp;"|"&amp;71,LISTA_KLUCZ,0))),"")</f>
        <v>GHD flexion</v>
      </c>
      <c r="BV82" s="5" t="str">
        <f t="array" ref="BV82">IFERROR(IF('T1'!$J82="",INDEX(LISTA_EX,72),INDEX(LISTA_EX,MATCH('T1'!$J82&amp;"|"&amp;72,LISTA_KLUCZ,0))),"")</f>
        <v>Glute bridge hamstrings izo + OH</v>
      </c>
      <c r="BW82" s="5" t="str">
        <f t="array" ref="BW82">IFERROR(IF('T1'!$J82="",INDEX(LISTA_EX,73),INDEX(LISTA_EX,MATCH('T1'!$J82&amp;"|"&amp;73,LISTA_KLUCZ,0))),"")</f>
        <v>Glute crusher</v>
      </c>
      <c r="BX82" s="5" t="str">
        <f t="array" ref="BX82">IFERROR(IF('T1'!$J82="",INDEX(LISTA_EX,74),INDEX(LISTA_EX,MATCH('T1'!$J82&amp;"|"&amp;74,LISTA_KLUCZ,0))),"")</f>
        <v>Gorilla row</v>
      </c>
      <c r="BY82" s="5" t="str">
        <f t="array" ref="BY82">IFERROR(IF('T1'!$J82="",INDEX(LISTA_EX,75),INDEX(LISTA_EX,MATCH('T1'!$J82&amp;"|"&amp;75,LISTA_KLUCZ,0))),"")</f>
        <v>Halfkneeling s/a cable pull</v>
      </c>
      <c r="BZ82" s="5" t="str">
        <f t="array" ref="BZ82">IFERROR(IF('T1'!$J82="",INDEX(LISTA_EX,76),INDEX(LISTA_EX,MATCH('T1'!$J82&amp;"|"&amp;76,LISTA_KLUCZ,0))),"")</f>
        <v>Halfkneeling wood chopper</v>
      </c>
      <c r="CA82" s="5" t="str">
        <f t="array" ref="CA82">IFERROR(IF('T1'!$J82="",INDEX(LISTA_EX,77),INDEX(LISTA_EX,MATCH('T1'!$J82&amp;"|"&amp;77,LISTA_KLUCZ,0))),"")</f>
        <v>Hinged dumbbell row</v>
      </c>
      <c r="CB82" s="5" t="str">
        <f t="array" ref="CB82">IFERROR(IF('T1'!$J82="",INDEX(LISTA_EX,78),INDEX(LISTA_EX,MATCH('T1'!$J82&amp;"|"&amp;78,LISTA_KLUCZ,0))),"")</f>
        <v>Hip aeroplane</v>
      </c>
      <c r="CC82" s="5" t="str">
        <f t="array" ref="CC82">IFERROR(IF('T1'!$J82="",INDEX(LISTA_EX,79),INDEX(LISTA_EX,MATCH('T1'!$J82&amp;"|"&amp;79,LISTA_KLUCZ,0))),"")</f>
        <v>Hip flexors cable</v>
      </c>
      <c r="CD82" s="5" t="str">
        <f t="array" ref="CD82">IFERROR(IF('T1'!$J82="",INDEX(LISTA_EX,80),INDEX(LISTA_EX,MATCH('T1'!$J82&amp;"|"&amp;80,LISTA_KLUCZ,0))),"")</f>
        <v>Hip thrust barbell</v>
      </c>
      <c r="CE82" s="5" t="str">
        <f t="array" ref="CE82">IFERROR(IF('T1'!$J82="",INDEX(LISTA_EX,81),INDEX(LISTA_EX,MATCH('T1'!$J82&amp;"|"&amp;81,LISTA_KLUCZ,0))),"")</f>
        <v>Hollow body + OH</v>
      </c>
      <c r="CF82" s="5" t="str">
        <f t="array" ref="CF82">IFERROR(IF('T1'!$J82="",INDEX(LISTA_EX,82),INDEX(LISTA_EX,MATCH('T1'!$J82&amp;"|"&amp;82,LISTA_KLUCZ,0))),"")</f>
        <v>Horizontal jump</v>
      </c>
      <c r="CG82" s="5" t="str">
        <f t="array" ref="CG82">IFERROR(IF('T1'!$J82="",INDEX(LISTA_EX,83),INDEX(LISTA_EX,MATCH('T1'!$J82&amp;"|"&amp;83,LISTA_KLUCZ,0))),"")</f>
        <v>Incline bench lateral raise s/a</v>
      </c>
      <c r="CH82" s="5" t="str">
        <f t="array" ref="CH82">IFERROR(IF('T1'!$J82="",INDEX(LISTA_EX,84),INDEX(LISTA_EX,MATCH('T1'!$J82&amp;"|"&amp;84,LISTA_KLUCZ,0))),"")</f>
        <v>Incline curl + OHP</v>
      </c>
      <c r="CI82" s="5" t="str">
        <f t="array" ref="CI82">IFERROR(IF('T1'!$J82="",INDEX(LISTA_EX,85),INDEX(LISTA_EX,MATCH('T1'!$J82&amp;"|"&amp;85,LISTA_KLUCZ,0))),"")</f>
        <v>Incline dumbbell curl</v>
      </c>
      <c r="CJ82" s="5" t="str">
        <f t="array" ref="CJ82">IFERROR(IF('T1'!$J82="",INDEX(LISTA_EX,86),INDEX(LISTA_EX,MATCH('T1'!$J82&amp;"|"&amp;86,LISTA_KLUCZ,0))),"")</f>
        <v>Incline dumbbell curl (back)</v>
      </c>
      <c r="CK82" s="5" t="str">
        <f t="array" ref="CK82">IFERROR(IF('T1'!$J82="",INDEX(LISTA_EX,87),INDEX(LISTA_EX,MATCH('T1'!$J82&amp;"|"&amp;87,LISTA_KLUCZ,0))),"")</f>
        <v>Incline dumbbell curl (front)</v>
      </c>
      <c r="CL82" s="5" t="str">
        <f t="array" ref="CL82">IFERROR(IF('T1'!$J82="",INDEX(LISTA_EX,88),INDEX(LISTA_EX,MATCH('T1'!$J82&amp;"|"&amp;88,LISTA_KLUCZ,0))),"")</f>
        <v>Incline dumbbell fly</v>
      </c>
      <c r="CM82" s="5" t="str">
        <f t="array" ref="CM82">IFERROR(IF('T1'!$J82="",INDEX(LISTA_EX,89),INDEX(LISTA_EX,MATCH('T1'!$J82&amp;"|"&amp;89,LISTA_KLUCZ,0))),"")</f>
        <v>Incline dumbbell press</v>
      </c>
      <c r="CN82" s="5" t="str">
        <f t="array" ref="CN82">IFERROR(IF('T1'!$J82="",INDEX(LISTA_EX,90),INDEX(LISTA_EX,MATCH('T1'!$J82&amp;"|"&amp;90,LISTA_KLUCZ,0))),"")</f>
        <v>Incline dumbbell press alternating</v>
      </c>
      <c r="CO82" s="5" t="str">
        <f t="array" ref="CO82">IFERROR(IF('T1'!$J82="",INDEX(LISTA_EX,91),INDEX(LISTA_EX,MATCH('T1'!$J82&amp;"|"&amp;91,LISTA_KLUCZ,0))),"")</f>
        <v>Incline sit-ups</v>
      </c>
      <c r="CP82" s="5" t="str">
        <f t="array" ref="CP82">IFERROR(IF('T1'!$J82="",INDEX(LISTA_EX,92),INDEX(LISTA_EX,MATCH('T1'!$J82&amp;"|"&amp;92,LISTA_KLUCZ,0))),"")</f>
        <v>Jefferson cable</v>
      </c>
      <c r="CQ82" s="5" t="str">
        <f t="array" ref="CQ82">IFERROR(IF('T1'!$J82="",INDEX(LISTA_EX,93),INDEX(LISTA_EX,MATCH('T1'!$J82&amp;"|"&amp;93,LISTA_KLUCZ,0))),"")</f>
        <v>Kettlebell march</v>
      </c>
      <c r="CR82" s="5" t="str">
        <f t="array" ref="CR82">IFERROR(IF('T1'!$J82="",INDEX(LISTA_EX,94),INDEX(LISTA_EX,MATCH('T1'!$J82&amp;"|"&amp;94,LISTA_KLUCZ,0))),"")</f>
        <v>Kickbacks</v>
      </c>
      <c r="CS82" s="5" t="str">
        <f t="array" ref="CS82">IFERROR(IF('T1'!$J82="",INDEX(LISTA_EX,95),INDEX(LISTA_EX,MATCH('T1'!$J82&amp;"|"&amp;95,LISTA_KLUCZ,0))),"")</f>
        <v>Knee extension machine</v>
      </c>
      <c r="CT82" s="5" t="str">
        <f t="array" ref="CT82">IFERROR(IF('T1'!$J82="",INDEX(LISTA_EX,96),INDEX(LISTA_EX,MATCH('T1'!$J82&amp;"|"&amp;96,LISTA_KLUCZ,0))),"")</f>
        <v>Knee flexion machine</v>
      </c>
      <c r="CU82" s="5" t="str">
        <f t="array" ref="CU82">IFERROR(IF('T1'!$J82="",INDEX(LISTA_EX,97),INDEX(LISTA_EX,MATCH('T1'!$J82&amp;"|"&amp;97,LISTA_KLUCZ,0))),"")</f>
        <v>Knee raises</v>
      </c>
      <c r="CV82" s="5" t="str">
        <f t="array" ref="CV82">IFERROR(IF('T1'!$J82="",INDEX(LISTA_EX,98),INDEX(LISTA_EX,MATCH('T1'!$J82&amp;"|"&amp;98,LISTA_KLUCZ,0))),"")</f>
        <v>Landmine core</v>
      </c>
      <c r="CW82" s="5" t="str">
        <f t="array" ref="CW82">IFERROR(IF('T1'!$J82="",INDEX(LISTA_EX,99),INDEX(LISTA_EX,MATCH('T1'!$J82&amp;"|"&amp;99,LISTA_KLUCZ,0))),"")</f>
        <v>Landmine press</v>
      </c>
      <c r="CX82" s="5" t="str">
        <f t="array" ref="CX82">IFERROR(IF('T1'!$J82="",INDEX(LISTA_EX,100),INDEX(LISTA_EX,MATCH('T1'!$J82&amp;"|"&amp;100,LISTA_KLUCZ,0))),"")</f>
        <v>Landmine rotations (powtórzenia x2)</v>
      </c>
      <c r="CY82" s="5" t="str">
        <f t="array" ref="CY82">IFERROR(IF('T1'!$J82="",INDEX(LISTA_EX,101),INDEX(LISTA_EX,MATCH('T1'!$J82&amp;"|"&amp;101,LISTA_KLUCZ,0))),"")</f>
        <v>Landmine SLDL</v>
      </c>
      <c r="CZ82" s="5" t="str">
        <f t="array" ref="CZ82">IFERROR(IF('T1'!$J82="",INDEX(LISTA_EX,102),INDEX(LISTA_EX,MATCH('T1'!$J82&amp;"|"&amp;102,LISTA_KLUCZ,0))),"")</f>
        <v>Lat pulldown</v>
      </c>
      <c r="DA82" s="5" t="str">
        <f t="array" ref="DA82">IFERROR(IF('T1'!$J82="",INDEX(LISTA_EX,103),INDEX(LISTA_EX,MATCH('T1'!$J82&amp;"|"&amp;103,LISTA_KLUCZ,0))),"")</f>
        <v>Lat pulldown behind the head</v>
      </c>
      <c r="DB82" s="5" t="str">
        <f t="array" ref="DB82">IFERROR(IF('T1'!$J82="",INDEX(LISTA_EX,104),INDEX(LISTA_EX,MATCH('T1'!$J82&amp;"|"&amp;104,LISTA_KLUCZ,0))),"")</f>
        <v>Lat pulldown s/a</v>
      </c>
      <c r="DC82" s="5" t="str">
        <f t="array" ref="DC82">IFERROR(IF('T1'!$J82="",INDEX(LISTA_EX,105),INDEX(LISTA_EX,MATCH('T1'!$J82&amp;"|"&amp;105,LISTA_KLUCZ,0))),"")</f>
        <v>Lateral raise s/a</v>
      </c>
      <c r="DD82" s="5" t="str">
        <f t="array" ref="DD82">IFERROR(IF('T1'!$J82="",INDEX(LISTA_EX,106),INDEX(LISTA_EX,MATCH('T1'!$J82&amp;"|"&amp;106,LISTA_KLUCZ,0))),"")</f>
        <v>Lateral raises</v>
      </c>
      <c r="DE82" s="5" t="str">
        <f t="array" ref="DE82">IFERROR(IF('T1'!$J82="",INDEX(LISTA_EX,107),INDEX(LISTA_EX,MATCH('T1'!$J82&amp;"|"&amp;107,LISTA_KLUCZ,0))),"")</f>
        <v>Lateral raises 2</v>
      </c>
      <c r="DF82" s="5" t="str">
        <f t="array" ref="DF82">IFERROR(IF('T1'!$J82="",INDEX(LISTA_EX,108),INDEX(LISTA_EX,MATCH('T1'!$J82&amp;"|"&amp;108,LISTA_KLUCZ,0))),"")</f>
        <v>Lateral raises full ROM</v>
      </c>
      <c r="DG82" s="5" t="str">
        <f t="array" ref="DG82">IFERROR(IF('T1'!$J82="",INDEX(LISTA_EX,109),INDEX(LISTA_EX,MATCH('T1'!$J82&amp;"|"&amp;109,LISTA_KLUCZ,0))),"")</f>
        <v>Lateral raises hinged</v>
      </c>
      <c r="DH82" s="5" t="str">
        <f t="array" ref="DH82">IFERROR(IF('T1'!$J82="",INDEX(LISTA_EX,110),INDEX(LISTA_EX,MATCH('T1'!$J82&amp;"|"&amp;110,LISTA_KLUCZ,0))),"")</f>
        <v>Lateral raises incline s/a</v>
      </c>
      <c r="DI82" s="5" t="str">
        <f t="array" ref="DI82">IFERROR(IF('T1'!$J82="",INDEX(LISTA_EX,111),INDEX(LISTA_EX,MATCH('T1'!$J82&amp;"|"&amp;111,LISTA_KLUCZ,0))),"")</f>
        <v>Leg curl</v>
      </c>
      <c r="DJ82" s="5" t="str">
        <f t="array" ref="DJ82">IFERROR(IF('T1'!$J82="",INDEX(LISTA_EX,112),INDEX(LISTA_EX,MATCH('T1'!$J82&amp;"|"&amp;112,LISTA_KLUCZ,0))),"")</f>
        <v>Machine row</v>
      </c>
      <c r="DK82" s="5" t="str">
        <f t="array" ref="DK82">IFERROR(IF('T1'!$J82="",INDEX(LISTA_EX,113),INDEX(LISTA_EX,MATCH('T1'!$J82&amp;"|"&amp;113,LISTA_KLUCZ,0))),"")</f>
        <v>Machine row s/a</v>
      </c>
      <c r="DL82" s="5" t="str">
        <f t="array" ref="DL82">IFERROR(IF('T1'!$J82="",INDEX(LISTA_EX,114),INDEX(LISTA_EX,MATCH('T1'!$J82&amp;"|"&amp;114,LISTA_KLUCZ,0))),"")</f>
        <v>Meadows row</v>
      </c>
      <c r="DM82" s="5" t="str">
        <f t="array" ref="DM82">IFERROR(IF('T1'!$J82="",INDEX(LISTA_EX,115),INDEX(LISTA_EX,MATCH('T1'!$J82&amp;"|"&amp;115,LISTA_KLUCZ,0))),"")</f>
        <v>Med ball slam</v>
      </c>
      <c r="DN82" s="5" t="str">
        <f t="array" ref="DN82">IFERROR(IF('T1'!$J82="",INDEX(LISTA_EX,116),INDEX(LISTA_EX,MATCH('T1'!$J82&amp;"|"&amp;116,LISTA_KLUCZ,0))),"")</f>
        <v>OH skullcrushers</v>
      </c>
      <c r="DO82" s="5" t="str">
        <f t="array" ref="DO82">IFERROR(IF('T1'!$J82="",INDEX(LISTA_EX,117),INDEX(LISTA_EX,MATCH('T1'!$J82&amp;"|"&amp;117,LISTA_KLUCZ,0))),"")</f>
        <v>OHP barbell squat 15kg</v>
      </c>
      <c r="DP82" s="5" t="str">
        <f t="array" ref="DP82">IFERROR(IF('T1'!$J82="",INDEX(LISTA_EX,118),INDEX(LISTA_EX,MATCH('T1'!$J82&amp;"|"&amp;118,LISTA_KLUCZ,0))),"")</f>
        <v>Pistol squat eccentric</v>
      </c>
      <c r="DQ82" s="5" t="str">
        <f t="array" ref="DQ82">IFERROR(IF('T1'!$J82="",INDEX(LISTA_EX,119),INDEX(LISTA_EX,MATCH('T1'!$J82&amp;"|"&amp;119,LISTA_KLUCZ,0))),"")</f>
        <v>Plank contralateral</v>
      </c>
      <c r="DR82" s="5" t="str">
        <f t="array" ref="DR82">IFERROR(IF('T1'!$J82="",INDEX(LISTA_EX,120),INDEX(LISTA_EX,MATCH('T1'!$J82&amp;"|"&amp;120,LISTA_KLUCZ,0))),"")</f>
        <v>Plank dumbbell rotation</v>
      </c>
      <c r="DS82" s="5" t="str">
        <f t="array" ref="DS82">IFERROR(IF('T1'!$J82="",INDEX(LISTA_EX,121),INDEX(LISTA_EX,MATCH('T1'!$J82&amp;"|"&amp;121,LISTA_KLUCZ,0))),"")</f>
        <v>Plank leg raises</v>
      </c>
      <c r="DT82" s="5" t="str">
        <f t="array" ref="DT82">IFERROR(IF('T1'!$J82="",INDEX(LISTA_EX,122),INDEX(LISTA_EX,MATCH('T1'!$J82&amp;"|"&amp;122,LISTA_KLUCZ,0))),"")</f>
        <v>Poliquin step up</v>
      </c>
      <c r="DU82" s="5" t="str">
        <f t="array" ref="DU82">IFERROR(IF('T1'!$J82="",INDEX(LISTA_EX,123),INDEX(LISTA_EX,MATCH('T1'!$J82&amp;"|"&amp;123,LISTA_KLUCZ,0))),"")</f>
        <v>Poliquin step up paused 3sec</v>
      </c>
      <c r="DV82" s="5" t="str">
        <f t="array" ref="DV82">IFERROR(IF('T1'!$J82="",INDEX(LISTA_EX,124),INDEX(LISTA_EX,MATCH('T1'!$J82&amp;"|"&amp;124,LISTA_KLUCZ,0))),"")</f>
        <v>Pronation/Supination</v>
      </c>
      <c r="DW82" s="5" t="str">
        <f t="array" ref="DW82">IFERROR(IF('T1'!$J82="",INDEX(LISTA_EX,125),INDEX(LISTA_EX,MATCH('T1'!$J82&amp;"|"&amp;125,LISTA_KLUCZ,0))),"")</f>
        <v>Pull up</v>
      </c>
      <c r="DX82" s="5" t="str">
        <f t="array" ref="DX82">IFERROR(IF('T1'!$J82="",INDEX(LISTA_EX,126),INDEX(LISTA_EX,MATCH('T1'!$J82&amp;"|"&amp;126,LISTA_KLUCZ,0))),"")</f>
        <v>Pull up eccentric weighted</v>
      </c>
      <c r="DY82" s="5" t="str">
        <f t="array" ref="DY82">IFERROR(IF('T1'!$J82="",INDEX(LISTA_EX,127),INDEX(LISTA_EX,MATCH('T1'!$J82&amp;"|"&amp;127,LISTA_KLUCZ,0))),"")</f>
        <v>Pull up eccentric weighted (5 sek w dół)</v>
      </c>
      <c r="DZ82" s="5" t="str">
        <f t="array" ref="DZ82">IFERROR(IF('T1'!$J82="",INDEX(LISTA_EX,128),INDEX(LISTA_EX,MATCH('T1'!$J82&amp;"|"&amp;128,LISTA_KLUCZ,0))),"")</f>
        <v>Pull up weighted</v>
      </c>
      <c r="EA82" s="5" t="str">
        <f t="array" ref="EA82">IFERROR(IF('T1'!$J82="",INDEX(LISTA_EX,129),INDEX(LISTA_EX,MATCH('T1'!$J82&amp;"|"&amp;129,LISTA_KLUCZ,0))),"")</f>
        <v>Pull ups (paused)</v>
      </c>
      <c r="EB82" s="5" t="str">
        <f t="array" ref="EB82">IFERROR(IF('T1'!$J82="",INDEX(LISTA_EX,130),INDEX(LISTA_EX,MATCH('T1'!$J82&amp;"|"&amp;130,LISTA_KLUCZ,0))),"")</f>
        <v>Push press barbell</v>
      </c>
      <c r="EC82" s="5" t="str">
        <f t="array" ref="EC82">IFERROR(IF('T1'!$J82="",INDEX(LISTA_EX,131),INDEX(LISTA_EX,MATCH('T1'!$J82&amp;"|"&amp;131,LISTA_KLUCZ,0))),"")</f>
        <v>Push up</v>
      </c>
      <c r="ED82" s="5" t="str">
        <f t="array" ref="ED82">IFERROR(IF('T1'!$J82="",INDEX(LISTA_EX,132),INDEX(LISTA_EX,MATCH('T1'!$J82&amp;"|"&amp;132,LISTA_KLUCZ,0))),"")</f>
        <v>Raised bird dog</v>
      </c>
      <c r="EE82" s="5" t="str">
        <f t="array" ref="EE82">IFERROR(IF('T1'!$J82="",INDEX(LISTA_EX,133),INDEX(LISTA_EX,MATCH('T1'!$J82&amp;"|"&amp;133,LISTA_KLUCZ,0))),"")</f>
        <v>RDL</v>
      </c>
      <c r="EF82" s="5" t="str">
        <f t="array" ref="EF82">IFERROR(IF('T1'!$J82="",INDEX(LISTA_EX,134),INDEX(LISTA_EX,MATCH('T1'!$J82&amp;"|"&amp;134,LISTA_KLUCZ,0))),"")</f>
        <v>Reverse Nordic</v>
      </c>
      <c r="EG82" s="5" t="str">
        <f t="array" ref="EG82">IFERROR(IF('T1'!$J82="",INDEX(LISTA_EX,135),INDEX(LISTA_EX,MATCH('T1'!$J82&amp;"|"&amp;135,LISTA_KLUCZ,0))),"")</f>
        <v>Rope pushdown</v>
      </c>
      <c r="EH82" s="5" t="str">
        <f t="array" ref="EH82">IFERROR(IF('T1'!$J82="",INDEX(LISTA_EX,136),INDEX(LISTA_EX,MATCH('T1'!$J82&amp;"|"&amp;136,LISTA_KLUCZ,0))),"")</f>
        <v>Rope pushdown OH</v>
      </c>
      <c r="EI82" s="5" t="str">
        <f t="array" ref="EI82">IFERROR(IF('T1'!$J82="",INDEX(LISTA_EX,137),INDEX(LISTA_EX,MATCH('T1'!$J82&amp;"|"&amp;137,LISTA_KLUCZ,0))),"")</f>
        <v>S/a cable pulldown incline bench</v>
      </c>
      <c r="EJ82" s="5" t="str">
        <f t="array" ref="EJ82">IFERROR(IF('T1'!$J82="",INDEX(LISTA_EX,138),INDEX(LISTA_EX,MATCH('T1'!$J82&amp;"|"&amp;138,LISTA_KLUCZ,0))),"")</f>
        <v>S/a lat pulldown incline bench</v>
      </c>
      <c r="EK82" s="5" t="str">
        <f t="array" ref="EK82">IFERROR(IF('T1'!$J82="",INDEX(LISTA_EX,139),INDEX(LISTA_EX,MATCH('T1'!$J82&amp;"|"&amp;139,LISTA_KLUCZ,0))),"")</f>
        <v>S/l dragonflag eccentric</v>
      </c>
      <c r="EL82" s="5" t="str">
        <f t="array" ref="EL82">IFERROR(IF('T1'!$J82="",INDEX(LISTA_EX,140),INDEX(LISTA_EX,MATCH('T1'!$J82&amp;"|"&amp;140,LISTA_KLUCZ,0))),"")</f>
        <v>S/l hip thrust</v>
      </c>
      <c r="EM82" s="5" t="str">
        <f t="array" ref="EM82">IFERROR(IF('T1'!$J82="",INDEX(LISTA_EX,141),INDEX(LISTA_EX,MATCH('T1'!$J82&amp;"|"&amp;141,LISTA_KLUCZ,0))),"")</f>
        <v>Seated broad jump</v>
      </c>
      <c r="EN82" s="5" t="str">
        <f t="array" ref="EN82">IFERROR(IF('T1'!$J82="",INDEX(LISTA_EX,142),INDEX(LISTA_EX,MATCH('T1'!$J82&amp;"|"&amp;142,LISTA_KLUCZ,0))),"")</f>
        <v>Seated cable facepull</v>
      </c>
      <c r="EO82" s="5" t="str">
        <f t="array" ref="EO82">IFERROR(IF('T1'!$J82="",INDEX(LISTA_EX,143),INDEX(LISTA_EX,MATCH('T1'!$J82&amp;"|"&amp;143,LISTA_KLUCZ,0))),"")</f>
        <v>Seated seesaw press (nogi proste)</v>
      </c>
      <c r="EP82" s="5" t="str">
        <f t="array" ref="EP82">IFERROR(IF('T1'!$J82="",INDEX(LISTA_EX,144),INDEX(LISTA_EX,MATCH('T1'!$J82&amp;"|"&amp;144,LISTA_KLUCZ,0))),"")</f>
        <v>Seesaw press</v>
      </c>
      <c r="EQ82" s="5" t="str">
        <f t="array" ref="EQ82">IFERROR(IF('T1'!$J82="",INDEX(LISTA_EX,145),INDEX(LISTA_EX,MATCH('T1'!$J82&amp;"|"&amp;145,LISTA_KLUCZ,0))),"")</f>
        <v>Side crunches</v>
      </c>
      <c r="ER82" s="5" t="str">
        <f t="array" ref="ER82">IFERROR(IF('T1'!$J82="",INDEX(LISTA_EX,146),INDEX(LISTA_EX,MATCH('T1'!$J82&amp;"|"&amp;146,LISTA_KLUCZ,0))),"")</f>
        <v>Side plank hip drop</v>
      </c>
      <c r="ES82" s="5" t="str">
        <f t="array" ref="ES82">IFERROR(IF('T1'!$J82="",INDEX(LISTA_EX,147),INDEX(LISTA_EX,MATCH('T1'!$J82&amp;"|"&amp;147,LISTA_KLUCZ,0))),"")</f>
        <v>Side plank rotations</v>
      </c>
      <c r="ET82" s="5" t="str">
        <f t="array" ref="ET82">IFERROR(IF('T1'!$J82="",INDEX(LISTA_EX,148),INDEX(LISTA_EX,MATCH('T1'!$J82&amp;"|"&amp;148,LISTA_KLUCZ,0))),"")</f>
        <v>SLDL balance</v>
      </c>
      <c r="EU82" s="5" t="str">
        <f t="array" ref="EU82">IFERROR(IF('T1'!$J82="",INDEX(LISTA_EX,149),INDEX(LISTA_EX,MATCH('T1'!$J82&amp;"|"&amp;149,LISTA_KLUCZ,0))),"")</f>
        <v>Split squat</v>
      </c>
      <c r="EV82" s="5" t="str">
        <f t="array" ref="EV82">IFERROR(IF('T1'!$J82="",INDEX(LISTA_EX,150),INDEX(LISTA_EX,MATCH('T1'!$J82&amp;"|"&amp;150,LISTA_KLUCZ,0))),"")</f>
        <v>Split stance SLDL</v>
      </c>
      <c r="EW82" s="5" t="str">
        <f t="array" ref="EW82">IFERROR(IF('T1'!$J82="",INDEX(LISTA_EX,151),INDEX(LISTA_EX,MATCH('T1'!$J82&amp;"|"&amp;151,LISTA_KLUCZ,0))),"")</f>
        <v>Squat izo (15 sek)</v>
      </c>
      <c r="EX82" s="5" t="str">
        <f t="array" ref="EX82">IFERROR(IF('T1'!$J82="",INDEX(LISTA_EX,152),INDEX(LISTA_EX,MATCH('T1'!$J82&amp;"|"&amp;152,LISTA_KLUCZ,0))),"")</f>
        <v>Standing landmine press</v>
      </c>
      <c r="EY82" s="5" t="str">
        <f t="array" ref="EY82">IFERROR(IF('T1'!$J82="",INDEX(LISTA_EX,153),INDEX(LISTA_EX,MATCH('T1'!$J82&amp;"|"&amp;153,LISTA_KLUCZ,0))),"")</f>
        <v>Suitcase carry</v>
      </c>
      <c r="EZ82" s="5" t="str">
        <f t="array" ref="EZ82">IFERROR(IF('T1'!$J82="",INDEX(LISTA_EX,154),INDEX(LISTA_EX,MATCH('T1'!$J82&amp;"|"&amp;154,LISTA_KLUCZ,0))),"")</f>
        <v>Supine pigeon abs</v>
      </c>
      <c r="FA82" s="5" t="str">
        <f t="array" ref="FA82">IFERROR(IF('T1'!$J82="",INDEX(LISTA_EX,155),INDEX(LISTA_EX,MATCH('T1'!$J82&amp;"|"&amp;155,LISTA_KLUCZ,0))),"")</f>
        <v>Swiss ball leg curl</v>
      </c>
      <c r="FB82" s="5" t="str">
        <f t="array" ref="FB82">IFERROR(IF('T1'!$J82="",INDEX(LISTA_EX,156),INDEX(LISTA_EX,MATCH('T1'!$J82&amp;"|"&amp;156,LISTA_KLUCZ,0))),"")</f>
        <v>Toes to bar</v>
      </c>
      <c r="FC82" s="5" t="str">
        <f t="array" ref="FC82">IFERROR(IF('T1'!$J82="",INDEX(LISTA_EX,157),INDEX(LISTA_EX,MATCH('T1'!$J82&amp;"|"&amp;157,LISTA_KLUCZ,0))),"")</f>
        <v>Trap bar deadlift</v>
      </c>
      <c r="FD82" s="5" t="str">
        <f t="array" ref="FD82">IFERROR(IF('T1'!$J82="",INDEX(LISTA_EX,158),INDEX(LISTA_EX,MATCH('T1'!$J82&amp;"|"&amp;158,LISTA_KLUCZ,0))),"")</f>
        <v>Tricep cable pushdown</v>
      </c>
      <c r="FE82" s="5" t="str">
        <f t="array" ref="FE82">IFERROR(IF('T1'!$J82="",INDEX(LISTA_EX,159),INDEX(LISTA_EX,MATCH('T1'!$J82&amp;"|"&amp;159,LISTA_KLUCZ,0))),"")</f>
        <v>Tricep JM press</v>
      </c>
      <c r="FF82" s="5" t="str">
        <f t="array" ref="FF82">IFERROR(IF('T1'!$J82="",INDEX(LISTA_EX,160),INDEX(LISTA_EX,MATCH('T1'!$J82&amp;"|"&amp;160,LISTA_KLUCZ,0))),"")</f>
        <v>Tricep OH cable</v>
      </c>
      <c r="FG82" s="5" t="str">
        <f t="array" ref="FG82">IFERROR(IF('T1'!$J82="",INDEX(LISTA_EX,161),INDEX(LISTA_EX,MATCH('T1'!$J82&amp;"|"&amp;161,LISTA_KLUCZ,0))),"")</f>
        <v>Tricep OH ez bar</v>
      </c>
      <c r="FH82" s="5" t="str">
        <f t="array" ref="FH82">IFERROR(IF('T1'!$J82="",INDEX(LISTA_EX,162),INDEX(LISTA_EX,MATCH('T1'!$J82&amp;"|"&amp;162,LISTA_KLUCZ,0))),"")</f>
        <v>Walking lunges</v>
      </c>
      <c r="FI82" s="5" t="str">
        <f t="array" ref="FI82">IFERROR(IF('T1'!$J82="",INDEX(LISTA_EX,163),INDEX(LISTA_EX,MATCH('T1'!$J82&amp;"|"&amp;163,LISTA_KLUCZ,0))),"")</f>
        <v>Wipers kettle</v>
      </c>
      <c r="FJ82" s="5" t="str">
        <f t="array" ref="FJ82">IFERROR(IF('T1'!$J82="",INDEX(LISTA_EX,164),INDEX(LISTA_EX,MATCH('T1'!$J82&amp;"|"&amp;164,LISTA_KLUCZ,0))),"")</f>
        <v>Zercher jumps</v>
      </c>
      <c r="FK82" s="5" t="str">
        <f t="array" ref="FK82">IFERROR(IF('T1'!$J82="",INDEX(LISTA_EX,165),INDEX(LISTA_EX,MATCH('T1'!$J82&amp;"|"&amp;165,LISTA_KLUCZ,0))),"")</f>
        <v/>
      </c>
      <c r="FL82" s="5" t="str">
        <f t="array" ref="FL82">IFERROR(IF('T1'!$J82="",INDEX(LISTA_EX,166),INDEX(LISTA_EX,MATCH('T1'!$J82&amp;"|"&amp;166,LISTA_KLUCZ,0))),"")</f>
        <v/>
      </c>
      <c r="FM82" s="5" t="str">
        <f t="array" ref="FM82">IFERROR(IF('T1'!$J82="",INDEX(LISTA_EX,167),INDEX(LISTA_EX,MATCH('T1'!$J82&amp;"|"&amp;167,LISTA_KLUCZ,0))),"")</f>
        <v/>
      </c>
      <c r="FN82" s="5" t="str">
        <f t="array" ref="FN82">IFERROR(IF('T1'!$J82="",INDEX(LISTA_EX,168),INDEX(LISTA_EX,MATCH('T1'!$J82&amp;"|"&amp;168,LISTA_KLUCZ,0))),"")</f>
        <v/>
      </c>
      <c r="FO82" s="5" t="str">
        <f t="array" ref="FO82">IFERROR(IF('T1'!$J82="",INDEX(LISTA_EX,169),INDEX(LISTA_EX,MATCH('T1'!$J82&amp;"|"&amp;169,LISTA_KLUCZ,0))),"")</f>
        <v/>
      </c>
      <c r="FP82" s="5" t="str">
        <f t="array" ref="FP82">IFERROR(IF('T1'!$J82="",INDEX(LISTA_EX,170),INDEX(LISTA_EX,MATCH('T1'!$J82&amp;"|"&amp;170,LISTA_KLUCZ,0))),"")</f>
        <v/>
      </c>
      <c r="FQ82" s="5" t="str">
        <f t="array" ref="FQ82">IFERROR(IF('T1'!$J82="",INDEX(LISTA_EX,171),INDEX(LISTA_EX,MATCH('T1'!$J82&amp;"|"&amp;171,LISTA_KLUCZ,0))),"")</f>
        <v/>
      </c>
      <c r="FR82" s="5" t="str">
        <f t="array" ref="FR82">IFERROR(IF('T1'!$J82="",INDEX(LISTA_EX,172),INDEX(LISTA_EX,MATCH('T1'!$J82&amp;"|"&amp;172,LISTA_KLUCZ,0))),"")</f>
        <v/>
      </c>
      <c r="FS82" s="5" t="str">
        <f t="array" ref="FS82">IFERROR(IF('T1'!$J82="",INDEX(LISTA_EX,173),INDEX(LISTA_EX,MATCH('T1'!$J82&amp;"|"&amp;173,LISTA_KLUCZ,0))),"")</f>
        <v/>
      </c>
      <c r="FT82" s="5" t="str">
        <f t="array" ref="FT82">IFERROR(IF('T1'!$J82="",INDEX(LISTA_EX,174),INDEX(LISTA_EX,MATCH('T1'!$J82&amp;"|"&amp;174,LISTA_KLUCZ,0))),"")</f>
        <v/>
      </c>
      <c r="FU82" s="5" t="str">
        <f t="array" ref="FU82">IFERROR(IF('T1'!$J82="",INDEX(LISTA_EX,175),INDEX(LISTA_EX,MATCH('T1'!$J82&amp;"|"&amp;175,LISTA_KLUCZ,0))),"")</f>
        <v/>
      </c>
      <c r="FV82" s="5" t="str">
        <f t="array" ref="FV82">IFERROR(IF('T1'!$J82="",INDEX(LISTA_EX,176),INDEX(LISTA_EX,MATCH('T1'!$J82&amp;"|"&amp;176,LISTA_KLUCZ,0))),"")</f>
        <v/>
      </c>
      <c r="FW82" s="5" t="str">
        <f t="array" ref="FW82">IFERROR(IF('T1'!$J82="",INDEX(LISTA_EX,177),INDEX(LISTA_EX,MATCH('T1'!$J82&amp;"|"&amp;177,LISTA_KLUCZ,0))),"")</f>
        <v/>
      </c>
      <c r="FX82" s="5" t="str">
        <f t="array" ref="FX82">IFERROR(IF('T1'!$J82="",INDEX(LISTA_EX,178),INDEX(LISTA_EX,MATCH('T1'!$J82&amp;"|"&amp;178,LISTA_KLUCZ,0))),"")</f>
        <v/>
      </c>
      <c r="FY82" s="5" t="str">
        <f t="array" ref="FY82">IFERROR(IF('T1'!$J82="",INDEX(LISTA_EX,179),INDEX(LISTA_EX,MATCH('T1'!$J82&amp;"|"&amp;179,LISTA_KLUCZ,0))),"")</f>
        <v/>
      </c>
      <c r="FZ82" s="5" t="str">
        <f t="array" ref="FZ82">IFERROR(IF('T1'!$J82="",INDEX(LISTA_EX,180),INDEX(LISTA_EX,MATCH('T1'!$J82&amp;"|"&amp;180,LISTA_KLUCZ,0))),"")</f>
        <v/>
      </c>
      <c r="GA82" s="5" t="str">
        <f t="array" ref="GA82">IFERROR(IF('T1'!$J82="",INDEX(LISTA_EX,181),INDEX(LISTA_EX,MATCH('T1'!$J82&amp;"|"&amp;181,LISTA_KLUCZ,0))),"")</f>
        <v/>
      </c>
      <c r="GB82" s="5" t="str">
        <f t="array" ref="GB82">IFERROR(IF('T1'!$J82="",INDEX(LISTA_EX,182),INDEX(LISTA_EX,MATCH('T1'!$J82&amp;"|"&amp;182,LISTA_KLUCZ,0))),"")</f>
        <v/>
      </c>
      <c r="GC82" s="5" t="str">
        <f t="array" ref="GC82">IFERROR(IF('T1'!$J82="",INDEX(LISTA_EX,183),INDEX(LISTA_EX,MATCH('T1'!$J82&amp;"|"&amp;183,LISTA_KLUCZ,0))),"")</f>
        <v/>
      </c>
      <c r="GD82" s="5" t="str">
        <f t="array" ref="GD82">IFERROR(IF('T1'!$J82="",INDEX(LISTA_EX,184),INDEX(LISTA_EX,MATCH('T1'!$J82&amp;"|"&amp;184,LISTA_KLUCZ,0))),"")</f>
        <v/>
      </c>
      <c r="GE82" s="5" t="str">
        <f t="array" ref="GE82">IFERROR(IF('T1'!$J82="",INDEX(LISTA_EX,185),INDEX(LISTA_EX,MATCH('T1'!$J82&amp;"|"&amp;185,LISTA_KLUCZ,0))),"")</f>
        <v/>
      </c>
      <c r="GF82" s="5" t="str">
        <f t="array" ref="GF82">IFERROR(IF('T1'!$J82="",INDEX(LISTA_EX,186),INDEX(LISTA_EX,MATCH('T1'!$J82&amp;"|"&amp;186,LISTA_KLUCZ,0))),"")</f>
        <v/>
      </c>
      <c r="GG82" s="5" t="str">
        <f t="array" ref="GG82">IFERROR(IF('T1'!$J82="",INDEX(LISTA_EX,187),INDEX(LISTA_EX,MATCH('T1'!$J82&amp;"|"&amp;187,LISTA_KLUCZ,0))),"")</f>
        <v/>
      </c>
      <c r="GH82" s="5" t="str">
        <f t="array" ref="GH82">IFERROR(IF('T1'!$J82="",INDEX(LISTA_EX,188),INDEX(LISTA_EX,MATCH('T1'!$J82&amp;"|"&amp;188,LISTA_KLUCZ,0))),"")</f>
        <v/>
      </c>
      <c r="GI82" s="5" t="str">
        <f t="array" ref="GI82">IFERROR(IF('T1'!$J82="",INDEX(LISTA_EX,189),INDEX(LISTA_EX,MATCH('T1'!$J82&amp;"|"&amp;189,LISTA_KLUCZ,0))),"")</f>
        <v/>
      </c>
      <c r="GJ82" s="5" t="str">
        <f t="array" ref="GJ82">IFERROR(IF('T1'!$J82="",INDEX(LISTA_EX,190),INDEX(LISTA_EX,MATCH('T1'!$J82&amp;"|"&amp;190,LISTA_KLUCZ,0))),"")</f>
        <v/>
      </c>
      <c r="GK82" s="5" t="str">
        <f t="array" ref="GK82">IFERROR(IF('T1'!$J82="",INDEX(LISTA_EX,191),INDEX(LISTA_EX,MATCH('T1'!$J82&amp;"|"&amp;191,LISTA_KLUCZ,0))),"")</f>
        <v/>
      </c>
      <c r="GL82" s="5" t="str">
        <f t="array" ref="GL82">IFERROR(IF('T1'!$J82="",INDEX(LISTA_EX,192),INDEX(LISTA_EX,MATCH('T1'!$J82&amp;"|"&amp;192,LISTA_KLUCZ,0))),"")</f>
        <v/>
      </c>
      <c r="GM82" s="5" t="str">
        <f t="array" ref="GM82">IFERROR(IF('T1'!$J82="",INDEX(LISTA_EX,193),INDEX(LISTA_EX,MATCH('T1'!$J82&amp;"|"&amp;193,LISTA_KLUCZ,0))),"")</f>
        <v/>
      </c>
      <c r="GN82" s="5" t="str">
        <f t="array" ref="GN82">IFERROR(IF('T1'!$J82="",INDEX(LISTA_EX,194),INDEX(LISTA_EX,MATCH('T1'!$J82&amp;"|"&amp;194,LISTA_KLUCZ,0))),"")</f>
        <v/>
      </c>
      <c r="GO82" s="5" t="str">
        <f t="array" ref="GO82">IFERROR(IF('T1'!$J82="",INDEX(LISTA_EX,195),INDEX(LISTA_EX,MATCH('T1'!$J82&amp;"|"&amp;195,LISTA_KLUCZ,0))),"")</f>
        <v/>
      </c>
      <c r="GP82" s="5" t="str">
        <f t="array" ref="GP82">IFERROR(IF('T1'!$J82="",INDEX(LISTA_EX,196),INDEX(LISTA_EX,MATCH('T1'!$J82&amp;"|"&amp;196,LISTA_KLUCZ,0))),"")</f>
        <v/>
      </c>
      <c r="GQ82" s="5" t="str">
        <f t="array" ref="GQ82">IFERROR(IF('T1'!$J82="",INDEX(LISTA_EX,197),INDEX(LISTA_EX,MATCH('T1'!$J82&amp;"|"&amp;197,LISTA_KLUCZ,0))),"")</f>
        <v/>
      </c>
      <c r="GR82" s="5" t="str">
        <f t="array" ref="GR82">IFERROR(IF('T1'!$J82="",INDEX(LISTA_EX,198),INDEX(LISTA_EX,MATCH('T1'!$J82&amp;"|"&amp;198,LISTA_KLUCZ,0))),"")</f>
        <v/>
      </c>
      <c r="GS82" s="5" t="str">
        <f t="array" ref="GS82">IFERROR(IF('T1'!$J82="",INDEX(LISTA_EX,199),INDEX(LISTA_EX,MATCH('T1'!$J82&amp;"|"&amp;199,LISTA_KLUCZ,0))),"")</f>
        <v/>
      </c>
      <c r="GT82" s="5" t="str">
        <f t="array" ref="GT82">IFERROR(IF('T1'!$J82="",INDEX(LISTA_EX,200),INDEX(LISTA_EX,MATCH('T1'!$J82&amp;"|"&amp;200,LISTA_KLUCZ,0))),"")</f>
        <v/>
      </c>
      <c r="GV82" s="5" t="str">
        <f>IF(BAZA!$A82="","",BAZA!$A82)</f>
        <v>Hip thrust barbell</v>
      </c>
      <c r="GW82" s="5" t="str">
        <f>IF(BAZA!$B82="","",BAZA!$B82&amp;"|"&amp;COUNTIF(BAZA!$B$3:$B82,BAZA!$B82))</f>
        <v>Lower pull|11</v>
      </c>
    </row>
    <row r="83" ht="15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L83" s="5"/>
      <c r="FM83" s="5"/>
      <c r="GV83" s="5" t="str">
        <f>IF(BAZA!$A83="","",BAZA!$A83)</f>
        <v>Hollow body + OH</v>
      </c>
      <c r="GW83" s="5" t="str">
        <f>IF(BAZA!$B83="","",BAZA!$B83&amp;"|"&amp;COUNTIF(BAZA!$B$3:$B83,BAZA!$B83))</f>
        <v>Core|11</v>
      </c>
    </row>
    <row r="84" ht="15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L84" s="5"/>
      <c r="FM84" s="5"/>
      <c r="GV84" s="5" t="str">
        <f>IF(BAZA!$A84="","",BAZA!$A84)</f>
        <v>Horizontal jump</v>
      </c>
      <c r="GW84" s="5" t="str">
        <f>IF(BAZA!$B84="","",BAZA!$B84&amp;"|"&amp;COUNTIF(BAZA!$B$3:$B84,BAZA!$B84))</f>
        <v>Lower push|15</v>
      </c>
    </row>
    <row r="85" ht="15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L85" s="5"/>
      <c r="FM85" s="5"/>
      <c r="GV85" s="5" t="str">
        <f>IF(BAZA!$A85="","",BAZA!$A85)</f>
        <v>Incline bench lateral raise s/a</v>
      </c>
      <c r="GW85" s="5" t="str">
        <f>IF(BAZA!$B85="","",BAZA!$B85&amp;"|"&amp;COUNTIF(BAZA!$B$3:$B85,BAZA!$B85))</f>
        <v>Upper push vertical|9</v>
      </c>
    </row>
    <row r="86" ht="15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L86" s="5"/>
      <c r="FM86" s="5"/>
      <c r="GV86" s="5" t="str">
        <f>IF(BAZA!$A86="","",BAZA!$A86)</f>
        <v>Incline curl + OHP</v>
      </c>
      <c r="GW86" s="5" t="str">
        <f>IF(BAZA!$B86="","",BAZA!$B86&amp;"|"&amp;COUNTIF(BAZA!$B$3:$B86,BAZA!$B86))</f>
        <v>Bicep|9</v>
      </c>
    </row>
    <row r="87" ht="15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L87" s="5"/>
      <c r="FM87" s="5"/>
      <c r="GV87" s="5" t="str">
        <f>IF(BAZA!$A87="","",BAZA!$A87)</f>
        <v>Incline dumbbell curl</v>
      </c>
      <c r="GW87" s="5" t="str">
        <f>IF(BAZA!$B87="","",BAZA!$B87&amp;"|"&amp;COUNTIF(BAZA!$B$3:$B87,BAZA!$B87))</f>
        <v>Bicep|10</v>
      </c>
    </row>
    <row r="88" ht="15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L88" s="5"/>
      <c r="FM88" s="5"/>
      <c r="GV88" s="5" t="str">
        <f>IF(BAZA!$A88="","",BAZA!$A88)</f>
        <v>Incline dumbbell curl (back)</v>
      </c>
      <c r="GW88" s="5" t="str">
        <f>IF(BAZA!$B88="","",BAZA!$B88&amp;"|"&amp;COUNTIF(BAZA!$B$3:$B88,BAZA!$B88))</f>
        <v>Bicep|11</v>
      </c>
    </row>
    <row r="89" ht="15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L89" s="5"/>
      <c r="FM89" s="5"/>
      <c r="GV89" s="5" t="str">
        <f>IF(BAZA!$A89="","",BAZA!$A89)</f>
        <v>Incline dumbbell curl (front)</v>
      </c>
      <c r="GW89" s="5" t="str">
        <f>IF(BAZA!$B89="","",BAZA!$B89&amp;"|"&amp;COUNTIF(BAZA!$B$3:$B89,BAZA!$B89))</f>
        <v>Bicep|12</v>
      </c>
    </row>
    <row r="90" ht="15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L90" s="5"/>
      <c r="FM90" s="5"/>
      <c r="GV90" s="5" t="str">
        <f>IF(BAZA!$A90="","",BAZA!$A90)</f>
        <v>Incline dumbbell fly</v>
      </c>
      <c r="GW90" s="5" t="str">
        <f>IF(BAZA!$B90="","",BAZA!$B90&amp;"|"&amp;COUNTIF(BAZA!$B$3:$B90,BAZA!$B90))</f>
        <v>Upper push horizontal|12</v>
      </c>
    </row>
    <row r="91" ht="15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L91" s="5"/>
      <c r="FM91" s="5"/>
      <c r="GV91" s="5" t="str">
        <f>IF(BAZA!$A91="","",BAZA!$A91)</f>
        <v>Incline dumbbell press</v>
      </c>
      <c r="GW91" s="5" t="str">
        <f>IF(BAZA!$B91="","",BAZA!$B91&amp;"|"&amp;COUNTIF(BAZA!$B$3:$B91,BAZA!$B91))</f>
        <v>Upper push horizontal|13</v>
      </c>
    </row>
    <row r="92" ht="15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L92" s="5"/>
      <c r="FM92" s="5"/>
      <c r="GV92" s="5" t="str">
        <f>IF(BAZA!$A92="","",BAZA!$A92)</f>
        <v>Incline dumbbell press alternating</v>
      </c>
      <c r="GW92" s="5" t="str">
        <f>IF(BAZA!$B92="","",BAZA!$B92&amp;"|"&amp;COUNTIF(BAZA!$B$3:$B92,BAZA!$B92))</f>
        <v>Upper push horizontal|14</v>
      </c>
    </row>
    <row r="93" ht="15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L93" s="5"/>
      <c r="FM93" s="5"/>
      <c r="GV93" s="5" t="str">
        <f>IF(BAZA!$A93="","",BAZA!$A93)</f>
        <v>Incline sit-ups</v>
      </c>
      <c r="GW93" s="5" t="str">
        <f>IF(BAZA!$B93="","",BAZA!$B93&amp;"|"&amp;COUNTIF(BAZA!$B$3:$B93,BAZA!$B93))</f>
        <v>Core|12</v>
      </c>
    </row>
    <row r="94" ht="15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L94" s="5"/>
      <c r="FM94" s="5"/>
      <c r="GV94" s="5" t="str">
        <f>IF(BAZA!$A94="","",BAZA!$A94)</f>
        <v>Jefferson cable</v>
      </c>
      <c r="GW94" s="5" t="str">
        <f>IF(BAZA!$B94="","",BAZA!$B94&amp;"|"&amp;COUNTIF(BAZA!$B$3:$B94,BAZA!$B94))</f>
        <v>Lower pull|12</v>
      </c>
    </row>
    <row r="95" ht="15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L95" s="5"/>
      <c r="FM95" s="5"/>
      <c r="GV95" s="5" t="str">
        <f>IF(BAZA!$A95="","",BAZA!$A95)</f>
        <v>Kettlebell march</v>
      </c>
      <c r="GW95" s="5" t="str">
        <f>IF(BAZA!$B95="","",BAZA!$B95&amp;"|"&amp;COUNTIF(BAZA!$B$3:$B95,BAZA!$B95))</f>
        <v>Core|13</v>
      </c>
    </row>
    <row r="96" ht="15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L96" s="5"/>
      <c r="FM96" s="5"/>
      <c r="GV96" s="5" t="str">
        <f>IF(BAZA!$A96="","",BAZA!$A96)</f>
        <v>Kickbacks</v>
      </c>
      <c r="GW96" s="5" t="str">
        <f>IF(BAZA!$B96="","",BAZA!$B96&amp;"|"&amp;COUNTIF(BAZA!$B$3:$B96,BAZA!$B96))</f>
        <v>Lower pull|13</v>
      </c>
    </row>
    <row r="97" ht="15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L97" s="5"/>
      <c r="FM97" s="5"/>
      <c r="GV97" s="5" t="str">
        <f>IF(BAZA!$A97="","",BAZA!$A97)</f>
        <v>Knee extension machine</v>
      </c>
      <c r="GW97" s="5" t="str">
        <f>IF(BAZA!$B97="","",BAZA!$B97&amp;"|"&amp;COUNTIF(BAZA!$B$3:$B97,BAZA!$B97))</f>
        <v>Lower push|16</v>
      </c>
    </row>
    <row r="98" ht="15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L98" s="5"/>
      <c r="FM98" s="5"/>
      <c r="GV98" s="5" t="str">
        <f>IF(BAZA!$A98="","",BAZA!$A98)</f>
        <v>Knee flexion machine</v>
      </c>
      <c r="GW98" s="5" t="str">
        <f>IF(BAZA!$B98="","",BAZA!$B98&amp;"|"&amp;COUNTIF(BAZA!$B$3:$B98,BAZA!$B98))</f>
        <v>Lower pull|14</v>
      </c>
    </row>
    <row r="99" ht="15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L99" s="5"/>
      <c r="FM99" s="5"/>
      <c r="GV99" s="5" t="str">
        <f>IF(BAZA!$A99="","",BAZA!$A99)</f>
        <v>Knee raises</v>
      </c>
      <c r="GW99" s="5" t="str">
        <f>IF(BAZA!$B99="","",BAZA!$B99&amp;"|"&amp;COUNTIF(BAZA!$B$3:$B99,BAZA!$B99))</f>
        <v>Core|14</v>
      </c>
    </row>
    <row r="100" ht="15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L100" s="5"/>
      <c r="FM100" s="5"/>
      <c r="GV100" s="5" t="str">
        <f>IF(BAZA!$A100="","",BAZA!$A100)</f>
        <v>Landmine core</v>
      </c>
      <c r="GW100" s="5" t="str">
        <f>IF(BAZA!$B100="","",BAZA!$B100&amp;"|"&amp;COUNTIF(BAZA!$B$3:$B100,BAZA!$B100))</f>
        <v>Core|15</v>
      </c>
    </row>
    <row r="101" ht="15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L101" s="5"/>
      <c r="FM101" s="5"/>
      <c r="GV101" s="5" t="str">
        <f>IF(BAZA!$A101="","",BAZA!$A101)</f>
        <v>Landmine press</v>
      </c>
      <c r="GW101" s="5" t="str">
        <f>IF(BAZA!$B101="","",BAZA!$B101&amp;"|"&amp;COUNTIF(BAZA!$B$3:$B101,BAZA!$B101))</f>
        <v>Upper push vertical|10</v>
      </c>
    </row>
    <row r="102" ht="15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L102" s="5"/>
      <c r="FM102" s="5"/>
      <c r="GV102" s="5" t="str">
        <f>IF(BAZA!$A102="","",BAZA!$A102)</f>
        <v>Landmine rotations (powtórzenia x2)</v>
      </c>
      <c r="GW102" s="5" t="str">
        <f>IF(BAZA!$B102="","",BAZA!$B102&amp;"|"&amp;COUNTIF(BAZA!$B$3:$B102,BAZA!$B102))</f>
        <v>Core|16</v>
      </c>
    </row>
    <row r="103" ht="15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L103" s="5"/>
      <c r="FM103" s="5"/>
      <c r="GV103" s="5" t="str">
        <f>IF(BAZA!$A103="","",BAZA!$A103)</f>
        <v>Landmine SLDL</v>
      </c>
      <c r="GW103" s="5" t="str">
        <f>IF(BAZA!$B103="","",BAZA!$B103&amp;"|"&amp;COUNTIF(BAZA!$B$3:$B103,BAZA!$B103))</f>
        <v>Lower pull|15</v>
      </c>
    </row>
    <row r="104" ht="15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L104" s="5"/>
      <c r="FM104" s="5"/>
      <c r="GV104" s="5" t="str">
        <f>IF(BAZA!$A104="","",BAZA!$A104)</f>
        <v>Lat pulldown</v>
      </c>
      <c r="GW104" s="5" t="str">
        <f>IF(BAZA!$B104="","",BAZA!$B104&amp;"|"&amp;COUNTIF(BAZA!$B$3:$B104,BAZA!$B104))</f>
        <v>Upper pull vertical|4</v>
      </c>
    </row>
    <row r="105" ht="15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L105" s="5"/>
      <c r="FM105" s="5"/>
      <c r="GV105" s="5" t="str">
        <f>IF(BAZA!$A105="","",BAZA!$A105)</f>
        <v>Lat pulldown behind the head</v>
      </c>
      <c r="GW105" s="5" t="str">
        <f>IF(BAZA!$B105="","",BAZA!$B105&amp;"|"&amp;COUNTIF(BAZA!$B$3:$B105,BAZA!$B105))</f>
        <v>Upper pull vertical|5</v>
      </c>
    </row>
    <row r="106" ht="15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L106" s="5"/>
      <c r="FM106" s="5"/>
      <c r="GV106" s="5" t="str">
        <f>IF(BAZA!$A106="","",BAZA!$A106)</f>
        <v>Lat pulldown s/a</v>
      </c>
      <c r="GW106" s="5" t="str">
        <f>IF(BAZA!$B106="","",BAZA!$B106&amp;"|"&amp;COUNTIF(BAZA!$B$3:$B106,BAZA!$B106))</f>
        <v>Upper pull vertical|6</v>
      </c>
    </row>
    <row r="107" ht="15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L107" s="5"/>
      <c r="FM107" s="5"/>
      <c r="GV107" s="5" t="str">
        <f>IF(BAZA!$A107="","",BAZA!$A107)</f>
        <v>Lateral raise s/a</v>
      </c>
      <c r="GW107" s="5" t="str">
        <f>IF(BAZA!$B107="","",BAZA!$B107&amp;"|"&amp;COUNTIF(BAZA!$B$3:$B107,BAZA!$B107))</f>
        <v>Upper push vertical|11</v>
      </c>
    </row>
    <row r="108" ht="15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L108" s="5"/>
      <c r="FM108" s="5"/>
      <c r="GV108" s="5" t="str">
        <f>IF(BAZA!$A108="","",BAZA!$A108)</f>
        <v>Lateral raises</v>
      </c>
      <c r="GW108" s="5" t="str">
        <f>IF(BAZA!$B108="","",BAZA!$B108&amp;"|"&amp;COUNTIF(BAZA!$B$3:$B108,BAZA!$B108))</f>
        <v>Upper push vertical|12</v>
      </c>
    </row>
    <row r="109" ht="15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L109" s="5"/>
      <c r="FM109" s="5"/>
      <c r="GV109" s="5" t="str">
        <f>IF(BAZA!$A109="","",BAZA!$A109)</f>
        <v>Lateral raises 2</v>
      </c>
      <c r="GW109" s="5" t="str">
        <f>IF(BAZA!$B109="","",BAZA!$B109&amp;"|"&amp;COUNTIF(BAZA!$B$3:$B109,BAZA!$B109))</f>
        <v>Upper push vertical|13</v>
      </c>
    </row>
    <row r="110" ht="15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L110" s="5"/>
      <c r="FM110" s="5"/>
      <c r="GV110" s="5" t="str">
        <f>IF(BAZA!$A110="","",BAZA!$A110)</f>
        <v>Lateral raises full ROM</v>
      </c>
      <c r="GW110" s="5" t="str">
        <f>IF(BAZA!$B110="","",BAZA!$B110&amp;"|"&amp;COUNTIF(BAZA!$B$3:$B110,BAZA!$B110))</f>
        <v>Upper push vertical|14</v>
      </c>
    </row>
    <row r="111" ht="15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L111" s="5"/>
      <c r="FM111" s="5"/>
      <c r="GV111" s="5" t="str">
        <f>IF(BAZA!$A111="","",BAZA!$A111)</f>
        <v>Lateral raises hinged</v>
      </c>
      <c r="GW111" s="5" t="str">
        <f>IF(BAZA!$B111="","",BAZA!$B111&amp;"|"&amp;COUNTIF(BAZA!$B$3:$B111,BAZA!$B111))</f>
        <v>Upper push vertical|15</v>
      </c>
    </row>
    <row r="112" ht="15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L112" s="5"/>
      <c r="FM112" s="5"/>
      <c r="GV112" s="5" t="str">
        <f>IF(BAZA!$A112="","",BAZA!$A112)</f>
        <v>Lateral raises incline s/a</v>
      </c>
      <c r="GW112" s="5" t="str">
        <f>IF(BAZA!$B112="","",BAZA!$B112&amp;"|"&amp;COUNTIF(BAZA!$B$3:$B112,BAZA!$B112))</f>
        <v>Upper push vertical|16</v>
      </c>
    </row>
    <row r="113" ht="15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L113" s="5"/>
      <c r="FM113" s="5"/>
      <c r="GV113" s="5" t="str">
        <f>IF(BAZA!$A113="","",BAZA!$A113)</f>
        <v>Leg curl</v>
      </c>
      <c r="GW113" s="5" t="str">
        <f>IF(BAZA!$B113="","",BAZA!$B113&amp;"|"&amp;COUNTIF(BAZA!$B$3:$B113,BAZA!$B113))</f>
        <v>Lower pull|16</v>
      </c>
    </row>
    <row r="114" ht="15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L114" s="5"/>
      <c r="FM114" s="5"/>
      <c r="GV114" s="5" t="str">
        <f>IF(BAZA!$A114="","",BAZA!$A114)</f>
        <v>Machine row</v>
      </c>
      <c r="GW114" s="5" t="str">
        <f>IF(BAZA!$B114="","",BAZA!$B114&amp;"|"&amp;COUNTIF(BAZA!$B$3:$B114,BAZA!$B114))</f>
        <v>Upper pull horizontal|14</v>
      </c>
    </row>
    <row r="115" ht="15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L115" s="5"/>
      <c r="FM115" s="5"/>
      <c r="GV115" s="5" t="str">
        <f>IF(BAZA!$A115="","",BAZA!$A115)</f>
        <v>Machine row s/a</v>
      </c>
      <c r="GW115" s="5" t="str">
        <f>IF(BAZA!$B115="","",BAZA!$B115&amp;"|"&amp;COUNTIF(BAZA!$B$3:$B115,BAZA!$B115))</f>
        <v>Upper pull horizontal|15</v>
      </c>
    </row>
    <row r="116" ht="15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L116" s="5"/>
      <c r="FM116" s="5"/>
      <c r="GV116" s="5" t="str">
        <f>IF(BAZA!$A116="","",BAZA!$A116)</f>
        <v>Meadows row</v>
      </c>
      <c r="GW116" s="5" t="str">
        <f>IF(BAZA!$B116="","",BAZA!$B116&amp;"|"&amp;COUNTIF(BAZA!$B$3:$B116,BAZA!$B116))</f>
        <v>Upper pull horizontal|16</v>
      </c>
    </row>
    <row r="117" ht="15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L117" s="5"/>
      <c r="FM117" s="5"/>
      <c r="GV117" s="5" t="str">
        <f>IF(BAZA!$A117="","",BAZA!$A117)</f>
        <v>Med ball slam</v>
      </c>
      <c r="GW117" s="5" t="str">
        <f>IF(BAZA!$B117="","",BAZA!$B117&amp;"|"&amp;COUNTIF(BAZA!$B$3:$B117,BAZA!$B117))</f>
        <v>Upper push horizontal|15</v>
      </c>
    </row>
    <row r="118" ht="15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L118" s="5"/>
      <c r="FM118" s="5"/>
      <c r="GV118" s="5" t="str">
        <f>IF(BAZA!$A118="","",BAZA!$A118)</f>
        <v>OH skullcrushers</v>
      </c>
      <c r="GW118" s="5" t="str">
        <f>IF(BAZA!$B118="","",BAZA!$B118&amp;"|"&amp;COUNTIF(BAZA!$B$3:$B118,BAZA!$B118))</f>
        <v>Tricep|3</v>
      </c>
    </row>
    <row r="119" ht="15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L119" s="5"/>
      <c r="FM119" s="5"/>
      <c r="GV119" s="5" t="str">
        <f>IF(BAZA!$A119="","",BAZA!$A119)</f>
        <v>OHP barbell squat 15kg</v>
      </c>
      <c r="GW119" s="5" t="str">
        <f>IF(BAZA!$B119="","",BAZA!$B119&amp;"|"&amp;COUNTIF(BAZA!$B$3:$B119,BAZA!$B119))</f>
        <v>Lower push|17</v>
      </c>
    </row>
    <row r="120" ht="15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L120" s="5"/>
      <c r="FM120" s="5"/>
      <c r="GV120" s="5" t="str">
        <f>IF(BAZA!$A120="","",BAZA!$A120)</f>
        <v>Pistol squat eccentric</v>
      </c>
      <c r="GW120" s="5" t="str">
        <f>IF(BAZA!$B120="","",BAZA!$B120&amp;"|"&amp;COUNTIF(BAZA!$B$3:$B120,BAZA!$B120))</f>
        <v>Lower push|18</v>
      </c>
    </row>
    <row r="121" ht="15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L121" s="5"/>
      <c r="FM121" s="5"/>
      <c r="GV121" s="5" t="str">
        <f>IF(BAZA!$A121="","",BAZA!$A121)</f>
        <v>Plank contralateral</v>
      </c>
      <c r="GW121" s="5" t="str">
        <f>IF(BAZA!$B121="","",BAZA!$B121&amp;"|"&amp;COUNTIF(BAZA!$B$3:$B121,BAZA!$B121))</f>
        <v>Core|17</v>
      </c>
    </row>
    <row r="122" ht="15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L122" s="5"/>
      <c r="FM122" s="5"/>
      <c r="GV122" s="5" t="str">
        <f>IF(BAZA!$A122="","",BAZA!$A122)</f>
        <v>Plank dumbbell rotation</v>
      </c>
      <c r="GW122" s="5" t="str">
        <f>IF(BAZA!$B122="","",BAZA!$B122&amp;"|"&amp;COUNTIF(BAZA!$B$3:$B122,BAZA!$B122))</f>
        <v>Core|18</v>
      </c>
    </row>
    <row r="123" ht="15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L123" s="5"/>
      <c r="FM123" s="5"/>
      <c r="GV123" s="5" t="str">
        <f>IF(BAZA!$A123="","",BAZA!$A123)</f>
        <v>Plank leg raises</v>
      </c>
      <c r="GW123" s="5" t="str">
        <f>IF(BAZA!$B123="","",BAZA!$B123&amp;"|"&amp;COUNTIF(BAZA!$B$3:$B123,BAZA!$B123))</f>
        <v>Core|19</v>
      </c>
    </row>
    <row r="124" ht="15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L124" s="5"/>
      <c r="FM124" s="5"/>
      <c r="GV124" s="5" t="str">
        <f>IF(BAZA!$A124="","",BAZA!$A124)</f>
        <v>Poliquin step up</v>
      </c>
      <c r="GW124" s="5" t="str">
        <f>IF(BAZA!$B124="","",BAZA!$B124&amp;"|"&amp;COUNTIF(BAZA!$B$3:$B124,BAZA!$B124))</f>
        <v>Lower push|19</v>
      </c>
    </row>
    <row r="125" ht="15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L125" s="5"/>
      <c r="FM125" s="5"/>
      <c r="GV125" s="5" t="str">
        <f>IF(BAZA!$A125="","",BAZA!$A125)</f>
        <v>Poliquin step up paused 3sec</v>
      </c>
      <c r="GW125" s="5" t="str">
        <f>IF(BAZA!$B125="","",BAZA!$B125&amp;"|"&amp;COUNTIF(BAZA!$B$3:$B125,BAZA!$B125))</f>
        <v>Lower push|20</v>
      </c>
    </row>
    <row r="126" ht="15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L126" s="5"/>
      <c r="FM126" s="5"/>
      <c r="GV126" s="5" t="str">
        <f>IF(BAZA!$A126="","",BAZA!$A126)</f>
        <v>Pronation/Supination</v>
      </c>
      <c r="GW126" s="5" t="str">
        <f>IF(BAZA!$B126="","",BAZA!$B126&amp;"|"&amp;COUNTIF(BAZA!$B$3:$B126,BAZA!$B126))</f>
        <v>Bicep|13</v>
      </c>
    </row>
    <row r="127" ht="15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L127" s="5"/>
      <c r="FM127" s="5"/>
      <c r="GV127" s="5" t="str">
        <f>IF(BAZA!$A127="","",BAZA!$A127)</f>
        <v>Pull up</v>
      </c>
      <c r="GW127" s="5" t="str">
        <f>IF(BAZA!$B127="","",BAZA!$B127&amp;"|"&amp;COUNTIF(BAZA!$B$3:$B127,BAZA!$B127))</f>
        <v>Upper pull vertical|7</v>
      </c>
    </row>
    <row r="128" ht="15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L128" s="5"/>
      <c r="FM128" s="5"/>
      <c r="GV128" s="5" t="str">
        <f>IF(BAZA!$A128="","",BAZA!$A128)</f>
        <v>Pull up eccentric weighted</v>
      </c>
      <c r="GW128" s="5" t="str">
        <f>IF(BAZA!$B128="","",BAZA!$B128&amp;"|"&amp;COUNTIF(BAZA!$B$3:$B128,BAZA!$B128))</f>
        <v>Upper pull vertical|8</v>
      </c>
    </row>
    <row r="129" ht="15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L129" s="5"/>
      <c r="FM129" s="5"/>
      <c r="GV129" s="5" t="str">
        <f>IF(BAZA!$A129="","",BAZA!$A129)</f>
        <v>Pull up eccentric weighted (5 sek w dół)</v>
      </c>
      <c r="GW129" s="5" t="str">
        <f>IF(BAZA!$B129="","",BAZA!$B129&amp;"|"&amp;COUNTIF(BAZA!$B$3:$B129,BAZA!$B129))</f>
        <v>Upper pull vertical|9</v>
      </c>
    </row>
    <row r="130" ht="15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L130" s="5"/>
      <c r="FM130" s="5"/>
      <c r="GV130" s="5" t="str">
        <f>IF(BAZA!$A130="","",BAZA!$A130)</f>
        <v>Pull up weighted</v>
      </c>
      <c r="GW130" s="5" t="str">
        <f>IF(BAZA!$B130="","",BAZA!$B130&amp;"|"&amp;COUNTIF(BAZA!$B$3:$B130,BAZA!$B130))</f>
        <v>Upper pull vertical|10</v>
      </c>
    </row>
    <row r="131" ht="15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L131" s="5"/>
      <c r="FM131" s="5"/>
      <c r="GV131" s="5" t="str">
        <f>IF(BAZA!$A131="","",BAZA!$A131)</f>
        <v>Pull ups (paused)</v>
      </c>
      <c r="GW131" s="5" t="str">
        <f>IF(BAZA!$B131="","",BAZA!$B131&amp;"|"&amp;COUNTIF(BAZA!$B$3:$B131,BAZA!$B131))</f>
        <v>Upper pull vertical|11</v>
      </c>
    </row>
    <row r="132" ht="15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L132" s="5"/>
      <c r="FM132" s="5"/>
      <c r="GV132" s="5" t="str">
        <f>IF(BAZA!$A132="","",BAZA!$A132)</f>
        <v>Push press barbell</v>
      </c>
      <c r="GW132" s="5" t="str">
        <f>IF(BAZA!$B132="","",BAZA!$B132&amp;"|"&amp;COUNTIF(BAZA!$B$3:$B132,BAZA!$B132))</f>
        <v>Upper push vertical|17</v>
      </c>
    </row>
    <row r="133" ht="15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L133" s="5"/>
      <c r="FM133" s="5"/>
      <c r="GV133" s="5" t="str">
        <f>IF(BAZA!$A133="","",BAZA!$A133)</f>
        <v>Push up</v>
      </c>
      <c r="GW133" s="5" t="str">
        <f>IF(BAZA!$B133="","",BAZA!$B133&amp;"|"&amp;COUNTIF(BAZA!$B$3:$B133,BAZA!$B133))</f>
        <v>Upper push horizontal|16</v>
      </c>
    </row>
    <row r="134" ht="15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L134" s="5"/>
      <c r="FM134" s="5"/>
      <c r="GV134" s="5" t="str">
        <f>IF(BAZA!$A134="","",BAZA!$A134)</f>
        <v>Raised bird dog</v>
      </c>
      <c r="GW134" s="5" t="str">
        <f>IF(BAZA!$B134="","",BAZA!$B134&amp;"|"&amp;COUNTIF(BAZA!$B$3:$B134,BAZA!$B134))</f>
        <v>Core|20</v>
      </c>
    </row>
    <row r="135" ht="15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L135" s="5"/>
      <c r="FM135" s="5"/>
      <c r="GV135" s="5" t="str">
        <f>IF(BAZA!$A135="","",BAZA!$A135)</f>
        <v>RDL</v>
      </c>
      <c r="GW135" s="5" t="str">
        <f>IF(BAZA!$B135="","",BAZA!$B135&amp;"|"&amp;COUNTIF(BAZA!$B$3:$B135,BAZA!$B135))</f>
        <v>Lower pull|17</v>
      </c>
    </row>
    <row r="136" ht="15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L136" s="5"/>
      <c r="FM136" s="5"/>
      <c r="GV136" s="5" t="str">
        <f>IF(BAZA!$A136="","",BAZA!$A136)</f>
        <v>Reverse Nordic</v>
      </c>
      <c r="GW136" s="5" t="str">
        <f>IF(BAZA!$B136="","",BAZA!$B136&amp;"|"&amp;COUNTIF(BAZA!$B$3:$B136,BAZA!$B136))</f>
        <v>Lower push|21</v>
      </c>
    </row>
    <row r="137" ht="15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L137" s="5"/>
      <c r="FM137" s="5"/>
      <c r="GV137" s="5" t="str">
        <f>IF(BAZA!$A137="","",BAZA!$A137)</f>
        <v>Rope pushdown</v>
      </c>
      <c r="GW137" s="5" t="str">
        <f>IF(BAZA!$B137="","",BAZA!$B137&amp;"|"&amp;COUNTIF(BAZA!$B$3:$B137,BAZA!$B137))</f>
        <v>Tricep|4</v>
      </c>
    </row>
    <row r="138" ht="15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L138" s="5"/>
      <c r="FM138" s="5"/>
      <c r="GV138" s="5" t="str">
        <f>IF(BAZA!$A138="","",BAZA!$A138)</f>
        <v>Rope pushdown OH</v>
      </c>
      <c r="GW138" s="5" t="str">
        <f>IF(BAZA!$B138="","",BAZA!$B138&amp;"|"&amp;COUNTIF(BAZA!$B$3:$B138,BAZA!$B138))</f>
        <v>Tricep|5</v>
      </c>
    </row>
    <row r="139" ht="15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L139" s="5"/>
      <c r="FM139" s="5"/>
      <c r="GV139" s="5" t="str">
        <f>IF(BAZA!$A139="","",BAZA!$A139)</f>
        <v>S/a cable pulldown incline bench</v>
      </c>
      <c r="GW139" s="5" t="str">
        <f>IF(BAZA!$B139="","",BAZA!$B139&amp;"|"&amp;COUNTIF(BAZA!$B$3:$B139,BAZA!$B139))</f>
        <v>Upper pull vertical|12</v>
      </c>
    </row>
    <row r="140" ht="15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L140" s="5"/>
      <c r="FM140" s="5"/>
      <c r="GV140" s="5" t="str">
        <f>IF(BAZA!$A140="","",BAZA!$A140)</f>
        <v>S/a lat pulldown incline bench</v>
      </c>
      <c r="GW140" s="5" t="str">
        <f>IF(BAZA!$B140="","",BAZA!$B140&amp;"|"&amp;COUNTIF(BAZA!$B$3:$B140,BAZA!$B140))</f>
        <v>Upper pull vertical|13</v>
      </c>
    </row>
    <row r="141" ht="15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L141" s="5"/>
      <c r="FM141" s="5"/>
      <c r="GV141" s="5" t="str">
        <f>IF(BAZA!$A141="","",BAZA!$A141)</f>
        <v>S/l dragonflag eccentric</v>
      </c>
      <c r="GW141" s="5" t="str">
        <f>IF(BAZA!$B141="","",BAZA!$B141&amp;"|"&amp;COUNTIF(BAZA!$B$3:$B141,BAZA!$B141))</f>
        <v>Core|21</v>
      </c>
    </row>
    <row r="142" ht="15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L142" s="5"/>
      <c r="FM142" s="5"/>
      <c r="GV142" s="5" t="str">
        <f>IF(BAZA!$A142="","",BAZA!$A142)</f>
        <v>S/l hip thrust</v>
      </c>
      <c r="GW142" s="5" t="str">
        <f>IF(BAZA!$B142="","",BAZA!$B142&amp;"|"&amp;COUNTIF(BAZA!$B$3:$B142,BAZA!$B142))</f>
        <v>Lower pull|18</v>
      </c>
    </row>
    <row r="143" ht="15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L143" s="5"/>
      <c r="FM143" s="5"/>
      <c r="GV143" s="5" t="str">
        <f>IF(BAZA!$A143="","",BAZA!$A143)</f>
        <v>Seated broad jump</v>
      </c>
      <c r="GW143" s="5" t="str">
        <f>IF(BAZA!$B143="","",BAZA!$B143&amp;"|"&amp;COUNTIF(BAZA!$B$3:$B143,BAZA!$B143))</f>
        <v>Lower push|22</v>
      </c>
    </row>
    <row r="144" ht="15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L144" s="5"/>
      <c r="FM144" s="5"/>
      <c r="GV144" s="5" t="str">
        <f>IF(BAZA!$A144="","",BAZA!$A144)</f>
        <v>Seated cable facepull</v>
      </c>
      <c r="GW144" s="5" t="str">
        <f>IF(BAZA!$B144="","",BAZA!$B144&amp;"|"&amp;COUNTIF(BAZA!$B$3:$B144,BAZA!$B144))</f>
        <v>Upper pull horizontal|17</v>
      </c>
    </row>
    <row r="145" ht="15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L145" s="5"/>
      <c r="FM145" s="5"/>
      <c r="GV145" s="5" t="str">
        <f>IF(BAZA!$A145="","",BAZA!$A145)</f>
        <v>Seated seesaw press (nogi proste)</v>
      </c>
      <c r="GW145" s="5" t="str">
        <f>IF(BAZA!$B145="","",BAZA!$B145&amp;"|"&amp;COUNTIF(BAZA!$B$3:$B145,BAZA!$B145))</f>
        <v>Upper push vertical|18</v>
      </c>
    </row>
    <row r="146" ht="15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L146" s="5"/>
      <c r="FM146" s="5"/>
      <c r="GV146" s="5" t="str">
        <f>IF(BAZA!$A146="","",BAZA!$A146)</f>
        <v>Seesaw press</v>
      </c>
      <c r="GW146" s="5" t="str">
        <f>IF(BAZA!$B146="","",BAZA!$B146&amp;"|"&amp;COUNTIF(BAZA!$B$3:$B146,BAZA!$B146))</f>
        <v>Upper push vertical|19</v>
      </c>
    </row>
    <row r="147" ht="15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L147" s="5"/>
      <c r="FM147" s="5"/>
      <c r="GV147" s="5" t="str">
        <f>IF(BAZA!$A147="","",BAZA!$A147)</f>
        <v>Side crunches</v>
      </c>
      <c r="GW147" s="5" t="str">
        <f>IF(BAZA!$B147="","",BAZA!$B147&amp;"|"&amp;COUNTIF(BAZA!$B$3:$B147,BAZA!$B147))</f>
        <v>Core|22</v>
      </c>
    </row>
    <row r="148" ht="15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L148" s="5"/>
      <c r="FM148" s="5"/>
      <c r="GV148" s="5" t="str">
        <f>IF(BAZA!$A148="","",BAZA!$A148)</f>
        <v>Side plank hip drop</v>
      </c>
      <c r="GW148" s="5" t="str">
        <f>IF(BAZA!$B148="","",BAZA!$B148&amp;"|"&amp;COUNTIF(BAZA!$B$3:$B148,BAZA!$B148))</f>
        <v>Core|23</v>
      </c>
    </row>
    <row r="149" ht="15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L149" s="5"/>
      <c r="FM149" s="5"/>
      <c r="GV149" s="5" t="str">
        <f>IF(BAZA!$A149="","",BAZA!$A149)</f>
        <v>Side plank rotations</v>
      </c>
      <c r="GW149" s="5" t="str">
        <f>IF(BAZA!$B149="","",BAZA!$B149&amp;"|"&amp;COUNTIF(BAZA!$B$3:$B149,BAZA!$B149))</f>
        <v>Core|24</v>
      </c>
    </row>
    <row r="150" ht="15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L150" s="5"/>
      <c r="FM150" s="5"/>
      <c r="GV150" s="5" t="str">
        <f>IF(BAZA!$A150="","",BAZA!$A150)</f>
        <v>SLDL balance</v>
      </c>
      <c r="GW150" s="5" t="str">
        <f>IF(BAZA!$B150="","",BAZA!$B150&amp;"|"&amp;COUNTIF(BAZA!$B$3:$B150,BAZA!$B150))</f>
        <v>Lower pull|19</v>
      </c>
    </row>
    <row r="151" ht="15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L151" s="5"/>
      <c r="FM151" s="5"/>
      <c r="GV151" s="5" t="str">
        <f>IF(BAZA!$A151="","",BAZA!$A151)</f>
        <v>Split squat</v>
      </c>
      <c r="GW151" s="5" t="str">
        <f>IF(BAZA!$B151="","",BAZA!$B151&amp;"|"&amp;COUNTIF(BAZA!$B$3:$B151,BAZA!$B151))</f>
        <v>Lower push|23</v>
      </c>
    </row>
    <row r="152" ht="15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L152" s="5"/>
      <c r="FM152" s="5"/>
      <c r="GV152" s="5" t="str">
        <f>IF(BAZA!$A152="","",BAZA!$A152)</f>
        <v>Split stance SLDL</v>
      </c>
      <c r="GW152" s="5" t="str">
        <f>IF(BAZA!$B152="","",BAZA!$B152&amp;"|"&amp;COUNTIF(BAZA!$B$3:$B152,BAZA!$B152))</f>
        <v>Lower pull|20</v>
      </c>
    </row>
    <row r="153" ht="15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L153" s="5"/>
      <c r="FM153" s="5"/>
      <c r="GV153" s="5" t="str">
        <f>IF(BAZA!$A153="","",BAZA!$A153)</f>
        <v>Squat izo (15 sek)</v>
      </c>
      <c r="GW153" s="5" t="str">
        <f>IF(BAZA!$B153="","",BAZA!$B153&amp;"|"&amp;COUNTIF(BAZA!$B$3:$B153,BAZA!$B153))</f>
        <v>Lower push|24</v>
      </c>
    </row>
    <row r="154" ht="15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L154" s="5"/>
      <c r="FM154" s="5"/>
      <c r="GV154" s="5" t="str">
        <f>IF(BAZA!$A154="","",BAZA!$A154)</f>
        <v>Standing landmine press</v>
      </c>
      <c r="GW154" s="5" t="str">
        <f>IF(BAZA!$B154="","",BAZA!$B154&amp;"|"&amp;COUNTIF(BAZA!$B$3:$B154,BAZA!$B154))</f>
        <v>Upper push vertical|20</v>
      </c>
    </row>
    <row r="155" ht="15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L155" s="5"/>
      <c r="FM155" s="5"/>
      <c r="GV155" s="5" t="str">
        <f>IF(BAZA!$A155="","",BAZA!$A155)</f>
        <v>Suitcase carry</v>
      </c>
      <c r="GW155" s="5" t="str">
        <f>IF(BAZA!$B155="","",BAZA!$B155&amp;"|"&amp;COUNTIF(BAZA!$B$3:$B155,BAZA!$B155))</f>
        <v>Core|25</v>
      </c>
    </row>
    <row r="156" ht="15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L156" s="5"/>
      <c r="FM156" s="5"/>
      <c r="GV156" s="5" t="str">
        <f>IF(BAZA!$A156="","",BAZA!$A156)</f>
        <v>Supine pigeon abs</v>
      </c>
      <c r="GW156" s="5" t="str">
        <f>IF(BAZA!$B156="","",BAZA!$B156&amp;"|"&amp;COUNTIF(BAZA!$B$3:$B156,BAZA!$B156))</f>
        <v>Core|26</v>
      </c>
    </row>
    <row r="157" ht="15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L157" s="5"/>
      <c r="FM157" s="5"/>
      <c r="GV157" s="5" t="str">
        <f>IF(BAZA!$A157="","",BAZA!$A157)</f>
        <v>Swiss ball leg curl</v>
      </c>
      <c r="GW157" s="5" t="str">
        <f>IF(BAZA!$B157="","",BAZA!$B157&amp;"|"&amp;COUNTIF(BAZA!$B$3:$B157,BAZA!$B157))</f>
        <v>Lower pull|21</v>
      </c>
    </row>
    <row r="158" ht="15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L158" s="5"/>
      <c r="FM158" s="5"/>
      <c r="GV158" s="5" t="str">
        <f>IF(BAZA!$A158="","",BAZA!$A158)</f>
        <v>Toes to bar</v>
      </c>
      <c r="GW158" s="5" t="str">
        <f>IF(BAZA!$B158="","",BAZA!$B158&amp;"|"&amp;COUNTIF(BAZA!$B$3:$B158,BAZA!$B158))</f>
        <v>Core|27</v>
      </c>
    </row>
    <row r="159" ht="15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L159" s="5"/>
      <c r="FM159" s="5"/>
      <c r="GV159" s="5" t="str">
        <f>IF(BAZA!$A159="","",BAZA!$A159)</f>
        <v>Trap bar deadlift</v>
      </c>
      <c r="GW159" s="5" t="str">
        <f>IF(BAZA!$B159="","",BAZA!$B159&amp;"|"&amp;COUNTIF(BAZA!$B$3:$B159,BAZA!$B159))</f>
        <v>Lower pull|22</v>
      </c>
    </row>
    <row r="160" ht="15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L160" s="5"/>
      <c r="FM160" s="5"/>
      <c r="GV160" s="5" t="str">
        <f>IF(BAZA!$A160="","",BAZA!$A160)</f>
        <v>Tricep cable pushdown</v>
      </c>
      <c r="GW160" s="5" t="str">
        <f>IF(BAZA!$B160="","",BAZA!$B160&amp;"|"&amp;COUNTIF(BAZA!$B$3:$B160,BAZA!$B160))</f>
        <v>Tricep|6</v>
      </c>
    </row>
    <row r="161" ht="15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L161" s="5"/>
      <c r="FM161" s="5"/>
      <c r="GV161" s="5" t="str">
        <f>IF(BAZA!$A161="","",BAZA!$A161)</f>
        <v>Tricep JM press</v>
      </c>
      <c r="GW161" s="5" t="str">
        <f>IF(BAZA!$B161="","",BAZA!$B161&amp;"|"&amp;COUNTIF(BAZA!$B$3:$B161,BAZA!$B161))</f>
        <v>Tricep|7</v>
      </c>
    </row>
    <row r="162" ht="15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L162" s="5"/>
      <c r="FM162" s="5"/>
      <c r="GV162" s="5" t="str">
        <f>IF(BAZA!$A162="","",BAZA!$A162)</f>
        <v>Tricep OH cable</v>
      </c>
      <c r="GW162" s="5" t="str">
        <f>IF(BAZA!$B162="","",BAZA!$B162&amp;"|"&amp;COUNTIF(BAZA!$B$3:$B162,BAZA!$B162))</f>
        <v>Tricep|8</v>
      </c>
    </row>
    <row r="163" ht="15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L163" s="5"/>
      <c r="FM163" s="5"/>
      <c r="GV163" s="5" t="str">
        <f>IF(BAZA!$A163="","",BAZA!$A163)</f>
        <v>Tricep OH ez bar</v>
      </c>
      <c r="GW163" s="5" t="str">
        <f>IF(BAZA!$B163="","",BAZA!$B163&amp;"|"&amp;COUNTIF(BAZA!$B$3:$B163,BAZA!$B163))</f>
        <v>Tricep|9</v>
      </c>
    </row>
    <row r="164" ht="15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L164" s="5"/>
      <c r="FM164" s="5"/>
      <c r="GV164" s="5" t="str">
        <f>IF(BAZA!$A164="","",BAZA!$A164)</f>
        <v>Walking lunges</v>
      </c>
      <c r="GW164" s="5" t="str">
        <f>IF(BAZA!$B164="","",BAZA!$B164&amp;"|"&amp;COUNTIF(BAZA!$B$3:$B164,BAZA!$B164))</f>
        <v>Lower push|25</v>
      </c>
    </row>
    <row r="165" ht="15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L165" s="5"/>
      <c r="FM165" s="5"/>
      <c r="GV165" s="5" t="str">
        <f>IF(BAZA!$A165="","",BAZA!$A165)</f>
        <v>Wipers kettle</v>
      </c>
      <c r="GW165" s="5" t="str">
        <f>IF(BAZA!$B165="","",BAZA!$B165&amp;"|"&amp;COUNTIF(BAZA!$B$3:$B165,BAZA!$B165))</f>
        <v>Core|28</v>
      </c>
    </row>
    <row r="166" ht="15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L166" s="5"/>
      <c r="FM166" s="5"/>
      <c r="GV166" s="5" t="str">
        <f>IF(BAZA!$A166="","",BAZA!$A166)</f>
        <v>Zercher jumps</v>
      </c>
      <c r="GW166" s="5" t="str">
        <f>IF(BAZA!$B166="","",BAZA!$B166&amp;"|"&amp;COUNTIF(BAZA!$B$3:$B166,BAZA!$B166))</f>
        <v>Lower push|26</v>
      </c>
    </row>
    <row r="167" ht="15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L167" s="5"/>
      <c r="FM167" s="5"/>
      <c r="GV167" s="5" t="str">
        <f>IF(BAZA!$A167="","",BAZA!$A167)</f>
        <v/>
      </c>
      <c r="GW167" s="5" t="str">
        <f>IF(BAZA!$B167="","",BAZA!$B167&amp;"|"&amp;COUNTIF(BAZA!$B$3:$B167,BAZA!$B167))</f>
        <v/>
      </c>
    </row>
    <row r="168" ht="15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L168" s="5"/>
      <c r="FM168" s="5"/>
      <c r="GV168" s="5" t="str">
        <f>IF(BAZA!$A168="","",BAZA!$A168)</f>
        <v/>
      </c>
      <c r="GW168" s="5" t="str">
        <f>IF(BAZA!$B168="","",BAZA!$B168&amp;"|"&amp;COUNTIF(BAZA!$B$3:$B168,BAZA!$B168))</f>
        <v/>
      </c>
    </row>
    <row r="169" ht="15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L169" s="5"/>
      <c r="FM169" s="5"/>
      <c r="GV169" s="5" t="str">
        <f>IF(BAZA!$A169="","",BAZA!$A169)</f>
        <v/>
      </c>
      <c r="GW169" s="5" t="str">
        <f>IF(BAZA!$B169="","",BAZA!$B169&amp;"|"&amp;COUNTIF(BAZA!$B$3:$B169,BAZA!$B169))</f>
        <v/>
      </c>
    </row>
    <row r="170" ht="15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L170" s="5"/>
      <c r="FM170" s="5"/>
      <c r="GV170" s="5" t="str">
        <f>IF(BAZA!$A170="","",BAZA!$A170)</f>
        <v/>
      </c>
      <c r="GW170" s="5" t="str">
        <f>IF(BAZA!$B170="","",BAZA!$B170&amp;"|"&amp;COUNTIF(BAZA!$B$3:$B170,BAZA!$B170))</f>
        <v/>
      </c>
    </row>
    <row r="171" ht="15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L171" s="5"/>
      <c r="FM171" s="5"/>
      <c r="GV171" s="5" t="str">
        <f>IF(BAZA!$A171="","",BAZA!$A171)</f>
        <v/>
      </c>
      <c r="GW171" s="5" t="str">
        <f>IF(BAZA!$B171="","",BAZA!$B171&amp;"|"&amp;COUNTIF(BAZA!$B$3:$B171,BAZA!$B171))</f>
        <v/>
      </c>
    </row>
    <row r="172" ht="15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L172" s="5"/>
      <c r="FM172" s="5"/>
      <c r="GV172" s="5" t="str">
        <f>IF(BAZA!$A172="","",BAZA!$A172)</f>
        <v/>
      </c>
      <c r="GW172" s="5" t="str">
        <f>IF(BAZA!$B172="","",BAZA!$B172&amp;"|"&amp;COUNTIF(BAZA!$B$3:$B172,BAZA!$B172))</f>
        <v/>
      </c>
    </row>
    <row r="173" ht="15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L173" s="5"/>
      <c r="FM173" s="5"/>
      <c r="GV173" s="5" t="str">
        <f>IF(BAZA!$A173="","",BAZA!$A173)</f>
        <v/>
      </c>
      <c r="GW173" s="5" t="str">
        <f>IF(BAZA!$B173="","",BAZA!$B173&amp;"|"&amp;COUNTIF(BAZA!$B$3:$B173,BAZA!$B173))</f>
        <v/>
      </c>
    </row>
    <row r="174" ht="15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L174" s="5"/>
      <c r="FM174" s="5"/>
      <c r="GV174" s="5" t="str">
        <f>IF(BAZA!$A174="","",BAZA!$A174)</f>
        <v/>
      </c>
      <c r="GW174" s="5" t="str">
        <f>IF(BAZA!$B174="","",BAZA!$B174&amp;"|"&amp;COUNTIF(BAZA!$B$3:$B174,BAZA!$B174))</f>
        <v/>
      </c>
    </row>
    <row r="175" ht="15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L175" s="5"/>
      <c r="FM175" s="5"/>
      <c r="GV175" s="5" t="str">
        <f>IF(BAZA!$A175="","",BAZA!$A175)</f>
        <v/>
      </c>
      <c r="GW175" s="5" t="str">
        <f>IF(BAZA!$B175="","",BAZA!$B175&amp;"|"&amp;COUNTIF(BAZA!$B$3:$B175,BAZA!$B175))</f>
        <v/>
      </c>
    </row>
    <row r="176" ht="15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L176" s="5"/>
      <c r="FM176" s="5"/>
      <c r="GV176" s="5" t="str">
        <f>IF(BAZA!$A176="","",BAZA!$A176)</f>
        <v/>
      </c>
      <c r="GW176" s="5" t="str">
        <f>IF(BAZA!$B176="","",BAZA!$B176&amp;"|"&amp;COUNTIF(BAZA!$B$3:$B176,BAZA!$B176))</f>
        <v/>
      </c>
    </row>
    <row r="177" ht="15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L177" s="5"/>
      <c r="FM177" s="5"/>
      <c r="GV177" s="5" t="str">
        <f>IF(BAZA!$A177="","",BAZA!$A177)</f>
        <v/>
      </c>
      <c r="GW177" s="5" t="str">
        <f>IF(BAZA!$B177="","",BAZA!$B177&amp;"|"&amp;COUNTIF(BAZA!$B$3:$B177,BAZA!$B177))</f>
        <v/>
      </c>
    </row>
    <row r="178" ht="15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L178" s="5"/>
      <c r="FM178" s="5"/>
      <c r="GV178" s="5" t="str">
        <f>IF(BAZA!$A178="","",BAZA!$A178)</f>
        <v/>
      </c>
      <c r="GW178" s="5" t="str">
        <f>IF(BAZA!$B178="","",BAZA!$B178&amp;"|"&amp;COUNTIF(BAZA!$B$3:$B178,BAZA!$B178))</f>
        <v/>
      </c>
    </row>
    <row r="179" ht="15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L179" s="5"/>
      <c r="FM179" s="5"/>
      <c r="GV179" s="5" t="str">
        <f>IF(BAZA!$A179="","",BAZA!$A179)</f>
        <v/>
      </c>
      <c r="GW179" s="5" t="str">
        <f>IF(BAZA!$B179="","",BAZA!$B179&amp;"|"&amp;COUNTIF(BAZA!$B$3:$B179,BAZA!$B179))</f>
        <v/>
      </c>
    </row>
    <row r="180" ht="15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L180" s="5"/>
      <c r="FM180" s="5"/>
      <c r="GV180" s="5" t="str">
        <f>IF(BAZA!$A180="","",BAZA!$A180)</f>
        <v/>
      </c>
      <c r="GW180" s="5" t="str">
        <f>IF(BAZA!$B180="","",BAZA!$B180&amp;"|"&amp;COUNTIF(BAZA!$B$3:$B180,BAZA!$B180))</f>
        <v/>
      </c>
    </row>
    <row r="181" ht="15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L181" s="5"/>
      <c r="FM181" s="5"/>
      <c r="GV181" s="5" t="str">
        <f>IF(BAZA!$A181="","",BAZA!$A181)</f>
        <v/>
      </c>
      <c r="GW181" s="5" t="str">
        <f>IF(BAZA!$B181="","",BAZA!$B181&amp;"|"&amp;COUNTIF(BAZA!$B$3:$B181,BAZA!$B181))</f>
        <v/>
      </c>
    </row>
    <row r="182" ht="15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L182" s="5"/>
      <c r="FM182" s="5"/>
      <c r="GV182" s="5" t="str">
        <f>IF(BAZA!$A182="","",BAZA!$A182)</f>
        <v/>
      </c>
      <c r="GW182" s="5" t="str">
        <f>IF(BAZA!$B182="","",BAZA!$B182&amp;"|"&amp;COUNTIF(BAZA!$B$3:$B182,BAZA!$B182))</f>
        <v/>
      </c>
    </row>
    <row r="183" ht="15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L183" s="5"/>
      <c r="FM183" s="5"/>
      <c r="GV183" s="5" t="str">
        <f>IF(BAZA!$A183="","",BAZA!$A183)</f>
        <v/>
      </c>
      <c r="GW183" s="5" t="str">
        <f>IF(BAZA!$B183="","",BAZA!$B183&amp;"|"&amp;COUNTIF(BAZA!$B$3:$B183,BAZA!$B183))</f>
        <v/>
      </c>
    </row>
    <row r="184" ht="15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L184" s="5"/>
      <c r="FM184" s="5"/>
      <c r="GV184" s="5" t="str">
        <f>IF(BAZA!$A184="","",BAZA!$A184)</f>
        <v/>
      </c>
      <c r="GW184" s="5" t="str">
        <f>IF(BAZA!$B184="","",BAZA!$B184&amp;"|"&amp;COUNTIF(BAZA!$B$3:$B184,BAZA!$B184))</f>
        <v/>
      </c>
    </row>
    <row r="185" ht="15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L185" s="5"/>
      <c r="FM185" s="5"/>
      <c r="GV185" s="5" t="str">
        <f>IF(BAZA!$A185="","",BAZA!$A185)</f>
        <v/>
      </c>
      <c r="GW185" s="5" t="str">
        <f>IF(BAZA!$B185="","",BAZA!$B185&amp;"|"&amp;COUNTIF(BAZA!$B$3:$B185,BAZA!$B185))</f>
        <v/>
      </c>
    </row>
    <row r="186" ht="15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L186" s="5"/>
      <c r="FM186" s="5"/>
      <c r="GV186" s="5" t="str">
        <f>IF(BAZA!$A186="","",BAZA!$A186)</f>
        <v/>
      </c>
      <c r="GW186" s="5" t="str">
        <f>IF(BAZA!$B186="","",BAZA!$B186&amp;"|"&amp;COUNTIF(BAZA!$B$3:$B186,BAZA!$B186))</f>
        <v/>
      </c>
    </row>
    <row r="187" ht="15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L187" s="5"/>
      <c r="FM187" s="5"/>
      <c r="GV187" s="5" t="str">
        <f>IF(BAZA!$A187="","",BAZA!$A187)</f>
        <v/>
      </c>
      <c r="GW187" s="5" t="str">
        <f>IF(BAZA!$B187="","",BAZA!$B187&amp;"|"&amp;COUNTIF(BAZA!$B$3:$B187,BAZA!$B187))</f>
        <v/>
      </c>
    </row>
    <row r="188" ht="15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L188" s="5"/>
      <c r="FM188" s="5"/>
      <c r="GV188" s="5" t="str">
        <f>IF(BAZA!$A188="","",BAZA!$A188)</f>
        <v/>
      </c>
      <c r="GW188" s="5" t="str">
        <f>IF(BAZA!$B188="","",BAZA!$B188&amp;"|"&amp;COUNTIF(BAZA!$B$3:$B188,BAZA!$B188))</f>
        <v/>
      </c>
    </row>
    <row r="189" ht="15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L189" s="5"/>
      <c r="FM189" s="5"/>
      <c r="GV189" s="5" t="str">
        <f>IF(BAZA!$A189="","",BAZA!$A189)</f>
        <v/>
      </c>
      <c r="GW189" s="5" t="str">
        <f>IF(BAZA!$B189="","",BAZA!$B189&amp;"|"&amp;COUNTIF(BAZA!$B$3:$B189,BAZA!$B189))</f>
        <v/>
      </c>
    </row>
    <row r="190" ht="15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L190" s="5"/>
      <c r="FM190" s="5"/>
      <c r="GV190" s="5" t="str">
        <f>IF(BAZA!$A190="","",BAZA!$A190)</f>
        <v/>
      </c>
      <c r="GW190" s="5" t="str">
        <f>IF(BAZA!$B190="","",BAZA!$B190&amp;"|"&amp;COUNTIF(BAZA!$B$3:$B190,BAZA!$B190))</f>
        <v/>
      </c>
    </row>
    <row r="191" ht="15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L191" s="5"/>
      <c r="FM191" s="5"/>
      <c r="GV191" s="5" t="str">
        <f>IF(BAZA!$A191="","",BAZA!$A191)</f>
        <v/>
      </c>
      <c r="GW191" s="5" t="str">
        <f>IF(BAZA!$B191="","",BAZA!$B191&amp;"|"&amp;COUNTIF(BAZA!$B$3:$B191,BAZA!$B191))</f>
        <v/>
      </c>
    </row>
    <row r="192" ht="15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L192" s="5"/>
      <c r="FM192" s="5"/>
      <c r="GV192" s="5" t="str">
        <f>IF(BAZA!$A192="","",BAZA!$A192)</f>
        <v/>
      </c>
      <c r="GW192" s="5" t="str">
        <f>IF(BAZA!$B192="","",BAZA!$B192&amp;"|"&amp;COUNTIF(BAZA!$B$3:$B192,BAZA!$B192))</f>
        <v/>
      </c>
    </row>
    <row r="193" ht="15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L193" s="5"/>
      <c r="FM193" s="5"/>
      <c r="GV193" s="5" t="str">
        <f>IF(BAZA!$A193="","",BAZA!$A193)</f>
        <v/>
      </c>
      <c r="GW193" s="5" t="str">
        <f>IF(BAZA!$B193="","",BAZA!$B193&amp;"|"&amp;COUNTIF(BAZA!$B$3:$B193,BAZA!$B193))</f>
        <v/>
      </c>
    </row>
    <row r="194" ht="15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L194" s="5"/>
      <c r="FM194" s="5"/>
      <c r="GV194" s="5" t="str">
        <f>IF(BAZA!$A194="","",BAZA!$A194)</f>
        <v/>
      </c>
      <c r="GW194" s="5" t="str">
        <f>IF(BAZA!$B194="","",BAZA!$B194&amp;"|"&amp;COUNTIF(BAZA!$B$3:$B194,BAZA!$B194))</f>
        <v/>
      </c>
    </row>
    <row r="195" ht="15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L195" s="5"/>
      <c r="FM195" s="5"/>
      <c r="GV195" s="5" t="str">
        <f>IF(BAZA!$A195="","",BAZA!$A195)</f>
        <v/>
      </c>
      <c r="GW195" s="5" t="str">
        <f>IF(BAZA!$B195="","",BAZA!$B195&amp;"|"&amp;COUNTIF(BAZA!$B$3:$B195,BAZA!$B195))</f>
        <v/>
      </c>
    </row>
    <row r="196" ht="15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L196" s="5"/>
      <c r="FM196" s="5"/>
      <c r="GV196" s="5" t="str">
        <f>IF(BAZA!$A196="","",BAZA!$A196)</f>
        <v/>
      </c>
      <c r="GW196" s="5" t="str">
        <f>IF(BAZA!$B196="","",BAZA!$B196&amp;"|"&amp;COUNTIF(BAZA!$B$3:$B196,BAZA!$B196))</f>
        <v/>
      </c>
    </row>
    <row r="197" ht="15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L197" s="5"/>
      <c r="FM197" s="5"/>
      <c r="GV197" s="5" t="str">
        <f>IF(BAZA!$A197="","",BAZA!$A197)</f>
        <v/>
      </c>
      <c r="GW197" s="5" t="str">
        <f>IF(BAZA!$B197="","",BAZA!$B197&amp;"|"&amp;COUNTIF(BAZA!$B$3:$B197,BAZA!$B197))</f>
        <v/>
      </c>
    </row>
    <row r="198" ht="15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L198" s="5"/>
      <c r="FM198" s="5"/>
      <c r="GV198" s="5" t="str">
        <f>IF(BAZA!$A198="","",BAZA!$A198)</f>
        <v/>
      </c>
      <c r="GW198" s="5" t="str">
        <f>IF(BAZA!$B198="","",BAZA!$B198&amp;"|"&amp;COUNTIF(BAZA!$B$3:$B198,BAZA!$B198))</f>
        <v/>
      </c>
    </row>
    <row r="199" ht="15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L199" s="5"/>
      <c r="FM199" s="5"/>
      <c r="GV199" s="5" t="str">
        <f>IF(BAZA!$A199="","",BAZA!$A199)</f>
        <v/>
      </c>
      <c r="GW199" s="5" t="str">
        <f>IF(BAZA!$B199="","",BAZA!$B199&amp;"|"&amp;COUNTIF(BAZA!$B$3:$B199,BAZA!$B199))</f>
        <v/>
      </c>
    </row>
    <row r="200" ht="15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L200" s="5"/>
      <c r="FM200" s="5"/>
      <c r="GV200" s="5" t="str">
        <f>IF(BAZA!$A200="","",BAZA!$A200)</f>
        <v/>
      </c>
      <c r="GW200" s="5" t="str">
        <f>IF(BAZA!$B200="","",BAZA!$B200&amp;"|"&amp;COUNTIF(BAZA!$B$3:$B200,BAZA!$B200))</f>
        <v/>
      </c>
    </row>
    <row r="201" ht="15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L201" s="5"/>
      <c r="FM201" s="5"/>
      <c r="GV201" s="5" t="str">
        <f>IF(BAZA!$A201="","",BAZA!$A201)</f>
        <v/>
      </c>
      <c r="GW201" s="5" t="str">
        <f>IF(BAZA!$B201="","",BAZA!$B201&amp;"|"&amp;COUNTIF(BAZA!$B$3:$B201,BAZA!$B201))</f>
        <v/>
      </c>
    </row>
    <row r="202" ht="15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L202" s="5"/>
      <c r="FM202" s="5"/>
      <c r="GV202" s="5" t="str">
        <f>IF(BAZA!$A202="","",BAZA!$A202)</f>
        <v/>
      </c>
      <c r="GW202" s="5" t="str">
        <f>IF(BAZA!$B202="","",BAZA!$B202&amp;"|"&amp;COUNTIF(BAZA!$B$3:$B202,BAZA!$B202))</f>
        <v/>
      </c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2026-08-08T10:03:07Z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